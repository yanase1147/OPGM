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ahara\Desktop\2021_OPGMDec\"/>
    </mc:Choice>
  </mc:AlternateContent>
  <bookViews>
    <workbookView xWindow="3150" yWindow="90" windowWidth="13515" windowHeight="7980"/>
  </bookViews>
  <sheets>
    <sheet name="FR" sheetId="42" r:id="rId1"/>
    <sheet name="FR2" sheetId="41" r:id="rId2"/>
  </sheets>
  <externalReferences>
    <externalReference r:id="rId3"/>
  </externalReferences>
  <definedNames>
    <definedName name="FIT">'FR2'!$C$9:$E$9</definedName>
    <definedName name="FLT">'FR2'!$C$7:$E$7</definedName>
    <definedName name="FOM">'FR2'!$C$8:$E$8</definedName>
    <definedName name="FSUP">'FR2'!$C$5:$E$5</definedName>
    <definedName name="FUC">'FR2'!$C$6:$E$6</definedName>
    <definedName name="KVmax">'FR2'!$C$13:$E$21</definedName>
    <definedName name="KVmin">'FR2'!$C$25:$E$33</definedName>
    <definedName name="VLFCN">'FR2'!$G$8</definedName>
    <definedName name="VLFCR">'FR2'!$H$10:$I$10</definedName>
    <definedName name="VRES">FR!$AG$5:$AI$360</definedName>
    <definedName name="VRET">'FR2'!$C$4:$E$4</definedName>
    <definedName name="VTYN">'FR2'!$B$2</definedName>
  </definedNames>
  <calcPr calcId="162913" calcMode="manual"/>
</workbook>
</file>

<file path=xl/calcChain.xml><?xml version="1.0" encoding="utf-8"?>
<calcChain xmlns="http://schemas.openxmlformats.org/spreadsheetml/2006/main">
  <c r="D14" i="41" l="1"/>
  <c r="D15" i="41"/>
  <c r="D16" i="41"/>
  <c r="D17" i="41"/>
  <c r="D18" i="41"/>
  <c r="D19" i="41"/>
  <c r="D20" i="41"/>
  <c r="D21" i="41"/>
  <c r="D13" i="41"/>
  <c r="C14" i="41"/>
  <c r="C15" i="41"/>
  <c r="C16" i="41"/>
  <c r="C17" i="41"/>
  <c r="C18" i="41"/>
  <c r="C19" i="41"/>
  <c r="C20" i="41"/>
  <c r="C21" i="41"/>
  <c r="C13" i="41"/>
  <c r="E14" i="41"/>
  <c r="E15" i="41"/>
  <c r="E16" i="41"/>
  <c r="E17" i="41"/>
  <c r="E18" i="41"/>
  <c r="E19" i="41"/>
  <c r="E20" i="41"/>
  <c r="E21" i="41"/>
  <c r="E13" i="41"/>
  <c r="R205" i="42" l="1"/>
  <c r="R211" i="42"/>
  <c r="R208" i="42"/>
  <c r="E6" i="41" l="1"/>
  <c r="D6" i="41"/>
  <c r="C6" i="41"/>
  <c r="N34" i="41" l="1"/>
  <c r="O34" i="41"/>
  <c r="G8" i="41" l="1"/>
  <c r="I10" i="41"/>
  <c r="H10" i="41"/>
  <c r="AH6" i="42" l="1"/>
  <c r="AH7" i="42"/>
  <c r="AH8" i="42"/>
  <c r="AH9" i="42"/>
  <c r="AH10" i="42"/>
  <c r="AH11" i="42"/>
  <c r="AH12" i="42"/>
  <c r="AH13" i="42"/>
  <c r="AH14" i="42"/>
  <c r="AH15" i="42"/>
  <c r="AH16" i="42"/>
  <c r="AH17" i="42"/>
  <c r="AH18" i="42"/>
  <c r="AH19" i="42"/>
  <c r="AH20" i="42"/>
  <c r="AH21" i="42"/>
  <c r="AH22" i="42"/>
  <c r="AH23" i="42"/>
  <c r="AH24" i="42"/>
  <c r="AH25" i="42"/>
  <c r="AH26" i="42"/>
  <c r="AH27" i="42"/>
  <c r="AH28" i="42"/>
  <c r="AH29" i="42"/>
  <c r="AH30" i="42"/>
  <c r="AH31" i="42"/>
  <c r="AH32" i="42"/>
  <c r="AH33" i="42"/>
  <c r="AH34" i="42"/>
  <c r="AH35" i="42"/>
  <c r="AH36" i="42"/>
  <c r="AH37" i="42"/>
  <c r="AH38" i="42"/>
  <c r="AH39" i="42"/>
  <c r="AH40" i="42"/>
  <c r="AH41" i="42"/>
  <c r="AH42" i="42"/>
  <c r="AH43" i="42"/>
  <c r="AH44" i="42"/>
  <c r="AH45" i="42"/>
  <c r="AH46" i="42"/>
  <c r="AH47" i="42"/>
  <c r="AH48" i="42"/>
  <c r="AH49" i="42"/>
  <c r="AH50" i="42"/>
  <c r="AH51" i="42"/>
  <c r="AH52" i="42"/>
  <c r="AH53" i="42"/>
  <c r="AH54" i="42"/>
  <c r="AH55" i="42"/>
  <c r="AH56" i="42"/>
  <c r="AH57" i="42"/>
  <c r="AH58" i="42"/>
  <c r="AH59" i="42"/>
  <c r="AH60" i="42"/>
  <c r="AH61" i="42"/>
  <c r="AH62" i="42"/>
  <c r="AH63" i="42"/>
  <c r="AH64" i="42"/>
  <c r="AH65" i="42"/>
  <c r="AH66" i="42"/>
  <c r="AH67" i="42"/>
  <c r="AH68" i="42"/>
  <c r="AH69" i="42"/>
  <c r="AH70" i="42"/>
  <c r="AH71" i="42"/>
  <c r="AH72" i="42"/>
  <c r="AH73" i="42"/>
  <c r="AH74" i="42"/>
  <c r="AH75" i="42"/>
  <c r="AH76" i="42"/>
  <c r="AH77" i="42"/>
  <c r="AH78" i="42"/>
  <c r="AH79" i="42"/>
  <c r="AH80" i="42"/>
  <c r="AH81" i="42"/>
  <c r="AH82" i="42"/>
  <c r="AH83" i="42"/>
  <c r="AH84" i="42"/>
  <c r="AH85" i="42"/>
  <c r="AH86" i="42"/>
  <c r="AH87" i="42"/>
  <c r="AH88" i="42"/>
  <c r="AH89" i="42"/>
  <c r="AH90" i="42"/>
  <c r="AH91" i="42"/>
  <c r="AH92" i="42"/>
  <c r="AH93" i="42"/>
  <c r="AH94" i="42"/>
  <c r="AH95" i="42"/>
  <c r="AH96" i="42"/>
  <c r="AH97" i="42"/>
  <c r="AH98" i="42"/>
  <c r="AH99" i="42"/>
  <c r="AH100" i="42"/>
  <c r="AH101" i="42"/>
  <c r="AH102" i="42"/>
  <c r="AH103" i="42"/>
  <c r="AH104" i="42"/>
  <c r="AH105" i="42"/>
  <c r="AH106" i="42"/>
  <c r="AH107" i="42"/>
  <c r="AH108" i="42"/>
  <c r="AH109" i="42"/>
  <c r="AH110" i="42"/>
  <c r="AH111" i="42"/>
  <c r="AH112" i="42"/>
  <c r="AH113" i="42"/>
  <c r="AH114" i="42"/>
  <c r="AH115" i="42"/>
  <c r="AH116" i="42"/>
  <c r="AH117" i="42"/>
  <c r="AH118" i="42"/>
  <c r="AH119" i="42"/>
  <c r="AH120" i="42"/>
  <c r="AH121" i="42"/>
  <c r="AH122" i="42"/>
  <c r="AH123" i="42"/>
  <c r="AH124" i="42"/>
  <c r="AH125" i="42"/>
  <c r="AH126" i="42"/>
  <c r="AH127" i="42"/>
  <c r="AH128" i="42"/>
  <c r="AH129" i="42"/>
  <c r="AH130" i="42"/>
  <c r="AH131" i="42"/>
  <c r="AH132" i="42"/>
  <c r="AH133" i="42"/>
  <c r="AH134" i="42"/>
  <c r="AH135" i="42"/>
  <c r="AH136" i="42"/>
  <c r="AH137" i="42"/>
  <c r="AH138" i="42"/>
  <c r="AH139" i="42"/>
  <c r="AH140" i="42"/>
  <c r="AH141" i="42"/>
  <c r="AH142" i="42"/>
  <c r="AH143" i="42"/>
  <c r="AH144" i="42"/>
  <c r="AH145" i="42"/>
  <c r="AH146" i="42"/>
  <c r="AH147" i="42"/>
  <c r="AH148" i="42"/>
  <c r="AH149" i="42"/>
  <c r="AH150" i="42"/>
  <c r="AH151" i="42"/>
  <c r="AH152" i="42"/>
  <c r="AH153" i="42"/>
  <c r="AH154" i="42"/>
  <c r="AH155" i="42"/>
  <c r="AH156" i="42"/>
  <c r="AH157" i="42"/>
  <c r="AH158" i="42"/>
  <c r="AH159" i="42"/>
  <c r="AH160" i="42"/>
  <c r="AH161" i="42"/>
  <c r="AH162" i="42"/>
  <c r="AH163" i="42"/>
  <c r="AH164" i="42"/>
  <c r="AH165" i="42"/>
  <c r="AH166" i="42"/>
  <c r="AH167" i="42"/>
  <c r="AH168" i="42"/>
  <c r="AH169" i="42"/>
  <c r="AH170" i="42"/>
  <c r="AH171" i="42"/>
  <c r="AH172" i="42"/>
  <c r="AH173" i="42"/>
  <c r="AH174" i="42"/>
  <c r="AH175" i="42"/>
  <c r="AH176" i="42"/>
  <c r="AH177" i="42"/>
  <c r="AH178" i="42"/>
  <c r="AH179" i="42"/>
  <c r="AH180" i="42"/>
  <c r="AH181" i="42"/>
  <c r="AH182" i="42"/>
  <c r="AH183" i="42"/>
  <c r="AH184" i="42"/>
  <c r="AH185" i="42"/>
  <c r="AH186" i="42"/>
  <c r="AH187" i="42"/>
  <c r="AH188" i="42"/>
  <c r="AH189" i="42"/>
  <c r="AH190" i="42"/>
  <c r="AH191" i="42"/>
  <c r="AH192" i="42"/>
  <c r="AH193" i="42"/>
  <c r="AH194" i="42"/>
  <c r="AH195" i="42"/>
  <c r="AH196" i="42"/>
  <c r="AH197" i="42"/>
  <c r="AH198" i="42"/>
  <c r="AH199" i="42"/>
  <c r="AH200" i="42"/>
  <c r="AH201" i="42"/>
  <c r="AH202" i="42"/>
  <c r="AH203" i="42"/>
  <c r="AH204" i="42"/>
  <c r="AH205" i="42"/>
  <c r="AH206" i="42"/>
  <c r="AH207" i="42"/>
  <c r="AH208" i="42"/>
  <c r="AH209" i="42"/>
  <c r="AH210" i="42"/>
  <c r="AH211" i="42"/>
  <c r="AH212" i="42"/>
  <c r="AH213" i="42"/>
  <c r="AH214" i="42"/>
  <c r="AH215" i="42"/>
  <c r="AH216" i="42"/>
  <c r="AH217" i="42"/>
  <c r="AH218" i="42"/>
  <c r="AH219" i="42"/>
  <c r="AH220" i="42"/>
  <c r="AH221" i="42"/>
  <c r="AH222" i="42"/>
  <c r="AH223" i="42"/>
  <c r="AH224" i="42"/>
  <c r="AH225" i="42"/>
  <c r="AH226" i="42"/>
  <c r="AH227" i="42"/>
  <c r="AH228" i="42"/>
  <c r="AH229" i="42"/>
  <c r="AH230" i="42"/>
  <c r="AH231" i="42"/>
  <c r="AH232" i="42"/>
  <c r="AH233" i="42"/>
  <c r="AH234" i="42"/>
  <c r="AH235" i="42"/>
  <c r="AH236" i="42"/>
  <c r="AH237" i="42"/>
  <c r="AH238" i="42"/>
  <c r="AH239" i="42"/>
  <c r="AH240" i="42"/>
  <c r="AH241" i="42"/>
  <c r="AH242" i="42"/>
  <c r="AH243" i="42"/>
  <c r="AH244" i="42"/>
  <c r="AH245" i="42"/>
  <c r="AH246" i="42"/>
  <c r="AH247" i="42"/>
  <c r="AH248" i="42"/>
  <c r="AH249" i="42"/>
  <c r="AH250" i="42"/>
  <c r="AH251" i="42"/>
  <c r="AH252" i="42"/>
  <c r="AH253" i="42"/>
  <c r="AH254" i="42"/>
  <c r="AH255" i="42"/>
  <c r="AH256" i="42"/>
  <c r="AH257" i="42"/>
  <c r="AH258" i="42"/>
  <c r="AH259" i="42"/>
  <c r="AH260" i="42"/>
  <c r="AH261" i="42"/>
  <c r="AH262" i="42"/>
  <c r="AH263" i="42"/>
  <c r="AH264" i="42"/>
  <c r="AH265" i="42"/>
  <c r="AH266" i="42"/>
  <c r="AH267" i="42"/>
  <c r="AH268" i="42"/>
  <c r="AH269" i="42"/>
  <c r="AH270" i="42"/>
  <c r="AH271" i="42"/>
  <c r="AH272" i="42"/>
  <c r="AH273" i="42"/>
  <c r="AH274" i="42"/>
  <c r="AH275" i="42"/>
  <c r="AH276" i="42"/>
  <c r="AH277" i="42"/>
  <c r="AH278" i="42"/>
  <c r="AH279" i="42"/>
  <c r="AH280" i="42"/>
  <c r="AH281" i="42"/>
  <c r="AH282" i="42"/>
  <c r="AH283" i="42"/>
  <c r="AH284" i="42"/>
  <c r="AH285" i="42"/>
  <c r="AH286" i="42"/>
  <c r="AH287" i="42"/>
  <c r="AH288" i="42"/>
  <c r="AH289" i="42"/>
  <c r="AH290" i="42"/>
  <c r="AH291" i="42"/>
  <c r="AH292" i="42"/>
  <c r="AH293" i="42"/>
  <c r="AH294" i="42"/>
  <c r="AH295" i="42"/>
  <c r="AH296" i="42"/>
  <c r="AH297" i="42"/>
  <c r="AH298" i="42"/>
  <c r="AH299" i="42"/>
  <c r="AH300" i="42"/>
  <c r="AH301" i="42"/>
  <c r="AH302" i="42"/>
  <c r="AH303" i="42"/>
  <c r="AH304" i="42"/>
  <c r="AH305" i="42"/>
  <c r="AH306" i="42"/>
  <c r="AH307" i="42"/>
  <c r="AH308" i="42"/>
  <c r="AH309" i="42"/>
  <c r="AH310" i="42"/>
  <c r="AH311" i="42"/>
  <c r="AH312" i="42"/>
  <c r="AH313" i="42"/>
  <c r="AH314" i="42"/>
  <c r="AH315" i="42"/>
  <c r="AH316" i="42"/>
  <c r="AH317" i="42"/>
  <c r="AH318" i="42"/>
  <c r="AH319" i="42"/>
  <c r="AH320" i="42"/>
  <c r="AH321" i="42"/>
  <c r="AH322" i="42"/>
  <c r="AH323" i="42"/>
  <c r="AH324" i="42"/>
  <c r="AH325" i="42"/>
  <c r="AH326" i="42"/>
  <c r="AH327" i="42"/>
  <c r="AH328" i="42"/>
  <c r="AH329" i="42"/>
  <c r="AH330" i="42"/>
  <c r="AH331" i="42"/>
  <c r="AH332" i="42"/>
  <c r="AH333" i="42"/>
  <c r="AH334" i="42"/>
  <c r="AH335" i="42"/>
  <c r="AH336" i="42"/>
  <c r="AH337" i="42"/>
  <c r="AH338" i="42"/>
  <c r="AH339" i="42"/>
  <c r="AH340" i="42"/>
  <c r="AH341" i="42"/>
  <c r="AH342" i="42"/>
  <c r="AH343" i="42"/>
  <c r="AH344" i="42"/>
  <c r="AH345" i="42"/>
  <c r="AH346" i="42"/>
  <c r="AH347" i="42"/>
  <c r="AH348" i="42"/>
  <c r="AH349" i="42"/>
  <c r="AH350" i="42"/>
  <c r="AH351" i="42"/>
  <c r="AH352" i="42"/>
  <c r="AH353" i="42"/>
  <c r="AH354" i="42"/>
  <c r="AH355" i="42"/>
  <c r="AH356" i="42"/>
  <c r="AH357" i="42"/>
  <c r="AH358" i="42"/>
  <c r="AH359" i="42"/>
  <c r="AH360" i="42"/>
  <c r="AH5" i="42"/>
  <c r="N3" i="42"/>
  <c r="O3" i="42"/>
  <c r="P3" i="42"/>
  <c r="Q3" i="42"/>
  <c r="R3" i="42"/>
  <c r="S3" i="42"/>
  <c r="T3" i="42"/>
  <c r="U3" i="42"/>
  <c r="V3" i="42"/>
  <c r="M25" i="41"/>
  <c r="M34" i="41" s="1"/>
  <c r="D22" i="41"/>
  <c r="D34" i="41"/>
  <c r="C224" i="42" l="1"/>
  <c r="D224" i="42" s="1"/>
  <c r="AG224" i="42"/>
  <c r="AI224" i="42"/>
  <c r="AI267" i="42"/>
  <c r="AG267" i="42"/>
  <c r="C267" i="42"/>
  <c r="D267" i="42" s="1"/>
  <c r="AI87" i="42"/>
  <c r="AG87" i="42"/>
  <c r="C87" i="42"/>
  <c r="D87" i="42" s="1"/>
  <c r="C66" i="42"/>
  <c r="D66" i="42" s="1"/>
  <c r="AG66" i="42"/>
  <c r="AI66" i="42"/>
  <c r="AI68" i="42" l="1"/>
  <c r="AG68" i="42"/>
  <c r="C68" i="42"/>
  <c r="D68" i="42" s="1"/>
  <c r="AI67" i="42"/>
  <c r="AG67" i="42"/>
  <c r="C67" i="42"/>
  <c r="D67" i="42" s="1"/>
  <c r="C6" i="42"/>
  <c r="D6" i="42" s="1"/>
  <c r="C7" i="42"/>
  <c r="D7" i="42" s="1"/>
  <c r="C8" i="42"/>
  <c r="D8" i="42" s="1"/>
  <c r="C9" i="42"/>
  <c r="D9" i="42" s="1"/>
  <c r="C10" i="42"/>
  <c r="D10" i="42" s="1"/>
  <c r="C11" i="42"/>
  <c r="D11" i="42" s="1"/>
  <c r="C12" i="42"/>
  <c r="D12" i="42" s="1"/>
  <c r="C13" i="42"/>
  <c r="D13" i="42" s="1"/>
  <c r="C14" i="42"/>
  <c r="D14" i="42" s="1"/>
  <c r="C15" i="42"/>
  <c r="D15" i="42" s="1"/>
  <c r="C16" i="42"/>
  <c r="D16" i="42" s="1"/>
  <c r="C17" i="42"/>
  <c r="D17" i="42" s="1"/>
  <c r="C18" i="42"/>
  <c r="D18" i="42" s="1"/>
  <c r="C19" i="42"/>
  <c r="D19" i="42" s="1"/>
  <c r="C20" i="42"/>
  <c r="D20" i="42" s="1"/>
  <c r="C21" i="42"/>
  <c r="D21" i="42" s="1"/>
  <c r="C22" i="42"/>
  <c r="D22" i="42" s="1"/>
  <c r="C23" i="42"/>
  <c r="D23" i="42" s="1"/>
  <c r="C24" i="42"/>
  <c r="D24" i="42" s="1"/>
  <c r="C25" i="42"/>
  <c r="D25" i="42" s="1"/>
  <c r="C26" i="42"/>
  <c r="D26" i="42" s="1"/>
  <c r="C27" i="42"/>
  <c r="D27" i="42" s="1"/>
  <c r="C28" i="42"/>
  <c r="D28" i="42" s="1"/>
  <c r="C29" i="42"/>
  <c r="D29" i="42" s="1"/>
  <c r="C30" i="42"/>
  <c r="D30" i="42" s="1"/>
  <c r="C31" i="42"/>
  <c r="D31" i="42" s="1"/>
  <c r="C32" i="42"/>
  <c r="D32" i="42" s="1"/>
  <c r="C33" i="42"/>
  <c r="D33" i="42" s="1"/>
  <c r="C34" i="42"/>
  <c r="D34" i="42" s="1"/>
  <c r="C35" i="42"/>
  <c r="D35" i="42" s="1"/>
  <c r="C36" i="42"/>
  <c r="D36" i="42" s="1"/>
  <c r="C37" i="42"/>
  <c r="D37" i="42" s="1"/>
  <c r="C38" i="42"/>
  <c r="D38" i="42" s="1"/>
  <c r="C39" i="42"/>
  <c r="D39" i="42" s="1"/>
  <c r="C40" i="42"/>
  <c r="D40" i="42" s="1"/>
  <c r="C41" i="42"/>
  <c r="D41" i="42" s="1"/>
  <c r="C42" i="42"/>
  <c r="D42" i="42" s="1"/>
  <c r="C43" i="42"/>
  <c r="D43" i="42" s="1"/>
  <c r="C44" i="42"/>
  <c r="D44" i="42" s="1"/>
  <c r="C45" i="42"/>
  <c r="D45" i="42" s="1"/>
  <c r="C46" i="42"/>
  <c r="D46" i="42" s="1"/>
  <c r="C47" i="42"/>
  <c r="D47" i="42" s="1"/>
  <c r="C48" i="42"/>
  <c r="D48" i="42" s="1"/>
  <c r="C49" i="42"/>
  <c r="D49" i="42" s="1"/>
  <c r="C50" i="42"/>
  <c r="D50" i="42" s="1"/>
  <c r="C51" i="42"/>
  <c r="D51" i="42" s="1"/>
  <c r="C52" i="42"/>
  <c r="D52" i="42" s="1"/>
  <c r="C53" i="42"/>
  <c r="D53" i="42" s="1"/>
  <c r="C54" i="42"/>
  <c r="D54" i="42" s="1"/>
  <c r="C55" i="42"/>
  <c r="D55" i="42" s="1"/>
  <c r="C56" i="42"/>
  <c r="D56" i="42" s="1"/>
  <c r="C57" i="42"/>
  <c r="D57" i="42" s="1"/>
  <c r="C58" i="42"/>
  <c r="D58" i="42" s="1"/>
  <c r="C59" i="42"/>
  <c r="D59" i="42" s="1"/>
  <c r="C60" i="42"/>
  <c r="D60" i="42" s="1"/>
  <c r="C61" i="42"/>
  <c r="D61" i="42" s="1"/>
  <c r="C62" i="42"/>
  <c r="D62" i="42" s="1"/>
  <c r="C63" i="42"/>
  <c r="D63" i="42" s="1"/>
  <c r="C64" i="42"/>
  <c r="D64" i="42" s="1"/>
  <c r="C65" i="42"/>
  <c r="D65" i="42" s="1"/>
  <c r="C69" i="42"/>
  <c r="D69" i="42" s="1"/>
  <c r="C70" i="42"/>
  <c r="D70" i="42" s="1"/>
  <c r="C71" i="42"/>
  <c r="D71" i="42" s="1"/>
  <c r="C72" i="42"/>
  <c r="D72" i="42" s="1"/>
  <c r="C73" i="42"/>
  <c r="D73" i="42" s="1"/>
  <c r="C74" i="42"/>
  <c r="D74" i="42" s="1"/>
  <c r="C75" i="42"/>
  <c r="D75" i="42" s="1"/>
  <c r="C76" i="42"/>
  <c r="D76" i="42" s="1"/>
  <c r="C77" i="42"/>
  <c r="D77" i="42" s="1"/>
  <c r="C78" i="42"/>
  <c r="D78" i="42" s="1"/>
  <c r="C79" i="42"/>
  <c r="D79" i="42" s="1"/>
  <c r="C80" i="42"/>
  <c r="D80" i="42" s="1"/>
  <c r="C81" i="42"/>
  <c r="D81" i="42" s="1"/>
  <c r="C82" i="42"/>
  <c r="D82" i="42" s="1"/>
  <c r="C83" i="42"/>
  <c r="D83" i="42" s="1"/>
  <c r="C84" i="42"/>
  <c r="D84" i="42" s="1"/>
  <c r="C85" i="42"/>
  <c r="D85" i="42" s="1"/>
  <c r="C86" i="42"/>
  <c r="D86" i="42" s="1"/>
  <c r="C88" i="42"/>
  <c r="D88" i="42" s="1"/>
  <c r="C89" i="42"/>
  <c r="D89" i="42" s="1"/>
  <c r="C90" i="42"/>
  <c r="D90" i="42" s="1"/>
  <c r="C91" i="42"/>
  <c r="D91" i="42" s="1"/>
  <c r="C92" i="42"/>
  <c r="D92" i="42" s="1"/>
  <c r="C93" i="42"/>
  <c r="D93" i="42" s="1"/>
  <c r="C94" i="42"/>
  <c r="D94" i="42" s="1"/>
  <c r="C95" i="42"/>
  <c r="D95" i="42" s="1"/>
  <c r="C96" i="42"/>
  <c r="D96" i="42" s="1"/>
  <c r="C97" i="42"/>
  <c r="D97" i="42" s="1"/>
  <c r="C98" i="42"/>
  <c r="D98" i="42" s="1"/>
  <c r="C99" i="42"/>
  <c r="D99" i="42" s="1"/>
  <c r="C100" i="42"/>
  <c r="D100" i="42" s="1"/>
  <c r="C101" i="42"/>
  <c r="D101" i="42" s="1"/>
  <c r="C102" i="42"/>
  <c r="D102" i="42" s="1"/>
  <c r="C103" i="42"/>
  <c r="D103" i="42" s="1"/>
  <c r="C104" i="42"/>
  <c r="D104" i="42" s="1"/>
  <c r="C105" i="42"/>
  <c r="D105" i="42" s="1"/>
  <c r="C106" i="42"/>
  <c r="D106" i="42" s="1"/>
  <c r="C107" i="42"/>
  <c r="D107" i="42" s="1"/>
  <c r="C108" i="42"/>
  <c r="D108" i="42" s="1"/>
  <c r="C109" i="42"/>
  <c r="D109" i="42" s="1"/>
  <c r="C110" i="42"/>
  <c r="D110" i="42" s="1"/>
  <c r="C111" i="42"/>
  <c r="D111" i="42" s="1"/>
  <c r="C112" i="42"/>
  <c r="D112" i="42" s="1"/>
  <c r="C113" i="42"/>
  <c r="D113" i="42" s="1"/>
  <c r="C114" i="42"/>
  <c r="D114" i="42" s="1"/>
  <c r="C115" i="42"/>
  <c r="D115" i="42" s="1"/>
  <c r="C116" i="42"/>
  <c r="D116" i="42" s="1"/>
  <c r="C117" i="42"/>
  <c r="D117" i="42" s="1"/>
  <c r="C118" i="42"/>
  <c r="D118" i="42" s="1"/>
  <c r="C119" i="42"/>
  <c r="D119" i="42" s="1"/>
  <c r="C120" i="42"/>
  <c r="D120" i="42" s="1"/>
  <c r="C121" i="42"/>
  <c r="D121" i="42" s="1"/>
  <c r="C122" i="42"/>
  <c r="D122" i="42" s="1"/>
  <c r="C123" i="42"/>
  <c r="D123" i="42" s="1"/>
  <c r="C124" i="42"/>
  <c r="D124" i="42" s="1"/>
  <c r="C125" i="42"/>
  <c r="D125" i="42" s="1"/>
  <c r="C126" i="42"/>
  <c r="D126" i="42" s="1"/>
  <c r="C127" i="42"/>
  <c r="D127" i="42" s="1"/>
  <c r="C128" i="42"/>
  <c r="D128" i="42" s="1"/>
  <c r="C129" i="42"/>
  <c r="D129" i="42" s="1"/>
  <c r="C130" i="42"/>
  <c r="D130" i="42" s="1"/>
  <c r="C131" i="42"/>
  <c r="D131" i="42" s="1"/>
  <c r="C132" i="42"/>
  <c r="D132" i="42" s="1"/>
  <c r="C133" i="42"/>
  <c r="D133" i="42" s="1"/>
  <c r="C134" i="42"/>
  <c r="D134" i="42" s="1"/>
  <c r="C135" i="42"/>
  <c r="D135" i="42" s="1"/>
  <c r="C136" i="42"/>
  <c r="D136" i="42" s="1"/>
  <c r="C137" i="42"/>
  <c r="D137" i="42" s="1"/>
  <c r="C138" i="42"/>
  <c r="D138" i="42" s="1"/>
  <c r="C139" i="42"/>
  <c r="D139" i="42" s="1"/>
  <c r="C140" i="42"/>
  <c r="D140" i="42" s="1"/>
  <c r="C141" i="42"/>
  <c r="D141" i="42" s="1"/>
  <c r="C142" i="42"/>
  <c r="D142" i="42" s="1"/>
  <c r="C143" i="42"/>
  <c r="D143" i="42" s="1"/>
  <c r="C144" i="42"/>
  <c r="D144" i="42" s="1"/>
  <c r="C145" i="42"/>
  <c r="D145" i="42" s="1"/>
  <c r="C146" i="42"/>
  <c r="D146" i="42" s="1"/>
  <c r="C147" i="42"/>
  <c r="D147" i="42" s="1"/>
  <c r="C148" i="42"/>
  <c r="D148" i="42" s="1"/>
  <c r="C149" i="42"/>
  <c r="D149" i="42" s="1"/>
  <c r="C150" i="42"/>
  <c r="D150" i="42" s="1"/>
  <c r="C151" i="42"/>
  <c r="D151" i="42" s="1"/>
  <c r="C152" i="42"/>
  <c r="D152" i="42" s="1"/>
  <c r="C153" i="42"/>
  <c r="D153" i="42" s="1"/>
  <c r="C154" i="42"/>
  <c r="D154" i="42" s="1"/>
  <c r="C155" i="42"/>
  <c r="D155" i="42" s="1"/>
  <c r="C156" i="42"/>
  <c r="D156" i="42" s="1"/>
  <c r="C157" i="42"/>
  <c r="D157" i="42" s="1"/>
  <c r="C158" i="42"/>
  <c r="D158" i="42" s="1"/>
  <c r="C159" i="42"/>
  <c r="D159" i="42" s="1"/>
  <c r="C160" i="42"/>
  <c r="D160" i="42" s="1"/>
  <c r="C161" i="42"/>
  <c r="D161" i="42" s="1"/>
  <c r="C162" i="42"/>
  <c r="D162" i="42" s="1"/>
  <c r="C163" i="42"/>
  <c r="D163" i="42" s="1"/>
  <c r="C164" i="42"/>
  <c r="D164" i="42" s="1"/>
  <c r="C165" i="42"/>
  <c r="D165" i="42" s="1"/>
  <c r="C166" i="42"/>
  <c r="D166" i="42" s="1"/>
  <c r="C167" i="42"/>
  <c r="D167" i="42" s="1"/>
  <c r="C168" i="42"/>
  <c r="D168" i="42" s="1"/>
  <c r="C169" i="42"/>
  <c r="D169" i="42" s="1"/>
  <c r="C170" i="42"/>
  <c r="D170" i="42" s="1"/>
  <c r="C171" i="42"/>
  <c r="D171" i="42" s="1"/>
  <c r="C172" i="42"/>
  <c r="D172" i="42" s="1"/>
  <c r="C173" i="42"/>
  <c r="D173" i="42" s="1"/>
  <c r="C174" i="42"/>
  <c r="D174" i="42" s="1"/>
  <c r="C175" i="42"/>
  <c r="D175" i="42" s="1"/>
  <c r="C176" i="42"/>
  <c r="D176" i="42" s="1"/>
  <c r="C177" i="42"/>
  <c r="D177" i="42" s="1"/>
  <c r="C178" i="42"/>
  <c r="D178" i="42" s="1"/>
  <c r="C179" i="42"/>
  <c r="D179" i="42" s="1"/>
  <c r="C180" i="42"/>
  <c r="D180" i="42" s="1"/>
  <c r="C181" i="42"/>
  <c r="D181" i="42" s="1"/>
  <c r="C182" i="42"/>
  <c r="D182" i="42" s="1"/>
  <c r="C183" i="42"/>
  <c r="D183" i="42" s="1"/>
  <c r="C184" i="42"/>
  <c r="D184" i="42" s="1"/>
  <c r="C185" i="42"/>
  <c r="D185" i="42" s="1"/>
  <c r="C186" i="42"/>
  <c r="D186" i="42" s="1"/>
  <c r="C187" i="42"/>
  <c r="D187" i="42" s="1"/>
  <c r="C188" i="42"/>
  <c r="D188" i="42" s="1"/>
  <c r="C189" i="42"/>
  <c r="D189" i="42" s="1"/>
  <c r="C190" i="42"/>
  <c r="D190" i="42" s="1"/>
  <c r="C191" i="42"/>
  <c r="D191" i="42" s="1"/>
  <c r="C192" i="42"/>
  <c r="D192" i="42" s="1"/>
  <c r="C193" i="42"/>
  <c r="D193" i="42" s="1"/>
  <c r="C194" i="42"/>
  <c r="D194" i="42" s="1"/>
  <c r="C195" i="42"/>
  <c r="D195" i="42" s="1"/>
  <c r="C196" i="42"/>
  <c r="D196" i="42" s="1"/>
  <c r="C197" i="42"/>
  <c r="D197" i="42" s="1"/>
  <c r="C198" i="42"/>
  <c r="D198" i="42" s="1"/>
  <c r="C199" i="42"/>
  <c r="D199" i="42" s="1"/>
  <c r="C200" i="42"/>
  <c r="D200" i="42" s="1"/>
  <c r="C201" i="42"/>
  <c r="D201" i="42" s="1"/>
  <c r="C202" i="42"/>
  <c r="D202" i="42" s="1"/>
  <c r="C203" i="42"/>
  <c r="D203" i="42" s="1"/>
  <c r="C204" i="42"/>
  <c r="D204" i="42" s="1"/>
  <c r="C205" i="42"/>
  <c r="D205" i="42" s="1"/>
  <c r="C206" i="42"/>
  <c r="D206" i="42" s="1"/>
  <c r="C207" i="42"/>
  <c r="D207" i="42" s="1"/>
  <c r="C208" i="42"/>
  <c r="D208" i="42" s="1"/>
  <c r="C209" i="42"/>
  <c r="D209" i="42" s="1"/>
  <c r="C210" i="42"/>
  <c r="D210" i="42" s="1"/>
  <c r="C211" i="42"/>
  <c r="D211" i="42" s="1"/>
  <c r="C212" i="42"/>
  <c r="D212" i="42" s="1"/>
  <c r="C213" i="42"/>
  <c r="D213" i="42" s="1"/>
  <c r="C214" i="42"/>
  <c r="D214" i="42" s="1"/>
  <c r="C215" i="42"/>
  <c r="D215" i="42" s="1"/>
  <c r="C216" i="42"/>
  <c r="D216" i="42" s="1"/>
  <c r="C217" i="42"/>
  <c r="D217" i="42" s="1"/>
  <c r="C218" i="42"/>
  <c r="D218" i="42" s="1"/>
  <c r="C219" i="42"/>
  <c r="D219" i="42" s="1"/>
  <c r="C220" i="42"/>
  <c r="D220" i="42" s="1"/>
  <c r="C221" i="42"/>
  <c r="D221" i="42" s="1"/>
  <c r="C222" i="42"/>
  <c r="D222" i="42" s="1"/>
  <c r="C223" i="42"/>
  <c r="D223" i="42" s="1"/>
  <c r="C225" i="42"/>
  <c r="D225" i="42" s="1"/>
  <c r="C226" i="42"/>
  <c r="D226" i="42" s="1"/>
  <c r="C227" i="42"/>
  <c r="D227" i="42" s="1"/>
  <c r="C228" i="42"/>
  <c r="D228" i="42" s="1"/>
  <c r="C229" i="42"/>
  <c r="D229" i="42" s="1"/>
  <c r="C230" i="42"/>
  <c r="D230" i="42" s="1"/>
  <c r="C231" i="42"/>
  <c r="D231" i="42" s="1"/>
  <c r="C232" i="42"/>
  <c r="D232" i="42" s="1"/>
  <c r="C233" i="42"/>
  <c r="D233" i="42" s="1"/>
  <c r="C234" i="42"/>
  <c r="D234" i="42" s="1"/>
  <c r="C235" i="42"/>
  <c r="D235" i="42" s="1"/>
  <c r="C236" i="42"/>
  <c r="D236" i="42" s="1"/>
  <c r="C237" i="42"/>
  <c r="D237" i="42" s="1"/>
  <c r="C238" i="42"/>
  <c r="D238" i="42" s="1"/>
  <c r="C239" i="42"/>
  <c r="D239" i="42" s="1"/>
  <c r="C240" i="42"/>
  <c r="D240" i="42" s="1"/>
  <c r="C241" i="42"/>
  <c r="D241" i="42" s="1"/>
  <c r="C242" i="42"/>
  <c r="D242" i="42" s="1"/>
  <c r="C243" i="42"/>
  <c r="D243" i="42" s="1"/>
  <c r="C244" i="42"/>
  <c r="D244" i="42" s="1"/>
  <c r="C245" i="42"/>
  <c r="D245" i="42" s="1"/>
  <c r="C246" i="42"/>
  <c r="D246" i="42" s="1"/>
  <c r="C247" i="42"/>
  <c r="D247" i="42" s="1"/>
  <c r="C248" i="42"/>
  <c r="D248" i="42" s="1"/>
  <c r="C249" i="42"/>
  <c r="D249" i="42" s="1"/>
  <c r="C250" i="42"/>
  <c r="D250" i="42" s="1"/>
  <c r="C251" i="42"/>
  <c r="D251" i="42" s="1"/>
  <c r="C252" i="42"/>
  <c r="D252" i="42" s="1"/>
  <c r="C253" i="42"/>
  <c r="D253" i="42" s="1"/>
  <c r="C254" i="42"/>
  <c r="D254" i="42" s="1"/>
  <c r="C255" i="42"/>
  <c r="D255" i="42" s="1"/>
  <c r="C256" i="42"/>
  <c r="D256" i="42" s="1"/>
  <c r="C257" i="42"/>
  <c r="D257" i="42" s="1"/>
  <c r="C258" i="42"/>
  <c r="D258" i="42" s="1"/>
  <c r="C259" i="42"/>
  <c r="D259" i="42" s="1"/>
  <c r="C260" i="42"/>
  <c r="D260" i="42" s="1"/>
  <c r="C261" i="42"/>
  <c r="D261" i="42" s="1"/>
  <c r="C262" i="42"/>
  <c r="D262" i="42" s="1"/>
  <c r="C263" i="42"/>
  <c r="D263" i="42" s="1"/>
  <c r="C264" i="42"/>
  <c r="D264" i="42" s="1"/>
  <c r="C265" i="42"/>
  <c r="D265" i="42" s="1"/>
  <c r="C266" i="42"/>
  <c r="D266" i="42" s="1"/>
  <c r="C268" i="42"/>
  <c r="D268" i="42" s="1"/>
  <c r="C269" i="42"/>
  <c r="D269" i="42" s="1"/>
  <c r="C270" i="42"/>
  <c r="D270" i="42" s="1"/>
  <c r="C271" i="42"/>
  <c r="D271" i="42" s="1"/>
  <c r="C272" i="42"/>
  <c r="D272" i="42" s="1"/>
  <c r="C273" i="42"/>
  <c r="D273" i="42" s="1"/>
  <c r="C274" i="42"/>
  <c r="D274" i="42" s="1"/>
  <c r="C275" i="42"/>
  <c r="D275" i="42" s="1"/>
  <c r="C276" i="42"/>
  <c r="D276" i="42" s="1"/>
  <c r="C277" i="42"/>
  <c r="D277" i="42" s="1"/>
  <c r="C278" i="42"/>
  <c r="D278" i="42" s="1"/>
  <c r="C279" i="42"/>
  <c r="D279" i="42" s="1"/>
  <c r="C280" i="42"/>
  <c r="D280" i="42" s="1"/>
  <c r="C281" i="42"/>
  <c r="D281" i="42" s="1"/>
  <c r="C282" i="42"/>
  <c r="D282" i="42" s="1"/>
  <c r="C283" i="42"/>
  <c r="D283" i="42" s="1"/>
  <c r="C284" i="42"/>
  <c r="D284" i="42" s="1"/>
  <c r="C285" i="42"/>
  <c r="D285" i="42" s="1"/>
  <c r="C286" i="42"/>
  <c r="D286" i="42" s="1"/>
  <c r="C287" i="42"/>
  <c r="D287" i="42" s="1"/>
  <c r="C288" i="42"/>
  <c r="D288" i="42" s="1"/>
  <c r="C289" i="42"/>
  <c r="D289" i="42" s="1"/>
  <c r="C290" i="42"/>
  <c r="D290" i="42" s="1"/>
  <c r="C291" i="42"/>
  <c r="D291" i="42" s="1"/>
  <c r="C292" i="42"/>
  <c r="D292" i="42" s="1"/>
  <c r="C293" i="42"/>
  <c r="D293" i="42" s="1"/>
  <c r="C294" i="42"/>
  <c r="D294" i="42" s="1"/>
  <c r="C295" i="42"/>
  <c r="D295" i="42" s="1"/>
  <c r="C296" i="42"/>
  <c r="D296" i="42" s="1"/>
  <c r="C297" i="42"/>
  <c r="D297" i="42" s="1"/>
  <c r="C298" i="42"/>
  <c r="D298" i="42" s="1"/>
  <c r="C299" i="42"/>
  <c r="D299" i="42" s="1"/>
  <c r="C300" i="42"/>
  <c r="D300" i="42" s="1"/>
  <c r="C301" i="42"/>
  <c r="D301" i="42" s="1"/>
  <c r="C302" i="42"/>
  <c r="D302" i="42" s="1"/>
  <c r="C303" i="42"/>
  <c r="D303" i="42" s="1"/>
  <c r="C304" i="42"/>
  <c r="D304" i="42" s="1"/>
  <c r="C305" i="42"/>
  <c r="D305" i="42" s="1"/>
  <c r="C306" i="42"/>
  <c r="D306" i="42" s="1"/>
  <c r="C307" i="42"/>
  <c r="D307" i="42" s="1"/>
  <c r="C308" i="42"/>
  <c r="D308" i="42" s="1"/>
  <c r="C309" i="42"/>
  <c r="D309" i="42" s="1"/>
  <c r="C310" i="42"/>
  <c r="D310" i="42" s="1"/>
  <c r="C311" i="42"/>
  <c r="D311" i="42" s="1"/>
  <c r="C312" i="42"/>
  <c r="D312" i="42" s="1"/>
  <c r="C313" i="42"/>
  <c r="D313" i="42" s="1"/>
  <c r="C314" i="42"/>
  <c r="D314" i="42" s="1"/>
  <c r="C315" i="42"/>
  <c r="D315" i="42" s="1"/>
  <c r="C316" i="42"/>
  <c r="D316" i="42" s="1"/>
  <c r="C317" i="42"/>
  <c r="D317" i="42" s="1"/>
  <c r="C318" i="42"/>
  <c r="D318" i="42" s="1"/>
  <c r="C319" i="42"/>
  <c r="D319" i="42" s="1"/>
  <c r="C320" i="42"/>
  <c r="D320" i="42" s="1"/>
  <c r="C321" i="42"/>
  <c r="D321" i="42" s="1"/>
  <c r="C322" i="42"/>
  <c r="D322" i="42" s="1"/>
  <c r="C323" i="42"/>
  <c r="D323" i="42" s="1"/>
  <c r="C324" i="42"/>
  <c r="D324" i="42" s="1"/>
  <c r="C325" i="42"/>
  <c r="D325" i="42" s="1"/>
  <c r="C326" i="42"/>
  <c r="D326" i="42" s="1"/>
  <c r="C327" i="42"/>
  <c r="D327" i="42" s="1"/>
  <c r="C328" i="42"/>
  <c r="D328" i="42" s="1"/>
  <c r="C329" i="42"/>
  <c r="D329" i="42" s="1"/>
  <c r="C330" i="42"/>
  <c r="D330" i="42" s="1"/>
  <c r="C331" i="42"/>
  <c r="D331" i="42" s="1"/>
  <c r="C332" i="42"/>
  <c r="D332" i="42" s="1"/>
  <c r="C333" i="42"/>
  <c r="D333" i="42" s="1"/>
  <c r="C334" i="42"/>
  <c r="D334" i="42" s="1"/>
  <c r="C335" i="42"/>
  <c r="D335" i="42" s="1"/>
  <c r="C336" i="42"/>
  <c r="D336" i="42" s="1"/>
  <c r="C337" i="42"/>
  <c r="D337" i="42" s="1"/>
  <c r="C338" i="42"/>
  <c r="D338" i="42" s="1"/>
  <c r="C339" i="42"/>
  <c r="D339" i="42" s="1"/>
  <c r="C340" i="42"/>
  <c r="D340" i="42" s="1"/>
  <c r="C341" i="42"/>
  <c r="D341" i="42" s="1"/>
  <c r="C342" i="42"/>
  <c r="D342" i="42" s="1"/>
  <c r="C343" i="42"/>
  <c r="D343" i="42" s="1"/>
  <c r="C344" i="42"/>
  <c r="D344" i="42" s="1"/>
  <c r="C345" i="42"/>
  <c r="D345" i="42" s="1"/>
  <c r="C346" i="42"/>
  <c r="D346" i="42" s="1"/>
  <c r="C347" i="42"/>
  <c r="D347" i="42" s="1"/>
  <c r="C348" i="42"/>
  <c r="D348" i="42" s="1"/>
  <c r="C349" i="42"/>
  <c r="D349" i="42" s="1"/>
  <c r="C350" i="42"/>
  <c r="D350" i="42" s="1"/>
  <c r="C351" i="42"/>
  <c r="D351" i="42" s="1"/>
  <c r="C352" i="42"/>
  <c r="D352" i="42" s="1"/>
  <c r="C353" i="42"/>
  <c r="D353" i="42" s="1"/>
  <c r="C354" i="42"/>
  <c r="D354" i="42" s="1"/>
  <c r="C355" i="42"/>
  <c r="D355" i="42" s="1"/>
  <c r="C356" i="42"/>
  <c r="D356" i="42" s="1"/>
  <c r="C357" i="42"/>
  <c r="D357" i="42" s="1"/>
  <c r="C358" i="42"/>
  <c r="D358" i="42" s="1"/>
  <c r="C359" i="42"/>
  <c r="D359" i="42" s="1"/>
  <c r="C360" i="42"/>
  <c r="D360" i="42" s="1"/>
  <c r="C5" i="42"/>
  <c r="D5" i="42" s="1"/>
  <c r="Y78" i="42"/>
  <c r="X44" i="42"/>
  <c r="G70" i="42"/>
  <c r="F43" i="42"/>
  <c r="Q26" i="41" l="1"/>
  <c r="R26" i="41"/>
  <c r="Q27" i="41"/>
  <c r="R27" i="41"/>
  <c r="Q28" i="41"/>
  <c r="R28" i="41"/>
  <c r="Q29" i="41"/>
  <c r="R29" i="41"/>
  <c r="Q30" i="41"/>
  <c r="R30" i="41"/>
  <c r="Q31" i="41"/>
  <c r="R31" i="41"/>
  <c r="Q32" i="41"/>
  <c r="R32" i="41"/>
  <c r="Q33" i="41"/>
  <c r="R33" i="41"/>
  <c r="R25" i="41"/>
  <c r="Q25" i="41"/>
  <c r="K34" i="41" l="1"/>
  <c r="AG5" i="42" l="1"/>
  <c r="AI6" i="42"/>
  <c r="AI7" i="42"/>
  <c r="AI8" i="42"/>
  <c r="AI9" i="42"/>
  <c r="AI10" i="42"/>
  <c r="AI11" i="42"/>
  <c r="AI12" i="42"/>
  <c r="AI13" i="42"/>
  <c r="AI14" i="42"/>
  <c r="AI15" i="42"/>
  <c r="AI16" i="42"/>
  <c r="AI17" i="42"/>
  <c r="AI18" i="42"/>
  <c r="AI19" i="42"/>
  <c r="AI20" i="42"/>
  <c r="AI21" i="42"/>
  <c r="AI22" i="42"/>
  <c r="AI23" i="42"/>
  <c r="AI24" i="42"/>
  <c r="AI25" i="42"/>
  <c r="AI26" i="42"/>
  <c r="AI27" i="42"/>
  <c r="AI28" i="42"/>
  <c r="AI29" i="42"/>
  <c r="AI30" i="42"/>
  <c r="AI31" i="42"/>
  <c r="AI32" i="42"/>
  <c r="AI33" i="42"/>
  <c r="AI34" i="42"/>
  <c r="AI35" i="42"/>
  <c r="AI36" i="42"/>
  <c r="AI37" i="42"/>
  <c r="AI38" i="42"/>
  <c r="AI39" i="42"/>
  <c r="AI40" i="42"/>
  <c r="AI41" i="42"/>
  <c r="AI42" i="42"/>
  <c r="AI43" i="42"/>
  <c r="AI44" i="42"/>
  <c r="AI45" i="42"/>
  <c r="AI46" i="42"/>
  <c r="AI47" i="42"/>
  <c r="AI48" i="42"/>
  <c r="AI49" i="42"/>
  <c r="AI50" i="42"/>
  <c r="AI51" i="42"/>
  <c r="AI52" i="42"/>
  <c r="AI53" i="42"/>
  <c r="AI54" i="42"/>
  <c r="AI55" i="42"/>
  <c r="AI56" i="42"/>
  <c r="AI57" i="42"/>
  <c r="AI58" i="42"/>
  <c r="AI59" i="42"/>
  <c r="AI60" i="42"/>
  <c r="AI61" i="42"/>
  <c r="AI62" i="42"/>
  <c r="AI63" i="42"/>
  <c r="AI64" i="42"/>
  <c r="AI65" i="42"/>
  <c r="AI69" i="42"/>
  <c r="AI70" i="42"/>
  <c r="AI71" i="42"/>
  <c r="AI72" i="42"/>
  <c r="AI73" i="42"/>
  <c r="AI74" i="42"/>
  <c r="AI75" i="42"/>
  <c r="AI76" i="42"/>
  <c r="AI77" i="42"/>
  <c r="AI78" i="42"/>
  <c r="AI79" i="42"/>
  <c r="AI80" i="42"/>
  <c r="AI81" i="42"/>
  <c r="AI82" i="42"/>
  <c r="AI83" i="42"/>
  <c r="AI84" i="42"/>
  <c r="AI85" i="42"/>
  <c r="AI86" i="42"/>
  <c r="AI88" i="42"/>
  <c r="AI89" i="42"/>
  <c r="AI90" i="42"/>
  <c r="AI91" i="42"/>
  <c r="AI92" i="42"/>
  <c r="AI93" i="42"/>
  <c r="AI94" i="42"/>
  <c r="AI95" i="42"/>
  <c r="AI96" i="42"/>
  <c r="AI97" i="42"/>
  <c r="AI98" i="42"/>
  <c r="AI99" i="42"/>
  <c r="AI100" i="42"/>
  <c r="AI101" i="42"/>
  <c r="AI102" i="42"/>
  <c r="AI103" i="42"/>
  <c r="AI104" i="42"/>
  <c r="AI105" i="42"/>
  <c r="AI106" i="42"/>
  <c r="AI107" i="42"/>
  <c r="AI108" i="42"/>
  <c r="AI109" i="42"/>
  <c r="AI110" i="42"/>
  <c r="AI111" i="42"/>
  <c r="AI112" i="42"/>
  <c r="AI113" i="42"/>
  <c r="AI114" i="42"/>
  <c r="AI115" i="42"/>
  <c r="AI116" i="42"/>
  <c r="AI117" i="42"/>
  <c r="AI118" i="42"/>
  <c r="AI119" i="42"/>
  <c r="AI120" i="42"/>
  <c r="AI121" i="42"/>
  <c r="AI122" i="42"/>
  <c r="AI123" i="42"/>
  <c r="AI124" i="42"/>
  <c r="AI125" i="42"/>
  <c r="AI126" i="42"/>
  <c r="AI127" i="42"/>
  <c r="AI128" i="42"/>
  <c r="AI129" i="42"/>
  <c r="AI130" i="42"/>
  <c r="AI131" i="42"/>
  <c r="AI132" i="42"/>
  <c r="AI133" i="42"/>
  <c r="AI134" i="42"/>
  <c r="AI135" i="42"/>
  <c r="AI136" i="42"/>
  <c r="AI137" i="42"/>
  <c r="AI138" i="42"/>
  <c r="AI139" i="42"/>
  <c r="AI140" i="42"/>
  <c r="AI141" i="42"/>
  <c r="AI142" i="42"/>
  <c r="AI143" i="42"/>
  <c r="AI144" i="42"/>
  <c r="AI145" i="42"/>
  <c r="AI146" i="42"/>
  <c r="AI147" i="42"/>
  <c r="AI148" i="42"/>
  <c r="AI149" i="42"/>
  <c r="AI150" i="42"/>
  <c r="AI151" i="42"/>
  <c r="AI152" i="42"/>
  <c r="AI153" i="42"/>
  <c r="AI154" i="42"/>
  <c r="AI155" i="42"/>
  <c r="AI156" i="42"/>
  <c r="AI157" i="42"/>
  <c r="AI158" i="42"/>
  <c r="AI159" i="42"/>
  <c r="AI160" i="42"/>
  <c r="AI161" i="42"/>
  <c r="AI162" i="42"/>
  <c r="AI163" i="42"/>
  <c r="AI164" i="42"/>
  <c r="AI165" i="42"/>
  <c r="AI166" i="42"/>
  <c r="AI167" i="42"/>
  <c r="AI168" i="42"/>
  <c r="AI169" i="42"/>
  <c r="AI170" i="42"/>
  <c r="AI171" i="42"/>
  <c r="AI172" i="42"/>
  <c r="AI173" i="42"/>
  <c r="AI174" i="42"/>
  <c r="AI175" i="42"/>
  <c r="AI176" i="42"/>
  <c r="AI177" i="42"/>
  <c r="AI178" i="42"/>
  <c r="AI179" i="42"/>
  <c r="AI180" i="42"/>
  <c r="AI181" i="42"/>
  <c r="AI182" i="42"/>
  <c r="AI183" i="42"/>
  <c r="AI184" i="42"/>
  <c r="AI185" i="42"/>
  <c r="AI186" i="42"/>
  <c r="AI187" i="42"/>
  <c r="AI188" i="42"/>
  <c r="AI189" i="42"/>
  <c r="AI190" i="42"/>
  <c r="AI191" i="42"/>
  <c r="AI192" i="42"/>
  <c r="AI193" i="42"/>
  <c r="AI194" i="42"/>
  <c r="AI195" i="42"/>
  <c r="AI196" i="42"/>
  <c r="AI197" i="42"/>
  <c r="AI198" i="42"/>
  <c r="AI199" i="42"/>
  <c r="AI200" i="42"/>
  <c r="AI201" i="42"/>
  <c r="AI202" i="42"/>
  <c r="AI203" i="42"/>
  <c r="AI204" i="42"/>
  <c r="AI205" i="42"/>
  <c r="AI206" i="42"/>
  <c r="AI207" i="42"/>
  <c r="AI208" i="42"/>
  <c r="AI209" i="42"/>
  <c r="AI210" i="42"/>
  <c r="AI211" i="42"/>
  <c r="AI212" i="42"/>
  <c r="AI213" i="42"/>
  <c r="AI214" i="42"/>
  <c r="AI215" i="42"/>
  <c r="AI216" i="42"/>
  <c r="AI217" i="42"/>
  <c r="AI218" i="42"/>
  <c r="AI219" i="42"/>
  <c r="AI220" i="42"/>
  <c r="AI221" i="42"/>
  <c r="AI222" i="42"/>
  <c r="AI223" i="42"/>
  <c r="AI225" i="42"/>
  <c r="AI226" i="42"/>
  <c r="AI227" i="42"/>
  <c r="AI228" i="42"/>
  <c r="AI229" i="42"/>
  <c r="AI230" i="42"/>
  <c r="AI231" i="42"/>
  <c r="AI232" i="42"/>
  <c r="AI233" i="42"/>
  <c r="AI234" i="42"/>
  <c r="AI235" i="42"/>
  <c r="AI236" i="42"/>
  <c r="AI237" i="42"/>
  <c r="AI238" i="42"/>
  <c r="AI239" i="42"/>
  <c r="AI240" i="42"/>
  <c r="AI241" i="42"/>
  <c r="AI242" i="42"/>
  <c r="AI243" i="42"/>
  <c r="AI244" i="42"/>
  <c r="AI245" i="42"/>
  <c r="AI246" i="42"/>
  <c r="AI247" i="42"/>
  <c r="AI248" i="42"/>
  <c r="AI249" i="42"/>
  <c r="AI250" i="42"/>
  <c r="AI251" i="42"/>
  <c r="AI252" i="42"/>
  <c r="AI253" i="42"/>
  <c r="AI254" i="42"/>
  <c r="AI255" i="42"/>
  <c r="AI256" i="42"/>
  <c r="AI257" i="42"/>
  <c r="AI258" i="42"/>
  <c r="AI259" i="42"/>
  <c r="AI260" i="42"/>
  <c r="AI261" i="42"/>
  <c r="AI262" i="42"/>
  <c r="AI263" i="42"/>
  <c r="AI264" i="42"/>
  <c r="AI265" i="42"/>
  <c r="AI266" i="42"/>
  <c r="AI268" i="42"/>
  <c r="AI269" i="42"/>
  <c r="AI270" i="42"/>
  <c r="AI271" i="42"/>
  <c r="AI272" i="42"/>
  <c r="AI273" i="42"/>
  <c r="AI274" i="42"/>
  <c r="AI275" i="42"/>
  <c r="AI276" i="42"/>
  <c r="AI277" i="42"/>
  <c r="AI278" i="42"/>
  <c r="AI279" i="42"/>
  <c r="AI280" i="42"/>
  <c r="AI281" i="42"/>
  <c r="AI282" i="42"/>
  <c r="AI283" i="42"/>
  <c r="AI284" i="42"/>
  <c r="AI285" i="42"/>
  <c r="AI286" i="42"/>
  <c r="AI287" i="42"/>
  <c r="AI288" i="42"/>
  <c r="AI289" i="42"/>
  <c r="AI290" i="42"/>
  <c r="AI291" i="42"/>
  <c r="AI292" i="42"/>
  <c r="AI293" i="42"/>
  <c r="AI294" i="42"/>
  <c r="AI295" i="42"/>
  <c r="AI296" i="42"/>
  <c r="AI297" i="42"/>
  <c r="AI298" i="42"/>
  <c r="AI299" i="42"/>
  <c r="AI300" i="42"/>
  <c r="AI301" i="42"/>
  <c r="AI302" i="42"/>
  <c r="AI303" i="42"/>
  <c r="AI304" i="42"/>
  <c r="AI305" i="42"/>
  <c r="AI306" i="42"/>
  <c r="AI307" i="42"/>
  <c r="AI308" i="42"/>
  <c r="AI309" i="42"/>
  <c r="AI310" i="42"/>
  <c r="AI311" i="42"/>
  <c r="AI312" i="42"/>
  <c r="AI313" i="42"/>
  <c r="AI314" i="42"/>
  <c r="AI315" i="42"/>
  <c r="AI316" i="42"/>
  <c r="AI317" i="42"/>
  <c r="AI318" i="42"/>
  <c r="AI319" i="42"/>
  <c r="AI320" i="42"/>
  <c r="AI321" i="42"/>
  <c r="AI322" i="42"/>
  <c r="AI323" i="42"/>
  <c r="AI324" i="42"/>
  <c r="AI325" i="42"/>
  <c r="AI326" i="42"/>
  <c r="AI327" i="42"/>
  <c r="AI328" i="42"/>
  <c r="AI329" i="42"/>
  <c r="AI330" i="42"/>
  <c r="AI331" i="42"/>
  <c r="AI332" i="42"/>
  <c r="AI333" i="42"/>
  <c r="AI334" i="42"/>
  <c r="AI335" i="42"/>
  <c r="AI336" i="42"/>
  <c r="AI337" i="42"/>
  <c r="AI338" i="42"/>
  <c r="AI339" i="42"/>
  <c r="AI340" i="42"/>
  <c r="AI341" i="42"/>
  <c r="AI342" i="42"/>
  <c r="AI343" i="42"/>
  <c r="AI344" i="42"/>
  <c r="AI345" i="42"/>
  <c r="AI346" i="42"/>
  <c r="AI347" i="42"/>
  <c r="AI348" i="42"/>
  <c r="AI349" i="42"/>
  <c r="AI350" i="42"/>
  <c r="AI351" i="42"/>
  <c r="AI352" i="42"/>
  <c r="AI353" i="42"/>
  <c r="AI354" i="42"/>
  <c r="AI355" i="42"/>
  <c r="AI356" i="42"/>
  <c r="AI357" i="42"/>
  <c r="AI358" i="42"/>
  <c r="AI359" i="42"/>
  <c r="AI360" i="42"/>
  <c r="AI5" i="42"/>
  <c r="AG6" i="42"/>
  <c r="AG7" i="42"/>
  <c r="AG8" i="42"/>
  <c r="AG9" i="42"/>
  <c r="AG10" i="42"/>
  <c r="AG11" i="42"/>
  <c r="AG12" i="42"/>
  <c r="AG13" i="42"/>
  <c r="AG14" i="42"/>
  <c r="AG15" i="42"/>
  <c r="AG16" i="42"/>
  <c r="AG17" i="42"/>
  <c r="AG18" i="42"/>
  <c r="AG19" i="42"/>
  <c r="AG20" i="42"/>
  <c r="AG21" i="42"/>
  <c r="AG22" i="42"/>
  <c r="AG23" i="42"/>
  <c r="AG24" i="42"/>
  <c r="AG25" i="42"/>
  <c r="AG26" i="42"/>
  <c r="AG27" i="42"/>
  <c r="AG28" i="42"/>
  <c r="AG29" i="42"/>
  <c r="AG30" i="42"/>
  <c r="AG31" i="42"/>
  <c r="AG32" i="42"/>
  <c r="AG33" i="42"/>
  <c r="AG34" i="42"/>
  <c r="AG35" i="42"/>
  <c r="AG36" i="42"/>
  <c r="AG37" i="42"/>
  <c r="AG38" i="42"/>
  <c r="AG39" i="42"/>
  <c r="AG40" i="42"/>
  <c r="AG41" i="42"/>
  <c r="AG42" i="42"/>
  <c r="AG43" i="42"/>
  <c r="AG44" i="42"/>
  <c r="AG45" i="42"/>
  <c r="AG46" i="42"/>
  <c r="AG47" i="42"/>
  <c r="AG48" i="42"/>
  <c r="AG49" i="42"/>
  <c r="AG50" i="42"/>
  <c r="AG51" i="42"/>
  <c r="AG52" i="42"/>
  <c r="AG53" i="42"/>
  <c r="AG54" i="42"/>
  <c r="AG55" i="42"/>
  <c r="AG56" i="42"/>
  <c r="AG57" i="42"/>
  <c r="AG58" i="42"/>
  <c r="AG59" i="42"/>
  <c r="AG60" i="42"/>
  <c r="AG61" i="42"/>
  <c r="AG62" i="42"/>
  <c r="AG63" i="42"/>
  <c r="AG64" i="42"/>
  <c r="AG65" i="42"/>
  <c r="AG69" i="42"/>
  <c r="AG70" i="42"/>
  <c r="AG71" i="42"/>
  <c r="AG72" i="42"/>
  <c r="AG73" i="42"/>
  <c r="AG74" i="42"/>
  <c r="AG75" i="42"/>
  <c r="AG76" i="42"/>
  <c r="AG77" i="42"/>
  <c r="AG78" i="42"/>
  <c r="AG79" i="42"/>
  <c r="AG80" i="42"/>
  <c r="AG81" i="42"/>
  <c r="AG82" i="42"/>
  <c r="AG83" i="42"/>
  <c r="AG84" i="42"/>
  <c r="AG85" i="42"/>
  <c r="AG86" i="42"/>
  <c r="AG88" i="42"/>
  <c r="AG89" i="42"/>
  <c r="AG90" i="42"/>
  <c r="AG91" i="42"/>
  <c r="AG92" i="42"/>
  <c r="AG93" i="42"/>
  <c r="AG94" i="42"/>
  <c r="AG95" i="42"/>
  <c r="AG96" i="42"/>
  <c r="AG97" i="42"/>
  <c r="AG98" i="42"/>
  <c r="AG99" i="42"/>
  <c r="AG100" i="42"/>
  <c r="AG101" i="42"/>
  <c r="AG102" i="42"/>
  <c r="AG103" i="42"/>
  <c r="AG104" i="42"/>
  <c r="AG105" i="42"/>
  <c r="AG106" i="42"/>
  <c r="AG107" i="42"/>
  <c r="AG108" i="42"/>
  <c r="AG109" i="42"/>
  <c r="AG110" i="42"/>
  <c r="AG111" i="42"/>
  <c r="AG112" i="42"/>
  <c r="AG113" i="42"/>
  <c r="AG114" i="42"/>
  <c r="AG115" i="42"/>
  <c r="AG116" i="42"/>
  <c r="AG117" i="42"/>
  <c r="AG118" i="42"/>
  <c r="AG119" i="42"/>
  <c r="AG120" i="42"/>
  <c r="AG121" i="42"/>
  <c r="AG122" i="42"/>
  <c r="AG123" i="42"/>
  <c r="AG124" i="42"/>
  <c r="AG125" i="42"/>
  <c r="AG126" i="42"/>
  <c r="AG127" i="42"/>
  <c r="AG128" i="42"/>
  <c r="AG129" i="42"/>
  <c r="AG130" i="42"/>
  <c r="AG131" i="42"/>
  <c r="AG132" i="42"/>
  <c r="AG133" i="42"/>
  <c r="AG134" i="42"/>
  <c r="AG135" i="42"/>
  <c r="AG136" i="42"/>
  <c r="AG137" i="42"/>
  <c r="AG138" i="42"/>
  <c r="AG139" i="42"/>
  <c r="AG140" i="42"/>
  <c r="AG141" i="42"/>
  <c r="AG142" i="42"/>
  <c r="AG143" i="42"/>
  <c r="AG144" i="42"/>
  <c r="AG145" i="42"/>
  <c r="AG146" i="42"/>
  <c r="AG147" i="42"/>
  <c r="AG148" i="42"/>
  <c r="AG149" i="42"/>
  <c r="AG150" i="42"/>
  <c r="AG151" i="42"/>
  <c r="AG152" i="42"/>
  <c r="AG153" i="42"/>
  <c r="AG154" i="42"/>
  <c r="AG155" i="42"/>
  <c r="AG156" i="42"/>
  <c r="AG157" i="42"/>
  <c r="AG158" i="42"/>
  <c r="AG159" i="42"/>
  <c r="AG160" i="42"/>
  <c r="AG161" i="42"/>
  <c r="AG162" i="42"/>
  <c r="AG163" i="42"/>
  <c r="AG164" i="42"/>
  <c r="AG165" i="42"/>
  <c r="AG166" i="42"/>
  <c r="AG167" i="42"/>
  <c r="AG168" i="42"/>
  <c r="AG169" i="42"/>
  <c r="AG170" i="42"/>
  <c r="AG171" i="42"/>
  <c r="AG172" i="42"/>
  <c r="AG173" i="42"/>
  <c r="AG174" i="42"/>
  <c r="AG175" i="42"/>
  <c r="AG176" i="42"/>
  <c r="AG177" i="42"/>
  <c r="AG178" i="42"/>
  <c r="AG179" i="42"/>
  <c r="AG180" i="42"/>
  <c r="AG181" i="42"/>
  <c r="AG182" i="42"/>
  <c r="AG183" i="42"/>
  <c r="AG184" i="42"/>
  <c r="AG185" i="42"/>
  <c r="AG186" i="42"/>
  <c r="AG187" i="42"/>
  <c r="AG188" i="42"/>
  <c r="AG189" i="42"/>
  <c r="AG190" i="42"/>
  <c r="AG191" i="42"/>
  <c r="AG192" i="42"/>
  <c r="AG193" i="42"/>
  <c r="AG194" i="42"/>
  <c r="AG195" i="42"/>
  <c r="AG196" i="42"/>
  <c r="AG197" i="42"/>
  <c r="AG198" i="42"/>
  <c r="AG199" i="42"/>
  <c r="AG200" i="42"/>
  <c r="AG201" i="42"/>
  <c r="AG202" i="42"/>
  <c r="AG203" i="42"/>
  <c r="AG204" i="42"/>
  <c r="AG205" i="42"/>
  <c r="AG206" i="42"/>
  <c r="AG207" i="42"/>
  <c r="AG208" i="42"/>
  <c r="AG209" i="42"/>
  <c r="AG210" i="42"/>
  <c r="AG211" i="42"/>
  <c r="AG212" i="42"/>
  <c r="AG213" i="42"/>
  <c r="AG214" i="42"/>
  <c r="AG215" i="42"/>
  <c r="AG216" i="42"/>
  <c r="AG217" i="42"/>
  <c r="AG218" i="42"/>
  <c r="AG219" i="42"/>
  <c r="AG220" i="42"/>
  <c r="AG221" i="42"/>
  <c r="AG222" i="42"/>
  <c r="AG223" i="42"/>
  <c r="AG225" i="42"/>
  <c r="AG226" i="42"/>
  <c r="AG227" i="42"/>
  <c r="AG228" i="42"/>
  <c r="AG229" i="42"/>
  <c r="AG230" i="42"/>
  <c r="AG231" i="42"/>
  <c r="AG232" i="42"/>
  <c r="AG233" i="42"/>
  <c r="AG234" i="42"/>
  <c r="AG235" i="42"/>
  <c r="AG236" i="42"/>
  <c r="AG237" i="42"/>
  <c r="AG238" i="42"/>
  <c r="AG239" i="42"/>
  <c r="AG240" i="42"/>
  <c r="AG241" i="42"/>
  <c r="AG242" i="42"/>
  <c r="AG243" i="42"/>
  <c r="AG244" i="42"/>
  <c r="AG245" i="42"/>
  <c r="AG246" i="42"/>
  <c r="AG247" i="42"/>
  <c r="AG248" i="42"/>
  <c r="AG249" i="42"/>
  <c r="AG250" i="42"/>
  <c r="AG251" i="42"/>
  <c r="AG252" i="42"/>
  <c r="AG253" i="42"/>
  <c r="AG254" i="42"/>
  <c r="AG255" i="42"/>
  <c r="AG256" i="42"/>
  <c r="AG257" i="42"/>
  <c r="AG258" i="42"/>
  <c r="AG259" i="42"/>
  <c r="AG260" i="42"/>
  <c r="AG261" i="42"/>
  <c r="AG262" i="42"/>
  <c r="AG263" i="42"/>
  <c r="AG264" i="42"/>
  <c r="AG265" i="42"/>
  <c r="AG266" i="42"/>
  <c r="AG268" i="42"/>
  <c r="AG269" i="42"/>
  <c r="AG270" i="42"/>
  <c r="AG271" i="42"/>
  <c r="AG272" i="42"/>
  <c r="AG273" i="42"/>
  <c r="AG274" i="42"/>
  <c r="AG275" i="42"/>
  <c r="AG276" i="42"/>
  <c r="AG277" i="42"/>
  <c r="AG278" i="42"/>
  <c r="AG279" i="42"/>
  <c r="AG280" i="42"/>
  <c r="AG281" i="42"/>
  <c r="AG282" i="42"/>
  <c r="AG283" i="42"/>
  <c r="AG284" i="42"/>
  <c r="AG285" i="42"/>
  <c r="AG286" i="42"/>
  <c r="AG287" i="42"/>
  <c r="AG288" i="42"/>
  <c r="AG289" i="42"/>
  <c r="AG290" i="42"/>
  <c r="AG291" i="42"/>
  <c r="AG292" i="42"/>
  <c r="AG293" i="42"/>
  <c r="AG294" i="42"/>
  <c r="AG295" i="42"/>
  <c r="AG296" i="42"/>
  <c r="AG297" i="42"/>
  <c r="AG298" i="42"/>
  <c r="AG299" i="42"/>
  <c r="AG300" i="42"/>
  <c r="AG301" i="42"/>
  <c r="AG302" i="42"/>
  <c r="AG303" i="42"/>
  <c r="AG304" i="42"/>
  <c r="AG305" i="42"/>
  <c r="AG306" i="42"/>
  <c r="AG307" i="42"/>
  <c r="AG308" i="42"/>
  <c r="AG309" i="42"/>
  <c r="AG310" i="42"/>
  <c r="AG311" i="42"/>
  <c r="AG312" i="42"/>
  <c r="AG313" i="42"/>
  <c r="AG314" i="42"/>
  <c r="AG315" i="42"/>
  <c r="AG316" i="42"/>
  <c r="AG317" i="42"/>
  <c r="AG318" i="42"/>
  <c r="AG319" i="42"/>
  <c r="AG320" i="42"/>
  <c r="AG321" i="42"/>
  <c r="AG322" i="42"/>
  <c r="AG323" i="42"/>
  <c r="AG324" i="42"/>
  <c r="AG325" i="42"/>
  <c r="AG326" i="42"/>
  <c r="AG327" i="42"/>
  <c r="AG328" i="42"/>
  <c r="AG329" i="42"/>
  <c r="AG330" i="42"/>
  <c r="AG331" i="42"/>
  <c r="AG332" i="42"/>
  <c r="AG333" i="42"/>
  <c r="AG334" i="42"/>
  <c r="AG335" i="42"/>
  <c r="AG336" i="42"/>
  <c r="AG337" i="42"/>
  <c r="AG338" i="42"/>
  <c r="AG339" i="42"/>
  <c r="AG340" i="42"/>
  <c r="AG341" i="42"/>
  <c r="AG342" i="42"/>
  <c r="AG343" i="42"/>
  <c r="AG344" i="42"/>
  <c r="AG345" i="42"/>
  <c r="AG346" i="42"/>
  <c r="AG347" i="42"/>
  <c r="AG348" i="42"/>
  <c r="AG349" i="42"/>
  <c r="AG350" i="42"/>
  <c r="AG351" i="42"/>
  <c r="AG352" i="42"/>
  <c r="AG353" i="42"/>
  <c r="AG354" i="42"/>
  <c r="AG355" i="42"/>
  <c r="AG356" i="42"/>
  <c r="AG357" i="42"/>
  <c r="AG358" i="42"/>
  <c r="AG359" i="42"/>
  <c r="AG360" i="42"/>
  <c r="C34" i="41" l="1"/>
  <c r="Q34" i="41" s="1"/>
  <c r="E34" i="41"/>
  <c r="R34" i="41" s="1"/>
  <c r="E22" i="41" l="1"/>
  <c r="C22" i="41"/>
  <c r="D4" i="42" l="1"/>
  <c r="C4" i="42"/>
  <c r="AE3" i="42" l="1"/>
  <c r="AD3" i="42"/>
  <c r="AC3" i="42"/>
  <c r="AB3" i="42"/>
  <c r="AA3" i="42"/>
  <c r="Z3" i="42"/>
  <c r="Y3" i="42"/>
  <c r="X3" i="42"/>
  <c r="W3" i="42"/>
  <c r="W1048575" i="42" s="1"/>
  <c r="M3" i="42"/>
  <c r="L3" i="42"/>
  <c r="K3" i="42"/>
  <c r="J3" i="42"/>
  <c r="I3" i="42"/>
  <c r="H3" i="42"/>
  <c r="G3" i="42"/>
  <c r="F3" i="42"/>
  <c r="E3" i="42"/>
  <c r="B2" i="41" l="1"/>
</calcChain>
</file>

<file path=xl/sharedStrings.xml><?xml version="1.0" encoding="utf-8"?>
<sst xmlns="http://schemas.openxmlformats.org/spreadsheetml/2006/main" count="449" uniqueCount="404">
  <si>
    <t>Type</t>
    <phoneticPr fontId="18"/>
  </si>
  <si>
    <t>Unit Construction Cost [kYen/kW]</t>
    <phoneticPr fontId="18"/>
  </si>
  <si>
    <t>Life Time [year]</t>
    <phoneticPr fontId="18"/>
  </si>
  <si>
    <t>Annual O&amp;M Cost Rate</t>
    <phoneticPr fontId="18"/>
  </si>
  <si>
    <t>PV</t>
    <phoneticPr fontId="18"/>
  </si>
  <si>
    <t>Output Suppression [Y=1, N=0]</t>
    <phoneticPr fontId="18"/>
  </si>
  <si>
    <t>FIT Price [Yen/kWh]</t>
    <phoneticPr fontId="18"/>
  </si>
  <si>
    <t>Hokkaido</t>
    <phoneticPr fontId="18"/>
  </si>
  <si>
    <t>Tohoku</t>
    <phoneticPr fontId="18"/>
  </si>
  <si>
    <t>Kanto</t>
    <phoneticPr fontId="18"/>
  </si>
  <si>
    <t>Chubu</t>
    <phoneticPr fontId="18"/>
  </si>
  <si>
    <t>Hokuriku</t>
    <phoneticPr fontId="18"/>
  </si>
  <si>
    <t>Kansai</t>
    <phoneticPr fontId="18"/>
  </si>
  <si>
    <t>Shikoku</t>
    <phoneticPr fontId="18"/>
  </si>
  <si>
    <t>Chugoku</t>
    <phoneticPr fontId="18"/>
  </si>
  <si>
    <t>Kyushu</t>
    <phoneticPr fontId="18"/>
  </si>
  <si>
    <t>Kyusyu</t>
    <phoneticPr fontId="18"/>
  </si>
  <si>
    <t>KVmax [GW]</t>
    <phoneticPr fontId="18"/>
  </si>
  <si>
    <t>KVmin [GW]</t>
    <phoneticPr fontId="18"/>
  </si>
  <si>
    <t>LFC Reserve Rate</t>
    <phoneticPr fontId="18"/>
  </si>
  <si>
    <t>2030想定</t>
    <rPh sb="4" eb="6">
      <t>ソウテイ</t>
    </rPh>
    <phoneticPr fontId="18"/>
  </si>
  <si>
    <t>nab</t>
  </si>
  <si>
    <t>nno</t>
  </si>
  <si>
    <t>nfb</t>
  </si>
  <si>
    <t>msb</t>
  </si>
  <si>
    <t>neh</t>
  </si>
  <si>
    <t>sno</t>
  </si>
  <si>
    <t>nsp</t>
  </si>
  <si>
    <t>ftb</t>
  </si>
  <si>
    <t>nmr</t>
  </si>
  <si>
    <t>mrn</t>
  </si>
  <si>
    <t>mkj</t>
  </si>
  <si>
    <t>not</t>
  </si>
  <si>
    <t>tmk</t>
  </si>
  <si>
    <t>tib</t>
  </si>
  <si>
    <t>eni</t>
  </si>
  <si>
    <t>msp</t>
  </si>
  <si>
    <t>keb</t>
  </si>
  <si>
    <t>hkt</t>
  </si>
  <si>
    <t>oon</t>
  </si>
  <si>
    <t>nne</t>
  </si>
  <si>
    <t>ary</t>
  </si>
  <si>
    <t>akw</t>
  </si>
  <si>
    <t>nny</t>
  </si>
  <si>
    <t>nas</t>
  </si>
  <si>
    <t>ntw</t>
  </si>
  <si>
    <t>kar</t>
  </si>
  <si>
    <t>isz</t>
  </si>
  <si>
    <t>kmm</t>
  </si>
  <si>
    <t>nos</t>
  </si>
  <si>
    <t>umb</t>
  </si>
  <si>
    <t>hkr</t>
  </si>
  <si>
    <t>nhb</t>
  </si>
  <si>
    <t>hkd</t>
  </si>
  <si>
    <t>uwk</t>
  </si>
  <si>
    <t>iwt</t>
  </si>
  <si>
    <t>myg</t>
  </si>
  <si>
    <t>nsd</t>
  </si>
  <si>
    <t>sma</t>
  </si>
  <si>
    <t>aom</t>
  </si>
  <si>
    <t>nsr</t>
  </si>
  <si>
    <t>akt</t>
  </si>
  <si>
    <t>szk</t>
  </si>
  <si>
    <t>ugo</t>
  </si>
  <si>
    <t>mzs</t>
  </si>
  <si>
    <t>snj</t>
  </si>
  <si>
    <t>nya</t>
  </si>
  <si>
    <t>ism</t>
  </si>
  <si>
    <t>sdi</t>
  </si>
  <si>
    <t>hsd</t>
  </si>
  <si>
    <t>ecg</t>
  </si>
  <si>
    <t>yzw</t>
  </si>
  <si>
    <t>fks</t>
  </si>
  <si>
    <t>kni</t>
  </si>
  <si>
    <t>ngt</t>
  </si>
  <si>
    <t>tye</t>
  </si>
  <si>
    <t>hnn</t>
  </si>
  <si>
    <t>skg</t>
  </si>
  <si>
    <t>iwk</t>
  </si>
  <si>
    <t>sfu</t>
  </si>
  <si>
    <t>sng</t>
  </si>
  <si>
    <t>hje</t>
  </si>
  <si>
    <t>miw</t>
  </si>
  <si>
    <t>ibt</t>
  </si>
  <si>
    <t>siw</t>
  </si>
  <si>
    <t>hgm</t>
  </si>
  <si>
    <t>sii</t>
  </si>
  <si>
    <t>smg</t>
  </si>
  <si>
    <t>stb</t>
  </si>
  <si>
    <t>stg</t>
  </si>
  <si>
    <t>nka</t>
  </si>
  <si>
    <t>sko</t>
  </si>
  <si>
    <t>sar</t>
  </si>
  <si>
    <t>ksz</t>
  </si>
  <si>
    <t>bsu</t>
  </si>
  <si>
    <t>sky</t>
  </si>
  <si>
    <t>ssh</t>
  </si>
  <si>
    <t>ksm</t>
  </si>
  <si>
    <t>snd</t>
  </si>
  <si>
    <t>ktk</t>
  </si>
  <si>
    <t>kta</t>
  </si>
  <si>
    <t>ssd</t>
  </si>
  <si>
    <t>ngm</t>
  </si>
  <si>
    <t>sob</t>
  </si>
  <si>
    <t>tmo</t>
  </si>
  <si>
    <t>stt</t>
  </si>
  <si>
    <t>kkm</t>
  </si>
  <si>
    <t>ssm</t>
  </si>
  <si>
    <t>kfj</t>
  </si>
  <si>
    <t>shn</t>
  </si>
  <si>
    <t>stk</t>
  </si>
  <si>
    <t>htn</t>
  </si>
  <si>
    <t>ksg</t>
  </si>
  <si>
    <t>stm</t>
  </si>
  <si>
    <t>han</t>
  </si>
  <si>
    <t>oum</t>
  </si>
  <si>
    <t>ntk</t>
  </si>
  <si>
    <t>kbo</t>
  </si>
  <si>
    <t>ktm</t>
  </si>
  <si>
    <t>hsh</t>
  </si>
  <si>
    <t>shi</t>
  </si>
  <si>
    <t>jyo</t>
  </si>
  <si>
    <t>tam</t>
  </si>
  <si>
    <t>keh</t>
  </si>
  <si>
    <t>nyo</t>
  </si>
  <si>
    <t>kws</t>
  </si>
  <si>
    <t>ikg</t>
  </si>
  <si>
    <t>nto</t>
  </si>
  <si>
    <t>mhy</t>
  </si>
  <si>
    <t>niz</t>
  </si>
  <si>
    <t>ner</t>
  </si>
  <si>
    <t>tos</t>
  </si>
  <si>
    <t>sui</t>
  </si>
  <si>
    <t>kwg</t>
  </si>
  <si>
    <t>kmo</t>
  </si>
  <si>
    <t>kyn</t>
  </si>
  <si>
    <t>neg</t>
  </si>
  <si>
    <t>khi</t>
  </si>
  <si>
    <t>hgu</t>
  </si>
  <si>
    <t>tkw</t>
  </si>
  <si>
    <t>uen</t>
  </si>
  <si>
    <t>edb</t>
  </si>
  <si>
    <t>sts</t>
  </si>
  <si>
    <t>kot</t>
  </si>
  <si>
    <t>ktn</t>
  </si>
  <si>
    <t>sgy</t>
  </si>
  <si>
    <t>eda</t>
  </si>
  <si>
    <t>tky</t>
  </si>
  <si>
    <t>stz</t>
  </si>
  <si>
    <t>kbk</t>
  </si>
  <si>
    <t>ktu</t>
  </si>
  <si>
    <t>ssi</t>
  </si>
  <si>
    <t>mie</t>
  </si>
  <si>
    <t>gif</t>
  </si>
  <si>
    <t>nsb</t>
  </si>
  <si>
    <t>ktb</t>
  </si>
  <si>
    <t>aic</t>
  </si>
  <si>
    <t>tub</t>
  </si>
  <si>
    <t>fkm</t>
  </si>
  <si>
    <t>tyn</t>
  </si>
  <si>
    <t>hse</t>
  </si>
  <si>
    <t>ssg</t>
  </si>
  <si>
    <t>nns</t>
  </si>
  <si>
    <t>snn</t>
  </si>
  <si>
    <t>sne</t>
  </si>
  <si>
    <t>szo</t>
  </si>
  <si>
    <t>szu</t>
  </si>
  <si>
    <t>ise</t>
  </si>
  <si>
    <t>mis</t>
  </si>
  <si>
    <t>nak</t>
  </si>
  <si>
    <t>mta</t>
  </si>
  <si>
    <t>nng</t>
  </si>
  <si>
    <t>kam</t>
  </si>
  <si>
    <t>now</t>
  </si>
  <si>
    <t>kge</t>
  </si>
  <si>
    <t>kib</t>
  </si>
  <si>
    <t>gyu</t>
  </si>
  <si>
    <t>mjy</t>
  </si>
  <si>
    <t>mge</t>
  </si>
  <si>
    <t>nsn</t>
  </si>
  <si>
    <t>nkn</t>
  </si>
  <si>
    <t>iym</t>
  </si>
  <si>
    <t>ums</t>
  </si>
  <si>
    <t>uma</t>
  </si>
  <si>
    <t>tke</t>
  </si>
  <si>
    <t>nks</t>
  </si>
  <si>
    <t>tsn</t>
  </si>
  <si>
    <t>sks</t>
  </si>
  <si>
    <t>sku</t>
  </si>
  <si>
    <t>den</t>
  </si>
  <si>
    <t>set</t>
  </si>
  <si>
    <t>tyt</t>
  </si>
  <si>
    <t>tur</t>
  </si>
  <si>
    <t>hng</t>
  </si>
  <si>
    <t>tta</t>
  </si>
  <si>
    <t>ume</t>
  </si>
  <si>
    <t>kym</t>
  </si>
  <si>
    <t>mhm</t>
  </si>
  <si>
    <t>shr</t>
  </si>
  <si>
    <t>tka</t>
  </si>
  <si>
    <t>tin</t>
  </si>
  <si>
    <t>skf</t>
  </si>
  <si>
    <t>kwn</t>
  </si>
  <si>
    <t>hna</t>
  </si>
  <si>
    <t>mkw</t>
  </si>
  <si>
    <t>htd</t>
  </si>
  <si>
    <t>kou</t>
  </si>
  <si>
    <t>kna</t>
  </si>
  <si>
    <t>kns</t>
  </si>
  <si>
    <t>thr</t>
  </si>
  <si>
    <t>toe</t>
  </si>
  <si>
    <t>hmo</t>
  </si>
  <si>
    <t>ssk</t>
  </si>
  <si>
    <t>srg</t>
  </si>
  <si>
    <t>his</t>
  </si>
  <si>
    <t>szh</t>
  </si>
  <si>
    <t>szn</t>
  </si>
  <si>
    <t>hid</t>
  </si>
  <si>
    <t>ech</t>
  </si>
  <si>
    <t>kga</t>
  </si>
  <si>
    <t>nnt</t>
  </si>
  <si>
    <t>mfm</t>
  </si>
  <si>
    <t>hkn</t>
  </si>
  <si>
    <t>sfk</t>
  </si>
  <si>
    <t>jbt</t>
  </si>
  <si>
    <t>sto</t>
  </si>
  <si>
    <t>nnj</t>
  </si>
  <si>
    <t>hks</t>
  </si>
  <si>
    <t>nba</t>
  </si>
  <si>
    <t>ing</t>
  </si>
  <si>
    <t>kki</t>
  </si>
  <si>
    <t>nkt</t>
  </si>
  <si>
    <t>nse</t>
  </si>
  <si>
    <t>ikm</t>
  </si>
  <si>
    <t>hom</t>
  </si>
  <si>
    <t>mky</t>
  </si>
  <si>
    <t>yzk</t>
  </si>
  <si>
    <t>okc</t>
  </si>
  <si>
    <t>ayb</t>
  </si>
  <si>
    <t>ryn</t>
  </si>
  <si>
    <t>ymt</t>
  </si>
  <si>
    <t>kkt</t>
  </si>
  <si>
    <t>kya</t>
  </si>
  <si>
    <t>sgi</t>
  </si>
  <si>
    <t>hmj</t>
  </si>
  <si>
    <t>kbe</t>
  </si>
  <si>
    <t>ksi</t>
  </si>
  <si>
    <t>nkb</t>
  </si>
  <si>
    <t>kkg</t>
  </si>
  <si>
    <t>itn</t>
  </si>
  <si>
    <t>kub</t>
  </si>
  <si>
    <t>tkr</t>
  </si>
  <si>
    <t>noa</t>
  </si>
  <si>
    <t>kos</t>
  </si>
  <si>
    <t>ost</t>
  </si>
  <si>
    <t>ydg</t>
  </si>
  <si>
    <t>kse</t>
  </si>
  <si>
    <t>kon</t>
  </si>
  <si>
    <t>khg</t>
  </si>
  <si>
    <t>kog</t>
  </si>
  <si>
    <t>mai</t>
  </si>
  <si>
    <t>mkt</t>
  </si>
  <si>
    <t>nyg</t>
  </si>
  <si>
    <t>hos</t>
  </si>
  <si>
    <t>mku</t>
  </si>
  <si>
    <t>knn</t>
  </si>
  <si>
    <t>kng</t>
  </si>
  <si>
    <t>moo</t>
  </si>
  <si>
    <t>kto</t>
  </si>
  <si>
    <t>ktg</t>
  </si>
  <si>
    <t>kzn</t>
  </si>
  <si>
    <t>kty</t>
  </si>
  <si>
    <t>knk</t>
  </si>
  <si>
    <t>osb</t>
  </si>
  <si>
    <t>tuy</t>
  </si>
  <si>
    <t>kwu</t>
  </si>
  <si>
    <t>san</t>
  </si>
  <si>
    <t>awa</t>
  </si>
  <si>
    <t>ana</t>
  </si>
  <si>
    <t>hir</t>
  </si>
  <si>
    <t>osu</t>
  </si>
  <si>
    <t>mty</t>
  </si>
  <si>
    <t>kmt</t>
  </si>
  <si>
    <t>njo</t>
  </si>
  <si>
    <t>hkw</t>
  </si>
  <si>
    <t>kuc</t>
  </si>
  <si>
    <t>ska</t>
  </si>
  <si>
    <t>ikw</t>
  </si>
  <si>
    <t>msm</t>
  </si>
  <si>
    <t>kgw</t>
  </si>
  <si>
    <t>asa</t>
  </si>
  <si>
    <t>tak</t>
  </si>
  <si>
    <t>nrt</t>
  </si>
  <si>
    <t>ook</t>
  </si>
  <si>
    <t>kun</t>
  </si>
  <si>
    <t>sym</t>
  </si>
  <si>
    <t>ssn</t>
  </si>
  <si>
    <t>hno</t>
  </si>
  <si>
    <t>cht</t>
  </si>
  <si>
    <t>hmg</t>
  </si>
  <si>
    <t>shs</t>
  </si>
  <si>
    <t>shm</t>
  </si>
  <si>
    <t>sok</t>
  </si>
  <si>
    <t>hok</t>
  </si>
  <si>
    <t>kme</t>
  </si>
  <si>
    <t>ymg</t>
  </si>
  <si>
    <t>mya</t>
  </si>
  <si>
    <t>sty</t>
  </si>
  <si>
    <t>hto</t>
  </si>
  <si>
    <t>tkg</t>
  </si>
  <si>
    <t>hrs</t>
  </si>
  <si>
    <t>krs</t>
  </si>
  <si>
    <t>onm</t>
  </si>
  <si>
    <t>ihr</t>
  </si>
  <si>
    <t>kso</t>
  </si>
  <si>
    <t>kus</t>
  </si>
  <si>
    <t>okm</t>
  </si>
  <si>
    <t>mte</t>
  </si>
  <si>
    <t>ttr</t>
  </si>
  <si>
    <t>ygc</t>
  </si>
  <si>
    <t>hsm</t>
  </si>
  <si>
    <t>sin</t>
  </si>
  <si>
    <t>hhi</t>
  </si>
  <si>
    <t>oky</t>
  </si>
  <si>
    <t>sfr</t>
  </si>
  <si>
    <t>kky</t>
  </si>
  <si>
    <t>tme</t>
  </si>
  <si>
    <t>cho</t>
  </si>
  <si>
    <t>hky</t>
  </si>
  <si>
    <t>ksy</t>
  </si>
  <si>
    <t>kum</t>
  </si>
  <si>
    <t>ksu</t>
  </si>
  <si>
    <t>mks</t>
  </si>
  <si>
    <t>myz</t>
  </si>
  <si>
    <t>nsy</t>
  </si>
  <si>
    <t>tkd</t>
  </si>
  <si>
    <t>uty</t>
  </si>
  <si>
    <t>mje</t>
  </si>
  <si>
    <t>knd</t>
  </si>
  <si>
    <t>tsu</t>
  </si>
  <si>
    <t>noi</t>
  </si>
  <si>
    <t>ooi</t>
  </si>
  <si>
    <t>hoi</t>
  </si>
  <si>
    <t>snk</t>
  </si>
  <si>
    <t>fko</t>
  </si>
  <si>
    <t>tkh</t>
  </si>
  <si>
    <t>sys</t>
  </si>
  <si>
    <t>kts</t>
  </si>
  <si>
    <t>tko</t>
  </si>
  <si>
    <t>ssb</t>
  </si>
  <si>
    <t>ngs</t>
  </si>
  <si>
    <t>iba</t>
  </si>
  <si>
    <t>ksk</t>
  </si>
  <si>
    <t>tsr</t>
  </si>
  <si>
    <t>sni</t>
  </si>
  <si>
    <t>mkm</t>
  </si>
  <si>
    <t>hta</t>
  </si>
  <si>
    <t>hty</t>
  </si>
  <si>
    <t>ysr</t>
  </si>
  <si>
    <t>kgs</t>
  </si>
  <si>
    <t>tkn</t>
  </si>
  <si>
    <t>ksh</t>
  </si>
  <si>
    <t>tsi</t>
  </si>
  <si>
    <t>oos</t>
  </si>
  <si>
    <t>ksa</t>
  </si>
  <si>
    <t>nfu</t>
  </si>
  <si>
    <t>mmi</t>
  </si>
  <si>
    <t>krm</t>
  </si>
  <si>
    <t>mfk</t>
  </si>
  <si>
    <t>sag</t>
  </si>
  <si>
    <t>hay</t>
  </si>
  <si>
    <t>ito</t>
  </si>
  <si>
    <t>ymi</t>
  </si>
  <si>
    <t>fkn</t>
    <phoneticPr fontId="18"/>
  </si>
  <si>
    <t>kzk</t>
    <phoneticPr fontId="18"/>
  </si>
  <si>
    <t>ika</t>
    <phoneticPr fontId="18"/>
  </si>
  <si>
    <t>mdk</t>
    <phoneticPr fontId="18"/>
  </si>
  <si>
    <t>PV</t>
    <phoneticPr fontId="18"/>
  </si>
  <si>
    <t>2050年再エネ拡大シナリオ</t>
    <rPh sb="4" eb="5">
      <t>ネン</t>
    </rPh>
    <rPh sb="5" eb="6">
      <t>サイ</t>
    </rPh>
    <rPh sb="8" eb="10">
      <t>カクダイ</t>
    </rPh>
    <phoneticPr fontId="18"/>
  </si>
  <si>
    <t>Onshore Wind</t>
    <phoneticPr fontId="18"/>
  </si>
  <si>
    <t>Offshore Wind</t>
    <phoneticPr fontId="18"/>
  </si>
  <si>
    <t>Onshore Wind</t>
    <phoneticPr fontId="18"/>
  </si>
  <si>
    <t>Offshore</t>
    <phoneticPr fontId="18"/>
  </si>
  <si>
    <t>Type of generation (for LFC)</t>
    <phoneticPr fontId="18"/>
  </si>
  <si>
    <t>Type of generation</t>
    <phoneticPr fontId="18"/>
  </si>
  <si>
    <t>OCCTOによる"マスタープラン1次案とりまとめの方向性について" 2050シナリオ各地域ごとの設備量想定</t>
    <rPh sb="17" eb="18">
      <t>ジ</t>
    </rPh>
    <rPh sb="18" eb="19">
      <t>アン</t>
    </rPh>
    <rPh sb="25" eb="28">
      <t>ホウコウセイ</t>
    </rPh>
    <rPh sb="42" eb="45">
      <t>カクチイキ</t>
    </rPh>
    <rPh sb="48" eb="50">
      <t>セツビ</t>
    </rPh>
    <rPh sb="50" eb="51">
      <t>リョウ</t>
    </rPh>
    <rPh sb="51" eb="53">
      <t>ソウテイ</t>
    </rPh>
    <phoneticPr fontId="18"/>
  </si>
  <si>
    <r>
      <t>PV</t>
    </r>
    <r>
      <rPr>
        <sz val="11"/>
        <color theme="1"/>
        <rFont val="ＭＳ Ｐゴシック"/>
        <family val="2"/>
        <charset val="128"/>
      </rPr>
      <t>設備容量上限</t>
    </r>
    <rPh sb="2" eb="4">
      <t>セツビ</t>
    </rPh>
    <rPh sb="4" eb="6">
      <t>ヨウリョウ</t>
    </rPh>
    <rPh sb="6" eb="8">
      <t>ジョウゲン</t>
    </rPh>
    <phoneticPr fontId="18"/>
  </si>
  <si>
    <t>令和元年度再生可能エネルギーに関するゾーニング基礎情報等の整備・公開等に関する委託業務報告書</t>
    <rPh sb="0" eb="2">
      <t>レイワ</t>
    </rPh>
    <rPh sb="2" eb="4">
      <t>ガンネン</t>
    </rPh>
    <rPh sb="4" eb="5">
      <t>ド</t>
    </rPh>
    <rPh sb="5" eb="7">
      <t>サイセイ</t>
    </rPh>
    <rPh sb="7" eb="9">
      <t>カノウ</t>
    </rPh>
    <rPh sb="15" eb="16">
      <t>カン</t>
    </rPh>
    <rPh sb="23" eb="25">
      <t>キソ</t>
    </rPh>
    <rPh sb="25" eb="27">
      <t>ジョウホウ</t>
    </rPh>
    <rPh sb="27" eb="28">
      <t>トウ</t>
    </rPh>
    <rPh sb="29" eb="31">
      <t>セイビ</t>
    </rPh>
    <rPh sb="32" eb="34">
      <t>コウカイ</t>
    </rPh>
    <rPh sb="34" eb="35">
      <t>トウ</t>
    </rPh>
    <rPh sb="36" eb="37">
      <t>カン</t>
    </rPh>
    <rPh sb="39" eb="41">
      <t>イタク</t>
    </rPh>
    <rPh sb="41" eb="43">
      <t>ギョウム</t>
    </rPh>
    <rPh sb="43" eb="46">
      <t>ホウコクショ</t>
    </rPh>
    <phoneticPr fontId="18"/>
  </si>
  <si>
    <t>PV</t>
    <phoneticPr fontId="18"/>
  </si>
  <si>
    <t>Hokkaido</t>
  </si>
  <si>
    <t>Tohoku</t>
  </si>
  <si>
    <t>Kanto</t>
  </si>
  <si>
    <t>Chubu</t>
  </si>
  <si>
    <t>Hokuriku</t>
  </si>
  <si>
    <t>Kansai</t>
  </si>
  <si>
    <t>Shikoku</t>
  </si>
  <si>
    <t>Chugoku</t>
  </si>
  <si>
    <t>Kyushu</t>
  </si>
  <si>
    <r>
      <rPr>
        <sz val="11"/>
        <color theme="1"/>
        <rFont val="ＭＳ Ｐゴシック"/>
        <family val="2"/>
        <charset val="128"/>
      </rPr>
      <t>住宅用</t>
    </r>
    <rPh sb="0" eb="3">
      <t>ジュウタクヨウ</t>
    </rPh>
    <phoneticPr fontId="18"/>
  </si>
  <si>
    <r>
      <rPr>
        <sz val="11"/>
        <color theme="1"/>
        <rFont val="ＭＳ Ｐゴシック"/>
        <family val="2"/>
        <charset val="128"/>
      </rPr>
      <t>公共系</t>
    </r>
    <rPh sb="0" eb="3">
      <t>コウキョウケイ</t>
    </rPh>
    <phoneticPr fontId="18"/>
  </si>
  <si>
    <t>陸上風力</t>
    <rPh sb="0" eb="2">
      <t>リクジョウ</t>
    </rPh>
    <rPh sb="2" eb="4">
      <t>フウリョク</t>
    </rPh>
    <phoneticPr fontId="18"/>
  </si>
  <si>
    <t>洋上風力(着床式)</t>
    <rPh sb="0" eb="2">
      <t>ヨウジョウ</t>
    </rPh>
    <rPh sb="2" eb="4">
      <t>フウリョク</t>
    </rPh>
    <rPh sb="5" eb="7">
      <t>チャクショウ</t>
    </rPh>
    <rPh sb="7" eb="8">
      <t>シキ</t>
    </rPh>
    <phoneticPr fontId="18"/>
  </si>
  <si>
    <t>洋上風力(浮体式)</t>
    <rPh sb="0" eb="2">
      <t>ヨウジョウ</t>
    </rPh>
    <rPh sb="2" eb="4">
      <t>フウリョク</t>
    </rPh>
    <rPh sb="5" eb="7">
      <t>フタイ</t>
    </rPh>
    <rPh sb="7" eb="8">
      <t>シキ</t>
    </rPh>
    <phoneticPr fontId="18"/>
  </si>
  <si>
    <t>レベル3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</si>
</sst>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#,##0.0000"/>
    <numFmt numFmtId="177" formatCode="#,##0.000000000000000000_ "/>
    <numFmt numFmtId="178" formatCode="#,##0.00_ "/>
  </numFmts>
  <fonts count="27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indexed="8"/>
      <name val="ＭＳ Ｐゴシック"/>
      <family val="3"/>
      <charset val="128"/>
    </font>
    <font>
      <sz val="11"/>
      <color theme="1"/>
      <name val="Times New Roman"/>
      <family val="1"/>
    </font>
    <font>
      <sz val="11"/>
      <name val="ＭＳ Ｐゴシック"/>
      <family val="3"/>
      <charset val="128"/>
    </font>
    <font>
      <sz val="11"/>
      <name val="Times New Roman"/>
      <family val="1"/>
    </font>
    <font>
      <sz val="11"/>
      <color theme="1"/>
      <name val="ＭＳ Ｐゴシック"/>
      <family val="2"/>
      <charset val="128"/>
    </font>
    <font>
      <u/>
      <sz val="11"/>
      <color theme="10"/>
      <name val="ＭＳ Ｐゴシック"/>
      <family val="2"/>
      <charset val="128"/>
      <scheme val="minor"/>
    </font>
    <font>
      <sz val="11"/>
      <color theme="10"/>
      <name val="ＭＳ Ｐゴシック"/>
      <family val="3"/>
      <charset val="128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5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8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22" fillId="0" borderId="0"/>
    <xf numFmtId="0" fontId="22" fillId="0" borderId="0">
      <alignment vertical="center"/>
    </xf>
    <xf numFmtId="0" fontId="22" fillId="0" borderId="0">
      <alignment vertical="center"/>
    </xf>
    <xf numFmtId="38" fontId="2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21" fillId="0" borderId="10" xfId="0" applyFont="1" applyFill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3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21" fillId="0" borderId="17" xfId="0" applyFont="1" applyBorder="1" applyAlignment="1">
      <alignment horizontal="center" vertical="center"/>
    </xf>
    <xf numFmtId="0" fontId="21" fillId="0" borderId="18" xfId="0" applyFont="1" applyBorder="1" applyAlignment="1">
      <alignment horizontal="center" vertical="center"/>
    </xf>
    <xf numFmtId="0" fontId="21" fillId="0" borderId="19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0" fontId="21" fillId="0" borderId="11" xfId="0" applyFont="1" applyBorder="1">
      <alignment vertical="center"/>
    </xf>
    <xf numFmtId="0" fontId="21" fillId="0" borderId="20" xfId="0" applyFont="1" applyBorder="1">
      <alignment vertical="center"/>
    </xf>
    <xf numFmtId="0" fontId="21" fillId="0" borderId="22" xfId="0" applyFont="1" applyBorder="1">
      <alignment vertical="center"/>
    </xf>
    <xf numFmtId="0" fontId="21" fillId="0" borderId="15" xfId="0" applyFont="1" applyBorder="1">
      <alignment vertical="center"/>
    </xf>
    <xf numFmtId="0" fontId="21" fillId="33" borderId="24" xfId="0" applyFont="1" applyFill="1" applyBorder="1">
      <alignment vertical="center"/>
    </xf>
    <xf numFmtId="0" fontId="21" fillId="33" borderId="25" xfId="0" applyFont="1" applyFill="1" applyBorder="1" applyAlignment="1">
      <alignment horizontal="center" vertical="center"/>
    </xf>
    <xf numFmtId="0" fontId="21" fillId="0" borderId="24" xfId="0" applyFont="1" applyBorder="1">
      <alignment vertical="center"/>
    </xf>
    <xf numFmtId="0" fontId="21" fillId="0" borderId="26" xfId="0" applyFont="1" applyBorder="1">
      <alignment vertical="center"/>
    </xf>
    <xf numFmtId="0" fontId="21" fillId="0" borderId="25" xfId="0" applyFont="1" applyBorder="1">
      <alignment vertical="center"/>
    </xf>
    <xf numFmtId="0" fontId="21" fillId="0" borderId="27" xfId="0" applyFont="1" applyBorder="1">
      <alignment vertical="center"/>
    </xf>
    <xf numFmtId="0" fontId="21" fillId="0" borderId="29" xfId="0" applyFont="1" applyFill="1" applyBorder="1">
      <alignment vertical="center"/>
    </xf>
    <xf numFmtId="0" fontId="21" fillId="0" borderId="28" xfId="0" applyFont="1" applyFill="1" applyBorder="1">
      <alignment vertical="center"/>
    </xf>
    <xf numFmtId="0" fontId="21" fillId="0" borderId="12" xfId="0" applyFont="1" applyBorder="1">
      <alignment vertical="center"/>
    </xf>
    <xf numFmtId="0" fontId="21" fillId="0" borderId="10" xfId="0" applyFont="1" applyFill="1" applyBorder="1">
      <alignment vertical="center"/>
    </xf>
    <xf numFmtId="0" fontId="21" fillId="0" borderId="12" xfId="0" applyFont="1" applyFill="1" applyBorder="1">
      <alignment vertical="center"/>
    </xf>
    <xf numFmtId="0" fontId="21" fillId="34" borderId="10" xfId="0" applyFont="1" applyFill="1" applyBorder="1">
      <alignment vertical="center"/>
    </xf>
    <xf numFmtId="0" fontId="21" fillId="0" borderId="22" xfId="0" applyFont="1" applyFill="1" applyBorder="1">
      <alignment vertical="center"/>
    </xf>
    <xf numFmtId="0" fontId="21" fillId="0" borderId="10" xfId="0" applyFont="1" applyBorder="1">
      <alignment vertical="center"/>
    </xf>
    <xf numFmtId="0" fontId="21" fillId="0" borderId="23" xfId="0" applyFont="1" applyBorder="1">
      <alignment vertical="center"/>
    </xf>
    <xf numFmtId="0" fontId="21" fillId="0" borderId="14" xfId="0" applyFont="1" applyBorder="1">
      <alignment vertical="center"/>
    </xf>
    <xf numFmtId="0" fontId="21" fillId="0" borderId="16" xfId="0" applyFont="1" applyBorder="1">
      <alignment vertical="center"/>
    </xf>
    <xf numFmtId="0" fontId="21" fillId="0" borderId="30" xfId="0" applyFont="1" applyBorder="1">
      <alignment vertical="center"/>
    </xf>
    <xf numFmtId="0" fontId="23" fillId="0" borderId="10" xfId="0" applyFont="1" applyFill="1" applyBorder="1" applyAlignment="1">
      <alignment horizontal="center" vertical="center"/>
    </xf>
    <xf numFmtId="0" fontId="21" fillId="0" borderId="27" xfId="0" applyFont="1" applyFill="1" applyBorder="1" applyAlignment="1">
      <alignment horizontal="center" vertical="center"/>
    </xf>
    <xf numFmtId="0" fontId="21" fillId="0" borderId="11" xfId="0" applyFont="1" applyFill="1" applyBorder="1">
      <alignment vertical="center"/>
    </xf>
    <xf numFmtId="0" fontId="21" fillId="0" borderId="20" xfId="0" applyFont="1" applyFill="1" applyBorder="1">
      <alignment vertical="center"/>
    </xf>
    <xf numFmtId="3" fontId="0" fillId="0" borderId="0" xfId="0" applyNumberFormat="1">
      <alignment vertical="center"/>
    </xf>
    <xf numFmtId="0" fontId="21" fillId="0" borderId="31" xfId="0" applyFont="1" applyFill="1" applyBorder="1" applyAlignment="1">
      <alignment horizontal="center" vertical="center"/>
    </xf>
    <xf numFmtId="0" fontId="21" fillId="0" borderId="32" xfId="0" applyFont="1" applyFill="1" applyBorder="1" applyAlignment="1">
      <alignment horizontal="center" vertical="center"/>
    </xf>
    <xf numFmtId="0" fontId="21" fillId="0" borderId="33" xfId="0" applyFont="1" applyBorder="1" applyAlignment="1">
      <alignment horizontal="center" vertical="center"/>
    </xf>
    <xf numFmtId="0" fontId="21" fillId="0" borderId="34" xfId="0" applyFont="1" applyBorder="1" applyAlignment="1">
      <alignment horizontal="center" vertical="center"/>
    </xf>
    <xf numFmtId="0" fontId="21" fillId="0" borderId="35" xfId="0" applyFont="1" applyFill="1" applyBorder="1" applyAlignment="1">
      <alignment horizontal="center" vertical="center"/>
    </xf>
    <xf numFmtId="0" fontId="21" fillId="0" borderId="36" xfId="0" applyFont="1" applyFill="1" applyBorder="1" applyAlignment="1">
      <alignment horizontal="center" vertical="center"/>
    </xf>
    <xf numFmtId="0" fontId="21" fillId="0" borderId="28" xfId="0" applyFont="1" applyFill="1" applyBorder="1" applyAlignment="1">
      <alignment horizontal="center" vertical="center"/>
    </xf>
    <xf numFmtId="0" fontId="0" fillId="35" borderId="0" xfId="0" applyFill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21" fillId="0" borderId="10" xfId="0" applyFont="1" applyFill="1" applyBorder="1" applyAlignment="1">
      <alignment horizontal="right" vertical="center"/>
    </xf>
    <xf numFmtId="0" fontId="21" fillId="0" borderId="37" xfId="0" applyFont="1" applyFill="1" applyBorder="1">
      <alignment vertical="center"/>
    </xf>
    <xf numFmtId="0" fontId="21" fillId="0" borderId="0" xfId="0" applyFont="1">
      <alignment vertical="center"/>
    </xf>
    <xf numFmtId="0" fontId="21" fillId="0" borderId="0" xfId="0" applyFont="1" applyBorder="1">
      <alignment vertical="center"/>
    </xf>
    <xf numFmtId="0" fontId="21" fillId="0" borderId="17" xfId="0" applyFont="1" applyFill="1" applyBorder="1" applyAlignment="1">
      <alignment horizontal="center" vertical="center"/>
    </xf>
    <xf numFmtId="0" fontId="21" fillId="0" borderId="38" xfId="0" applyFont="1" applyFill="1" applyBorder="1" applyAlignment="1">
      <alignment horizontal="center" vertical="center"/>
    </xf>
    <xf numFmtId="0" fontId="21" fillId="0" borderId="39" xfId="0" applyFont="1" applyBorder="1" applyAlignment="1">
      <alignment horizontal="center" vertical="center"/>
    </xf>
    <xf numFmtId="0" fontId="21" fillId="0" borderId="40" xfId="0" applyFont="1" applyFill="1" applyBorder="1" applyAlignment="1">
      <alignment horizontal="center" vertical="center"/>
    </xf>
    <xf numFmtId="0" fontId="21" fillId="0" borderId="41" xfId="0" applyFont="1" applyFill="1" applyBorder="1" applyAlignment="1">
      <alignment horizontal="center" vertical="center"/>
    </xf>
    <xf numFmtId="0" fontId="21" fillId="0" borderId="41" xfId="0" applyFont="1" applyBorder="1" applyAlignment="1">
      <alignment horizontal="center" vertical="center"/>
    </xf>
    <xf numFmtId="0" fontId="21" fillId="0" borderId="42" xfId="0" applyFont="1" applyFill="1" applyBorder="1" applyAlignment="1">
      <alignment horizontal="center" vertical="center"/>
    </xf>
    <xf numFmtId="178" fontId="0" fillId="0" borderId="0" xfId="0" applyNumberFormat="1">
      <alignment vertical="center"/>
    </xf>
    <xf numFmtId="0" fontId="21" fillId="0" borderId="30" xfId="0" applyFont="1" applyFill="1" applyBorder="1">
      <alignment vertical="center"/>
    </xf>
    <xf numFmtId="0" fontId="21" fillId="0" borderId="45" xfId="0" applyFont="1" applyFill="1" applyBorder="1">
      <alignment vertical="center"/>
    </xf>
    <xf numFmtId="0" fontId="21" fillId="0" borderId="45" xfId="0" applyFont="1" applyFill="1" applyBorder="1" applyAlignment="1">
      <alignment horizontal="center" vertical="center"/>
    </xf>
    <xf numFmtId="0" fontId="21" fillId="0" borderId="46" xfId="0" applyFont="1" applyFill="1" applyBorder="1" applyAlignment="1">
      <alignment horizontal="center" vertical="center"/>
    </xf>
    <xf numFmtId="0" fontId="21" fillId="0" borderId="47" xfId="0" applyFont="1" applyFill="1" applyBorder="1" applyAlignment="1">
      <alignment horizontal="center" vertical="center"/>
    </xf>
    <xf numFmtId="0" fontId="21" fillId="0" borderId="48" xfId="0" applyFont="1" applyFill="1" applyBorder="1" applyAlignment="1">
      <alignment horizontal="center" vertical="center"/>
    </xf>
    <xf numFmtId="0" fontId="21" fillId="0" borderId="48" xfId="0" applyFont="1" applyBorder="1">
      <alignment vertical="center"/>
    </xf>
    <xf numFmtId="0" fontId="21" fillId="0" borderId="49" xfId="0" applyFont="1" applyBorder="1">
      <alignment vertical="center"/>
    </xf>
    <xf numFmtId="0" fontId="21" fillId="0" borderId="50" xfId="0" applyFont="1" applyBorder="1">
      <alignment vertical="center"/>
    </xf>
    <xf numFmtId="0" fontId="21" fillId="0" borderId="51" xfId="0" applyFont="1" applyBorder="1">
      <alignment vertical="center"/>
    </xf>
    <xf numFmtId="0" fontId="21" fillId="0" borderId="12" xfId="0" applyFont="1" applyFill="1" applyBorder="1" applyAlignment="1">
      <alignment horizontal="right" vertical="center"/>
    </xf>
    <xf numFmtId="0" fontId="21" fillId="0" borderId="13" xfId="0" applyFont="1" applyFill="1" applyBorder="1" applyAlignment="1">
      <alignment horizontal="right" vertical="center"/>
    </xf>
    <xf numFmtId="0" fontId="21" fillId="0" borderId="52" xfId="0" applyFont="1" applyBorder="1" applyAlignment="1">
      <alignment horizontal="center" vertical="center"/>
    </xf>
    <xf numFmtId="0" fontId="21" fillId="0" borderId="43" xfId="0" applyFont="1" applyFill="1" applyBorder="1" applyAlignment="1">
      <alignment horizontal="center" vertical="center"/>
    </xf>
    <xf numFmtId="0" fontId="21" fillId="0" borderId="14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 vertical="center"/>
    </xf>
    <xf numFmtId="0" fontId="21" fillId="0" borderId="44" xfId="0" applyFont="1" applyFill="1" applyBorder="1" applyAlignment="1">
      <alignment horizontal="center" vertical="center"/>
    </xf>
    <xf numFmtId="0" fontId="23" fillId="36" borderId="10" xfId="0" applyFont="1" applyFill="1" applyBorder="1" applyAlignment="1">
      <alignment horizontal="center" vertical="center"/>
    </xf>
    <xf numFmtId="0" fontId="21" fillId="36" borderId="10" xfId="0" applyFont="1" applyFill="1" applyBorder="1" applyAlignment="1">
      <alignment horizontal="center" vertical="center"/>
    </xf>
    <xf numFmtId="0" fontId="21" fillId="36" borderId="10" xfId="0" applyFont="1" applyFill="1" applyBorder="1">
      <alignment vertical="center"/>
    </xf>
    <xf numFmtId="0" fontId="21" fillId="0" borderId="53" xfId="0" applyFont="1" applyFill="1" applyBorder="1">
      <alignment vertical="center"/>
    </xf>
    <xf numFmtId="0" fontId="26" fillId="0" borderId="0" xfId="47" applyFont="1">
      <alignment vertical="center"/>
    </xf>
    <xf numFmtId="0" fontId="24" fillId="0" borderId="0" xfId="0" applyFont="1" applyFill="1" applyBorder="1" applyAlignment="1">
      <alignment horizontal="center" vertical="center"/>
    </xf>
  </cellXfs>
  <cellStyles count="48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ハイパーリンク" xfId="47" builtinId="8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桁区切り 2" xfId="46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標準 2" xfId="42"/>
    <cellStyle name="標準 2 2" xfId="43"/>
    <cellStyle name="標準 2 3" xfId="45"/>
    <cellStyle name="標準 3" xfId="44"/>
    <cellStyle name="良い" xfId="6" builtinId="26" customBuiltin="1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 baseline="0"/>
              <a:t>Initial installed Capacity [GW]</a:t>
            </a:r>
            <a:endParaRPr lang="ja-JP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Wind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'FR2'!$B$25:$B$33</c:f>
              <c:strCache>
                <c:ptCount val="9"/>
                <c:pt idx="0">
                  <c:v>Hokkaido</c:v>
                </c:pt>
                <c:pt idx="1">
                  <c:v>Tohoku</c:v>
                </c:pt>
                <c:pt idx="2">
                  <c:v>Kanto</c:v>
                </c:pt>
                <c:pt idx="3">
                  <c:v>Chubu</c:v>
                </c:pt>
                <c:pt idx="4">
                  <c:v>Hokuriku</c:v>
                </c:pt>
                <c:pt idx="5">
                  <c:v>Kansai</c:v>
                </c:pt>
                <c:pt idx="6">
                  <c:v>Shikoku</c:v>
                </c:pt>
                <c:pt idx="7">
                  <c:v>Chugoku</c:v>
                </c:pt>
                <c:pt idx="8">
                  <c:v>Kyushu</c:v>
                </c:pt>
              </c:strCache>
            </c:strRef>
          </c:cat>
          <c:val>
            <c:numRef>
              <c:f>'FR2'!$C$25:$C$33</c:f>
              <c:numCache>
                <c:formatCode>General</c:formatCode>
                <c:ptCount val="9"/>
                <c:pt idx="0">
                  <c:v>2.29</c:v>
                </c:pt>
                <c:pt idx="1">
                  <c:v>4.5599999999999996</c:v>
                </c:pt>
                <c:pt idx="2">
                  <c:v>0.41</c:v>
                </c:pt>
                <c:pt idx="3">
                  <c:v>0.4</c:v>
                </c:pt>
                <c:pt idx="4">
                  <c:v>0.18</c:v>
                </c:pt>
                <c:pt idx="5">
                  <c:v>0.31</c:v>
                </c:pt>
                <c:pt idx="6">
                  <c:v>0.41</c:v>
                </c:pt>
                <c:pt idx="7">
                  <c:v>0.56999999999999995</c:v>
                </c:pt>
                <c:pt idx="8">
                  <c:v>0.84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D-4213-A374-AF9D8B3BA8B8}"/>
            </c:ext>
          </c:extLst>
        </c:ser>
        <c:ser>
          <c:idx val="1"/>
          <c:order val="1"/>
          <c:tx>
            <c:v>PV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'FR2'!$B$25:$B$33</c:f>
              <c:strCache>
                <c:ptCount val="9"/>
                <c:pt idx="0">
                  <c:v>Hokkaido</c:v>
                </c:pt>
                <c:pt idx="1">
                  <c:v>Tohoku</c:v>
                </c:pt>
                <c:pt idx="2">
                  <c:v>Kanto</c:v>
                </c:pt>
                <c:pt idx="3">
                  <c:v>Chubu</c:v>
                </c:pt>
                <c:pt idx="4">
                  <c:v>Hokuriku</c:v>
                </c:pt>
                <c:pt idx="5">
                  <c:v>Kansai</c:v>
                </c:pt>
                <c:pt idx="6">
                  <c:v>Shikoku</c:v>
                </c:pt>
                <c:pt idx="7">
                  <c:v>Chugoku</c:v>
                </c:pt>
                <c:pt idx="8">
                  <c:v>Kyushu</c:v>
                </c:pt>
              </c:strCache>
            </c:strRef>
          </c:cat>
          <c:val>
            <c:numRef>
              <c:f>'FR2'!$E$25:$E$33</c:f>
              <c:numCache>
                <c:formatCode>General</c:formatCode>
                <c:ptCount val="9"/>
                <c:pt idx="0">
                  <c:v>1.92</c:v>
                </c:pt>
                <c:pt idx="1">
                  <c:v>10.41</c:v>
                </c:pt>
                <c:pt idx="2">
                  <c:v>16.05</c:v>
                </c:pt>
                <c:pt idx="3">
                  <c:v>8.02</c:v>
                </c:pt>
                <c:pt idx="4">
                  <c:v>0.92</c:v>
                </c:pt>
                <c:pt idx="5">
                  <c:v>5.63</c:v>
                </c:pt>
                <c:pt idx="6">
                  <c:v>2.31</c:v>
                </c:pt>
                <c:pt idx="7">
                  <c:v>5.04</c:v>
                </c:pt>
                <c:pt idx="8">
                  <c:v>13.22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D-4213-A374-AF9D8B3BA8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0603456"/>
        <c:axId val="520617600"/>
      </c:barChart>
      <c:catAx>
        <c:axId val="52060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0617600"/>
        <c:crosses val="autoZero"/>
        <c:auto val="1"/>
        <c:lblAlgn val="ctr"/>
        <c:lblOffset val="100"/>
        <c:noMultiLvlLbl val="0"/>
      </c:catAx>
      <c:valAx>
        <c:axId val="52061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206034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742949</xdr:colOff>
      <xdr:row>35</xdr:row>
      <xdr:rowOff>161924</xdr:rowOff>
    </xdr:from>
    <xdr:to>
      <xdr:col>8</xdr:col>
      <xdr:colOff>590550</xdr:colOff>
      <xdr:row>56</xdr:row>
      <xdr:rowOff>114299</xdr:rowOff>
    </xdr:to>
    <xdr:graphicFrame macro="">
      <xdr:nvGraphicFramePr>
        <xdr:cNvPr id="2" name="グラフ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nputData_SY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YS"/>
      <sheetName val="TRN"/>
    </sheetNames>
    <sheetDataSet>
      <sheetData sheetId="0">
        <row r="5">
          <cell r="F5" t="str">
            <v>nab</v>
          </cell>
          <cell r="G5">
            <v>0</v>
          </cell>
          <cell r="H5" t="str">
            <v>西当別変電所</v>
          </cell>
        </row>
        <row r="6">
          <cell r="F6" t="str">
            <v>nno</v>
          </cell>
          <cell r="G6">
            <v>1</v>
          </cell>
          <cell r="H6" t="str">
            <v>西野変電所</v>
          </cell>
        </row>
        <row r="7">
          <cell r="F7" t="str">
            <v>nfb</v>
          </cell>
          <cell r="G7">
            <v>2</v>
          </cell>
          <cell r="H7" t="str">
            <v>西双葉開閉所</v>
          </cell>
        </row>
        <row r="8">
          <cell r="F8" t="str">
            <v>msb</v>
          </cell>
          <cell r="G8">
            <v>3</v>
          </cell>
          <cell r="H8" t="str">
            <v>南早来変電所</v>
          </cell>
        </row>
        <row r="9">
          <cell r="F9" t="str">
            <v>neh</v>
          </cell>
          <cell r="G9">
            <v>4</v>
          </cell>
          <cell r="H9" t="str">
            <v>苗穂変電所</v>
          </cell>
        </row>
        <row r="10">
          <cell r="F10" t="str">
            <v>sno</v>
          </cell>
          <cell r="G10">
            <v>5</v>
          </cell>
          <cell r="H10" t="str">
            <v>篠路変電所</v>
          </cell>
        </row>
        <row r="11">
          <cell r="F11" t="str">
            <v>nsp</v>
          </cell>
          <cell r="G11">
            <v>6</v>
          </cell>
          <cell r="H11" t="str">
            <v>西札幌変電所</v>
          </cell>
        </row>
        <row r="12">
          <cell r="F12" t="str">
            <v>ftb</v>
          </cell>
          <cell r="G12">
            <v>7</v>
          </cell>
          <cell r="H12" t="str">
            <v>双葉開閉所</v>
          </cell>
        </row>
        <row r="13">
          <cell r="F13" t="str">
            <v>nmr</v>
          </cell>
          <cell r="G13">
            <v>8</v>
          </cell>
          <cell r="H13" t="str">
            <v>西室蘭開閉所</v>
          </cell>
        </row>
        <row r="14">
          <cell r="F14" t="str">
            <v>mrn</v>
          </cell>
          <cell r="G14">
            <v>9</v>
          </cell>
          <cell r="H14" t="str">
            <v>室蘭変電所</v>
          </cell>
        </row>
        <row r="15">
          <cell r="F15" t="str">
            <v>mkj</v>
          </cell>
          <cell r="G15">
            <v>10</v>
          </cell>
          <cell r="H15" t="str">
            <v>南九条変電所</v>
          </cell>
        </row>
        <row r="16">
          <cell r="F16" t="str">
            <v>not</v>
          </cell>
          <cell r="G16">
            <v>11</v>
          </cell>
          <cell r="H16" t="str">
            <v>西小樽変電所</v>
          </cell>
        </row>
        <row r="17">
          <cell r="F17" t="str">
            <v>tmk</v>
          </cell>
          <cell r="G17">
            <v>12</v>
          </cell>
          <cell r="H17" t="str">
            <v>苫小牧変電所</v>
          </cell>
        </row>
        <row r="18">
          <cell r="F18" t="str">
            <v>tib</v>
          </cell>
          <cell r="G18">
            <v>13</v>
          </cell>
          <cell r="H18" t="str">
            <v>追分開閉所</v>
          </cell>
        </row>
        <row r="19">
          <cell r="F19" t="str">
            <v>eni</v>
          </cell>
          <cell r="G19">
            <v>14</v>
          </cell>
          <cell r="H19" t="str">
            <v>恵庭変電所</v>
          </cell>
        </row>
        <row r="20">
          <cell r="F20" t="str">
            <v>msp</v>
          </cell>
          <cell r="G20">
            <v>15</v>
          </cell>
          <cell r="H20" t="str">
            <v>南札幌変電所</v>
          </cell>
        </row>
        <row r="21">
          <cell r="F21" t="str">
            <v>keb</v>
          </cell>
          <cell r="G21">
            <v>16</v>
          </cell>
          <cell r="H21" t="str">
            <v>北江別変電所</v>
          </cell>
        </row>
        <row r="22">
          <cell r="F22" t="str">
            <v>hkt</v>
          </cell>
          <cell r="G22">
            <v>17</v>
          </cell>
          <cell r="H22" t="str">
            <v>北斗変換所</v>
          </cell>
        </row>
        <row r="23">
          <cell r="F23" t="str">
            <v>oon</v>
          </cell>
          <cell r="G23">
            <v>18</v>
          </cell>
          <cell r="H23" t="str">
            <v>大野変電所</v>
          </cell>
        </row>
        <row r="24">
          <cell r="F24" t="str">
            <v>nne</v>
          </cell>
          <cell r="G24">
            <v>19</v>
          </cell>
          <cell r="H24" t="str">
            <v>北七飯変電所</v>
          </cell>
        </row>
        <row r="25">
          <cell r="F25" t="str">
            <v>ary</v>
          </cell>
          <cell r="G25">
            <v>20</v>
          </cell>
          <cell r="H25" t="str">
            <v>旭川嵐山開閉所</v>
          </cell>
        </row>
        <row r="26">
          <cell r="F26" t="str">
            <v>akw</v>
          </cell>
          <cell r="G26">
            <v>21</v>
          </cell>
          <cell r="H26" t="str">
            <v>旭川変電所</v>
          </cell>
        </row>
        <row r="27">
          <cell r="F27" t="str">
            <v>nny</v>
          </cell>
          <cell r="G27">
            <v>22</v>
          </cell>
          <cell r="H27" t="str">
            <v>西名寄変電所</v>
          </cell>
        </row>
        <row r="28">
          <cell r="F28" t="str">
            <v>nas</v>
          </cell>
          <cell r="G28">
            <v>23</v>
          </cell>
          <cell r="H28" t="str">
            <v>西旭川変電所</v>
          </cell>
        </row>
        <row r="29">
          <cell r="F29" t="str">
            <v>ntw</v>
          </cell>
          <cell r="G29">
            <v>24</v>
          </cell>
          <cell r="H29" t="str">
            <v>西滝川変電所</v>
          </cell>
        </row>
        <row r="30">
          <cell r="F30" t="str">
            <v>kar</v>
          </cell>
          <cell r="G30">
            <v>25</v>
          </cell>
          <cell r="H30" t="str">
            <v>北新得変電所</v>
          </cell>
        </row>
        <row r="31">
          <cell r="F31" t="str">
            <v>isz</v>
          </cell>
          <cell r="G31">
            <v>26</v>
          </cell>
          <cell r="H31" t="str">
            <v>岩清水開閉所</v>
          </cell>
        </row>
        <row r="32">
          <cell r="F32" t="str">
            <v>kmm</v>
          </cell>
          <cell r="G32">
            <v>27</v>
          </cell>
          <cell r="H32" t="str">
            <v>北芽室変電所</v>
          </cell>
        </row>
        <row r="33">
          <cell r="F33" t="str">
            <v>nos</v>
          </cell>
          <cell r="G33">
            <v>28</v>
          </cell>
          <cell r="H33" t="str">
            <v>西音更変電所</v>
          </cell>
        </row>
        <row r="34">
          <cell r="F34" t="str">
            <v>umb</v>
          </cell>
          <cell r="G34">
            <v>29</v>
          </cell>
          <cell r="H34" t="str">
            <v>宇円別変電所</v>
          </cell>
        </row>
        <row r="35">
          <cell r="F35" t="str">
            <v>hkr</v>
          </cell>
          <cell r="G35">
            <v>30</v>
          </cell>
          <cell r="H35" t="str">
            <v>東釧路変電所</v>
          </cell>
        </row>
        <row r="36">
          <cell r="F36" t="str">
            <v>nhb</v>
          </cell>
          <cell r="G36">
            <v>31</v>
          </cell>
          <cell r="H36" t="str">
            <v>西春別変電所</v>
          </cell>
        </row>
        <row r="37">
          <cell r="F37" t="str">
            <v>hkd</v>
          </cell>
          <cell r="G37">
            <v>32</v>
          </cell>
          <cell r="H37" t="str">
            <v>電発函館変換所</v>
          </cell>
        </row>
        <row r="38">
          <cell r="F38" t="str">
            <v>uwk</v>
          </cell>
          <cell r="G38">
            <v>33</v>
          </cell>
          <cell r="H38" t="str">
            <v>上北変電所</v>
          </cell>
        </row>
        <row r="39">
          <cell r="F39" t="str">
            <v>iwt</v>
          </cell>
          <cell r="G39">
            <v>34</v>
          </cell>
          <cell r="H39" t="str">
            <v>岩手変電所</v>
          </cell>
        </row>
        <row r="40">
          <cell r="F40" t="str">
            <v>myg</v>
          </cell>
          <cell r="G40">
            <v>35</v>
          </cell>
          <cell r="H40" t="str">
            <v>宮城変電所</v>
          </cell>
        </row>
        <row r="41">
          <cell r="F41" t="str">
            <v>nsd</v>
          </cell>
          <cell r="G41">
            <v>36</v>
          </cell>
          <cell r="H41" t="str">
            <v>西仙台変電所</v>
          </cell>
        </row>
        <row r="42">
          <cell r="F42" t="str">
            <v>sma</v>
          </cell>
          <cell r="G42">
            <v>37</v>
          </cell>
          <cell r="H42" t="str">
            <v>南相馬変電所</v>
          </cell>
        </row>
        <row r="43">
          <cell r="F43" t="str">
            <v>aom</v>
          </cell>
          <cell r="G43">
            <v>38</v>
          </cell>
          <cell r="H43" t="str">
            <v>青森変電所</v>
          </cell>
        </row>
        <row r="44">
          <cell r="F44" t="str">
            <v>nsr</v>
          </cell>
          <cell r="G44">
            <v>39</v>
          </cell>
          <cell r="H44" t="str">
            <v>能代変電所</v>
          </cell>
        </row>
        <row r="45">
          <cell r="F45" t="str">
            <v>akt</v>
          </cell>
          <cell r="G45">
            <v>40</v>
          </cell>
          <cell r="H45" t="str">
            <v>秋田変電所</v>
          </cell>
        </row>
        <row r="46">
          <cell r="F46" t="str">
            <v>szk</v>
          </cell>
          <cell r="G46">
            <v>41</v>
          </cell>
          <cell r="H46" t="str">
            <v>雫石開閉所</v>
          </cell>
        </row>
        <row r="47">
          <cell r="F47" t="str">
            <v>ugo</v>
          </cell>
          <cell r="G47">
            <v>42</v>
          </cell>
          <cell r="H47" t="str">
            <v>羽後変電所</v>
          </cell>
        </row>
        <row r="48">
          <cell r="F48" t="str">
            <v>mzs</v>
          </cell>
          <cell r="G48">
            <v>43</v>
          </cell>
          <cell r="H48" t="str">
            <v>水沢変電所</v>
          </cell>
        </row>
        <row r="49">
          <cell r="F49" t="str">
            <v>snj</v>
          </cell>
          <cell r="G49">
            <v>44</v>
          </cell>
          <cell r="H49" t="str">
            <v>新庄変電所</v>
          </cell>
        </row>
        <row r="50">
          <cell r="F50" t="str">
            <v>nya</v>
          </cell>
          <cell r="G50">
            <v>45</v>
          </cell>
          <cell r="H50" t="str">
            <v>西山形変電所</v>
          </cell>
        </row>
        <row r="51">
          <cell r="F51" t="str">
            <v>ism</v>
          </cell>
          <cell r="G51">
            <v>46</v>
          </cell>
          <cell r="H51" t="str">
            <v>石巻変電所</v>
          </cell>
        </row>
        <row r="52">
          <cell r="F52" t="str">
            <v>sdi</v>
          </cell>
          <cell r="G52">
            <v>47</v>
          </cell>
          <cell r="H52" t="str">
            <v>仙台変電所</v>
          </cell>
        </row>
        <row r="53">
          <cell r="F53" t="str">
            <v>hsd</v>
          </cell>
          <cell r="G53">
            <v>48</v>
          </cell>
          <cell r="H53" t="str">
            <v>東仙台変電所</v>
          </cell>
        </row>
        <row r="54">
          <cell r="F54" t="str">
            <v>ecg</v>
          </cell>
          <cell r="G54">
            <v>49</v>
          </cell>
          <cell r="H54" t="str">
            <v>越後開閉所</v>
          </cell>
        </row>
        <row r="55">
          <cell r="F55" t="str">
            <v>yzw</v>
          </cell>
          <cell r="G55">
            <v>50</v>
          </cell>
          <cell r="H55" t="str">
            <v>米沢変電所</v>
          </cell>
        </row>
        <row r="56">
          <cell r="F56" t="str">
            <v>fks</v>
          </cell>
          <cell r="G56">
            <v>51</v>
          </cell>
          <cell r="H56" t="str">
            <v>福島変電所</v>
          </cell>
        </row>
        <row r="57">
          <cell r="F57" t="str">
            <v>kni</v>
          </cell>
          <cell r="G57">
            <v>52</v>
          </cell>
          <cell r="H57" t="str">
            <v>北新潟変電所</v>
          </cell>
        </row>
        <row r="58">
          <cell r="F58" t="str">
            <v>ngt</v>
          </cell>
          <cell r="G58">
            <v>53</v>
          </cell>
          <cell r="H58" t="str">
            <v>新潟変電所</v>
          </cell>
        </row>
        <row r="59">
          <cell r="F59" t="str">
            <v>tye</v>
          </cell>
          <cell r="G59">
            <v>54</v>
          </cell>
          <cell r="H59" t="str">
            <v>中越変電所</v>
          </cell>
        </row>
        <row r="60">
          <cell r="F60" t="str">
            <v>hnn</v>
          </cell>
          <cell r="G60">
            <v>55</v>
          </cell>
          <cell r="H60" t="str">
            <v>本名変電所</v>
          </cell>
        </row>
        <row r="61">
          <cell r="F61" t="str">
            <v>skg</v>
          </cell>
          <cell r="G61">
            <v>56</v>
          </cell>
          <cell r="H61" t="str">
            <v>須賀川変電所</v>
          </cell>
        </row>
        <row r="62">
          <cell r="F62" t="str">
            <v>iwk</v>
          </cell>
          <cell r="G62">
            <v>57</v>
          </cell>
          <cell r="H62" t="str">
            <v>いわき変電所</v>
          </cell>
        </row>
        <row r="63">
          <cell r="F63" t="str">
            <v>sng</v>
          </cell>
          <cell r="G63">
            <v>58</v>
          </cell>
          <cell r="H63" t="str">
            <v>信濃川変電所</v>
          </cell>
        </row>
        <row r="64">
          <cell r="F64" t="str">
            <v>hje</v>
          </cell>
          <cell r="G64">
            <v>59</v>
          </cell>
          <cell r="H64" t="str">
            <v>東上越変電所</v>
          </cell>
        </row>
        <row r="65">
          <cell r="F65" t="str">
            <v>ibt</v>
          </cell>
          <cell r="G65">
            <v>60</v>
          </cell>
          <cell r="H65" t="str">
            <v>今別変換所</v>
          </cell>
        </row>
        <row r="66">
          <cell r="F66" t="str">
            <v>fkn</v>
          </cell>
          <cell r="G66">
            <v>61</v>
          </cell>
          <cell r="H66" t="str">
            <v>旧福島第二原子力</v>
          </cell>
        </row>
        <row r="67">
          <cell r="F67" t="str">
            <v>sfu</v>
          </cell>
          <cell r="G67">
            <v>62</v>
          </cell>
          <cell r="H67" t="str">
            <v>新福島変電所</v>
          </cell>
        </row>
        <row r="68">
          <cell r="F68" t="str">
            <v>miw</v>
          </cell>
          <cell r="G68">
            <v>63</v>
          </cell>
          <cell r="H68" t="str">
            <v>南いわき開閉所</v>
          </cell>
        </row>
        <row r="69">
          <cell r="F69" t="str">
            <v>siw</v>
          </cell>
          <cell r="G69">
            <v>64</v>
          </cell>
          <cell r="H69" t="str">
            <v>新いわき開閉所</v>
          </cell>
        </row>
        <row r="70">
          <cell r="F70" t="str">
            <v>hgm</v>
          </cell>
          <cell r="G70">
            <v>65</v>
          </cell>
          <cell r="H70" t="str">
            <v>東群馬変電所</v>
          </cell>
        </row>
        <row r="71">
          <cell r="F71" t="str">
            <v>sii</v>
          </cell>
          <cell r="G71">
            <v>66</v>
          </cell>
          <cell r="H71" t="str">
            <v>新今市開閉所</v>
          </cell>
        </row>
        <row r="72">
          <cell r="F72" t="str">
            <v>smg</v>
          </cell>
          <cell r="G72">
            <v>67</v>
          </cell>
          <cell r="H72" t="str">
            <v>新茂木変電所</v>
          </cell>
        </row>
        <row r="73">
          <cell r="F73" t="str">
            <v>stb</v>
          </cell>
          <cell r="G73">
            <v>68</v>
          </cell>
          <cell r="H73" t="str">
            <v>新筑波変電所</v>
          </cell>
        </row>
        <row r="74">
          <cell r="F74" t="str">
            <v>stg</v>
          </cell>
          <cell r="G74">
            <v>69</v>
          </cell>
          <cell r="H74" t="str">
            <v>新栃木変電所</v>
          </cell>
        </row>
        <row r="75">
          <cell r="F75" t="str">
            <v>nka</v>
          </cell>
          <cell r="G75">
            <v>70</v>
          </cell>
          <cell r="H75" t="str">
            <v>那珂変電所</v>
          </cell>
        </row>
        <row r="76">
          <cell r="F76" t="str">
            <v>sko</v>
          </cell>
          <cell r="G76">
            <v>71</v>
          </cell>
          <cell r="H76" t="str">
            <v>新古河変電所</v>
          </cell>
        </row>
        <row r="77">
          <cell r="F77" t="str">
            <v>sar</v>
          </cell>
          <cell r="G77">
            <v>72</v>
          </cell>
          <cell r="H77" t="str">
            <v>新新田変電所</v>
          </cell>
        </row>
        <row r="78">
          <cell r="F78" t="str">
            <v>ksz</v>
          </cell>
          <cell r="G78">
            <v>73</v>
          </cell>
          <cell r="H78" t="str">
            <v>新木更津変電所</v>
          </cell>
        </row>
        <row r="79">
          <cell r="F79" t="str">
            <v>bsu</v>
          </cell>
          <cell r="G79">
            <v>74</v>
          </cell>
          <cell r="H79" t="str">
            <v>房総変電所</v>
          </cell>
        </row>
        <row r="80">
          <cell r="F80" t="str">
            <v>sky</v>
          </cell>
          <cell r="G80">
            <v>75</v>
          </cell>
          <cell r="H80" t="str">
            <v>新京葉変電所</v>
          </cell>
        </row>
        <row r="81">
          <cell r="F81" t="str">
            <v>ssh</v>
          </cell>
          <cell r="G81">
            <v>76</v>
          </cell>
          <cell r="H81" t="str">
            <v>新佐原変電所</v>
          </cell>
        </row>
        <row r="82">
          <cell r="F82" t="str">
            <v>ksm</v>
          </cell>
          <cell r="G82">
            <v>77</v>
          </cell>
          <cell r="H82" t="str">
            <v>鹿島変電所</v>
          </cell>
        </row>
        <row r="83">
          <cell r="F83" t="str">
            <v>snd</v>
          </cell>
          <cell r="G83">
            <v>78</v>
          </cell>
          <cell r="H83" t="str">
            <v>新野田変電所</v>
          </cell>
        </row>
        <row r="84">
          <cell r="F84" t="str">
            <v>ktk</v>
          </cell>
          <cell r="G84">
            <v>79</v>
          </cell>
          <cell r="H84" t="str">
            <v>北東京変電所</v>
          </cell>
        </row>
        <row r="85">
          <cell r="F85" t="str">
            <v>kta</v>
          </cell>
          <cell r="G85">
            <v>80</v>
          </cell>
          <cell r="H85" t="str">
            <v>北葛飾変電所</v>
          </cell>
        </row>
        <row r="86">
          <cell r="F86" t="str">
            <v>ssd</v>
          </cell>
          <cell r="G86">
            <v>81</v>
          </cell>
          <cell r="H86" t="str">
            <v>新坂戸変電所</v>
          </cell>
        </row>
        <row r="87">
          <cell r="F87" t="str">
            <v>kzk</v>
          </cell>
          <cell r="G87">
            <v>82</v>
          </cell>
          <cell r="H87" t="str">
            <v>柏崎刈羽原子力</v>
          </cell>
        </row>
        <row r="88">
          <cell r="F88" t="str">
            <v>ngm</v>
          </cell>
          <cell r="G88">
            <v>83</v>
          </cell>
          <cell r="H88" t="str">
            <v>西群馬開閉所</v>
          </cell>
        </row>
        <row r="89">
          <cell r="F89" t="str">
            <v>sob</v>
          </cell>
          <cell r="G89">
            <v>84</v>
          </cell>
          <cell r="H89" t="str">
            <v>新岡部変電所</v>
          </cell>
        </row>
        <row r="90">
          <cell r="F90" t="str">
            <v>tmo</v>
          </cell>
          <cell r="G90">
            <v>85</v>
          </cell>
          <cell r="H90" t="str">
            <v>東毛変電所</v>
          </cell>
        </row>
        <row r="91">
          <cell r="F91" t="str">
            <v>stt</v>
          </cell>
          <cell r="G91">
            <v>86</v>
          </cell>
          <cell r="H91" t="str">
            <v>新秩父開閉所</v>
          </cell>
        </row>
        <row r="92">
          <cell r="F92" t="str">
            <v>kkm</v>
          </cell>
          <cell r="G92">
            <v>87</v>
          </cell>
          <cell r="H92" t="str">
            <v>北熊谷変電所</v>
          </cell>
        </row>
        <row r="93">
          <cell r="F93" t="str">
            <v>ssm</v>
          </cell>
          <cell r="G93">
            <v>88</v>
          </cell>
          <cell r="H93" t="str">
            <v>西毛変電所</v>
          </cell>
        </row>
        <row r="94">
          <cell r="F94" t="str">
            <v>kfj</v>
          </cell>
          <cell r="G94">
            <v>89</v>
          </cell>
          <cell r="H94" t="str">
            <v>新富士変電所</v>
          </cell>
        </row>
        <row r="95">
          <cell r="F95" t="str">
            <v>shn</v>
          </cell>
          <cell r="G95">
            <v>90</v>
          </cell>
          <cell r="H95" t="str">
            <v>新榛名変電所</v>
          </cell>
        </row>
        <row r="96">
          <cell r="F96" t="str">
            <v>stk</v>
          </cell>
          <cell r="G96">
            <v>91</v>
          </cell>
          <cell r="H96" t="str">
            <v>新所沢変電所</v>
          </cell>
        </row>
        <row r="97">
          <cell r="F97" t="str">
            <v>htn</v>
          </cell>
          <cell r="G97">
            <v>92</v>
          </cell>
          <cell r="H97" t="str">
            <v>新秦野変電所</v>
          </cell>
        </row>
        <row r="98">
          <cell r="F98" t="str">
            <v>ksg</v>
          </cell>
          <cell r="G98">
            <v>93</v>
          </cell>
          <cell r="H98" t="str">
            <v>北相模変電所</v>
          </cell>
        </row>
        <row r="99">
          <cell r="F99" t="str">
            <v>stm</v>
          </cell>
          <cell r="G99">
            <v>94</v>
          </cell>
          <cell r="H99" t="str">
            <v>新多摩変電所</v>
          </cell>
        </row>
        <row r="100">
          <cell r="F100" t="str">
            <v>han</v>
          </cell>
          <cell r="G100">
            <v>95</v>
          </cell>
          <cell r="H100" t="str">
            <v>新飯能変電所</v>
          </cell>
        </row>
        <row r="101">
          <cell r="F101" t="str">
            <v>oum</v>
          </cell>
          <cell r="G101">
            <v>96</v>
          </cell>
          <cell r="H101" t="str">
            <v>青梅変電所</v>
          </cell>
        </row>
        <row r="102">
          <cell r="F102" t="str">
            <v>ntk</v>
          </cell>
          <cell r="G102">
            <v>97</v>
          </cell>
          <cell r="H102" t="str">
            <v>西東京変電所</v>
          </cell>
        </row>
        <row r="103">
          <cell r="F103" t="str">
            <v>kbo</v>
          </cell>
          <cell r="G103">
            <v>98</v>
          </cell>
          <cell r="H103" t="str">
            <v>港北変電所</v>
          </cell>
        </row>
        <row r="104">
          <cell r="F104" t="str">
            <v>ktm</v>
          </cell>
          <cell r="G104">
            <v>99</v>
          </cell>
          <cell r="H104" t="str">
            <v>北多摩変電所</v>
          </cell>
        </row>
        <row r="105">
          <cell r="F105" t="str">
            <v>hsh</v>
          </cell>
          <cell r="G105">
            <v>100</v>
          </cell>
          <cell r="H105" t="str">
            <v>東新宿変電所</v>
          </cell>
        </row>
        <row r="106">
          <cell r="F106" t="str">
            <v>shi</v>
          </cell>
          <cell r="G106">
            <v>101</v>
          </cell>
          <cell r="H106" t="str">
            <v>新宿変電所</v>
          </cell>
        </row>
        <row r="107">
          <cell r="F107" t="str">
            <v>jyo</v>
          </cell>
          <cell r="G107">
            <v>102</v>
          </cell>
          <cell r="H107" t="str">
            <v>城南変電所</v>
          </cell>
        </row>
        <row r="108">
          <cell r="F108" t="str">
            <v>tam</v>
          </cell>
          <cell r="G108">
            <v>103</v>
          </cell>
          <cell r="H108" t="str">
            <v>多摩変電所</v>
          </cell>
        </row>
        <row r="109">
          <cell r="F109" t="str">
            <v>keh</v>
          </cell>
          <cell r="G109">
            <v>104</v>
          </cell>
          <cell r="H109" t="str">
            <v>京浜変電所</v>
          </cell>
        </row>
        <row r="110">
          <cell r="F110" t="str">
            <v>nyo</v>
          </cell>
          <cell r="G110">
            <v>105</v>
          </cell>
          <cell r="H110" t="str">
            <v>西横浜変電所</v>
          </cell>
        </row>
        <row r="111">
          <cell r="F111" t="str">
            <v>kws</v>
          </cell>
          <cell r="G111">
            <v>106</v>
          </cell>
          <cell r="H111" t="str">
            <v>南川崎変電所</v>
          </cell>
        </row>
        <row r="112">
          <cell r="F112" t="str">
            <v>ikg</v>
          </cell>
          <cell r="G112">
            <v>107</v>
          </cell>
          <cell r="H112" t="str">
            <v>池上変電所</v>
          </cell>
        </row>
        <row r="113">
          <cell r="F113" t="str">
            <v>nto</v>
          </cell>
          <cell r="G113">
            <v>108</v>
          </cell>
          <cell r="H113" t="str">
            <v>中東京変電所</v>
          </cell>
        </row>
        <row r="114">
          <cell r="F114" t="str">
            <v>mhy</v>
          </cell>
          <cell r="G114">
            <v>109</v>
          </cell>
          <cell r="H114" t="str">
            <v>南狭山変電所</v>
          </cell>
        </row>
        <row r="115">
          <cell r="F115" t="str">
            <v>niz</v>
          </cell>
          <cell r="G115">
            <v>110</v>
          </cell>
          <cell r="H115" t="str">
            <v>新座変電所</v>
          </cell>
        </row>
        <row r="116">
          <cell r="F116" t="str">
            <v>ner</v>
          </cell>
          <cell r="G116">
            <v>111</v>
          </cell>
          <cell r="H116" t="str">
            <v>練馬変電所</v>
          </cell>
        </row>
        <row r="117">
          <cell r="F117" t="str">
            <v>tos</v>
          </cell>
          <cell r="G117">
            <v>112</v>
          </cell>
          <cell r="H117" t="str">
            <v>豊島変電所</v>
          </cell>
        </row>
        <row r="118">
          <cell r="F118" t="str">
            <v>sui</v>
          </cell>
          <cell r="G118">
            <v>113</v>
          </cell>
          <cell r="H118" t="str">
            <v>水道橋変電所</v>
          </cell>
        </row>
        <row r="119">
          <cell r="F119" t="str">
            <v>kwg</v>
          </cell>
          <cell r="G119">
            <v>114</v>
          </cell>
          <cell r="H119" t="str">
            <v>南川越変電所</v>
          </cell>
        </row>
        <row r="120">
          <cell r="F120" t="str">
            <v>kmo</v>
          </cell>
          <cell r="G120">
            <v>115</v>
          </cell>
          <cell r="H120" t="str">
            <v>上尾変電所</v>
          </cell>
        </row>
        <row r="121">
          <cell r="F121" t="str">
            <v>kyn</v>
          </cell>
          <cell r="G121">
            <v>116</v>
          </cell>
          <cell r="H121" t="str">
            <v>北与野変電所</v>
          </cell>
        </row>
        <row r="122">
          <cell r="F122" t="str">
            <v>neg</v>
          </cell>
          <cell r="G122">
            <v>117</v>
          </cell>
          <cell r="H122" t="str">
            <v>西越谷変電所</v>
          </cell>
        </row>
        <row r="123">
          <cell r="F123" t="str">
            <v>khi</v>
          </cell>
          <cell r="G123">
            <v>118</v>
          </cell>
          <cell r="H123" t="str">
            <v>京北変電所</v>
          </cell>
        </row>
        <row r="124">
          <cell r="F124" t="str">
            <v>hgu</v>
          </cell>
          <cell r="G124">
            <v>119</v>
          </cell>
          <cell r="H124" t="str">
            <v>東内幸町変電所</v>
          </cell>
        </row>
        <row r="125">
          <cell r="F125" t="str">
            <v>tkw</v>
          </cell>
          <cell r="G125">
            <v>120</v>
          </cell>
          <cell r="H125" t="str">
            <v>高輪変電所</v>
          </cell>
        </row>
        <row r="126">
          <cell r="F126" t="str">
            <v>uen</v>
          </cell>
          <cell r="G126">
            <v>121</v>
          </cell>
          <cell r="H126" t="str">
            <v>上野変電所</v>
          </cell>
        </row>
        <row r="127">
          <cell r="F127" t="str">
            <v>edb</v>
          </cell>
          <cell r="G127">
            <v>122</v>
          </cell>
          <cell r="H127" t="str">
            <v>永代橋変電所</v>
          </cell>
        </row>
        <row r="128">
          <cell r="F128" t="str">
            <v>sts</v>
          </cell>
          <cell r="G128">
            <v>123</v>
          </cell>
          <cell r="H128" t="str">
            <v>新豊洲変電所</v>
          </cell>
        </row>
        <row r="129">
          <cell r="F129" t="str">
            <v>kot</v>
          </cell>
          <cell r="G129">
            <v>124</v>
          </cell>
          <cell r="H129" t="str">
            <v>江東変電所</v>
          </cell>
        </row>
        <row r="130">
          <cell r="F130" t="str">
            <v>ktn</v>
          </cell>
          <cell r="G130">
            <v>125</v>
          </cell>
          <cell r="H130" t="str">
            <v>葛南変電所</v>
          </cell>
        </row>
        <row r="131">
          <cell r="F131" t="str">
            <v>sgy</v>
          </cell>
          <cell r="G131">
            <v>126</v>
          </cell>
          <cell r="H131" t="str">
            <v>世田谷変電所</v>
          </cell>
        </row>
        <row r="132">
          <cell r="F132" t="str">
            <v>eda</v>
          </cell>
          <cell r="G132">
            <v>127</v>
          </cell>
          <cell r="H132" t="str">
            <v>荏田変電所</v>
          </cell>
        </row>
        <row r="133">
          <cell r="F133" t="str">
            <v>tky</v>
          </cell>
          <cell r="G133">
            <v>128</v>
          </cell>
          <cell r="H133" t="str">
            <v>東京中線</v>
          </cell>
        </row>
        <row r="134">
          <cell r="F134" t="str">
            <v>stz</v>
          </cell>
          <cell r="G134">
            <v>129</v>
          </cell>
          <cell r="H134" t="str">
            <v>新所沢線</v>
          </cell>
        </row>
        <row r="135">
          <cell r="F135" t="str">
            <v>kbk</v>
          </cell>
          <cell r="G135">
            <v>130</v>
          </cell>
          <cell r="H135" t="str">
            <v>港北線</v>
          </cell>
        </row>
        <row r="136">
          <cell r="F136" t="str">
            <v>ktu</v>
          </cell>
          <cell r="G136">
            <v>131</v>
          </cell>
          <cell r="H136" t="str">
            <v>江東線</v>
          </cell>
        </row>
        <row r="137">
          <cell r="F137" t="str">
            <v>ssi</v>
          </cell>
          <cell r="G137">
            <v>132</v>
          </cell>
          <cell r="H137" t="str">
            <v>新信濃変電所</v>
          </cell>
        </row>
        <row r="138">
          <cell r="F138" t="str">
            <v>mie</v>
          </cell>
          <cell r="G138">
            <v>133</v>
          </cell>
          <cell r="H138" t="str">
            <v>三重開閉所</v>
          </cell>
        </row>
        <row r="139">
          <cell r="F139" t="str">
            <v>gif</v>
          </cell>
          <cell r="G139">
            <v>134</v>
          </cell>
          <cell r="H139" t="str">
            <v>岐阜開閉所</v>
          </cell>
        </row>
        <row r="140">
          <cell r="F140" t="str">
            <v>nsb</v>
          </cell>
          <cell r="G140">
            <v>135</v>
          </cell>
          <cell r="H140" t="str">
            <v>西部変電所</v>
          </cell>
        </row>
        <row r="141">
          <cell r="F141" t="str">
            <v>ktb</v>
          </cell>
          <cell r="G141">
            <v>136</v>
          </cell>
          <cell r="H141" t="str">
            <v>北部変電所</v>
          </cell>
        </row>
        <row r="142">
          <cell r="F142" t="str">
            <v>aic</v>
          </cell>
          <cell r="G142">
            <v>137</v>
          </cell>
          <cell r="H142" t="str">
            <v>愛知変電所</v>
          </cell>
        </row>
        <row r="143">
          <cell r="F143" t="str">
            <v>tub</v>
          </cell>
          <cell r="G143">
            <v>138</v>
          </cell>
          <cell r="H143" t="str">
            <v>東部変電所</v>
          </cell>
        </row>
        <row r="144">
          <cell r="F144" t="str">
            <v>fkm</v>
          </cell>
          <cell r="G144">
            <v>139</v>
          </cell>
          <cell r="H144" t="str">
            <v>南福光連係所</v>
          </cell>
        </row>
        <row r="145">
          <cell r="F145" t="str">
            <v>tyn</v>
          </cell>
          <cell r="G145">
            <v>140</v>
          </cell>
          <cell r="H145" t="str">
            <v>豊根開閉所</v>
          </cell>
        </row>
        <row r="146">
          <cell r="F146" t="str">
            <v>hse</v>
          </cell>
          <cell r="G146">
            <v>141</v>
          </cell>
          <cell r="H146" t="str">
            <v>東栄変電所</v>
          </cell>
        </row>
        <row r="147">
          <cell r="F147" t="str">
            <v>ssg</v>
          </cell>
          <cell r="G147">
            <v>142</v>
          </cell>
          <cell r="H147" t="str">
            <v>新三河変電所</v>
          </cell>
        </row>
        <row r="148">
          <cell r="F148" t="str">
            <v>nns</v>
          </cell>
          <cell r="G148">
            <v>143</v>
          </cell>
          <cell r="H148" t="str">
            <v>南信変電所</v>
          </cell>
        </row>
        <row r="149">
          <cell r="F149" t="str">
            <v>snn</v>
          </cell>
          <cell r="G149">
            <v>144</v>
          </cell>
          <cell r="H149" t="str">
            <v>信濃変電所</v>
          </cell>
        </row>
        <row r="150">
          <cell r="F150" t="str">
            <v>sne</v>
          </cell>
          <cell r="G150">
            <v>145</v>
          </cell>
          <cell r="H150" t="str">
            <v>駿遠変電所</v>
          </cell>
        </row>
        <row r="151">
          <cell r="F151" t="str">
            <v>szo</v>
          </cell>
          <cell r="G151">
            <v>146</v>
          </cell>
          <cell r="H151" t="str">
            <v>静岡変電所</v>
          </cell>
        </row>
        <row r="152">
          <cell r="F152" t="str">
            <v>szu</v>
          </cell>
          <cell r="G152">
            <v>147</v>
          </cell>
          <cell r="H152" t="str">
            <v>鈴鹿開閉所</v>
          </cell>
        </row>
        <row r="153">
          <cell r="F153" t="str">
            <v>ise</v>
          </cell>
          <cell r="G153">
            <v>148</v>
          </cell>
          <cell r="H153" t="str">
            <v>伊勢開閉所</v>
          </cell>
        </row>
        <row r="154">
          <cell r="F154" t="str">
            <v>mis</v>
          </cell>
          <cell r="G154">
            <v>149</v>
          </cell>
          <cell r="H154" t="str">
            <v>南勢変電所</v>
          </cell>
        </row>
        <row r="155">
          <cell r="F155" t="str">
            <v>nak</v>
          </cell>
          <cell r="G155">
            <v>150</v>
          </cell>
          <cell r="H155" t="str">
            <v>中勢変電所</v>
          </cell>
        </row>
        <row r="156">
          <cell r="F156" t="str">
            <v>mta</v>
          </cell>
          <cell r="G156">
            <v>151</v>
          </cell>
          <cell r="H156" t="str">
            <v>尾鷲三田変電所</v>
          </cell>
        </row>
        <row r="157">
          <cell r="F157" t="str">
            <v>nng</v>
          </cell>
          <cell r="G157">
            <v>152</v>
          </cell>
          <cell r="H157" t="str">
            <v>西名古屋変電所</v>
          </cell>
        </row>
        <row r="158">
          <cell r="F158" t="str">
            <v>kam</v>
          </cell>
          <cell r="G158">
            <v>153</v>
          </cell>
          <cell r="H158" t="str">
            <v>亀山変電所</v>
          </cell>
        </row>
        <row r="159">
          <cell r="F159" t="str">
            <v>now</v>
          </cell>
          <cell r="G159">
            <v>154</v>
          </cell>
          <cell r="H159" t="str">
            <v>西尾張変電所</v>
          </cell>
        </row>
        <row r="160">
          <cell r="F160" t="str">
            <v>kge</v>
          </cell>
          <cell r="G160">
            <v>155</v>
          </cell>
          <cell r="H160" t="str">
            <v>川越変電所</v>
          </cell>
        </row>
        <row r="161">
          <cell r="F161" t="str">
            <v>kib</v>
          </cell>
          <cell r="G161">
            <v>156</v>
          </cell>
          <cell r="H161" t="str">
            <v>海部開閉所</v>
          </cell>
        </row>
        <row r="162">
          <cell r="F162" t="str">
            <v>gyu</v>
          </cell>
          <cell r="G162">
            <v>157</v>
          </cell>
          <cell r="H162" t="str">
            <v>牛島町変電所</v>
          </cell>
        </row>
        <row r="163">
          <cell r="F163" t="str">
            <v>mjy</v>
          </cell>
          <cell r="G163">
            <v>158</v>
          </cell>
          <cell r="H163" t="str">
            <v>名城変電所</v>
          </cell>
        </row>
        <row r="164">
          <cell r="F164" t="str">
            <v>mge</v>
          </cell>
          <cell r="G164">
            <v>159</v>
          </cell>
          <cell r="H164" t="str">
            <v>松ヶ枝変電所</v>
          </cell>
        </row>
        <row r="165">
          <cell r="F165" t="str">
            <v>nsn</v>
          </cell>
          <cell r="G165">
            <v>160</v>
          </cell>
          <cell r="H165" t="str">
            <v>西濃開閉所</v>
          </cell>
        </row>
        <row r="166">
          <cell r="F166" t="str">
            <v>nkn</v>
          </cell>
          <cell r="G166">
            <v>161</v>
          </cell>
          <cell r="H166" t="str">
            <v>中濃変電所</v>
          </cell>
        </row>
        <row r="167">
          <cell r="F167" t="str">
            <v>iym</v>
          </cell>
          <cell r="G167">
            <v>162</v>
          </cell>
          <cell r="H167" t="str">
            <v>犬山変電所</v>
          </cell>
        </row>
        <row r="168">
          <cell r="F168" t="str">
            <v>ums</v>
          </cell>
          <cell r="G168">
            <v>163</v>
          </cell>
          <cell r="H168" t="str">
            <v>馬瀬一変電所</v>
          </cell>
        </row>
        <row r="169">
          <cell r="F169" t="str">
            <v>uma</v>
          </cell>
          <cell r="G169">
            <v>164</v>
          </cell>
          <cell r="H169" t="str">
            <v>馬瀬変電所</v>
          </cell>
        </row>
        <row r="170">
          <cell r="F170" t="str">
            <v>tke</v>
          </cell>
          <cell r="G170">
            <v>165</v>
          </cell>
          <cell r="H170" t="str">
            <v>高根変電所</v>
          </cell>
        </row>
        <row r="171">
          <cell r="F171" t="str">
            <v>nks</v>
          </cell>
          <cell r="G171">
            <v>166</v>
          </cell>
          <cell r="H171" t="str">
            <v>中信変電所</v>
          </cell>
        </row>
        <row r="172">
          <cell r="F172" t="str">
            <v>tsn</v>
          </cell>
          <cell r="G172">
            <v>167</v>
          </cell>
          <cell r="H172" t="str">
            <v>東信変電所</v>
          </cell>
        </row>
        <row r="173">
          <cell r="F173" t="str">
            <v>sks</v>
          </cell>
          <cell r="G173">
            <v>168</v>
          </cell>
          <cell r="H173" t="str">
            <v>新北信変電所</v>
          </cell>
        </row>
        <row r="174">
          <cell r="F174" t="str">
            <v>sku</v>
          </cell>
          <cell r="G174">
            <v>169</v>
          </cell>
          <cell r="H174" t="str">
            <v>佐久変電所</v>
          </cell>
        </row>
        <row r="175">
          <cell r="F175" t="str">
            <v>den</v>
          </cell>
          <cell r="G175">
            <v>170</v>
          </cell>
          <cell r="H175" t="str">
            <v>電名変電所</v>
          </cell>
        </row>
        <row r="176">
          <cell r="F176" t="str">
            <v>set</v>
          </cell>
          <cell r="G176">
            <v>171</v>
          </cell>
          <cell r="H176" t="str">
            <v>瀬戸変電所</v>
          </cell>
        </row>
        <row r="177">
          <cell r="F177" t="str">
            <v>tyt</v>
          </cell>
          <cell r="G177">
            <v>172</v>
          </cell>
          <cell r="H177" t="str">
            <v>北豊田変電所</v>
          </cell>
        </row>
        <row r="178">
          <cell r="F178" t="str">
            <v>tur</v>
          </cell>
          <cell r="G178">
            <v>173</v>
          </cell>
          <cell r="H178" t="str">
            <v>東浦開閉所</v>
          </cell>
        </row>
        <row r="179">
          <cell r="F179" t="str">
            <v>hng</v>
          </cell>
          <cell r="G179">
            <v>174</v>
          </cell>
          <cell r="H179" t="str">
            <v>東名古屋分岐点</v>
          </cell>
        </row>
        <row r="180">
          <cell r="F180" t="str">
            <v>tta</v>
          </cell>
          <cell r="G180">
            <v>175</v>
          </cell>
          <cell r="H180" t="str">
            <v>知多火力変電所</v>
          </cell>
        </row>
        <row r="181">
          <cell r="F181" t="str">
            <v>ume</v>
          </cell>
          <cell r="G181">
            <v>176</v>
          </cell>
          <cell r="H181" t="str">
            <v>梅森開閉所</v>
          </cell>
        </row>
        <row r="182">
          <cell r="F182" t="str">
            <v>kym</v>
          </cell>
          <cell r="G182">
            <v>177</v>
          </cell>
          <cell r="H182" t="str">
            <v>金山変電所</v>
          </cell>
        </row>
        <row r="183">
          <cell r="F183" t="str">
            <v>mhm</v>
          </cell>
          <cell r="G183">
            <v>178</v>
          </cell>
          <cell r="H183" t="str">
            <v>南武平町変電所</v>
          </cell>
        </row>
        <row r="184">
          <cell r="F184" t="str">
            <v>shr</v>
          </cell>
          <cell r="G184">
            <v>179</v>
          </cell>
          <cell r="H184" t="str">
            <v>下広井変電所</v>
          </cell>
        </row>
        <row r="185">
          <cell r="F185" t="str">
            <v>tka</v>
          </cell>
          <cell r="G185">
            <v>180</v>
          </cell>
          <cell r="H185" t="str">
            <v>東海変電所</v>
          </cell>
        </row>
        <row r="186">
          <cell r="F186" t="str">
            <v>tin</v>
          </cell>
          <cell r="G186">
            <v>181</v>
          </cell>
          <cell r="H186" t="str">
            <v>知多第二変電所</v>
          </cell>
        </row>
        <row r="187">
          <cell r="F187" t="str">
            <v>skf</v>
          </cell>
          <cell r="G187">
            <v>182</v>
          </cell>
          <cell r="H187" t="str">
            <v>佐久間FC</v>
          </cell>
        </row>
        <row r="188">
          <cell r="F188" t="str">
            <v>kwn</v>
          </cell>
          <cell r="G188">
            <v>183</v>
          </cell>
          <cell r="H188" t="str">
            <v>川根変電所</v>
          </cell>
        </row>
        <row r="189">
          <cell r="F189" t="str">
            <v>hna</v>
          </cell>
          <cell r="G189">
            <v>184</v>
          </cell>
          <cell r="H189" t="str">
            <v>東名古屋変電所</v>
          </cell>
        </row>
        <row r="190">
          <cell r="F190" t="str">
            <v>mkw</v>
          </cell>
          <cell r="G190">
            <v>185</v>
          </cell>
          <cell r="H190" t="str">
            <v>三河変電所</v>
          </cell>
        </row>
        <row r="191">
          <cell r="F191" t="str">
            <v>htd</v>
          </cell>
          <cell r="G191">
            <v>186</v>
          </cell>
          <cell r="H191" t="str">
            <v>額田開閉所</v>
          </cell>
        </row>
        <row r="192">
          <cell r="F192" t="str">
            <v>kou</v>
          </cell>
          <cell r="G192">
            <v>187</v>
          </cell>
          <cell r="H192" t="str">
            <v>幸田変電所</v>
          </cell>
        </row>
        <row r="193">
          <cell r="F193" t="str">
            <v>kna</v>
          </cell>
          <cell r="G193">
            <v>188</v>
          </cell>
          <cell r="H193" t="str">
            <v>碧南変電所</v>
          </cell>
        </row>
        <row r="194">
          <cell r="F194" t="str">
            <v>kns</v>
          </cell>
          <cell r="G194">
            <v>189</v>
          </cell>
          <cell r="H194" t="str">
            <v>湖西変電所</v>
          </cell>
        </row>
        <row r="195">
          <cell r="F195" t="str">
            <v>thr</v>
          </cell>
          <cell r="G195">
            <v>190</v>
          </cell>
          <cell r="H195" t="str">
            <v>田原変電所</v>
          </cell>
        </row>
        <row r="196">
          <cell r="F196" t="str">
            <v>toe</v>
          </cell>
          <cell r="G196">
            <v>191</v>
          </cell>
          <cell r="H196" t="str">
            <v>遠江変電所</v>
          </cell>
        </row>
        <row r="197">
          <cell r="F197" t="str">
            <v>hmo</v>
          </cell>
          <cell r="G197">
            <v>192</v>
          </cell>
          <cell r="H197" t="str">
            <v>浜岡原子力</v>
          </cell>
        </row>
        <row r="198">
          <cell r="F198" t="str">
            <v>ssk</v>
          </cell>
          <cell r="G198">
            <v>193</v>
          </cell>
          <cell r="H198" t="str">
            <v>新佐倉変電所</v>
          </cell>
        </row>
        <row r="199">
          <cell r="F199" t="str">
            <v>srg</v>
          </cell>
          <cell r="G199">
            <v>194</v>
          </cell>
          <cell r="H199" t="str">
            <v>駿河変電所</v>
          </cell>
        </row>
        <row r="200">
          <cell r="F200" t="str">
            <v>his</v>
          </cell>
          <cell r="G200">
            <v>195</v>
          </cell>
          <cell r="H200" t="str">
            <v>東清水変電所</v>
          </cell>
        </row>
        <row r="201">
          <cell r="F201" t="str">
            <v>szh</v>
          </cell>
          <cell r="G201">
            <v>196</v>
          </cell>
          <cell r="H201" t="str">
            <v>静岡東分岐点</v>
          </cell>
        </row>
        <row r="202">
          <cell r="F202" t="str">
            <v>szn</v>
          </cell>
          <cell r="G202">
            <v>197</v>
          </cell>
          <cell r="H202" t="str">
            <v>静岡西分岐点</v>
          </cell>
        </row>
        <row r="203">
          <cell r="F203" t="str">
            <v>hid</v>
          </cell>
          <cell r="G203">
            <v>198</v>
          </cell>
          <cell r="H203" t="str">
            <v>飛騨変換所</v>
          </cell>
        </row>
        <row r="204">
          <cell r="F204" t="str">
            <v>ech</v>
          </cell>
          <cell r="G204">
            <v>199</v>
          </cell>
          <cell r="H204" t="str">
            <v>越前変電所</v>
          </cell>
        </row>
        <row r="205">
          <cell r="F205" t="str">
            <v>kga</v>
          </cell>
          <cell r="G205">
            <v>200</v>
          </cell>
          <cell r="H205" t="str">
            <v>加賀変電所</v>
          </cell>
        </row>
        <row r="206">
          <cell r="F206" t="str">
            <v>nnt</v>
          </cell>
          <cell r="G206">
            <v>201</v>
          </cell>
          <cell r="H206" t="str">
            <v>中能登変電所</v>
          </cell>
        </row>
        <row r="207">
          <cell r="F207" t="str">
            <v>mfm</v>
          </cell>
          <cell r="G207">
            <v>202</v>
          </cell>
          <cell r="H207" t="str">
            <v>南福光変電所</v>
          </cell>
        </row>
        <row r="208">
          <cell r="F208" t="str">
            <v>hkn</v>
          </cell>
          <cell r="G208">
            <v>203</v>
          </cell>
          <cell r="H208" t="str">
            <v>東金津変電所</v>
          </cell>
        </row>
        <row r="209">
          <cell r="F209" t="str">
            <v>sfk</v>
          </cell>
          <cell r="G209">
            <v>204</v>
          </cell>
          <cell r="H209" t="str">
            <v>新福井変電所</v>
          </cell>
        </row>
        <row r="210">
          <cell r="F210" t="str">
            <v>jbt</v>
          </cell>
          <cell r="G210">
            <v>205</v>
          </cell>
          <cell r="H210" t="str">
            <v>城端開閉所</v>
          </cell>
        </row>
        <row r="211">
          <cell r="F211" t="str">
            <v>sto</v>
          </cell>
          <cell r="G211">
            <v>206</v>
          </cell>
          <cell r="H211" t="str">
            <v>新富山変電所</v>
          </cell>
        </row>
        <row r="212">
          <cell r="F212" t="str">
            <v>nnj</v>
          </cell>
          <cell r="G212">
            <v>207</v>
          </cell>
          <cell r="H212" t="str">
            <v>南条変電所</v>
          </cell>
        </row>
        <row r="213">
          <cell r="F213" t="str">
            <v>hks</v>
          </cell>
          <cell r="G213">
            <v>208</v>
          </cell>
          <cell r="H213" t="str">
            <v>北摂変電所</v>
          </cell>
        </row>
        <row r="214">
          <cell r="F214" t="str">
            <v>nba</v>
          </cell>
          <cell r="G214">
            <v>209</v>
          </cell>
          <cell r="H214" t="str">
            <v>西播変電所</v>
          </cell>
        </row>
        <row r="215">
          <cell r="F215" t="str">
            <v>ing</v>
          </cell>
          <cell r="G215">
            <v>210</v>
          </cell>
          <cell r="H215" t="str">
            <v>猪名川変電所</v>
          </cell>
        </row>
        <row r="216">
          <cell r="F216" t="str">
            <v>kki</v>
          </cell>
          <cell r="G216">
            <v>211</v>
          </cell>
          <cell r="H216" t="str">
            <v>京北開閉所</v>
          </cell>
        </row>
        <row r="217">
          <cell r="F217" t="str">
            <v>nkt</v>
          </cell>
          <cell r="G217">
            <v>212</v>
          </cell>
          <cell r="H217" t="str">
            <v>西京都変電所</v>
          </cell>
        </row>
        <row r="218">
          <cell r="F218" t="str">
            <v>nse</v>
          </cell>
          <cell r="G218">
            <v>213</v>
          </cell>
          <cell r="H218" t="str">
            <v>能勢変電所</v>
          </cell>
        </row>
        <row r="219">
          <cell r="F219" t="str">
            <v>ikm</v>
          </cell>
          <cell r="G219">
            <v>214</v>
          </cell>
          <cell r="H219" t="str">
            <v>新生駒変電所</v>
          </cell>
        </row>
        <row r="220">
          <cell r="F220" t="str">
            <v>hom</v>
          </cell>
          <cell r="G220">
            <v>215</v>
          </cell>
          <cell r="H220" t="str">
            <v>東近江開閉所</v>
          </cell>
        </row>
        <row r="221">
          <cell r="F221" t="str">
            <v>mky</v>
          </cell>
          <cell r="G221">
            <v>216</v>
          </cell>
          <cell r="H221" t="str">
            <v>南京都変電所</v>
          </cell>
        </row>
        <row r="222">
          <cell r="F222" t="str">
            <v>yzk</v>
          </cell>
          <cell r="G222">
            <v>217</v>
          </cell>
          <cell r="H222" t="str">
            <v>山崎開閉所</v>
          </cell>
        </row>
        <row r="223">
          <cell r="F223" t="str">
            <v>okc</v>
          </cell>
          <cell r="G223">
            <v>218</v>
          </cell>
          <cell r="H223" t="str">
            <v>大河内発電所</v>
          </cell>
        </row>
        <row r="224">
          <cell r="F224" t="str">
            <v>mdk</v>
          </cell>
          <cell r="G224">
            <v>219</v>
          </cell>
          <cell r="H224" t="str">
            <v>舞鶴火力</v>
          </cell>
        </row>
        <row r="225">
          <cell r="F225" t="str">
            <v>ayb</v>
          </cell>
          <cell r="G225">
            <v>220</v>
          </cell>
          <cell r="H225" t="str">
            <v>新綾部変電所</v>
          </cell>
        </row>
        <row r="226">
          <cell r="F226" t="str">
            <v>ryn</v>
          </cell>
          <cell r="G226">
            <v>221</v>
          </cell>
          <cell r="H226" t="str">
            <v>嶺南変電所</v>
          </cell>
        </row>
        <row r="227">
          <cell r="F227" t="str">
            <v>ymt</v>
          </cell>
          <cell r="G227">
            <v>222</v>
          </cell>
          <cell r="H227" t="str">
            <v>東大和開閉所</v>
          </cell>
        </row>
        <row r="228">
          <cell r="F228" t="str">
            <v>kkt</v>
          </cell>
          <cell r="G228">
            <v>223</v>
          </cell>
          <cell r="H228" t="str">
            <v>紀北変換所</v>
          </cell>
        </row>
        <row r="229">
          <cell r="F229" t="str">
            <v>kya</v>
          </cell>
          <cell r="G229">
            <v>224</v>
          </cell>
          <cell r="H229" t="str">
            <v>１３４Ｔ（北大和線）</v>
          </cell>
        </row>
        <row r="230">
          <cell r="F230" t="str">
            <v>sgi</v>
          </cell>
          <cell r="G230">
            <v>225</v>
          </cell>
          <cell r="H230" t="str">
            <v>信貴変電所</v>
          </cell>
        </row>
        <row r="231">
          <cell r="F231" t="str">
            <v>hmj</v>
          </cell>
          <cell r="G231">
            <v>226</v>
          </cell>
          <cell r="H231" t="str">
            <v>姫路変電所</v>
          </cell>
        </row>
        <row r="232">
          <cell r="F232" t="str">
            <v>kbe</v>
          </cell>
          <cell r="G232">
            <v>227</v>
          </cell>
          <cell r="H232" t="str">
            <v>神戸変電所</v>
          </cell>
        </row>
        <row r="233">
          <cell r="F233" t="str">
            <v>ksi</v>
          </cell>
          <cell r="G233">
            <v>228</v>
          </cell>
          <cell r="H233" t="str">
            <v>４２Ｔ（北神線）</v>
          </cell>
        </row>
        <row r="234">
          <cell r="F234" t="str">
            <v>nkb</v>
          </cell>
          <cell r="G234">
            <v>229</v>
          </cell>
          <cell r="H234" t="str">
            <v>西神戸変電所</v>
          </cell>
        </row>
        <row r="235">
          <cell r="F235" t="str">
            <v>kkg</v>
          </cell>
          <cell r="G235">
            <v>230</v>
          </cell>
          <cell r="H235" t="str">
            <v>新加古川変電所</v>
          </cell>
        </row>
        <row r="236">
          <cell r="F236" t="str">
            <v>itn</v>
          </cell>
          <cell r="G236">
            <v>231</v>
          </cell>
          <cell r="H236" t="str">
            <v>伊丹変電所</v>
          </cell>
        </row>
        <row r="237">
          <cell r="F237" t="str">
            <v>kub</v>
          </cell>
          <cell r="G237">
            <v>232</v>
          </cell>
          <cell r="H237" t="str">
            <v>新神戸変電所</v>
          </cell>
        </row>
        <row r="238">
          <cell r="F238" t="str">
            <v>tkr</v>
          </cell>
          <cell r="G238">
            <v>233</v>
          </cell>
          <cell r="H238" t="str">
            <v>宝塚開閉所</v>
          </cell>
        </row>
        <row r="239">
          <cell r="F239" t="str">
            <v>noa</v>
          </cell>
          <cell r="G239">
            <v>234</v>
          </cell>
          <cell r="H239" t="str">
            <v>西大阪変電所</v>
          </cell>
        </row>
        <row r="240">
          <cell r="F240" t="str">
            <v>kos</v>
          </cell>
          <cell r="G240">
            <v>235</v>
          </cell>
          <cell r="H240" t="str">
            <v>北大阪変電所</v>
          </cell>
        </row>
        <row r="241">
          <cell r="F241" t="str">
            <v>ost</v>
          </cell>
          <cell r="G241">
            <v>236</v>
          </cell>
          <cell r="H241" t="str">
            <v>１７Ｔ（北大阪線）</v>
          </cell>
        </row>
        <row r="242">
          <cell r="F242" t="str">
            <v>ydg</v>
          </cell>
          <cell r="G242">
            <v>237</v>
          </cell>
          <cell r="H242" t="str">
            <v>淀川変電所</v>
          </cell>
        </row>
        <row r="243">
          <cell r="F243" t="str">
            <v>kse</v>
          </cell>
          <cell r="G243">
            <v>238</v>
          </cell>
          <cell r="H243" t="str">
            <v>喜線山発電所</v>
          </cell>
        </row>
        <row r="244">
          <cell r="F244" t="str">
            <v>kon</v>
          </cell>
          <cell r="G244">
            <v>239</v>
          </cell>
          <cell r="H244" t="str">
            <v>湖南変電所</v>
          </cell>
        </row>
        <row r="245">
          <cell r="F245" t="str">
            <v>khg</v>
          </cell>
          <cell r="G245">
            <v>240</v>
          </cell>
          <cell r="H245" t="str">
            <v>栗東変電所</v>
          </cell>
        </row>
        <row r="246">
          <cell r="F246" t="str">
            <v>kog</v>
          </cell>
          <cell r="G246">
            <v>241</v>
          </cell>
          <cell r="H246" t="str">
            <v>甲賀変電所</v>
          </cell>
        </row>
        <row r="247">
          <cell r="F247" t="str">
            <v>mai</v>
          </cell>
          <cell r="G247">
            <v>242</v>
          </cell>
          <cell r="H247" t="str">
            <v>枚方変電所（洛南）</v>
          </cell>
        </row>
        <row r="248">
          <cell r="F248" t="str">
            <v>mkt</v>
          </cell>
          <cell r="G248">
            <v>243</v>
          </cell>
          <cell r="H248" t="str">
            <v>枚方変電所</v>
          </cell>
        </row>
        <row r="249">
          <cell r="F249" t="str">
            <v>nyg</v>
          </cell>
          <cell r="G249">
            <v>244</v>
          </cell>
          <cell r="H249" t="str">
            <v>新寝屋川変電所</v>
          </cell>
        </row>
        <row r="250">
          <cell r="F250" t="str">
            <v>hos</v>
          </cell>
          <cell r="G250">
            <v>245</v>
          </cell>
          <cell r="H250" t="str">
            <v>東大阪変電所</v>
          </cell>
        </row>
        <row r="251">
          <cell r="F251" t="str">
            <v>mku</v>
          </cell>
          <cell r="G251">
            <v>246</v>
          </cell>
          <cell r="H251" t="str">
            <v>南河内変電所</v>
          </cell>
        </row>
        <row r="252">
          <cell r="F252" t="str">
            <v>knn</v>
          </cell>
          <cell r="G252">
            <v>247</v>
          </cell>
          <cell r="H252" t="str">
            <v>泉南変電所</v>
          </cell>
        </row>
        <row r="253">
          <cell r="F253" t="str">
            <v>kng</v>
          </cell>
          <cell r="G253">
            <v>248</v>
          </cell>
          <cell r="H253" t="str">
            <v>金剛開閉所</v>
          </cell>
        </row>
        <row r="254">
          <cell r="F254" t="str">
            <v>moo</v>
          </cell>
          <cell r="G254">
            <v>249</v>
          </cell>
          <cell r="H254" t="str">
            <v>南大阪変電所</v>
          </cell>
        </row>
        <row r="255">
          <cell r="F255" t="str">
            <v>kto</v>
          </cell>
          <cell r="G255">
            <v>250</v>
          </cell>
          <cell r="H255" t="str">
            <v>湖東変電所</v>
          </cell>
        </row>
        <row r="256">
          <cell r="F256" t="str">
            <v>ktg</v>
          </cell>
          <cell r="G256">
            <v>251</v>
          </cell>
          <cell r="H256" t="str">
            <v>北葛城変電所</v>
          </cell>
        </row>
        <row r="257">
          <cell r="F257" t="str">
            <v>kzn</v>
          </cell>
          <cell r="G257">
            <v>252</v>
          </cell>
          <cell r="H257" t="str">
            <v>小曽根変電所</v>
          </cell>
        </row>
        <row r="258">
          <cell r="F258" t="str">
            <v>kty</v>
          </cell>
          <cell r="G258">
            <v>253</v>
          </cell>
          <cell r="H258" t="str">
            <v>北豊中変電所</v>
          </cell>
        </row>
        <row r="259">
          <cell r="F259" t="str">
            <v>knk</v>
          </cell>
          <cell r="G259">
            <v>254</v>
          </cell>
          <cell r="H259" t="str">
            <v>紀の川変電所</v>
          </cell>
        </row>
        <row r="260">
          <cell r="F260" t="str">
            <v>osb</v>
          </cell>
          <cell r="G260">
            <v>255</v>
          </cell>
          <cell r="H260" t="str">
            <v>東大阪線分岐点</v>
          </cell>
        </row>
        <row r="261">
          <cell r="F261" t="str">
            <v>tuy</v>
          </cell>
          <cell r="G261">
            <v>256</v>
          </cell>
          <cell r="H261" t="str">
            <v>東予変電所</v>
          </cell>
        </row>
        <row r="262">
          <cell r="F262" t="str">
            <v>kwu</v>
          </cell>
          <cell r="G262">
            <v>257</v>
          </cell>
          <cell r="H262" t="str">
            <v>川内変電所</v>
          </cell>
        </row>
        <row r="263">
          <cell r="F263" t="str">
            <v>san</v>
          </cell>
          <cell r="G263">
            <v>258</v>
          </cell>
          <cell r="H263" t="str">
            <v>讃岐変電所</v>
          </cell>
        </row>
        <row r="264">
          <cell r="F264" t="str">
            <v>awa</v>
          </cell>
          <cell r="G264">
            <v>259</v>
          </cell>
          <cell r="H264" t="str">
            <v>阿波変電所</v>
          </cell>
        </row>
        <row r="265">
          <cell r="F265" t="str">
            <v>ana</v>
          </cell>
          <cell r="G265">
            <v>260</v>
          </cell>
          <cell r="H265" t="str">
            <v>阿南変換所</v>
          </cell>
        </row>
        <row r="266">
          <cell r="F266" t="str">
            <v>hir</v>
          </cell>
          <cell r="G266">
            <v>261</v>
          </cell>
          <cell r="H266" t="str">
            <v>広見変電所</v>
          </cell>
        </row>
        <row r="267">
          <cell r="F267" t="str">
            <v>ika</v>
          </cell>
          <cell r="G267">
            <v>262</v>
          </cell>
          <cell r="H267" t="str">
            <v>伊方原子力</v>
          </cell>
        </row>
        <row r="268">
          <cell r="F268" t="str">
            <v>osu</v>
          </cell>
          <cell r="G268">
            <v>263</v>
          </cell>
          <cell r="H268" t="str">
            <v>大洲変電所</v>
          </cell>
        </row>
        <row r="269">
          <cell r="F269" t="str">
            <v>mty</v>
          </cell>
          <cell r="G269">
            <v>264</v>
          </cell>
          <cell r="H269" t="str">
            <v>松山変電所</v>
          </cell>
        </row>
        <row r="270">
          <cell r="F270" t="str">
            <v>kmt</v>
          </cell>
          <cell r="G270">
            <v>265</v>
          </cell>
          <cell r="H270" t="str">
            <v>北松山変電所</v>
          </cell>
        </row>
        <row r="271">
          <cell r="F271" t="str">
            <v>njo</v>
          </cell>
          <cell r="G271">
            <v>266</v>
          </cell>
          <cell r="H271" t="str">
            <v>西条変電所</v>
          </cell>
        </row>
        <row r="272">
          <cell r="F272" t="str">
            <v>hkw</v>
          </cell>
          <cell r="G272">
            <v>267</v>
          </cell>
          <cell r="H272" t="str">
            <v>本川変電所</v>
          </cell>
        </row>
        <row r="273">
          <cell r="F273" t="str">
            <v>kuc</v>
          </cell>
          <cell r="G273">
            <v>268</v>
          </cell>
          <cell r="H273" t="str">
            <v>高知変電所</v>
          </cell>
        </row>
        <row r="274">
          <cell r="F274" t="str">
            <v>ska</v>
          </cell>
          <cell r="G274">
            <v>269</v>
          </cell>
          <cell r="H274" t="str">
            <v>新改変電所</v>
          </cell>
        </row>
        <row r="275">
          <cell r="F275" t="str">
            <v>ikw</v>
          </cell>
          <cell r="G275">
            <v>270</v>
          </cell>
          <cell r="H275" t="str">
            <v>井川変電所</v>
          </cell>
        </row>
        <row r="276">
          <cell r="F276" t="str">
            <v>msm</v>
          </cell>
          <cell r="G276">
            <v>271</v>
          </cell>
          <cell r="H276" t="str">
            <v>三島変電所</v>
          </cell>
        </row>
        <row r="277">
          <cell r="F277" t="str">
            <v>kgw</v>
          </cell>
          <cell r="G277">
            <v>272</v>
          </cell>
          <cell r="H277" t="str">
            <v>香川変電所</v>
          </cell>
        </row>
        <row r="278">
          <cell r="F278" t="str">
            <v>asa</v>
          </cell>
          <cell r="G278">
            <v>273</v>
          </cell>
          <cell r="H278" t="str">
            <v>麻変電所</v>
          </cell>
        </row>
        <row r="279">
          <cell r="F279" t="str">
            <v>tak</v>
          </cell>
          <cell r="G279">
            <v>274</v>
          </cell>
          <cell r="H279" t="str">
            <v>高松変電所</v>
          </cell>
        </row>
        <row r="280">
          <cell r="F280" t="str">
            <v>nrt</v>
          </cell>
          <cell r="G280">
            <v>275</v>
          </cell>
          <cell r="H280" t="str">
            <v>鳴門変電所</v>
          </cell>
        </row>
        <row r="281">
          <cell r="F281" t="str">
            <v>ook</v>
          </cell>
          <cell r="G281">
            <v>276</v>
          </cell>
          <cell r="H281" t="str">
            <v>大川変電所</v>
          </cell>
        </row>
        <row r="282">
          <cell r="F282" t="str">
            <v>kun</v>
          </cell>
          <cell r="G282">
            <v>277</v>
          </cell>
          <cell r="H282" t="str">
            <v>国府変電所</v>
          </cell>
        </row>
        <row r="283">
          <cell r="F283" t="str">
            <v>sym</v>
          </cell>
          <cell r="G283">
            <v>278</v>
          </cell>
          <cell r="H283" t="str">
            <v>新山口（変）</v>
          </cell>
        </row>
        <row r="284">
          <cell r="F284" t="str">
            <v>ssn</v>
          </cell>
          <cell r="G284">
            <v>279</v>
          </cell>
          <cell r="H284" t="str">
            <v>西島根（変）</v>
          </cell>
        </row>
        <row r="285">
          <cell r="F285" t="str">
            <v>hno</v>
          </cell>
          <cell r="G285">
            <v>280</v>
          </cell>
          <cell r="H285" t="str">
            <v>日野（変）</v>
          </cell>
        </row>
        <row r="286">
          <cell r="F286" t="str">
            <v>cht</v>
          </cell>
          <cell r="G286">
            <v>281</v>
          </cell>
          <cell r="H286" t="str">
            <v>智頭（変）</v>
          </cell>
        </row>
        <row r="287">
          <cell r="F287" t="str">
            <v>hmg</v>
          </cell>
          <cell r="G287">
            <v>282</v>
          </cell>
          <cell r="H287" t="str">
            <v>東山口（変）</v>
          </cell>
        </row>
        <row r="288">
          <cell r="F288" t="str">
            <v>shs</v>
          </cell>
          <cell r="G288">
            <v>283</v>
          </cell>
          <cell r="H288" t="str">
            <v>新西広島（変）</v>
          </cell>
        </row>
        <row r="289">
          <cell r="F289" t="str">
            <v>shm</v>
          </cell>
          <cell r="G289">
            <v>284</v>
          </cell>
          <cell r="H289" t="str">
            <v>新広島（変）</v>
          </cell>
        </row>
        <row r="290">
          <cell r="F290" t="str">
            <v>sok</v>
          </cell>
          <cell r="G290">
            <v>285</v>
          </cell>
          <cell r="H290" t="str">
            <v>新岡山（変）</v>
          </cell>
        </row>
        <row r="291">
          <cell r="F291" t="str">
            <v>hok</v>
          </cell>
          <cell r="G291">
            <v>286</v>
          </cell>
          <cell r="H291" t="str">
            <v>東岡山（変）</v>
          </cell>
        </row>
        <row r="292">
          <cell r="F292" t="str">
            <v>kme</v>
          </cell>
          <cell r="G292">
            <v>287</v>
          </cell>
          <cell r="H292" t="str">
            <v>北松江（変）</v>
          </cell>
        </row>
        <row r="293">
          <cell r="F293" t="str">
            <v>ymg</v>
          </cell>
          <cell r="G293">
            <v>288</v>
          </cell>
          <cell r="H293" t="str">
            <v>山口（変）</v>
          </cell>
        </row>
        <row r="294">
          <cell r="F294" t="str">
            <v>mya</v>
          </cell>
          <cell r="G294">
            <v>289</v>
          </cell>
          <cell r="H294" t="str">
            <v>南山口（変）</v>
          </cell>
        </row>
        <row r="295">
          <cell r="F295" t="str">
            <v>sty</v>
          </cell>
          <cell r="G295">
            <v>290</v>
          </cell>
          <cell r="H295" t="str">
            <v>新徳山（変）</v>
          </cell>
        </row>
        <row r="296">
          <cell r="F296" t="str">
            <v>hto</v>
          </cell>
          <cell r="G296">
            <v>291</v>
          </cell>
          <cell r="H296" t="str">
            <v>広島中央（変）</v>
          </cell>
        </row>
        <row r="297">
          <cell r="F297" t="str">
            <v>tkg</v>
          </cell>
          <cell r="G297">
            <v>292</v>
          </cell>
          <cell r="H297" t="str">
            <v>作木（変）</v>
          </cell>
        </row>
        <row r="298">
          <cell r="F298" t="str">
            <v>hrs</v>
          </cell>
          <cell r="G298">
            <v>293</v>
          </cell>
          <cell r="H298" t="str">
            <v>広島（変）</v>
          </cell>
        </row>
        <row r="299">
          <cell r="F299" t="str">
            <v>krs</v>
          </cell>
          <cell r="G299">
            <v>294</v>
          </cell>
          <cell r="H299" t="str">
            <v>黒瀬（変）</v>
          </cell>
        </row>
        <row r="300">
          <cell r="F300" t="str">
            <v>onm</v>
          </cell>
          <cell r="G300">
            <v>295</v>
          </cell>
          <cell r="H300" t="str">
            <v>北尾道（変）</v>
          </cell>
        </row>
        <row r="301">
          <cell r="F301" t="str">
            <v>ihr</v>
          </cell>
          <cell r="G301">
            <v>296</v>
          </cell>
          <cell r="H301" t="str">
            <v>井原（開）</v>
          </cell>
        </row>
        <row r="302">
          <cell r="F302" t="str">
            <v>kso</v>
          </cell>
          <cell r="G302">
            <v>297</v>
          </cell>
          <cell r="H302" t="str">
            <v>笠岡（変）</v>
          </cell>
        </row>
        <row r="303">
          <cell r="F303" t="str">
            <v>kus</v>
          </cell>
          <cell r="G303">
            <v>298</v>
          </cell>
          <cell r="H303" t="str">
            <v>新倉敷（変）</v>
          </cell>
        </row>
        <row r="304">
          <cell r="F304" t="str">
            <v>okm</v>
          </cell>
          <cell r="G304">
            <v>299</v>
          </cell>
          <cell r="H304" t="str">
            <v>岡山（変）</v>
          </cell>
        </row>
        <row r="305">
          <cell r="F305" t="str">
            <v>mte</v>
          </cell>
          <cell r="G305">
            <v>300</v>
          </cell>
          <cell r="H305" t="str">
            <v>松江（変）</v>
          </cell>
        </row>
        <row r="306">
          <cell r="F306" t="str">
            <v>ttr</v>
          </cell>
          <cell r="G306">
            <v>301</v>
          </cell>
          <cell r="H306" t="str">
            <v>新鳥取（変）</v>
          </cell>
        </row>
        <row r="307">
          <cell r="F307" t="str">
            <v>ygc</v>
          </cell>
          <cell r="G307">
            <v>302</v>
          </cell>
          <cell r="H307" t="str">
            <v>山口幹線</v>
          </cell>
        </row>
        <row r="308">
          <cell r="F308" t="str">
            <v>hsm</v>
          </cell>
          <cell r="G308">
            <v>303</v>
          </cell>
          <cell r="H308" t="str">
            <v>広島西幹線</v>
          </cell>
        </row>
        <row r="309">
          <cell r="F309" t="str">
            <v>sin</v>
          </cell>
          <cell r="G309">
            <v>304</v>
          </cell>
          <cell r="H309" t="str">
            <v>山陰幹線</v>
          </cell>
        </row>
        <row r="310">
          <cell r="F310" t="str">
            <v>hhi</v>
          </cell>
          <cell r="G310">
            <v>305</v>
          </cell>
          <cell r="H310" t="str">
            <v>広島東幹線</v>
          </cell>
        </row>
        <row r="311">
          <cell r="F311" t="str">
            <v>oky</v>
          </cell>
          <cell r="G311">
            <v>306</v>
          </cell>
          <cell r="H311" t="str">
            <v>岡山幹線</v>
          </cell>
        </row>
        <row r="312">
          <cell r="F312" t="str">
            <v>sfr</v>
          </cell>
          <cell r="G312">
            <v>307</v>
          </cell>
          <cell r="H312" t="str">
            <v>脊振変電所</v>
          </cell>
        </row>
        <row r="313">
          <cell r="F313" t="str">
            <v>kky</v>
          </cell>
          <cell r="G313">
            <v>308</v>
          </cell>
          <cell r="H313" t="str">
            <v>北九州変電所</v>
          </cell>
        </row>
        <row r="314">
          <cell r="F314" t="str">
            <v>tme</v>
          </cell>
          <cell r="G314">
            <v>309</v>
          </cell>
          <cell r="H314" t="str">
            <v>豊前変電所</v>
          </cell>
        </row>
        <row r="315">
          <cell r="F315" t="str">
            <v>cho</v>
          </cell>
          <cell r="G315">
            <v>310</v>
          </cell>
          <cell r="H315" t="str">
            <v>中央変電所</v>
          </cell>
        </row>
        <row r="316">
          <cell r="F316" t="str">
            <v>hky</v>
          </cell>
          <cell r="G316">
            <v>311</v>
          </cell>
          <cell r="H316" t="str">
            <v>東九州変電所</v>
          </cell>
        </row>
        <row r="317">
          <cell r="F317" t="str">
            <v>ksy</v>
          </cell>
          <cell r="G317">
            <v>312</v>
          </cell>
          <cell r="H317" t="str">
            <v>西九州変電所</v>
          </cell>
        </row>
        <row r="318">
          <cell r="F318" t="str">
            <v>kum</v>
          </cell>
          <cell r="G318">
            <v>313</v>
          </cell>
          <cell r="H318" t="str">
            <v>熊本変電所</v>
          </cell>
        </row>
        <row r="319">
          <cell r="F319" t="str">
            <v>ksu</v>
          </cell>
          <cell r="G319">
            <v>314</v>
          </cell>
          <cell r="H319" t="str">
            <v>中九州変電所</v>
          </cell>
        </row>
        <row r="320">
          <cell r="F320" t="str">
            <v>mks</v>
          </cell>
          <cell r="G320">
            <v>315</v>
          </cell>
          <cell r="H320" t="str">
            <v>南九州変電所</v>
          </cell>
        </row>
        <row r="321">
          <cell r="F321" t="str">
            <v>myz</v>
          </cell>
          <cell r="G321">
            <v>316</v>
          </cell>
          <cell r="H321" t="str">
            <v>宮崎変電所</v>
          </cell>
        </row>
        <row r="322">
          <cell r="F322" t="str">
            <v>nsy</v>
          </cell>
          <cell r="G322">
            <v>317</v>
          </cell>
          <cell r="H322" t="str">
            <v>西谷変電所</v>
          </cell>
        </row>
        <row r="323">
          <cell r="F323" t="str">
            <v>tkd</v>
          </cell>
          <cell r="G323">
            <v>318</v>
          </cell>
          <cell r="H323" t="str">
            <v>槻田開閉所</v>
          </cell>
        </row>
        <row r="324">
          <cell r="F324" t="str">
            <v>uty</v>
          </cell>
          <cell r="G324">
            <v>319</v>
          </cell>
          <cell r="H324" t="str">
            <v>上津役変電所</v>
          </cell>
        </row>
        <row r="325">
          <cell r="F325" t="str">
            <v>mje</v>
          </cell>
          <cell r="G325">
            <v>320</v>
          </cell>
          <cell r="H325" t="str">
            <v>門司変電所</v>
          </cell>
        </row>
        <row r="326">
          <cell r="F326" t="str">
            <v>knd</v>
          </cell>
          <cell r="G326">
            <v>321</v>
          </cell>
          <cell r="H326" t="str">
            <v>苅田変電所</v>
          </cell>
        </row>
        <row r="327">
          <cell r="F327" t="str">
            <v>tsu</v>
          </cell>
          <cell r="G327">
            <v>322</v>
          </cell>
          <cell r="H327" t="str">
            <v>到津変電所</v>
          </cell>
        </row>
        <row r="328">
          <cell r="F328" t="str">
            <v>noi</v>
          </cell>
          <cell r="G328">
            <v>323</v>
          </cell>
          <cell r="H328" t="str">
            <v>西大分変電所</v>
          </cell>
        </row>
        <row r="329">
          <cell r="F329" t="str">
            <v>ooi</v>
          </cell>
          <cell r="G329">
            <v>324</v>
          </cell>
          <cell r="H329" t="str">
            <v>大分変電所</v>
          </cell>
        </row>
        <row r="330">
          <cell r="F330" t="str">
            <v>hoi</v>
          </cell>
          <cell r="G330">
            <v>325</v>
          </cell>
          <cell r="H330" t="str">
            <v>東大分変電所</v>
          </cell>
        </row>
        <row r="331">
          <cell r="F331" t="str">
            <v>snk</v>
          </cell>
          <cell r="G331">
            <v>326</v>
          </cell>
          <cell r="H331" t="str">
            <v>山家変電所</v>
          </cell>
        </row>
        <row r="332">
          <cell r="F332" t="str">
            <v>fko</v>
          </cell>
          <cell r="G332">
            <v>327</v>
          </cell>
          <cell r="H332" t="str">
            <v>東福岡変電所</v>
          </cell>
        </row>
        <row r="333">
          <cell r="F333" t="str">
            <v>tkh</v>
          </cell>
          <cell r="G333">
            <v>328</v>
          </cell>
          <cell r="H333" t="str">
            <v>筑豊変電所</v>
          </cell>
        </row>
        <row r="334">
          <cell r="F334" t="str">
            <v>sys</v>
          </cell>
          <cell r="G334">
            <v>329</v>
          </cell>
          <cell r="H334" t="str">
            <v>住吉変電所</v>
          </cell>
        </row>
        <row r="335">
          <cell r="F335" t="str">
            <v>kts</v>
          </cell>
          <cell r="G335">
            <v>330</v>
          </cell>
          <cell r="H335" t="str">
            <v>唐津変電所</v>
          </cell>
        </row>
        <row r="336">
          <cell r="F336" t="str">
            <v>tko</v>
          </cell>
          <cell r="G336">
            <v>331</v>
          </cell>
          <cell r="H336" t="str">
            <v>武雄変電所</v>
          </cell>
        </row>
        <row r="337">
          <cell r="F337" t="str">
            <v>ssb</v>
          </cell>
          <cell r="G337">
            <v>332</v>
          </cell>
          <cell r="H337" t="str">
            <v>東佐世保変電所</v>
          </cell>
        </row>
        <row r="338">
          <cell r="F338" t="str">
            <v>ngs</v>
          </cell>
          <cell r="G338">
            <v>333</v>
          </cell>
          <cell r="H338" t="str">
            <v>長崎変電所</v>
          </cell>
        </row>
        <row r="339">
          <cell r="F339" t="str">
            <v>iba</v>
          </cell>
          <cell r="G339">
            <v>334</v>
          </cell>
          <cell r="H339" t="str">
            <v>諫早変電所</v>
          </cell>
        </row>
        <row r="340">
          <cell r="F340" t="str">
            <v>ksk</v>
          </cell>
          <cell r="G340">
            <v>335</v>
          </cell>
          <cell r="H340" t="str">
            <v>木佐木変電所</v>
          </cell>
        </row>
        <row r="341">
          <cell r="F341" t="str">
            <v>tsr</v>
          </cell>
          <cell r="G341">
            <v>336</v>
          </cell>
          <cell r="H341" t="str">
            <v>鳥栖変電所</v>
          </cell>
        </row>
        <row r="342">
          <cell r="F342" t="str">
            <v>sni</v>
          </cell>
          <cell r="G342">
            <v>337</v>
          </cell>
          <cell r="H342" t="str">
            <v>三池変電所</v>
          </cell>
        </row>
        <row r="343">
          <cell r="F343" t="str">
            <v>mkm</v>
          </cell>
          <cell r="G343">
            <v>338</v>
          </cell>
          <cell r="H343" t="str">
            <v>南熊本変電所</v>
          </cell>
        </row>
        <row r="344">
          <cell r="F344" t="str">
            <v>hta</v>
          </cell>
          <cell r="G344">
            <v>339</v>
          </cell>
          <cell r="H344" t="str">
            <v>日田変電所</v>
          </cell>
        </row>
        <row r="345">
          <cell r="F345" t="str">
            <v>hty</v>
          </cell>
          <cell r="G345">
            <v>340</v>
          </cell>
          <cell r="H345" t="str">
            <v>人吉変電所</v>
          </cell>
        </row>
        <row r="346">
          <cell r="F346" t="str">
            <v>ysr</v>
          </cell>
          <cell r="G346">
            <v>341</v>
          </cell>
          <cell r="H346" t="str">
            <v>八代変電所</v>
          </cell>
        </row>
        <row r="347">
          <cell r="F347" t="str">
            <v>kgs</v>
          </cell>
          <cell r="G347">
            <v>342</v>
          </cell>
          <cell r="H347" t="str">
            <v>鹿児島変電所</v>
          </cell>
        </row>
        <row r="348">
          <cell r="F348" t="str">
            <v>tkn</v>
          </cell>
          <cell r="G348">
            <v>343</v>
          </cell>
          <cell r="H348" t="str">
            <v>高野開閉所</v>
          </cell>
        </row>
        <row r="349">
          <cell r="F349" t="str">
            <v>ksh</v>
          </cell>
          <cell r="G349">
            <v>344</v>
          </cell>
          <cell r="H349" t="str">
            <v>霧島変電所</v>
          </cell>
        </row>
        <row r="350">
          <cell r="F350" t="str">
            <v>tsi</v>
          </cell>
          <cell r="G350">
            <v>345</v>
          </cell>
          <cell r="H350" t="str">
            <v>都城変電所</v>
          </cell>
        </row>
        <row r="351">
          <cell r="F351" t="str">
            <v>oos</v>
          </cell>
          <cell r="G351">
            <v>346</v>
          </cell>
          <cell r="H351" t="str">
            <v>大隅変電所</v>
          </cell>
        </row>
        <row r="352">
          <cell r="F352" t="str">
            <v>ksa</v>
          </cell>
          <cell r="G352">
            <v>347</v>
          </cell>
          <cell r="H352" t="str">
            <v>海崎変電所</v>
          </cell>
        </row>
        <row r="353">
          <cell r="F353" t="str">
            <v>nfu</v>
          </cell>
          <cell r="G353">
            <v>348</v>
          </cell>
          <cell r="H353" t="str">
            <v>西福岡変電所</v>
          </cell>
        </row>
        <row r="354">
          <cell r="F354" t="str">
            <v>mmi</v>
          </cell>
          <cell r="G354">
            <v>349</v>
          </cell>
          <cell r="H354" t="str">
            <v>南宮崎変電所</v>
          </cell>
        </row>
        <row r="355">
          <cell r="F355" t="str">
            <v>krm</v>
          </cell>
          <cell r="G355">
            <v>350</v>
          </cell>
          <cell r="H355" t="str">
            <v>久留米変電所</v>
          </cell>
        </row>
        <row r="356">
          <cell r="F356" t="str">
            <v>mfk</v>
          </cell>
          <cell r="G356">
            <v>351</v>
          </cell>
          <cell r="H356" t="str">
            <v>南福岡変電所</v>
          </cell>
        </row>
        <row r="357">
          <cell r="F357" t="str">
            <v>sag</v>
          </cell>
          <cell r="G357">
            <v>352</v>
          </cell>
          <cell r="H357" t="str">
            <v>北佐賀変電所</v>
          </cell>
        </row>
        <row r="358">
          <cell r="F358" t="str">
            <v>hay</v>
          </cell>
          <cell r="G358">
            <v>353</v>
          </cell>
          <cell r="H358" t="str">
            <v>速見変電所</v>
          </cell>
        </row>
        <row r="359">
          <cell r="F359" t="str">
            <v>ito</v>
          </cell>
          <cell r="G359">
            <v>354</v>
          </cell>
          <cell r="H359" t="str">
            <v>伊都変電所</v>
          </cell>
        </row>
        <row r="360">
          <cell r="F360" t="str">
            <v>ymi</v>
          </cell>
          <cell r="G360">
            <v>355</v>
          </cell>
          <cell r="H360" t="str">
            <v>弓削変電所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I1048575"/>
  <sheetViews>
    <sheetView tabSelected="1" topLeftCell="A76" zoomScaleNormal="100" workbookViewId="0">
      <selection activeCell="D87" sqref="D87"/>
    </sheetView>
  </sheetViews>
  <sheetFormatPr defaultRowHeight="13.5" x14ac:dyDescent="0.15"/>
  <cols>
    <col min="4" max="4" width="14.5" customWidth="1"/>
    <col min="23" max="23" width="9" customWidth="1"/>
  </cols>
  <sheetData>
    <row r="2" spans="2:35" x14ac:dyDescent="0.15">
      <c r="E2" t="s">
        <v>381</v>
      </c>
      <c r="N2" t="s">
        <v>382</v>
      </c>
      <c r="W2" t="s">
        <v>377</v>
      </c>
    </row>
    <row r="3" spans="2:35" ht="14.25" thickBot="1" x14ac:dyDescent="0.2">
      <c r="E3" s="47">
        <f>SUM(E5:E360)</f>
        <v>0.99999999999999867</v>
      </c>
      <c r="F3" s="47">
        <f>SUM(F5:F360)</f>
        <v>0.99999995796234742</v>
      </c>
      <c r="G3" s="47">
        <f>SUM(G5:G360)</f>
        <v>1.0000000000000007</v>
      </c>
      <c r="H3" s="47">
        <f>SUM(H5:H360)</f>
        <v>1</v>
      </c>
      <c r="I3" s="47">
        <f>SUM(I5:I360)</f>
        <v>1</v>
      </c>
      <c r="J3" s="47">
        <f>SUM(J5:J360)</f>
        <v>1.0000000000000004</v>
      </c>
      <c r="K3" s="47">
        <f>SUM(K5:K360)</f>
        <v>0.99999999999999989</v>
      </c>
      <c r="L3" s="47">
        <f>SUM(L5:L360)</f>
        <v>1.0000000000000002</v>
      </c>
      <c r="M3" s="47">
        <f>SUM(M5:M360)</f>
        <v>1.0000000000000004</v>
      </c>
      <c r="N3" s="47">
        <f>SUM(N5:N360)</f>
        <v>1.000000198141382</v>
      </c>
      <c r="O3" s="47">
        <f>SUM(O5:O360)</f>
        <v>1</v>
      </c>
      <c r="P3" s="47">
        <f>SUM(P5:P360)</f>
        <v>1</v>
      </c>
      <c r="Q3" s="47">
        <f>SUM(Q5:Q360)</f>
        <v>1</v>
      </c>
      <c r="R3" s="47">
        <f>SUM(R5:R360)</f>
        <v>1</v>
      </c>
      <c r="S3" s="47">
        <f>SUM(S5:S360)</f>
        <v>1</v>
      </c>
      <c r="T3" s="47">
        <f>SUM(T5:T360)</f>
        <v>1</v>
      </c>
      <c r="U3" s="47">
        <f>SUM(U5:U360)</f>
        <v>1</v>
      </c>
      <c r="V3" s="47">
        <f>SUM(V5:V360)</f>
        <v>1</v>
      </c>
      <c r="W3" s="47">
        <f>SUM(W5:W360)</f>
        <v>0.99999999999999978</v>
      </c>
      <c r="X3" s="47">
        <f>SUM(X5:X360)</f>
        <v>0.99999999744536894</v>
      </c>
      <c r="Y3" s="47">
        <f>SUM(Y5:Y360)</f>
        <v>1.0000000000000009</v>
      </c>
      <c r="Z3" s="47">
        <f>SUM(Z5:Z360)</f>
        <v>0.99999999999999978</v>
      </c>
      <c r="AA3" s="47">
        <f>SUM(AA5:AA360)</f>
        <v>1.0000000000000002</v>
      </c>
      <c r="AB3" s="47">
        <f>SUM(AB5:AB360)</f>
        <v>1.0000000000000002</v>
      </c>
      <c r="AC3" s="47">
        <f>SUM(AC5:AC360)</f>
        <v>0.99999999999999978</v>
      </c>
      <c r="AD3" s="47">
        <f>SUM(AD5:AD360)</f>
        <v>0.99999999999999989</v>
      </c>
      <c r="AE3" s="47">
        <f>SUM(AE5:AE360)</f>
        <v>1.0000000000000004</v>
      </c>
    </row>
    <row r="4" spans="2:35" ht="15.75" thickBot="1" x14ac:dyDescent="0.2">
      <c r="C4" s="17">
        <f>ROWS(VRES)</f>
        <v>356</v>
      </c>
      <c r="D4" s="18">
        <f>COLUMNS(VRES)</f>
        <v>3</v>
      </c>
      <c r="E4" s="19" t="s">
        <v>7</v>
      </c>
      <c r="F4" s="20" t="s">
        <v>8</v>
      </c>
      <c r="G4" s="20" t="s">
        <v>9</v>
      </c>
      <c r="H4" s="20" t="s">
        <v>10</v>
      </c>
      <c r="I4" s="20" t="s">
        <v>11</v>
      </c>
      <c r="J4" s="20" t="s">
        <v>12</v>
      </c>
      <c r="K4" s="20" t="s">
        <v>13</v>
      </c>
      <c r="L4" s="20" t="s">
        <v>14</v>
      </c>
      <c r="M4" s="70" t="s">
        <v>16</v>
      </c>
      <c r="N4" s="19" t="s">
        <v>7</v>
      </c>
      <c r="O4" s="20" t="s">
        <v>8</v>
      </c>
      <c r="P4" s="20" t="s">
        <v>9</v>
      </c>
      <c r="Q4" s="20" t="s">
        <v>10</v>
      </c>
      <c r="R4" s="20" t="s">
        <v>11</v>
      </c>
      <c r="S4" s="20" t="s">
        <v>12</v>
      </c>
      <c r="T4" s="20" t="s">
        <v>13</v>
      </c>
      <c r="U4" s="20" t="s">
        <v>14</v>
      </c>
      <c r="V4" s="21" t="s">
        <v>16</v>
      </c>
      <c r="W4" s="71" t="s">
        <v>7</v>
      </c>
      <c r="X4" s="16" t="s">
        <v>8</v>
      </c>
      <c r="Y4" s="16" t="s">
        <v>9</v>
      </c>
      <c r="Z4" s="16" t="s">
        <v>10</v>
      </c>
      <c r="AA4" s="16" t="s">
        <v>11</v>
      </c>
      <c r="AB4" s="16" t="s">
        <v>12</v>
      </c>
      <c r="AC4" s="16" t="s">
        <v>13</v>
      </c>
      <c r="AD4" s="16" t="s">
        <v>14</v>
      </c>
      <c r="AE4" s="33" t="s">
        <v>16</v>
      </c>
    </row>
    <row r="5" spans="2:35" ht="15.75" thickBot="1" x14ac:dyDescent="0.2">
      <c r="B5" t="s">
        <v>21</v>
      </c>
      <c r="C5" s="22">
        <f>VLOOKUP(B5,[1]SYS!$F$5:$G$360,2,FALSE)</f>
        <v>0</v>
      </c>
      <c r="D5" s="34" t="str">
        <f>VLOOKUP(C5,[1]SYS!$G$5:$H$360,2,FALSE)</f>
        <v>西当別変電所</v>
      </c>
      <c r="E5" s="36">
        <v>0.11183559569947001</v>
      </c>
      <c r="F5" s="23">
        <v>0</v>
      </c>
      <c r="G5" s="23">
        <v>0</v>
      </c>
      <c r="H5" s="23">
        <v>0</v>
      </c>
      <c r="I5" s="23">
        <v>0</v>
      </c>
      <c r="J5" s="23">
        <v>0</v>
      </c>
      <c r="K5" s="23">
        <v>0</v>
      </c>
      <c r="L5" s="23">
        <v>0</v>
      </c>
      <c r="M5" s="62">
        <v>0</v>
      </c>
      <c r="N5" s="36">
        <v>0.21183559569947</v>
      </c>
      <c r="O5" s="23">
        <v>0</v>
      </c>
      <c r="P5" s="23">
        <v>0</v>
      </c>
      <c r="Q5" s="23">
        <v>0</v>
      </c>
      <c r="R5" s="23">
        <v>0</v>
      </c>
      <c r="S5" s="23">
        <v>0</v>
      </c>
      <c r="T5" s="23">
        <v>0</v>
      </c>
      <c r="U5" s="23">
        <v>0</v>
      </c>
      <c r="V5" s="24">
        <v>0</v>
      </c>
      <c r="W5" s="66">
        <v>9.2246904860567372E-3</v>
      </c>
      <c r="X5" s="31">
        <v>0</v>
      </c>
      <c r="Y5" s="31">
        <v>0</v>
      </c>
      <c r="Z5" s="31">
        <v>0</v>
      </c>
      <c r="AA5" s="31">
        <v>0</v>
      </c>
      <c r="AB5" s="31">
        <v>0</v>
      </c>
      <c r="AC5" s="31">
        <v>0</v>
      </c>
      <c r="AD5" s="31">
        <v>0</v>
      </c>
      <c r="AE5" s="32">
        <v>0</v>
      </c>
      <c r="AG5" s="30">
        <f t="shared" ref="AG5:AG68" si="0">SUM(E5:M5)</f>
        <v>0.11183559569947001</v>
      </c>
      <c r="AH5" s="30">
        <f>SUM(N5:V5)</f>
        <v>0.21183559569947</v>
      </c>
      <c r="AI5" s="30">
        <f>SUM(W5:AE5)</f>
        <v>9.2246904860567372E-3</v>
      </c>
    </row>
    <row r="6" spans="2:35" ht="15.75" thickBot="1" x14ac:dyDescent="0.2">
      <c r="B6" t="s">
        <v>22</v>
      </c>
      <c r="C6" s="22">
        <f>VLOOKUP(B6,[1]SYS!$F$5:$G$360,2,FALSE)</f>
        <v>1</v>
      </c>
      <c r="D6" s="34" t="str">
        <f>VLOOKUP(C6,[1]SYS!$G$5:$H$360,2,FALSE)</f>
        <v>西野変電所</v>
      </c>
      <c r="E6" s="4">
        <v>7.3497630589096881E-5</v>
      </c>
      <c r="F6" s="26">
        <v>0</v>
      </c>
      <c r="G6" s="26">
        <v>0</v>
      </c>
      <c r="H6" s="26">
        <v>0</v>
      </c>
      <c r="I6" s="26">
        <v>0</v>
      </c>
      <c r="J6" s="26">
        <v>0</v>
      </c>
      <c r="K6" s="26">
        <v>0</v>
      </c>
      <c r="L6" s="26">
        <v>0</v>
      </c>
      <c r="M6" s="63">
        <v>0</v>
      </c>
      <c r="N6" s="37">
        <v>0</v>
      </c>
      <c r="O6" s="26">
        <v>0</v>
      </c>
      <c r="P6" s="26">
        <v>0</v>
      </c>
      <c r="Q6" s="26">
        <v>0</v>
      </c>
      <c r="R6" s="26">
        <v>0</v>
      </c>
      <c r="S6" s="26">
        <v>0</v>
      </c>
      <c r="T6" s="26">
        <v>0</v>
      </c>
      <c r="U6" s="26">
        <v>0</v>
      </c>
      <c r="V6" s="27">
        <v>0</v>
      </c>
      <c r="W6" s="67">
        <v>1.6443977484625023E-2</v>
      </c>
      <c r="X6" s="30">
        <v>0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25">
        <v>0</v>
      </c>
      <c r="AG6" s="30">
        <f t="shared" si="0"/>
        <v>7.3497630589096881E-5</v>
      </c>
      <c r="AH6" s="30">
        <f t="shared" ref="AH6:AH69" si="1">SUM(N6:V6)</f>
        <v>0</v>
      </c>
      <c r="AI6" s="30">
        <f t="shared" ref="AI6:AI70" si="2">SUM(W6:AE6)</f>
        <v>1.6443977484625023E-2</v>
      </c>
    </row>
    <row r="7" spans="2:35" ht="15.75" thickBot="1" x14ac:dyDescent="0.2">
      <c r="B7" t="s">
        <v>23</v>
      </c>
      <c r="C7" s="22">
        <f>VLOOKUP(B7,[1]SYS!$F$5:$G$360,2,FALSE)</f>
        <v>2</v>
      </c>
      <c r="D7" s="34" t="str">
        <f>VLOOKUP(C7,[1]SYS!$G$5:$H$360,2,FALSE)</f>
        <v>西双葉開閉所</v>
      </c>
      <c r="E7" s="4">
        <v>6.7357423178226851E-3</v>
      </c>
      <c r="F7" s="26">
        <v>0</v>
      </c>
      <c r="G7" s="26">
        <v>0</v>
      </c>
      <c r="H7" s="26">
        <v>0</v>
      </c>
      <c r="I7" s="26">
        <v>0</v>
      </c>
      <c r="J7" s="26">
        <v>0</v>
      </c>
      <c r="K7" s="26">
        <v>0</v>
      </c>
      <c r="L7" s="26">
        <v>0</v>
      </c>
      <c r="M7" s="63">
        <v>0</v>
      </c>
      <c r="N7" s="37">
        <v>0</v>
      </c>
      <c r="O7" s="26">
        <v>0</v>
      </c>
      <c r="P7" s="26">
        <v>0</v>
      </c>
      <c r="Q7" s="26">
        <v>0</v>
      </c>
      <c r="R7" s="26">
        <v>0</v>
      </c>
      <c r="S7" s="26">
        <v>0</v>
      </c>
      <c r="T7" s="26">
        <v>0</v>
      </c>
      <c r="U7" s="26">
        <v>0</v>
      </c>
      <c r="V7" s="27">
        <v>0</v>
      </c>
      <c r="W7" s="67">
        <v>9.6289000654215043E-3</v>
      </c>
      <c r="X7" s="30">
        <v>0</v>
      </c>
      <c r="Y7" s="30">
        <v>0</v>
      </c>
      <c r="Z7" s="30">
        <v>0</v>
      </c>
      <c r="AA7" s="30">
        <v>0</v>
      </c>
      <c r="AB7" s="30">
        <v>0</v>
      </c>
      <c r="AC7" s="30">
        <v>0</v>
      </c>
      <c r="AD7" s="30">
        <v>0</v>
      </c>
      <c r="AE7" s="25">
        <v>0</v>
      </c>
      <c r="AG7" s="30">
        <f t="shared" si="0"/>
        <v>6.7357423178226851E-3</v>
      </c>
      <c r="AH7" s="30">
        <f t="shared" si="1"/>
        <v>0</v>
      </c>
      <c r="AI7" s="30">
        <f t="shared" si="2"/>
        <v>9.6289000654215043E-3</v>
      </c>
    </row>
    <row r="8" spans="2:35" ht="15.75" thickBot="1" x14ac:dyDescent="0.2">
      <c r="B8" t="s">
        <v>24</v>
      </c>
      <c r="C8" s="22">
        <f>VLOOKUP(B8,[1]SYS!$F$5:$G$360,2,FALSE)</f>
        <v>3</v>
      </c>
      <c r="D8" s="34" t="str">
        <f>VLOOKUP(C8,[1]SYS!$G$5:$H$360,2,FALSE)</f>
        <v>南早来変電所</v>
      </c>
      <c r="E8" s="4">
        <v>1.0590516324051431E-2</v>
      </c>
      <c r="F8" s="26">
        <v>0</v>
      </c>
      <c r="G8" s="26">
        <v>0</v>
      </c>
      <c r="H8" s="26">
        <v>0</v>
      </c>
      <c r="I8" s="26">
        <v>0</v>
      </c>
      <c r="J8" s="26">
        <v>0</v>
      </c>
      <c r="K8" s="26">
        <v>0</v>
      </c>
      <c r="L8" s="26">
        <v>0</v>
      </c>
      <c r="M8" s="63">
        <v>0</v>
      </c>
      <c r="N8" s="37">
        <v>0</v>
      </c>
      <c r="O8" s="26">
        <v>0</v>
      </c>
      <c r="P8" s="26">
        <v>0</v>
      </c>
      <c r="Q8" s="26">
        <v>0</v>
      </c>
      <c r="R8" s="26">
        <v>0</v>
      </c>
      <c r="S8" s="26">
        <v>0</v>
      </c>
      <c r="T8" s="26">
        <v>0</v>
      </c>
      <c r="U8" s="26">
        <v>0</v>
      </c>
      <c r="V8" s="27">
        <v>0</v>
      </c>
      <c r="W8" s="67">
        <v>9.3509625293637766E-2</v>
      </c>
      <c r="X8" s="30">
        <v>0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25">
        <v>0</v>
      </c>
      <c r="AG8" s="30">
        <f t="shared" si="0"/>
        <v>1.0590516324051431E-2</v>
      </c>
      <c r="AH8" s="30">
        <f t="shared" si="1"/>
        <v>0</v>
      </c>
      <c r="AI8" s="30">
        <f t="shared" si="2"/>
        <v>9.3509625293637766E-2</v>
      </c>
    </row>
    <row r="9" spans="2:35" ht="15.75" thickBot="1" x14ac:dyDescent="0.2">
      <c r="B9" t="s">
        <v>25</v>
      </c>
      <c r="C9" s="22">
        <f>VLOOKUP(B9,[1]SYS!$F$5:$G$360,2,FALSE)</f>
        <v>4</v>
      </c>
      <c r="D9" s="34" t="str">
        <f>VLOOKUP(C9,[1]SYS!$G$5:$H$360,2,FALSE)</f>
        <v>苗穂変電所</v>
      </c>
      <c r="E9" s="4">
        <v>4.1969043847352426E-6</v>
      </c>
      <c r="F9" s="26">
        <v>0</v>
      </c>
      <c r="G9" s="26">
        <v>0</v>
      </c>
      <c r="H9" s="26">
        <v>0</v>
      </c>
      <c r="I9" s="26">
        <v>0</v>
      </c>
      <c r="J9" s="26">
        <v>0</v>
      </c>
      <c r="K9" s="26">
        <v>0</v>
      </c>
      <c r="L9" s="26">
        <v>0</v>
      </c>
      <c r="M9" s="63">
        <v>0</v>
      </c>
      <c r="N9" s="37">
        <v>0</v>
      </c>
      <c r="O9" s="26">
        <v>0</v>
      </c>
      <c r="P9" s="26">
        <v>0</v>
      </c>
      <c r="Q9" s="26">
        <v>0</v>
      </c>
      <c r="R9" s="26">
        <v>0</v>
      </c>
      <c r="S9" s="26">
        <v>0</v>
      </c>
      <c r="T9" s="26">
        <v>0</v>
      </c>
      <c r="U9" s="26">
        <v>0</v>
      </c>
      <c r="V9" s="27">
        <v>0</v>
      </c>
      <c r="W9" s="67">
        <v>3.1466452231636126E-3</v>
      </c>
      <c r="X9" s="30">
        <v>0</v>
      </c>
      <c r="Y9" s="30">
        <v>0</v>
      </c>
      <c r="Z9" s="30">
        <v>0</v>
      </c>
      <c r="AA9" s="30">
        <v>0</v>
      </c>
      <c r="AB9" s="30">
        <v>0</v>
      </c>
      <c r="AC9" s="30">
        <v>0</v>
      </c>
      <c r="AD9" s="30">
        <v>0</v>
      </c>
      <c r="AE9" s="25">
        <v>0</v>
      </c>
      <c r="AG9" s="30">
        <f t="shared" si="0"/>
        <v>4.1969043847352426E-6</v>
      </c>
      <c r="AH9" s="30">
        <f t="shared" si="1"/>
        <v>0</v>
      </c>
      <c r="AI9" s="30">
        <f t="shared" si="2"/>
        <v>3.1466452231636126E-3</v>
      </c>
    </row>
    <row r="10" spans="2:35" ht="15.75" thickBot="1" x14ac:dyDescent="0.2">
      <c r="B10" t="s">
        <v>26</v>
      </c>
      <c r="C10" s="22">
        <f>VLOOKUP(B10,[1]SYS!$F$5:$G$360,2,FALSE)</f>
        <v>5</v>
      </c>
      <c r="D10" s="34" t="str">
        <f>VLOOKUP(C10,[1]SYS!$G$5:$H$360,2,FALSE)</f>
        <v>篠路変電所</v>
      </c>
      <c r="E10" s="4">
        <v>6.9956236042359378E-4</v>
      </c>
      <c r="F10" s="26">
        <v>0</v>
      </c>
      <c r="G10" s="26">
        <v>0</v>
      </c>
      <c r="H10" s="26">
        <v>0</v>
      </c>
      <c r="I10" s="26">
        <v>0</v>
      </c>
      <c r="J10" s="26">
        <v>0</v>
      </c>
      <c r="K10" s="26">
        <v>0</v>
      </c>
      <c r="L10" s="26">
        <v>0</v>
      </c>
      <c r="M10" s="63">
        <v>0</v>
      </c>
      <c r="N10" s="37">
        <v>0</v>
      </c>
      <c r="O10" s="26">
        <v>0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27">
        <v>0</v>
      </c>
      <c r="W10" s="67">
        <v>2.8472891863604846E-3</v>
      </c>
      <c r="X10" s="30">
        <v>0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25">
        <v>0</v>
      </c>
      <c r="AG10" s="30">
        <f t="shared" si="0"/>
        <v>6.9956236042359378E-4</v>
      </c>
      <c r="AH10" s="30">
        <f t="shared" si="1"/>
        <v>0</v>
      </c>
      <c r="AI10" s="30">
        <f t="shared" si="2"/>
        <v>2.8472891863604846E-3</v>
      </c>
    </row>
    <row r="11" spans="2:35" ht="15.75" thickBot="1" x14ac:dyDescent="0.2">
      <c r="B11" t="s">
        <v>27</v>
      </c>
      <c r="C11" s="22">
        <f>VLOOKUP(B11,[1]SYS!$F$5:$G$360,2,FALSE)</f>
        <v>6</v>
      </c>
      <c r="D11" s="34" t="str">
        <f>VLOOKUP(C11,[1]SYS!$G$5:$H$360,2,FALSE)</f>
        <v>西札幌変電所</v>
      </c>
      <c r="E11" s="4">
        <v>1.662121904118093E-2</v>
      </c>
      <c r="F11" s="26">
        <v>0</v>
      </c>
      <c r="G11" s="26">
        <v>0</v>
      </c>
      <c r="H11" s="26">
        <v>0</v>
      </c>
      <c r="I11" s="26">
        <v>0</v>
      </c>
      <c r="J11" s="26">
        <v>0</v>
      </c>
      <c r="K11" s="26">
        <v>0</v>
      </c>
      <c r="L11" s="26">
        <v>0</v>
      </c>
      <c r="M11" s="63">
        <v>0</v>
      </c>
      <c r="N11" s="37">
        <v>0</v>
      </c>
      <c r="O11" s="26">
        <v>0</v>
      </c>
      <c r="P11" s="26">
        <v>0</v>
      </c>
      <c r="Q11" s="26">
        <v>0</v>
      </c>
      <c r="R11" s="26">
        <v>0</v>
      </c>
      <c r="S11" s="26">
        <v>0</v>
      </c>
      <c r="T11" s="26">
        <v>0</v>
      </c>
      <c r="U11" s="26">
        <v>0</v>
      </c>
      <c r="V11" s="27">
        <v>0</v>
      </c>
      <c r="W11" s="67">
        <v>3.0989079953189207E-3</v>
      </c>
      <c r="X11" s="30">
        <v>0</v>
      </c>
      <c r="Y11" s="30">
        <v>0</v>
      </c>
      <c r="Z11" s="30">
        <v>0</v>
      </c>
      <c r="AA11" s="30">
        <v>0</v>
      </c>
      <c r="AB11" s="30">
        <v>0</v>
      </c>
      <c r="AC11" s="30">
        <v>0</v>
      </c>
      <c r="AD11" s="30">
        <v>0</v>
      </c>
      <c r="AE11" s="25">
        <v>0</v>
      </c>
      <c r="AG11" s="30">
        <f t="shared" si="0"/>
        <v>1.662121904118093E-2</v>
      </c>
      <c r="AH11" s="30">
        <f t="shared" si="1"/>
        <v>0</v>
      </c>
      <c r="AI11" s="30">
        <f t="shared" si="2"/>
        <v>3.0989079953189207E-3</v>
      </c>
    </row>
    <row r="12" spans="2:35" ht="15.75" thickBot="1" x14ac:dyDescent="0.2">
      <c r="B12" t="s">
        <v>28</v>
      </c>
      <c r="C12" s="22">
        <f>VLOOKUP(B12,[1]SYS!$F$5:$G$360,2,FALSE)</f>
        <v>7</v>
      </c>
      <c r="D12" s="34" t="str">
        <f>VLOOKUP(C12,[1]SYS!$G$5:$H$360,2,FALSE)</f>
        <v>双葉開閉所</v>
      </c>
      <c r="E12" s="4">
        <v>1.0321580924744273E-4</v>
      </c>
      <c r="F12" s="26">
        <v>0</v>
      </c>
      <c r="G12" s="26">
        <v>0</v>
      </c>
      <c r="H12" s="26">
        <v>0</v>
      </c>
      <c r="I12" s="26">
        <v>0</v>
      </c>
      <c r="J12" s="26">
        <v>0</v>
      </c>
      <c r="K12" s="26">
        <v>0</v>
      </c>
      <c r="L12" s="26">
        <v>0</v>
      </c>
      <c r="M12" s="63">
        <v>0</v>
      </c>
      <c r="N12" s="37">
        <v>0</v>
      </c>
      <c r="O12" s="26">
        <v>0</v>
      </c>
      <c r="P12" s="26">
        <v>0</v>
      </c>
      <c r="Q12" s="26">
        <v>0</v>
      </c>
      <c r="R12" s="26">
        <v>0</v>
      </c>
      <c r="S12" s="26">
        <v>0</v>
      </c>
      <c r="T12" s="26">
        <v>0</v>
      </c>
      <c r="U12" s="26">
        <v>0</v>
      </c>
      <c r="V12" s="27">
        <v>0</v>
      </c>
      <c r="W12" s="67">
        <v>1.7939177804070533E-2</v>
      </c>
      <c r="X12" s="30">
        <v>0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25">
        <v>0</v>
      </c>
      <c r="AG12" s="30">
        <f t="shared" si="0"/>
        <v>1.0321580924744273E-4</v>
      </c>
      <c r="AH12" s="30">
        <f t="shared" si="1"/>
        <v>0</v>
      </c>
      <c r="AI12" s="30">
        <f t="shared" si="2"/>
        <v>1.7939177804070533E-2</v>
      </c>
    </row>
    <row r="13" spans="2:35" ht="15.75" thickBot="1" x14ac:dyDescent="0.2">
      <c r="B13" t="s">
        <v>29</v>
      </c>
      <c r="C13" s="22">
        <f>VLOOKUP(B13,[1]SYS!$F$5:$G$360,2,FALSE)</f>
        <v>8</v>
      </c>
      <c r="D13" s="34" t="str">
        <f>VLOOKUP(C13,[1]SYS!$G$5:$H$360,2,FALSE)</f>
        <v>西室蘭開閉所</v>
      </c>
      <c r="E13" s="4">
        <v>9.4592829845358811E-3</v>
      </c>
      <c r="F13" s="26">
        <v>0</v>
      </c>
      <c r="G13" s="26">
        <v>0</v>
      </c>
      <c r="H13" s="26">
        <v>0</v>
      </c>
      <c r="I13" s="26">
        <v>0</v>
      </c>
      <c r="J13" s="26">
        <v>0</v>
      </c>
      <c r="K13" s="26">
        <v>0</v>
      </c>
      <c r="L13" s="26">
        <v>0</v>
      </c>
      <c r="M13" s="63">
        <v>0</v>
      </c>
      <c r="N13" s="37">
        <v>0</v>
      </c>
      <c r="O13" s="26">
        <v>0</v>
      </c>
      <c r="P13" s="26">
        <v>0</v>
      </c>
      <c r="Q13" s="26">
        <v>0</v>
      </c>
      <c r="R13" s="26">
        <v>0</v>
      </c>
      <c r="S13" s="26">
        <v>0</v>
      </c>
      <c r="T13" s="26">
        <v>0</v>
      </c>
      <c r="U13" s="26">
        <v>0</v>
      </c>
      <c r="V13" s="27">
        <v>0</v>
      </c>
      <c r="W13" s="67">
        <v>1.0637588095380878E-2</v>
      </c>
      <c r="X13" s="30">
        <v>0</v>
      </c>
      <c r="Y13" s="30">
        <v>0</v>
      </c>
      <c r="Z13" s="30">
        <v>0</v>
      </c>
      <c r="AA13" s="30">
        <v>0</v>
      </c>
      <c r="AB13" s="30">
        <v>0</v>
      </c>
      <c r="AC13" s="30">
        <v>0</v>
      </c>
      <c r="AD13" s="30">
        <v>0</v>
      </c>
      <c r="AE13" s="25">
        <v>0</v>
      </c>
      <c r="AG13" s="30">
        <f t="shared" si="0"/>
        <v>9.4592829845358811E-3</v>
      </c>
      <c r="AH13" s="30">
        <f t="shared" si="1"/>
        <v>0</v>
      </c>
      <c r="AI13" s="30">
        <f t="shared" si="2"/>
        <v>1.0637588095380878E-2</v>
      </c>
    </row>
    <row r="14" spans="2:35" ht="15.75" thickBot="1" x14ac:dyDescent="0.2">
      <c r="B14" t="s">
        <v>30</v>
      </c>
      <c r="C14" s="22">
        <f>VLOOKUP(B14,[1]SYS!$F$5:$G$360,2,FALSE)</f>
        <v>9</v>
      </c>
      <c r="D14" s="34" t="str">
        <f>VLOOKUP(C14,[1]SYS!$G$5:$H$360,2,FALSE)</f>
        <v>室蘭変電所</v>
      </c>
      <c r="E14" s="4">
        <v>0.114872702329769</v>
      </c>
      <c r="F14" s="26">
        <v>0</v>
      </c>
      <c r="G14" s="26">
        <v>0</v>
      </c>
      <c r="H14" s="26">
        <v>0</v>
      </c>
      <c r="I14" s="26">
        <v>0</v>
      </c>
      <c r="J14" s="26">
        <v>0</v>
      </c>
      <c r="K14" s="26">
        <v>0</v>
      </c>
      <c r="L14" s="26">
        <v>0</v>
      </c>
      <c r="M14" s="63">
        <v>0</v>
      </c>
      <c r="N14" s="4">
        <v>0.21487270232976899</v>
      </c>
      <c r="O14" s="26">
        <v>0</v>
      </c>
      <c r="P14" s="26">
        <v>0</v>
      </c>
      <c r="Q14" s="26">
        <v>0</v>
      </c>
      <c r="R14" s="26">
        <v>0</v>
      </c>
      <c r="S14" s="26">
        <v>0</v>
      </c>
      <c r="T14" s="26">
        <v>0</v>
      </c>
      <c r="U14" s="26">
        <v>0</v>
      </c>
      <c r="V14" s="27">
        <v>0</v>
      </c>
      <c r="W14" s="67">
        <v>1.2697463052768121E-2</v>
      </c>
      <c r="X14" s="30">
        <v>0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25">
        <v>0</v>
      </c>
      <c r="AG14" s="30">
        <f t="shared" si="0"/>
        <v>0.114872702329769</v>
      </c>
      <c r="AH14" s="30">
        <f t="shared" si="1"/>
        <v>0.21487270232976899</v>
      </c>
      <c r="AI14" s="30">
        <f t="shared" si="2"/>
        <v>1.2697463052768121E-2</v>
      </c>
    </row>
    <row r="15" spans="2:35" ht="15.75" thickBot="1" x14ac:dyDescent="0.2">
      <c r="B15" t="s">
        <v>31</v>
      </c>
      <c r="C15" s="22">
        <f>VLOOKUP(B15,[1]SYS!$F$5:$G$360,2,FALSE)</f>
        <v>10</v>
      </c>
      <c r="D15" s="34" t="str">
        <f>VLOOKUP(C15,[1]SYS!$G$5:$H$360,2,FALSE)</f>
        <v>南九条変電所</v>
      </c>
      <c r="E15" s="4">
        <v>5.8938944372447549E-6</v>
      </c>
      <c r="F15" s="26">
        <v>0</v>
      </c>
      <c r="G15" s="26">
        <v>0</v>
      </c>
      <c r="H15" s="26">
        <v>0</v>
      </c>
      <c r="I15" s="26">
        <v>0</v>
      </c>
      <c r="J15" s="26">
        <v>0</v>
      </c>
      <c r="K15" s="26">
        <v>0</v>
      </c>
      <c r="L15" s="26">
        <v>0</v>
      </c>
      <c r="M15" s="63">
        <v>0</v>
      </c>
      <c r="N15" s="37">
        <v>0</v>
      </c>
      <c r="O15" s="26">
        <v>0</v>
      </c>
      <c r="P15" s="26">
        <v>0</v>
      </c>
      <c r="Q15" s="26">
        <v>0</v>
      </c>
      <c r="R15" s="26">
        <v>0</v>
      </c>
      <c r="S15" s="26">
        <v>0</v>
      </c>
      <c r="T15" s="26">
        <v>0</v>
      </c>
      <c r="U15" s="26">
        <v>0</v>
      </c>
      <c r="V15" s="27">
        <v>0</v>
      </c>
      <c r="W15" s="67">
        <v>1.1099886194446318E-2</v>
      </c>
      <c r="X15" s="30">
        <v>0</v>
      </c>
      <c r="Y15" s="30">
        <v>0</v>
      </c>
      <c r="Z15" s="30">
        <v>0</v>
      </c>
      <c r="AA15" s="30">
        <v>0</v>
      </c>
      <c r="AB15" s="30">
        <v>0</v>
      </c>
      <c r="AC15" s="30">
        <v>0</v>
      </c>
      <c r="AD15" s="30">
        <v>0</v>
      </c>
      <c r="AE15" s="25">
        <v>0</v>
      </c>
      <c r="AG15" s="30">
        <f t="shared" si="0"/>
        <v>5.8938944372447549E-6</v>
      </c>
      <c r="AH15" s="30">
        <f t="shared" si="1"/>
        <v>0</v>
      </c>
      <c r="AI15" s="30">
        <f t="shared" si="2"/>
        <v>1.1099886194446318E-2</v>
      </c>
    </row>
    <row r="16" spans="2:35" ht="15.75" thickBot="1" x14ac:dyDescent="0.2">
      <c r="B16" t="s">
        <v>32</v>
      </c>
      <c r="C16" s="22">
        <f>VLOOKUP(B16,[1]SYS!$F$5:$G$360,2,FALSE)</f>
        <v>11</v>
      </c>
      <c r="D16" s="34" t="str">
        <f>VLOOKUP(C16,[1]SYS!$G$5:$H$360,2,FALSE)</f>
        <v>西小樽変電所</v>
      </c>
      <c r="E16" s="4">
        <v>9.8242456313448866E-4</v>
      </c>
      <c r="F16" s="26">
        <v>0</v>
      </c>
      <c r="G16" s="26">
        <v>0</v>
      </c>
      <c r="H16" s="26">
        <v>0</v>
      </c>
      <c r="I16" s="26">
        <v>0</v>
      </c>
      <c r="J16" s="26">
        <v>0</v>
      </c>
      <c r="K16" s="26">
        <v>0</v>
      </c>
      <c r="L16" s="26">
        <v>0</v>
      </c>
      <c r="M16" s="63">
        <v>0</v>
      </c>
      <c r="N16" s="37">
        <v>0</v>
      </c>
      <c r="O16" s="26">
        <v>0</v>
      </c>
      <c r="P16" s="26">
        <v>0</v>
      </c>
      <c r="Q16" s="26">
        <v>0</v>
      </c>
      <c r="R16" s="26">
        <v>0</v>
      </c>
      <c r="S16" s="26">
        <v>0</v>
      </c>
      <c r="T16" s="26">
        <v>0</v>
      </c>
      <c r="U16" s="26">
        <v>0</v>
      </c>
      <c r="V16" s="27">
        <v>0</v>
      </c>
      <c r="W16" s="67">
        <v>5.4233520805279118E-3</v>
      </c>
      <c r="X16" s="30">
        <v>0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25">
        <v>0</v>
      </c>
      <c r="AG16" s="30">
        <f t="shared" si="0"/>
        <v>9.8242456313448866E-4</v>
      </c>
      <c r="AH16" s="30">
        <f t="shared" si="1"/>
        <v>0</v>
      </c>
      <c r="AI16" s="30">
        <f t="shared" si="2"/>
        <v>5.4233520805279118E-3</v>
      </c>
    </row>
    <row r="17" spans="2:35" ht="15.75" thickBot="1" x14ac:dyDescent="0.2">
      <c r="B17" t="s">
        <v>33</v>
      </c>
      <c r="C17" s="22">
        <f>VLOOKUP(B17,[1]SYS!$F$5:$G$360,2,FALSE)</f>
        <v>12</v>
      </c>
      <c r="D17" s="34" t="str">
        <f>VLOOKUP(C17,[1]SYS!$G$5:$H$360,2,FALSE)</f>
        <v>苫小牧変電所</v>
      </c>
      <c r="E17" s="4">
        <v>0.20066433620968899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63">
        <v>0</v>
      </c>
      <c r="N17" s="4">
        <v>0.20066433620968899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7">
        <v>0</v>
      </c>
      <c r="W17" s="67">
        <v>0.11212314437363138</v>
      </c>
      <c r="X17" s="30">
        <v>0</v>
      </c>
      <c r="Y17" s="30">
        <v>0</v>
      </c>
      <c r="Z17" s="30">
        <v>0</v>
      </c>
      <c r="AA17" s="30">
        <v>0</v>
      </c>
      <c r="AB17" s="30">
        <v>0</v>
      </c>
      <c r="AC17" s="30">
        <v>0</v>
      </c>
      <c r="AD17" s="30">
        <v>0</v>
      </c>
      <c r="AE17" s="25">
        <v>0</v>
      </c>
      <c r="AG17" s="30">
        <f t="shared" si="0"/>
        <v>0.20066433620968899</v>
      </c>
      <c r="AH17" s="30">
        <f t="shared" si="1"/>
        <v>0.20066433620968899</v>
      </c>
      <c r="AI17" s="30">
        <f t="shared" si="2"/>
        <v>0.11212314437363138</v>
      </c>
    </row>
    <row r="18" spans="2:35" ht="15.75" thickBot="1" x14ac:dyDescent="0.2">
      <c r="B18" t="s">
        <v>34</v>
      </c>
      <c r="C18" s="22">
        <f>VLOOKUP(B18,[1]SYS!$F$5:$G$360,2,FALSE)</f>
        <v>13</v>
      </c>
      <c r="D18" s="34" t="str">
        <f>VLOOKUP(C18,[1]SYS!$G$5:$H$360,2,FALSE)</f>
        <v>追分開閉所</v>
      </c>
      <c r="E18" s="4">
        <v>2.3239615084425329E-2</v>
      </c>
      <c r="F18" s="26">
        <v>0</v>
      </c>
      <c r="G18" s="26">
        <v>0</v>
      </c>
      <c r="H18" s="26">
        <v>0</v>
      </c>
      <c r="I18" s="26">
        <v>0</v>
      </c>
      <c r="J18" s="26">
        <v>0</v>
      </c>
      <c r="K18" s="26">
        <v>0</v>
      </c>
      <c r="L18" s="26">
        <v>0</v>
      </c>
      <c r="M18" s="63">
        <v>0</v>
      </c>
      <c r="N18" s="37">
        <v>0</v>
      </c>
      <c r="O18" s="26">
        <v>0</v>
      </c>
      <c r="P18" s="26">
        <v>0</v>
      </c>
      <c r="Q18" s="26">
        <v>0</v>
      </c>
      <c r="R18" s="26">
        <v>0</v>
      </c>
      <c r="S18" s="26">
        <v>0</v>
      </c>
      <c r="T18" s="26">
        <v>0</v>
      </c>
      <c r="U18" s="26">
        <v>0</v>
      </c>
      <c r="V18" s="27">
        <v>0</v>
      </c>
      <c r="W18" s="67">
        <v>7.6250403820164611E-2</v>
      </c>
      <c r="X18" s="30">
        <v>0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25">
        <v>0</v>
      </c>
      <c r="AG18" s="30">
        <f t="shared" si="0"/>
        <v>2.3239615084425329E-2</v>
      </c>
      <c r="AH18" s="30">
        <f t="shared" si="1"/>
        <v>0</v>
      </c>
      <c r="AI18" s="30">
        <f t="shared" si="2"/>
        <v>7.6250403820164611E-2</v>
      </c>
    </row>
    <row r="19" spans="2:35" ht="15.75" thickBot="1" x14ac:dyDescent="0.2">
      <c r="B19" t="s">
        <v>35</v>
      </c>
      <c r="C19" s="22">
        <f>VLOOKUP(B19,[1]SYS!$F$5:$G$360,2,FALSE)</f>
        <v>14</v>
      </c>
      <c r="D19" s="34" t="str">
        <f>VLOOKUP(C19,[1]SYS!$G$5:$H$360,2,FALSE)</f>
        <v>恵庭変電所</v>
      </c>
      <c r="E19" s="4">
        <v>1.0725135658211591E-2</v>
      </c>
      <c r="F19" s="26">
        <v>0</v>
      </c>
      <c r="G19" s="26">
        <v>0</v>
      </c>
      <c r="H19" s="26">
        <v>0</v>
      </c>
      <c r="I19" s="26">
        <v>0</v>
      </c>
      <c r="J19" s="26">
        <v>0</v>
      </c>
      <c r="K19" s="26">
        <v>0</v>
      </c>
      <c r="L19" s="26">
        <v>0</v>
      </c>
      <c r="M19" s="63">
        <v>0</v>
      </c>
      <c r="N19" s="37">
        <v>0</v>
      </c>
      <c r="O19" s="26">
        <v>0</v>
      </c>
      <c r="P19" s="26">
        <v>0</v>
      </c>
      <c r="Q19" s="26">
        <v>0</v>
      </c>
      <c r="R19" s="26">
        <v>0</v>
      </c>
      <c r="S19" s="26">
        <v>0</v>
      </c>
      <c r="T19" s="26">
        <v>0</v>
      </c>
      <c r="U19" s="26">
        <v>0</v>
      </c>
      <c r="V19" s="27">
        <v>0</v>
      </c>
      <c r="W19" s="67">
        <v>2.0917242241398439E-2</v>
      </c>
      <c r="X19" s="30">
        <v>0</v>
      </c>
      <c r="Y19" s="30">
        <v>0</v>
      </c>
      <c r="Z19" s="30">
        <v>0</v>
      </c>
      <c r="AA19" s="30">
        <v>0</v>
      </c>
      <c r="AB19" s="30">
        <v>0</v>
      </c>
      <c r="AC19" s="30">
        <v>0</v>
      </c>
      <c r="AD19" s="30">
        <v>0</v>
      </c>
      <c r="AE19" s="25">
        <v>0</v>
      </c>
      <c r="AG19" s="30">
        <f t="shared" si="0"/>
        <v>1.0725135658211591E-2</v>
      </c>
      <c r="AH19" s="30">
        <f t="shared" si="1"/>
        <v>0</v>
      </c>
      <c r="AI19" s="30">
        <f t="shared" si="2"/>
        <v>2.0917242241398439E-2</v>
      </c>
    </row>
    <row r="20" spans="2:35" ht="15.75" thickBot="1" x14ac:dyDescent="0.2">
      <c r="B20" t="s">
        <v>36</v>
      </c>
      <c r="C20" s="22">
        <f>VLOOKUP(B20,[1]SYS!$F$5:$G$360,2,FALSE)</f>
        <v>15</v>
      </c>
      <c r="D20" s="34" t="str">
        <f>VLOOKUP(C20,[1]SYS!$G$5:$H$360,2,FALSE)</f>
        <v>南札幌変電所</v>
      </c>
      <c r="E20" s="4">
        <v>1.6852889130757718E-4</v>
      </c>
      <c r="F20" s="26">
        <v>0</v>
      </c>
      <c r="G20" s="26">
        <v>0</v>
      </c>
      <c r="H20" s="26">
        <v>0</v>
      </c>
      <c r="I20" s="26">
        <v>0</v>
      </c>
      <c r="J20" s="26">
        <v>0</v>
      </c>
      <c r="K20" s="26">
        <v>0</v>
      </c>
      <c r="L20" s="26">
        <v>0</v>
      </c>
      <c r="M20" s="63">
        <v>0</v>
      </c>
      <c r="N20" s="37">
        <v>0</v>
      </c>
      <c r="O20" s="26">
        <v>0</v>
      </c>
      <c r="P20" s="26">
        <v>0</v>
      </c>
      <c r="Q20" s="26">
        <v>0</v>
      </c>
      <c r="R20" s="26">
        <v>0</v>
      </c>
      <c r="S20" s="26">
        <v>0</v>
      </c>
      <c r="T20" s="26">
        <v>0</v>
      </c>
      <c r="U20" s="26">
        <v>0</v>
      </c>
      <c r="V20" s="27">
        <v>0</v>
      </c>
      <c r="W20" s="67">
        <v>1.4376516012676447E-2</v>
      </c>
      <c r="X20" s="30">
        <v>0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25">
        <v>0</v>
      </c>
      <c r="AG20" s="30">
        <f t="shared" si="0"/>
        <v>1.6852889130757718E-4</v>
      </c>
      <c r="AH20" s="30">
        <f t="shared" si="1"/>
        <v>0</v>
      </c>
      <c r="AI20" s="30">
        <f t="shared" si="2"/>
        <v>1.4376516012676447E-2</v>
      </c>
    </row>
    <row r="21" spans="2:35" ht="15.75" thickBot="1" x14ac:dyDescent="0.2">
      <c r="B21" t="s">
        <v>37</v>
      </c>
      <c r="C21" s="22">
        <f>VLOOKUP(B21,[1]SYS!$F$5:$G$360,2,FALSE)</f>
        <v>16</v>
      </c>
      <c r="D21" s="34" t="str">
        <f>VLOOKUP(C21,[1]SYS!$G$5:$H$360,2,FALSE)</f>
        <v>北江別変電所</v>
      </c>
      <c r="E21" s="4">
        <v>7.8746616307328969E-4</v>
      </c>
      <c r="F21" s="26">
        <v>0</v>
      </c>
      <c r="G21" s="26">
        <v>0</v>
      </c>
      <c r="H21" s="26">
        <v>0</v>
      </c>
      <c r="I21" s="26">
        <v>0</v>
      </c>
      <c r="J21" s="26">
        <v>0</v>
      </c>
      <c r="K21" s="26">
        <v>0</v>
      </c>
      <c r="L21" s="26">
        <v>0</v>
      </c>
      <c r="M21" s="63">
        <v>0</v>
      </c>
      <c r="N21" s="37">
        <v>0</v>
      </c>
      <c r="O21" s="26">
        <v>0</v>
      </c>
      <c r="P21" s="26">
        <v>0</v>
      </c>
      <c r="Q21" s="26">
        <v>0</v>
      </c>
      <c r="R21" s="26">
        <v>0</v>
      </c>
      <c r="S21" s="26">
        <v>0</v>
      </c>
      <c r="T21" s="26">
        <v>0</v>
      </c>
      <c r="U21" s="26">
        <v>0</v>
      </c>
      <c r="V21" s="27">
        <v>0</v>
      </c>
      <c r="W21" s="67">
        <v>2.2339920464015027E-2</v>
      </c>
      <c r="X21" s="30">
        <v>0</v>
      </c>
      <c r="Y21" s="30">
        <v>0</v>
      </c>
      <c r="Z21" s="30">
        <v>0</v>
      </c>
      <c r="AA21" s="30">
        <v>0</v>
      </c>
      <c r="AB21" s="30">
        <v>0</v>
      </c>
      <c r="AC21" s="30">
        <v>0</v>
      </c>
      <c r="AD21" s="30">
        <v>0</v>
      </c>
      <c r="AE21" s="25">
        <v>0</v>
      </c>
      <c r="AG21" s="30">
        <f t="shared" si="0"/>
        <v>7.8746616307328969E-4</v>
      </c>
      <c r="AH21" s="30">
        <f t="shared" si="1"/>
        <v>0</v>
      </c>
      <c r="AI21" s="30">
        <f t="shared" si="2"/>
        <v>2.2339920464015027E-2</v>
      </c>
    </row>
    <row r="22" spans="2:35" ht="15.75" thickBot="1" x14ac:dyDescent="0.2">
      <c r="B22" t="s">
        <v>38</v>
      </c>
      <c r="C22" s="22">
        <f>VLOOKUP(B22,[1]SYS!$F$5:$G$360,2,FALSE)</f>
        <v>17</v>
      </c>
      <c r="D22" s="34" t="str">
        <f>VLOOKUP(C22,[1]SYS!$G$5:$H$360,2,FALSE)</f>
        <v>北斗変換所</v>
      </c>
      <c r="E22" s="4">
        <v>2.5456962476567625E-2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63">
        <v>0</v>
      </c>
      <c r="N22" s="37">
        <v>0</v>
      </c>
      <c r="O22" s="26">
        <v>0</v>
      </c>
      <c r="P22" s="26">
        <v>0</v>
      </c>
      <c r="Q22" s="26">
        <v>0</v>
      </c>
      <c r="R22" s="26">
        <v>0</v>
      </c>
      <c r="S22" s="26">
        <v>0</v>
      </c>
      <c r="T22" s="26">
        <v>0</v>
      </c>
      <c r="U22" s="26">
        <v>0</v>
      </c>
      <c r="V22" s="27">
        <v>0</v>
      </c>
      <c r="W22" s="67">
        <v>1.1416151271998095E-2</v>
      </c>
      <c r="X22" s="30">
        <v>0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25">
        <v>0</v>
      </c>
      <c r="AG22" s="30">
        <f t="shared" si="0"/>
        <v>2.5456962476567625E-2</v>
      </c>
      <c r="AH22" s="30">
        <f t="shared" si="1"/>
        <v>0</v>
      </c>
      <c r="AI22" s="30">
        <f t="shared" si="2"/>
        <v>1.1416151271998095E-2</v>
      </c>
    </row>
    <row r="23" spans="2:35" ht="15.75" thickBot="1" x14ac:dyDescent="0.2">
      <c r="B23" t="s">
        <v>39</v>
      </c>
      <c r="C23" s="22">
        <f>VLOOKUP(B23,[1]SYS!$F$5:$G$360,2,FALSE)</f>
        <v>18</v>
      </c>
      <c r="D23" s="34" t="str">
        <f>VLOOKUP(C23,[1]SYS!$G$5:$H$360,2,FALSE)</f>
        <v>大野変電所</v>
      </c>
      <c r="E23" s="4">
        <v>6.7038918156737638E-3</v>
      </c>
      <c r="F23" s="26">
        <v>0</v>
      </c>
      <c r="G23" s="26">
        <v>0</v>
      </c>
      <c r="H23" s="26">
        <v>0</v>
      </c>
      <c r="I23" s="26">
        <v>0</v>
      </c>
      <c r="J23" s="26">
        <v>0</v>
      </c>
      <c r="K23" s="26">
        <v>0</v>
      </c>
      <c r="L23" s="26">
        <v>0</v>
      </c>
      <c r="M23" s="63">
        <v>0</v>
      </c>
      <c r="N23" s="37">
        <v>0</v>
      </c>
      <c r="O23" s="26">
        <v>0</v>
      </c>
      <c r="P23" s="26">
        <v>0</v>
      </c>
      <c r="Q23" s="26">
        <v>0</v>
      </c>
      <c r="R23" s="26">
        <v>0</v>
      </c>
      <c r="S23" s="26">
        <v>0</v>
      </c>
      <c r="T23" s="26">
        <v>0</v>
      </c>
      <c r="U23" s="26">
        <v>0</v>
      </c>
      <c r="V23" s="27">
        <v>0</v>
      </c>
      <c r="W23" s="67">
        <v>1.4769267064834527E-2</v>
      </c>
      <c r="X23" s="30">
        <v>0</v>
      </c>
      <c r="Y23" s="30">
        <v>0</v>
      </c>
      <c r="Z23" s="30">
        <v>0</v>
      </c>
      <c r="AA23" s="30">
        <v>0</v>
      </c>
      <c r="AB23" s="30">
        <v>0</v>
      </c>
      <c r="AC23" s="30">
        <v>0</v>
      </c>
      <c r="AD23" s="30">
        <v>0</v>
      </c>
      <c r="AE23" s="25">
        <v>0</v>
      </c>
      <c r="AG23" s="30">
        <f t="shared" si="0"/>
        <v>6.7038918156737638E-3</v>
      </c>
      <c r="AH23" s="30">
        <f t="shared" si="1"/>
        <v>0</v>
      </c>
      <c r="AI23" s="30">
        <f t="shared" si="2"/>
        <v>1.4769267064834527E-2</v>
      </c>
    </row>
    <row r="24" spans="2:35" ht="15.75" thickBot="1" x14ac:dyDescent="0.2">
      <c r="B24" t="s">
        <v>40</v>
      </c>
      <c r="C24" s="22">
        <f>VLOOKUP(B24,[1]SYS!$F$5:$G$360,2,FALSE)</f>
        <v>19</v>
      </c>
      <c r="D24" s="34" t="str">
        <f>VLOOKUP(C24,[1]SYS!$G$5:$H$360,2,FALSE)</f>
        <v>北七飯変電所</v>
      </c>
      <c r="E24" s="4">
        <v>1.3432267362775654E-2</v>
      </c>
      <c r="F24" s="26">
        <v>0</v>
      </c>
      <c r="G24" s="26">
        <v>0</v>
      </c>
      <c r="H24" s="26">
        <v>0</v>
      </c>
      <c r="I24" s="26">
        <v>0</v>
      </c>
      <c r="J24" s="26">
        <v>0</v>
      </c>
      <c r="K24" s="26">
        <v>0</v>
      </c>
      <c r="L24" s="26">
        <v>0</v>
      </c>
      <c r="M24" s="63">
        <v>0</v>
      </c>
      <c r="N24" s="37">
        <v>0</v>
      </c>
      <c r="O24" s="26">
        <v>0</v>
      </c>
      <c r="P24" s="26">
        <v>0</v>
      </c>
      <c r="Q24" s="26">
        <v>0</v>
      </c>
      <c r="R24" s="26">
        <v>0</v>
      </c>
      <c r="S24" s="26">
        <v>0</v>
      </c>
      <c r="T24" s="26">
        <v>0</v>
      </c>
      <c r="U24" s="26">
        <v>0</v>
      </c>
      <c r="V24" s="27">
        <v>0</v>
      </c>
      <c r="W24" s="67">
        <v>4.261984093330516E-3</v>
      </c>
      <c r="X24" s="30">
        <v>0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25">
        <v>0</v>
      </c>
      <c r="AG24" s="30">
        <f t="shared" si="0"/>
        <v>1.3432267362775654E-2</v>
      </c>
      <c r="AH24" s="30">
        <f t="shared" si="1"/>
        <v>0</v>
      </c>
      <c r="AI24" s="30">
        <f t="shared" si="2"/>
        <v>4.261984093330516E-3</v>
      </c>
    </row>
    <row r="25" spans="2:35" ht="15.75" thickBot="1" x14ac:dyDescent="0.2">
      <c r="B25" t="s">
        <v>41</v>
      </c>
      <c r="C25" s="22">
        <f>VLOOKUP(B25,[1]SYS!$F$5:$G$360,2,FALSE)</f>
        <v>20</v>
      </c>
      <c r="D25" s="34" t="str">
        <f>VLOOKUP(C25,[1]SYS!$G$5:$H$360,2,FALSE)</f>
        <v>旭川嵐山開閉所</v>
      </c>
      <c r="E25" s="4">
        <v>3.9631511127240018E-3</v>
      </c>
      <c r="F25" s="26">
        <v>0</v>
      </c>
      <c r="G25" s="26">
        <v>0</v>
      </c>
      <c r="H25" s="26">
        <v>0</v>
      </c>
      <c r="I25" s="26">
        <v>0</v>
      </c>
      <c r="J25" s="26">
        <v>0</v>
      </c>
      <c r="K25" s="26">
        <v>0</v>
      </c>
      <c r="L25" s="26">
        <v>0</v>
      </c>
      <c r="M25" s="63">
        <v>0</v>
      </c>
      <c r="N25" s="37">
        <v>0</v>
      </c>
      <c r="O25" s="26">
        <v>0</v>
      </c>
      <c r="P25" s="26">
        <v>0</v>
      </c>
      <c r="Q25" s="26">
        <v>0</v>
      </c>
      <c r="R25" s="26">
        <v>0</v>
      </c>
      <c r="S25" s="26">
        <v>0</v>
      </c>
      <c r="T25" s="26">
        <v>0</v>
      </c>
      <c r="U25" s="26">
        <v>0</v>
      </c>
      <c r="V25" s="27">
        <v>0</v>
      </c>
      <c r="W25" s="67">
        <v>8.2243972236546413E-3</v>
      </c>
      <c r="X25" s="30">
        <v>0</v>
      </c>
      <c r="Y25" s="30">
        <v>0</v>
      </c>
      <c r="Z25" s="30">
        <v>0</v>
      </c>
      <c r="AA25" s="30">
        <v>0</v>
      </c>
      <c r="AB25" s="30">
        <v>0</v>
      </c>
      <c r="AC25" s="30">
        <v>0</v>
      </c>
      <c r="AD25" s="30">
        <v>0</v>
      </c>
      <c r="AE25" s="25">
        <v>0</v>
      </c>
      <c r="AG25" s="30">
        <f t="shared" si="0"/>
        <v>3.9631511127240018E-3</v>
      </c>
      <c r="AH25" s="30">
        <f t="shared" si="1"/>
        <v>0</v>
      </c>
      <c r="AI25" s="30">
        <f t="shared" si="2"/>
        <v>8.2243972236546413E-3</v>
      </c>
    </row>
    <row r="26" spans="2:35" ht="15.75" thickBot="1" x14ac:dyDescent="0.2">
      <c r="B26" t="s">
        <v>42</v>
      </c>
      <c r="C26" s="22">
        <f>VLOOKUP(B26,[1]SYS!$F$5:$G$360,2,FALSE)</f>
        <v>21</v>
      </c>
      <c r="D26" s="34" t="str">
        <f>VLOOKUP(C26,[1]SYS!$G$5:$H$360,2,FALSE)</f>
        <v>旭川変電所</v>
      </c>
      <c r="E26" s="4">
        <v>1.6913900598248585E-3</v>
      </c>
      <c r="F26" s="26">
        <v>0</v>
      </c>
      <c r="G26" s="26">
        <v>0</v>
      </c>
      <c r="H26" s="26">
        <v>0</v>
      </c>
      <c r="I26" s="26">
        <v>0</v>
      </c>
      <c r="J26" s="26">
        <v>0</v>
      </c>
      <c r="K26" s="26">
        <v>0</v>
      </c>
      <c r="L26" s="26">
        <v>0</v>
      </c>
      <c r="M26" s="63">
        <v>0</v>
      </c>
      <c r="N26" s="37">
        <v>0</v>
      </c>
      <c r="O26" s="26">
        <v>0</v>
      </c>
      <c r="P26" s="26">
        <v>0</v>
      </c>
      <c r="Q26" s="26">
        <v>0</v>
      </c>
      <c r="R26" s="26">
        <v>0</v>
      </c>
      <c r="S26" s="26">
        <v>0</v>
      </c>
      <c r="T26" s="26">
        <v>0</v>
      </c>
      <c r="U26" s="26">
        <v>0</v>
      </c>
      <c r="V26" s="27">
        <v>0</v>
      </c>
      <c r="W26" s="67">
        <v>2.0823687879755248E-2</v>
      </c>
      <c r="X26" s="30">
        <v>0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25">
        <v>0</v>
      </c>
      <c r="AG26" s="30">
        <f t="shared" si="0"/>
        <v>1.6913900598248585E-3</v>
      </c>
      <c r="AH26" s="30">
        <f t="shared" si="1"/>
        <v>0</v>
      </c>
      <c r="AI26" s="30">
        <f t="shared" si="2"/>
        <v>2.0823687879755248E-2</v>
      </c>
    </row>
    <row r="27" spans="2:35" ht="15.75" thickBot="1" x14ac:dyDescent="0.2">
      <c r="B27" t="s">
        <v>43</v>
      </c>
      <c r="C27" s="22">
        <f>VLOOKUP(B27,[1]SYS!$F$5:$G$360,2,FALSE)</f>
        <v>22</v>
      </c>
      <c r="D27" s="34" t="str">
        <f>VLOOKUP(C27,[1]SYS!$G$5:$H$360,2,FALSE)</f>
        <v>西名寄変電所</v>
      </c>
      <c r="E27" s="4">
        <v>2.9076560228166837E-3</v>
      </c>
      <c r="F27" s="26">
        <v>0</v>
      </c>
      <c r="G27" s="26">
        <v>0</v>
      </c>
      <c r="H27" s="26">
        <v>0</v>
      </c>
      <c r="I27" s="26">
        <v>0</v>
      </c>
      <c r="J27" s="26">
        <v>0</v>
      </c>
      <c r="K27" s="26">
        <v>0</v>
      </c>
      <c r="L27" s="26">
        <v>0</v>
      </c>
      <c r="M27" s="63">
        <v>0</v>
      </c>
      <c r="N27" s="37">
        <v>0</v>
      </c>
      <c r="O27" s="26">
        <v>0</v>
      </c>
      <c r="P27" s="26">
        <v>0</v>
      </c>
      <c r="Q27" s="26">
        <v>0</v>
      </c>
      <c r="R27" s="26">
        <v>0</v>
      </c>
      <c r="S27" s="26">
        <v>0</v>
      </c>
      <c r="T27" s="26">
        <v>0</v>
      </c>
      <c r="U27" s="26">
        <v>0</v>
      </c>
      <c r="V27" s="27">
        <v>0</v>
      </c>
      <c r="W27" s="67">
        <v>3.1152335468377243E-2</v>
      </c>
      <c r="X27" s="30">
        <v>0</v>
      </c>
      <c r="Y27" s="30">
        <v>0</v>
      </c>
      <c r="Z27" s="30">
        <v>0</v>
      </c>
      <c r="AA27" s="30">
        <v>0</v>
      </c>
      <c r="AB27" s="30">
        <v>0</v>
      </c>
      <c r="AC27" s="30">
        <v>0</v>
      </c>
      <c r="AD27" s="30">
        <v>0</v>
      </c>
      <c r="AE27" s="25">
        <v>0</v>
      </c>
      <c r="AG27" s="30">
        <f t="shared" si="0"/>
        <v>2.9076560228166837E-3</v>
      </c>
      <c r="AH27" s="30">
        <f t="shared" si="1"/>
        <v>0</v>
      </c>
      <c r="AI27" s="30">
        <f t="shared" si="2"/>
        <v>3.1152335468377243E-2</v>
      </c>
    </row>
    <row r="28" spans="2:35" ht="15.75" thickBot="1" x14ac:dyDescent="0.2">
      <c r="B28" t="s">
        <v>44</v>
      </c>
      <c r="C28" s="22">
        <f>VLOOKUP(B28,[1]SYS!$F$5:$G$360,2,FALSE)</f>
        <v>23</v>
      </c>
      <c r="D28" s="34" t="str">
        <f>VLOOKUP(C28,[1]SYS!$G$5:$H$360,2,FALSE)</f>
        <v>西旭川変電所</v>
      </c>
      <c r="E28" s="4">
        <v>1.6247871385931156E-2</v>
      </c>
      <c r="F28" s="26">
        <v>0</v>
      </c>
      <c r="G28" s="26">
        <v>0</v>
      </c>
      <c r="H28" s="26">
        <v>0</v>
      </c>
      <c r="I28" s="26">
        <v>0</v>
      </c>
      <c r="J28" s="26">
        <v>0</v>
      </c>
      <c r="K28" s="26">
        <v>0</v>
      </c>
      <c r="L28" s="26">
        <v>0</v>
      </c>
      <c r="M28" s="63">
        <v>0</v>
      </c>
      <c r="N28" s="37">
        <v>0</v>
      </c>
      <c r="O28" s="26">
        <v>0</v>
      </c>
      <c r="P28" s="26">
        <v>0</v>
      </c>
      <c r="Q28" s="26">
        <v>0</v>
      </c>
      <c r="R28" s="26">
        <v>0</v>
      </c>
      <c r="S28" s="26">
        <v>0</v>
      </c>
      <c r="T28" s="26">
        <v>0</v>
      </c>
      <c r="U28" s="26">
        <v>0</v>
      </c>
      <c r="V28" s="27">
        <v>0</v>
      </c>
      <c r="W28" s="67">
        <v>2.6236830884254028E-3</v>
      </c>
      <c r="X28" s="30">
        <v>0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25">
        <v>0</v>
      </c>
      <c r="AG28" s="30">
        <f t="shared" si="0"/>
        <v>1.6247871385931156E-2</v>
      </c>
      <c r="AH28" s="30">
        <f t="shared" si="1"/>
        <v>0</v>
      </c>
      <c r="AI28" s="30">
        <f t="shared" si="2"/>
        <v>2.6236830884254028E-3</v>
      </c>
    </row>
    <row r="29" spans="2:35" ht="15.75" thickBot="1" x14ac:dyDescent="0.2">
      <c r="B29" t="s">
        <v>45</v>
      </c>
      <c r="C29" s="22">
        <f>VLOOKUP(B29,[1]SYS!$F$5:$G$360,2,FALSE)</f>
        <v>24</v>
      </c>
      <c r="D29" s="34" t="str">
        <f>VLOOKUP(C29,[1]SYS!$G$5:$H$360,2,FALSE)</f>
        <v>西滝川変電所</v>
      </c>
      <c r="E29" s="4">
        <v>7.070865921083988E-2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M29" s="63">
        <v>0</v>
      </c>
      <c r="N29" s="37">
        <v>0</v>
      </c>
      <c r="O29" s="26">
        <v>0</v>
      </c>
      <c r="P29" s="26">
        <v>0</v>
      </c>
      <c r="Q29" s="26">
        <v>0</v>
      </c>
      <c r="R29" s="26">
        <v>0</v>
      </c>
      <c r="S29" s="26">
        <v>0</v>
      </c>
      <c r="T29" s="26">
        <v>0</v>
      </c>
      <c r="U29" s="26">
        <v>0</v>
      </c>
      <c r="V29" s="27">
        <v>0</v>
      </c>
      <c r="W29" s="67">
        <v>2.1205012362238353E-2</v>
      </c>
      <c r="X29" s="30">
        <v>0</v>
      </c>
      <c r="Y29" s="30">
        <v>0</v>
      </c>
      <c r="Z29" s="30">
        <v>0</v>
      </c>
      <c r="AA29" s="30">
        <v>0</v>
      </c>
      <c r="AB29" s="30">
        <v>0</v>
      </c>
      <c r="AC29" s="30">
        <v>0</v>
      </c>
      <c r="AD29" s="30">
        <v>0</v>
      </c>
      <c r="AE29" s="25">
        <v>0</v>
      </c>
      <c r="AG29" s="30">
        <f t="shared" si="0"/>
        <v>7.070865921083988E-2</v>
      </c>
      <c r="AH29" s="30">
        <f t="shared" si="1"/>
        <v>0</v>
      </c>
      <c r="AI29" s="30">
        <f t="shared" si="2"/>
        <v>2.1205012362238353E-2</v>
      </c>
    </row>
    <row r="30" spans="2:35" ht="15.75" thickBot="1" x14ac:dyDescent="0.2">
      <c r="B30" t="s">
        <v>46</v>
      </c>
      <c r="C30" s="22">
        <f>VLOOKUP(B30,[1]SYS!$F$5:$G$360,2,FALSE)</f>
        <v>25</v>
      </c>
      <c r="D30" s="34" t="str">
        <f>VLOOKUP(C30,[1]SYS!$G$5:$H$360,2,FALSE)</f>
        <v>北新得変電所</v>
      </c>
      <c r="E30" s="4">
        <v>1.5572232147011505E-2</v>
      </c>
      <c r="F30" s="26">
        <v>0</v>
      </c>
      <c r="G30" s="26">
        <v>0</v>
      </c>
      <c r="H30" s="26">
        <v>0</v>
      </c>
      <c r="I30" s="26">
        <v>0</v>
      </c>
      <c r="J30" s="26">
        <v>0</v>
      </c>
      <c r="K30" s="26">
        <v>0</v>
      </c>
      <c r="L30" s="26">
        <v>0</v>
      </c>
      <c r="M30" s="63">
        <v>0</v>
      </c>
      <c r="N30" s="37">
        <v>0</v>
      </c>
      <c r="O30" s="26">
        <v>0</v>
      </c>
      <c r="P30" s="26">
        <v>0</v>
      </c>
      <c r="Q30" s="26">
        <v>0</v>
      </c>
      <c r="R30" s="26">
        <v>0</v>
      </c>
      <c r="S30" s="26">
        <v>0</v>
      </c>
      <c r="T30" s="26">
        <v>0</v>
      </c>
      <c r="U30" s="26">
        <v>0</v>
      </c>
      <c r="V30" s="27">
        <v>0</v>
      </c>
      <c r="W30" s="67">
        <v>2.5563281410950756E-2</v>
      </c>
      <c r="X30" s="30">
        <v>0</v>
      </c>
      <c r="Y30" s="30">
        <v>0</v>
      </c>
      <c r="Z30" s="30">
        <v>0</v>
      </c>
      <c r="AA30" s="30">
        <v>0</v>
      </c>
      <c r="AB30" s="30">
        <v>0</v>
      </c>
      <c r="AC30" s="30">
        <v>0</v>
      </c>
      <c r="AD30" s="30">
        <v>0</v>
      </c>
      <c r="AE30" s="25">
        <v>0</v>
      </c>
      <c r="AG30" s="30">
        <f t="shared" si="0"/>
        <v>1.5572232147011505E-2</v>
      </c>
      <c r="AH30" s="30">
        <f t="shared" si="1"/>
        <v>0</v>
      </c>
      <c r="AI30" s="30">
        <f t="shared" si="2"/>
        <v>2.5563281410950756E-2</v>
      </c>
    </row>
    <row r="31" spans="2:35" ht="15.75" thickBot="1" x14ac:dyDescent="0.2">
      <c r="B31" t="s">
        <v>47</v>
      </c>
      <c r="C31" s="22">
        <f>VLOOKUP(B31,[1]SYS!$F$5:$G$360,2,FALSE)</f>
        <v>26</v>
      </c>
      <c r="D31" s="34" t="str">
        <f>VLOOKUP(C31,[1]SYS!$G$5:$H$360,2,FALSE)</f>
        <v>岩清水開閉所</v>
      </c>
      <c r="E31" s="4">
        <v>2.6296592132440625E-2</v>
      </c>
      <c r="F31" s="26">
        <v>0</v>
      </c>
      <c r="G31" s="26">
        <v>0</v>
      </c>
      <c r="H31" s="26">
        <v>0</v>
      </c>
      <c r="I31" s="26">
        <v>0</v>
      </c>
      <c r="J31" s="26">
        <v>0</v>
      </c>
      <c r="K31" s="26">
        <v>0</v>
      </c>
      <c r="L31" s="26">
        <v>0</v>
      </c>
      <c r="M31" s="63">
        <v>0</v>
      </c>
      <c r="N31" s="37">
        <v>0</v>
      </c>
      <c r="O31" s="26">
        <v>0</v>
      </c>
      <c r="P31" s="26">
        <v>0</v>
      </c>
      <c r="Q31" s="26">
        <v>0</v>
      </c>
      <c r="R31" s="26">
        <v>0</v>
      </c>
      <c r="S31" s="26">
        <v>0</v>
      </c>
      <c r="T31" s="26">
        <v>0</v>
      </c>
      <c r="U31" s="26">
        <v>0</v>
      </c>
      <c r="V31" s="27">
        <v>0</v>
      </c>
      <c r="W31" s="67">
        <v>2.1128409887179685E-2</v>
      </c>
      <c r="X31" s="30">
        <v>0</v>
      </c>
      <c r="Y31" s="30">
        <v>0</v>
      </c>
      <c r="Z31" s="30">
        <v>0</v>
      </c>
      <c r="AA31" s="30">
        <v>0</v>
      </c>
      <c r="AB31" s="30">
        <v>0</v>
      </c>
      <c r="AC31" s="30">
        <v>0</v>
      </c>
      <c r="AD31" s="30">
        <v>0</v>
      </c>
      <c r="AE31" s="25">
        <v>0</v>
      </c>
      <c r="AG31" s="30">
        <f t="shared" si="0"/>
        <v>2.6296592132440625E-2</v>
      </c>
      <c r="AH31" s="30">
        <f t="shared" si="1"/>
        <v>0</v>
      </c>
      <c r="AI31" s="30">
        <f t="shared" si="2"/>
        <v>2.1128409887179685E-2</v>
      </c>
    </row>
    <row r="32" spans="2:35" ht="15.75" thickBot="1" x14ac:dyDescent="0.2">
      <c r="B32" t="s">
        <v>48</v>
      </c>
      <c r="C32" s="22">
        <f>VLOOKUP(B32,[1]SYS!$F$5:$G$360,2,FALSE)</f>
        <v>27</v>
      </c>
      <c r="D32" s="34" t="str">
        <f>VLOOKUP(C32,[1]SYS!$G$5:$H$360,2,FALSE)</f>
        <v>北芽室変電所</v>
      </c>
      <c r="E32" s="4">
        <v>1.6470032243354169E-2</v>
      </c>
      <c r="F32" s="26">
        <v>0</v>
      </c>
      <c r="G32" s="26">
        <v>0</v>
      </c>
      <c r="H32" s="26">
        <v>0</v>
      </c>
      <c r="I32" s="26">
        <v>0</v>
      </c>
      <c r="J32" s="26">
        <v>0</v>
      </c>
      <c r="K32" s="26">
        <v>0</v>
      </c>
      <c r="L32" s="26">
        <v>0</v>
      </c>
      <c r="M32" s="63">
        <v>0</v>
      </c>
      <c r="N32" s="37">
        <v>0</v>
      </c>
      <c r="O32" s="26">
        <v>0</v>
      </c>
      <c r="P32" s="26">
        <v>0</v>
      </c>
      <c r="Q32" s="26">
        <v>0</v>
      </c>
      <c r="R32" s="26">
        <v>0</v>
      </c>
      <c r="S32" s="26">
        <v>0</v>
      </c>
      <c r="T32" s="26">
        <v>0</v>
      </c>
      <c r="U32" s="26">
        <v>0</v>
      </c>
      <c r="V32" s="27">
        <v>0</v>
      </c>
      <c r="W32" s="67">
        <v>5.7579702323771999E-2</v>
      </c>
      <c r="X32" s="30">
        <v>0</v>
      </c>
      <c r="Y32" s="30">
        <v>0</v>
      </c>
      <c r="Z32" s="30">
        <v>0</v>
      </c>
      <c r="AA32" s="30">
        <v>0</v>
      </c>
      <c r="AB32" s="30">
        <v>0</v>
      </c>
      <c r="AC32" s="30">
        <v>0</v>
      </c>
      <c r="AD32" s="30">
        <v>0</v>
      </c>
      <c r="AE32" s="25">
        <v>0</v>
      </c>
      <c r="AG32" s="30">
        <f t="shared" si="0"/>
        <v>1.6470032243354169E-2</v>
      </c>
      <c r="AH32" s="30">
        <f t="shared" si="1"/>
        <v>0</v>
      </c>
      <c r="AI32" s="30">
        <f t="shared" si="2"/>
        <v>5.7579702323771999E-2</v>
      </c>
    </row>
    <row r="33" spans="2:35" ht="15.75" thickBot="1" x14ac:dyDescent="0.2">
      <c r="B33" t="s">
        <v>49</v>
      </c>
      <c r="C33" s="22">
        <f>VLOOKUP(B33,[1]SYS!$F$5:$G$360,2,FALSE)</f>
        <v>28</v>
      </c>
      <c r="D33" s="34" t="str">
        <f>VLOOKUP(C33,[1]SYS!$G$5:$H$360,2,FALSE)</f>
        <v>西音更変電所</v>
      </c>
      <c r="E33" s="4">
        <v>0.115040563902454</v>
      </c>
      <c r="F33" s="26">
        <v>0</v>
      </c>
      <c r="G33" s="26">
        <v>0</v>
      </c>
      <c r="H33" s="26">
        <v>0</v>
      </c>
      <c r="I33" s="26">
        <v>0</v>
      </c>
      <c r="J33" s="26">
        <v>0</v>
      </c>
      <c r="K33" s="26">
        <v>0</v>
      </c>
      <c r="L33" s="26">
        <v>0</v>
      </c>
      <c r="M33" s="63">
        <v>0</v>
      </c>
      <c r="N33" s="4">
        <v>0.21504056390245399</v>
      </c>
      <c r="O33" s="26">
        <v>0</v>
      </c>
      <c r="P33" s="26">
        <v>0</v>
      </c>
      <c r="Q33" s="26">
        <v>0</v>
      </c>
      <c r="R33" s="26">
        <v>0</v>
      </c>
      <c r="S33" s="26">
        <v>0</v>
      </c>
      <c r="T33" s="26">
        <v>0</v>
      </c>
      <c r="U33" s="26">
        <v>0</v>
      </c>
      <c r="V33" s="27">
        <v>0</v>
      </c>
      <c r="W33" s="67">
        <v>9.5322814970914077E-2</v>
      </c>
      <c r="X33" s="30">
        <v>0</v>
      </c>
      <c r="Y33" s="30">
        <v>0</v>
      </c>
      <c r="Z33" s="30">
        <v>0</v>
      </c>
      <c r="AA33" s="30">
        <v>0</v>
      </c>
      <c r="AB33" s="30">
        <v>0</v>
      </c>
      <c r="AC33" s="30">
        <v>0</v>
      </c>
      <c r="AD33" s="30">
        <v>0</v>
      </c>
      <c r="AE33" s="25">
        <v>0</v>
      </c>
      <c r="AG33" s="30">
        <f t="shared" si="0"/>
        <v>0.115040563902454</v>
      </c>
      <c r="AH33" s="30">
        <f t="shared" si="1"/>
        <v>0.21504056390245399</v>
      </c>
      <c r="AI33" s="30">
        <f t="shared" si="2"/>
        <v>9.5322814970914077E-2</v>
      </c>
    </row>
    <row r="34" spans="2:35" ht="15.75" thickBot="1" x14ac:dyDescent="0.2">
      <c r="B34" t="s">
        <v>50</v>
      </c>
      <c r="C34" s="22">
        <f>VLOOKUP(B34,[1]SYS!$F$5:$G$360,2,FALSE)</f>
        <v>29</v>
      </c>
      <c r="D34" s="34" t="str">
        <f>VLOOKUP(C34,[1]SYS!$G$5:$H$360,2,FALSE)</f>
        <v>宇円別変電所</v>
      </c>
      <c r="E34" s="4">
        <v>3.2825052716063553E-3</v>
      </c>
      <c r="F34" s="26">
        <v>0</v>
      </c>
      <c r="G34" s="26">
        <v>0</v>
      </c>
      <c r="H34" s="26">
        <v>0</v>
      </c>
      <c r="I34" s="26">
        <v>0</v>
      </c>
      <c r="J34" s="26">
        <v>0</v>
      </c>
      <c r="K34" s="26">
        <v>0</v>
      </c>
      <c r="L34" s="26">
        <v>0</v>
      </c>
      <c r="M34" s="63">
        <v>0</v>
      </c>
      <c r="N34" s="37">
        <v>0</v>
      </c>
      <c r="O34" s="26">
        <v>0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26">
        <v>0</v>
      </c>
      <c r="V34" s="27">
        <v>0</v>
      </c>
      <c r="W34" s="67">
        <v>0.14013679311635846</v>
      </c>
      <c r="X34" s="30">
        <v>0</v>
      </c>
      <c r="Y34" s="30">
        <v>0</v>
      </c>
      <c r="Z34" s="30">
        <v>0</v>
      </c>
      <c r="AA34" s="30">
        <v>0</v>
      </c>
      <c r="AB34" s="30">
        <v>0</v>
      </c>
      <c r="AC34" s="30">
        <v>0</v>
      </c>
      <c r="AD34" s="30">
        <v>0</v>
      </c>
      <c r="AE34" s="25">
        <v>0</v>
      </c>
      <c r="AG34" s="30">
        <f t="shared" si="0"/>
        <v>3.2825052716063553E-3</v>
      </c>
      <c r="AH34" s="30">
        <f t="shared" si="1"/>
        <v>0</v>
      </c>
      <c r="AI34" s="30">
        <f t="shared" si="2"/>
        <v>0.14013679311635846</v>
      </c>
    </row>
    <row r="35" spans="2:35" ht="15.75" thickBot="1" x14ac:dyDescent="0.2">
      <c r="B35" t="s">
        <v>51</v>
      </c>
      <c r="C35" s="22">
        <f>VLOOKUP(B35,[1]SYS!$F$5:$G$360,2,FALSE)</f>
        <v>30</v>
      </c>
      <c r="D35" s="34" t="str">
        <f>VLOOKUP(C35,[1]SYS!$G$5:$H$360,2,FALSE)</f>
        <v>東釧路変電所</v>
      </c>
      <c r="E35" s="4">
        <v>5.6596151765537041E-2</v>
      </c>
      <c r="F35" s="26">
        <v>0</v>
      </c>
      <c r="G35" s="26">
        <v>0</v>
      </c>
      <c r="H35" s="26">
        <v>0</v>
      </c>
      <c r="I35" s="26">
        <v>0</v>
      </c>
      <c r="J35" s="26">
        <v>0</v>
      </c>
      <c r="K35" s="26">
        <v>0</v>
      </c>
      <c r="L35" s="26">
        <v>0</v>
      </c>
      <c r="M35" s="63">
        <v>0</v>
      </c>
      <c r="N35" s="37">
        <v>0.157587</v>
      </c>
      <c r="O35" s="26">
        <v>0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26">
        <v>0</v>
      </c>
      <c r="V35" s="27">
        <v>0</v>
      </c>
      <c r="W35" s="67">
        <v>1.4830438120295117E-2</v>
      </c>
      <c r="X35" s="30">
        <v>0</v>
      </c>
      <c r="Y35" s="30">
        <v>0</v>
      </c>
      <c r="Z35" s="30">
        <v>0</v>
      </c>
      <c r="AA35" s="30">
        <v>0</v>
      </c>
      <c r="AB35" s="30">
        <v>0</v>
      </c>
      <c r="AC35" s="30">
        <v>0</v>
      </c>
      <c r="AD35" s="30">
        <v>0</v>
      </c>
      <c r="AE35" s="25">
        <v>0</v>
      </c>
      <c r="AG35" s="30">
        <f t="shared" si="0"/>
        <v>5.6596151765537041E-2</v>
      </c>
      <c r="AH35" s="30">
        <f t="shared" si="1"/>
        <v>0.157587</v>
      </c>
      <c r="AI35" s="30">
        <f t="shared" si="2"/>
        <v>1.4830438120295117E-2</v>
      </c>
    </row>
    <row r="36" spans="2:35" ht="15.75" thickBot="1" x14ac:dyDescent="0.2">
      <c r="B36" t="s">
        <v>52</v>
      </c>
      <c r="C36" s="22">
        <f>VLOOKUP(B36,[1]SYS!$F$5:$G$360,2,FALSE)</f>
        <v>31</v>
      </c>
      <c r="D36" s="34" t="str">
        <f>VLOOKUP(C36,[1]SYS!$G$5:$H$360,2,FALSE)</f>
        <v>西春別変電所</v>
      </c>
      <c r="E36" s="4">
        <v>7.0168474663266991E-2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63">
        <v>0</v>
      </c>
      <c r="N36" s="37">
        <v>0</v>
      </c>
      <c r="O36" s="26">
        <v>0</v>
      </c>
      <c r="P36" s="26">
        <v>0</v>
      </c>
      <c r="Q36" s="26">
        <v>0</v>
      </c>
      <c r="R36" s="26">
        <v>0</v>
      </c>
      <c r="S36" s="26">
        <v>0</v>
      </c>
      <c r="T36" s="26">
        <v>0</v>
      </c>
      <c r="U36" s="26">
        <v>0</v>
      </c>
      <c r="V36" s="27">
        <v>0</v>
      </c>
      <c r="W36" s="67">
        <v>8.0572051933740257E-2</v>
      </c>
      <c r="X36" s="30">
        <v>0</v>
      </c>
      <c r="Y36" s="30">
        <v>0</v>
      </c>
      <c r="Z36" s="30">
        <v>0</v>
      </c>
      <c r="AA36" s="30">
        <v>0</v>
      </c>
      <c r="AB36" s="30">
        <v>0</v>
      </c>
      <c r="AC36" s="30">
        <v>0</v>
      </c>
      <c r="AD36" s="30">
        <v>0</v>
      </c>
      <c r="AE36" s="25">
        <v>0</v>
      </c>
      <c r="AG36" s="30">
        <f t="shared" si="0"/>
        <v>7.0168474663266991E-2</v>
      </c>
      <c r="AH36" s="30">
        <f t="shared" si="1"/>
        <v>0</v>
      </c>
      <c r="AI36" s="30">
        <f t="shared" si="2"/>
        <v>8.0572051933740257E-2</v>
      </c>
    </row>
    <row r="37" spans="2:35" ht="15.75" thickBot="1" x14ac:dyDescent="0.2">
      <c r="B37" t="s">
        <v>53</v>
      </c>
      <c r="C37" s="22">
        <f>VLOOKUP(B37,[1]SYS!$F$5:$G$360,2,FALSE)</f>
        <v>32</v>
      </c>
      <c r="D37" s="34" t="str">
        <f>VLOOKUP(C37,[1]SYS!$G$5:$H$360,2,FALSE)</f>
        <v>電発函館変換所</v>
      </c>
      <c r="E37" s="4">
        <v>4.7892666561420875E-2</v>
      </c>
      <c r="F37" s="26">
        <v>0</v>
      </c>
      <c r="G37" s="26">
        <v>0</v>
      </c>
      <c r="H37" s="26">
        <v>0</v>
      </c>
      <c r="I37" s="26">
        <v>0</v>
      </c>
      <c r="J37" s="26">
        <v>0</v>
      </c>
      <c r="K37" s="26">
        <v>0</v>
      </c>
      <c r="L37" s="26">
        <v>0</v>
      </c>
      <c r="M37" s="63">
        <v>0</v>
      </c>
      <c r="N37" s="37">
        <v>0</v>
      </c>
      <c r="O37" s="26">
        <v>0</v>
      </c>
      <c r="P37" s="26">
        <v>0</v>
      </c>
      <c r="Q37" s="26">
        <v>0</v>
      </c>
      <c r="R37" s="26">
        <v>0</v>
      </c>
      <c r="S37" s="26">
        <v>0</v>
      </c>
      <c r="T37" s="26">
        <v>0</v>
      </c>
      <c r="U37" s="26">
        <v>0</v>
      </c>
      <c r="V37" s="27">
        <v>0</v>
      </c>
      <c r="W37" s="67">
        <v>8.6852599105117726E-3</v>
      </c>
      <c r="X37" s="30">
        <v>0</v>
      </c>
      <c r="Y37" s="30">
        <v>0</v>
      </c>
      <c r="Z37" s="30">
        <v>0</v>
      </c>
      <c r="AA37" s="30">
        <v>0</v>
      </c>
      <c r="AB37" s="30">
        <v>0</v>
      </c>
      <c r="AC37" s="30">
        <v>0</v>
      </c>
      <c r="AD37" s="30">
        <v>0</v>
      </c>
      <c r="AE37" s="25">
        <v>0</v>
      </c>
      <c r="AG37" s="30">
        <f t="shared" si="0"/>
        <v>4.7892666561420875E-2</v>
      </c>
      <c r="AH37" s="30">
        <f t="shared" si="1"/>
        <v>0</v>
      </c>
      <c r="AI37" s="30">
        <f t="shared" si="2"/>
        <v>8.6852599105117726E-3</v>
      </c>
    </row>
    <row r="38" spans="2:35" ht="15.75" thickBot="1" x14ac:dyDescent="0.2">
      <c r="B38" t="s">
        <v>54</v>
      </c>
      <c r="C38" s="22">
        <f>VLOOKUP(B38,[1]SYS!$F$5:$G$360,2,FALSE)</f>
        <v>33</v>
      </c>
      <c r="D38" s="34" t="str">
        <f>VLOOKUP(C38,[1]SYS!$G$5:$H$360,2,FALSE)</f>
        <v>上北変電所</v>
      </c>
      <c r="E38" s="37">
        <v>0</v>
      </c>
      <c r="F38" s="1">
        <v>3.421164974237609E-3</v>
      </c>
      <c r="G38" s="26">
        <v>0</v>
      </c>
      <c r="H38" s="26">
        <v>0</v>
      </c>
      <c r="I38" s="26">
        <v>0</v>
      </c>
      <c r="J38" s="26">
        <v>0</v>
      </c>
      <c r="K38" s="26">
        <v>0</v>
      </c>
      <c r="L38" s="26">
        <v>0</v>
      </c>
      <c r="M38" s="63">
        <v>0</v>
      </c>
      <c r="N38" s="37">
        <v>0</v>
      </c>
      <c r="O38" s="26">
        <v>0</v>
      </c>
      <c r="P38" s="26">
        <v>0</v>
      </c>
      <c r="Q38" s="26">
        <v>0</v>
      </c>
      <c r="R38" s="26">
        <v>0</v>
      </c>
      <c r="S38" s="26">
        <v>0</v>
      </c>
      <c r="T38" s="26">
        <v>0</v>
      </c>
      <c r="U38" s="26">
        <v>0</v>
      </c>
      <c r="V38" s="27">
        <v>0</v>
      </c>
      <c r="W38" s="68">
        <v>0</v>
      </c>
      <c r="X38" s="1">
        <v>0.11877018824684267</v>
      </c>
      <c r="Y38" s="30">
        <v>0</v>
      </c>
      <c r="Z38" s="30">
        <v>0</v>
      </c>
      <c r="AA38" s="30">
        <v>0</v>
      </c>
      <c r="AB38" s="30">
        <v>0</v>
      </c>
      <c r="AC38" s="30">
        <v>0</v>
      </c>
      <c r="AD38" s="30">
        <v>0</v>
      </c>
      <c r="AE38" s="25">
        <v>0</v>
      </c>
      <c r="AG38" s="30">
        <f t="shared" si="0"/>
        <v>3.421164974237609E-3</v>
      </c>
      <c r="AH38" s="30">
        <f t="shared" si="1"/>
        <v>0</v>
      </c>
      <c r="AI38" s="30">
        <f t="shared" si="2"/>
        <v>0.11877018824684267</v>
      </c>
    </row>
    <row r="39" spans="2:35" ht="15.75" thickBot="1" x14ac:dyDescent="0.2">
      <c r="B39" t="s">
        <v>55</v>
      </c>
      <c r="C39" s="22">
        <f>VLOOKUP(B39,[1]SYS!$F$5:$G$360,2,FALSE)</f>
        <v>34</v>
      </c>
      <c r="D39" s="34" t="str">
        <f>VLOOKUP(C39,[1]SYS!$G$5:$H$360,2,FALSE)</f>
        <v>岩手変電所</v>
      </c>
      <c r="E39" s="37">
        <v>0</v>
      </c>
      <c r="F39" s="1">
        <v>2.1872692148826471E-2</v>
      </c>
      <c r="G39" s="26">
        <v>0</v>
      </c>
      <c r="H39" s="26">
        <v>0</v>
      </c>
      <c r="I39" s="26">
        <v>0</v>
      </c>
      <c r="J39" s="26">
        <v>0</v>
      </c>
      <c r="K39" s="26">
        <v>0</v>
      </c>
      <c r="L39" s="26">
        <v>0</v>
      </c>
      <c r="M39" s="63">
        <v>0</v>
      </c>
      <c r="N39" s="37">
        <v>0</v>
      </c>
      <c r="O39" s="1">
        <v>0.21</v>
      </c>
      <c r="P39" s="26">
        <v>0</v>
      </c>
      <c r="Q39" s="26">
        <v>0</v>
      </c>
      <c r="R39" s="26">
        <v>0</v>
      </c>
      <c r="S39" s="26">
        <v>0</v>
      </c>
      <c r="T39" s="26">
        <v>0</v>
      </c>
      <c r="U39" s="26">
        <v>0</v>
      </c>
      <c r="V39" s="27">
        <v>0</v>
      </c>
      <c r="W39" s="68">
        <v>0</v>
      </c>
      <c r="X39" s="1">
        <v>4.8604303962256165E-2</v>
      </c>
      <c r="Y39" s="30">
        <v>0</v>
      </c>
      <c r="Z39" s="30">
        <v>0</v>
      </c>
      <c r="AA39" s="30">
        <v>0</v>
      </c>
      <c r="AB39" s="30">
        <v>0</v>
      </c>
      <c r="AC39" s="30">
        <v>0</v>
      </c>
      <c r="AD39" s="30">
        <v>0</v>
      </c>
      <c r="AE39" s="25">
        <v>0</v>
      </c>
      <c r="AG39" s="30">
        <f t="shared" si="0"/>
        <v>2.1872692148826471E-2</v>
      </c>
      <c r="AH39" s="30">
        <f t="shared" si="1"/>
        <v>0.21</v>
      </c>
      <c r="AI39" s="30">
        <f t="shared" si="2"/>
        <v>4.8604303962256165E-2</v>
      </c>
    </row>
    <row r="40" spans="2:35" ht="15.75" thickBot="1" x14ac:dyDescent="0.2">
      <c r="B40" t="s">
        <v>56</v>
      </c>
      <c r="C40" s="22">
        <f>VLOOKUP(B40,[1]SYS!$F$5:$G$360,2,FALSE)</f>
        <v>35</v>
      </c>
      <c r="D40" s="34" t="str">
        <f>VLOOKUP(C40,[1]SYS!$G$5:$H$360,2,FALSE)</f>
        <v>宮城変電所</v>
      </c>
      <c r="E40" s="37">
        <v>0</v>
      </c>
      <c r="F40" s="1">
        <v>7.7177419126018651E-2</v>
      </c>
      <c r="G40" s="26">
        <v>0</v>
      </c>
      <c r="H40" s="26">
        <v>0</v>
      </c>
      <c r="I40" s="26">
        <v>0</v>
      </c>
      <c r="J40" s="26">
        <v>0</v>
      </c>
      <c r="K40" s="26">
        <v>0</v>
      </c>
      <c r="L40" s="26">
        <v>0</v>
      </c>
      <c r="M40" s="63">
        <v>0</v>
      </c>
      <c r="N40" s="37">
        <v>0</v>
      </c>
      <c r="O40" s="26">
        <v>0</v>
      </c>
      <c r="P40" s="26">
        <v>0</v>
      </c>
      <c r="Q40" s="26">
        <v>0</v>
      </c>
      <c r="R40" s="26">
        <v>0</v>
      </c>
      <c r="S40" s="26">
        <v>0</v>
      </c>
      <c r="T40" s="26">
        <v>0</v>
      </c>
      <c r="U40" s="26">
        <v>0</v>
      </c>
      <c r="V40" s="27">
        <v>0</v>
      </c>
      <c r="W40" s="68">
        <v>0</v>
      </c>
      <c r="X40" s="1">
        <v>4.1695013269786883E-2</v>
      </c>
      <c r="Y40" s="30">
        <v>0</v>
      </c>
      <c r="Z40" s="30">
        <v>0</v>
      </c>
      <c r="AA40" s="30">
        <v>0</v>
      </c>
      <c r="AB40" s="30">
        <v>0</v>
      </c>
      <c r="AC40" s="30">
        <v>0</v>
      </c>
      <c r="AD40" s="30">
        <v>0</v>
      </c>
      <c r="AE40" s="25">
        <v>0</v>
      </c>
      <c r="AG40" s="30">
        <f t="shared" si="0"/>
        <v>7.7177419126018651E-2</v>
      </c>
      <c r="AH40" s="30">
        <f t="shared" si="1"/>
        <v>0</v>
      </c>
      <c r="AI40" s="30">
        <f t="shared" si="2"/>
        <v>4.1695013269786883E-2</v>
      </c>
    </row>
    <row r="41" spans="2:35" ht="15.75" thickBot="1" x14ac:dyDescent="0.2">
      <c r="B41" t="s">
        <v>57</v>
      </c>
      <c r="C41" s="22">
        <f>VLOOKUP(B41,[1]SYS!$F$5:$G$360,2,FALSE)</f>
        <v>36</v>
      </c>
      <c r="D41" s="34" t="str">
        <f>VLOOKUP(C41,[1]SYS!$G$5:$H$360,2,FALSE)</f>
        <v>西仙台変電所</v>
      </c>
      <c r="E41" s="37">
        <v>0</v>
      </c>
      <c r="F41" s="1">
        <v>1.9732935082910873E-2</v>
      </c>
      <c r="G41" s="26">
        <v>0</v>
      </c>
      <c r="H41" s="26">
        <v>0</v>
      </c>
      <c r="I41" s="26">
        <v>0</v>
      </c>
      <c r="J41" s="26">
        <v>0</v>
      </c>
      <c r="K41" s="26">
        <v>0</v>
      </c>
      <c r="L41" s="26">
        <v>0</v>
      </c>
      <c r="M41" s="63">
        <v>0</v>
      </c>
      <c r="N41" s="37">
        <v>0</v>
      </c>
      <c r="O41" s="1">
        <v>0.13</v>
      </c>
      <c r="P41" s="26">
        <v>0</v>
      </c>
      <c r="Q41" s="26">
        <v>0</v>
      </c>
      <c r="R41" s="26">
        <v>0</v>
      </c>
      <c r="S41" s="26">
        <v>0</v>
      </c>
      <c r="T41" s="26">
        <v>0</v>
      </c>
      <c r="U41" s="26">
        <v>0</v>
      </c>
      <c r="V41" s="27">
        <v>0</v>
      </c>
      <c r="W41" s="68">
        <v>0</v>
      </c>
      <c r="X41" s="1">
        <v>2.4160248899160974E-2</v>
      </c>
      <c r="Y41" s="30">
        <v>0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25">
        <v>0</v>
      </c>
      <c r="AG41" s="30">
        <f t="shared" si="0"/>
        <v>1.9732935082910873E-2</v>
      </c>
      <c r="AH41" s="30">
        <f t="shared" si="1"/>
        <v>0.13</v>
      </c>
      <c r="AI41" s="30">
        <f t="shared" si="2"/>
        <v>2.4160248899160974E-2</v>
      </c>
    </row>
    <row r="42" spans="2:35" ht="15.75" thickBot="1" x14ac:dyDescent="0.2">
      <c r="B42" t="s">
        <v>58</v>
      </c>
      <c r="C42" s="22">
        <f>VLOOKUP(B42,[1]SYS!$F$5:$G$360,2,FALSE)</f>
        <v>37</v>
      </c>
      <c r="D42" s="34" t="str">
        <f>VLOOKUP(C42,[1]SYS!$G$5:$H$360,2,FALSE)</f>
        <v>南相馬変電所</v>
      </c>
      <c r="E42" s="37">
        <v>0</v>
      </c>
      <c r="F42" s="1">
        <v>0.10629210863605405</v>
      </c>
      <c r="G42" s="26">
        <v>0</v>
      </c>
      <c r="H42" s="26">
        <v>0</v>
      </c>
      <c r="I42" s="26">
        <v>0</v>
      </c>
      <c r="J42" s="26">
        <v>0</v>
      </c>
      <c r="K42" s="26">
        <v>0</v>
      </c>
      <c r="L42" s="26">
        <v>0</v>
      </c>
      <c r="M42" s="63">
        <v>0</v>
      </c>
      <c r="N42" s="37">
        <v>0</v>
      </c>
      <c r="O42" s="26">
        <v>0</v>
      </c>
      <c r="P42" s="26">
        <v>0</v>
      </c>
      <c r="Q42" s="26">
        <v>0</v>
      </c>
      <c r="R42" s="26">
        <v>0</v>
      </c>
      <c r="S42" s="26">
        <v>0</v>
      </c>
      <c r="T42" s="26">
        <v>0</v>
      </c>
      <c r="U42" s="26">
        <v>0</v>
      </c>
      <c r="V42" s="27">
        <v>0</v>
      </c>
      <c r="W42" s="68">
        <v>0</v>
      </c>
      <c r="X42" s="1">
        <v>3.0173471696521577E-2</v>
      </c>
      <c r="Y42" s="30">
        <v>0</v>
      </c>
      <c r="Z42" s="30">
        <v>0</v>
      </c>
      <c r="AA42" s="30">
        <v>0</v>
      </c>
      <c r="AB42" s="30">
        <v>0</v>
      </c>
      <c r="AC42" s="30">
        <v>0</v>
      </c>
      <c r="AD42" s="30">
        <v>0</v>
      </c>
      <c r="AE42" s="25">
        <v>0</v>
      </c>
      <c r="AG42" s="30">
        <f t="shared" si="0"/>
        <v>0.10629210863605405</v>
      </c>
      <c r="AH42" s="30">
        <f t="shared" si="1"/>
        <v>0</v>
      </c>
      <c r="AI42" s="30">
        <f t="shared" si="2"/>
        <v>3.0173471696521577E-2</v>
      </c>
    </row>
    <row r="43" spans="2:35" ht="15.75" thickBot="1" x14ac:dyDescent="0.2">
      <c r="B43" t="s">
        <v>59</v>
      </c>
      <c r="C43" s="22">
        <f>VLOOKUP(B43,[1]SYS!$F$5:$G$360,2,FALSE)</f>
        <v>38</v>
      </c>
      <c r="D43" s="34" t="str">
        <f>VLOOKUP(C43,[1]SYS!$G$5:$H$360,2,FALSE)</f>
        <v>青森変電所</v>
      </c>
      <c r="E43" s="37">
        <v>0</v>
      </c>
      <c r="F43" s="1">
        <f>0.00371681737032299+0.0055915</f>
        <v>9.308317370322991E-3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63">
        <v>0</v>
      </c>
      <c r="N43" s="37">
        <v>0</v>
      </c>
      <c r="O43" s="1">
        <v>0.17</v>
      </c>
      <c r="P43" s="26">
        <v>0</v>
      </c>
      <c r="Q43" s="26">
        <v>0</v>
      </c>
      <c r="R43" s="26">
        <v>0</v>
      </c>
      <c r="S43" s="26">
        <v>0</v>
      </c>
      <c r="T43" s="26">
        <v>0</v>
      </c>
      <c r="U43" s="26">
        <v>0</v>
      </c>
      <c r="V43" s="27">
        <v>0</v>
      </c>
      <c r="W43" s="68">
        <v>0</v>
      </c>
      <c r="X43" s="1">
        <v>1.4444433368112203E-2</v>
      </c>
      <c r="Y43" s="30">
        <v>0</v>
      </c>
      <c r="Z43" s="30">
        <v>0</v>
      </c>
      <c r="AA43" s="30">
        <v>0</v>
      </c>
      <c r="AB43" s="30">
        <v>0</v>
      </c>
      <c r="AC43" s="30">
        <v>0</v>
      </c>
      <c r="AD43" s="30">
        <v>0</v>
      </c>
      <c r="AE43" s="25">
        <v>0</v>
      </c>
      <c r="AG43" s="30">
        <f t="shared" si="0"/>
        <v>9.308317370322991E-3</v>
      </c>
      <c r="AH43" s="30">
        <f t="shared" si="1"/>
        <v>0.17</v>
      </c>
      <c r="AI43" s="30">
        <f t="shared" si="2"/>
        <v>1.4444433368112203E-2</v>
      </c>
    </row>
    <row r="44" spans="2:35" ht="15.75" thickBot="1" x14ac:dyDescent="0.2">
      <c r="B44" t="s">
        <v>60</v>
      </c>
      <c r="C44" s="22">
        <f>VLOOKUP(B44,[1]SYS!$F$5:$G$360,2,FALSE)</f>
        <v>39</v>
      </c>
      <c r="D44" s="34" t="str">
        <f>VLOOKUP(C44,[1]SYS!$G$5:$H$360,2,FALSE)</f>
        <v>能代変電所</v>
      </c>
      <c r="E44" s="37">
        <v>0</v>
      </c>
      <c r="F44" s="1">
        <v>9.6206342506435921E-2</v>
      </c>
      <c r="G44" s="26">
        <v>0</v>
      </c>
      <c r="H44" s="26">
        <v>0</v>
      </c>
      <c r="I44" s="26">
        <v>0</v>
      </c>
      <c r="J44" s="26">
        <v>0</v>
      </c>
      <c r="K44" s="26">
        <v>0</v>
      </c>
      <c r="L44" s="26">
        <v>0</v>
      </c>
      <c r="M44" s="63">
        <v>0</v>
      </c>
      <c r="N44" s="37">
        <v>0</v>
      </c>
      <c r="O44" s="26">
        <v>0</v>
      </c>
      <c r="P44" s="26">
        <v>0</v>
      </c>
      <c r="Q44" s="26">
        <v>0</v>
      </c>
      <c r="R44" s="26">
        <v>0</v>
      </c>
      <c r="S44" s="26">
        <v>0</v>
      </c>
      <c r="T44" s="26">
        <v>0</v>
      </c>
      <c r="U44" s="26">
        <v>0</v>
      </c>
      <c r="V44" s="27">
        <v>0</v>
      </c>
      <c r="W44" s="68">
        <v>0</v>
      </c>
      <c r="X44" s="1">
        <f>0.00932029153402161+0.0097663</f>
        <v>1.9086591534021612E-2</v>
      </c>
      <c r="Y44" s="30">
        <v>0</v>
      </c>
      <c r="Z44" s="30">
        <v>0</v>
      </c>
      <c r="AA44" s="30">
        <v>0</v>
      </c>
      <c r="AB44" s="30">
        <v>0</v>
      </c>
      <c r="AC44" s="30">
        <v>0</v>
      </c>
      <c r="AD44" s="30">
        <v>0</v>
      </c>
      <c r="AE44" s="25">
        <v>0</v>
      </c>
      <c r="AG44" s="30">
        <f t="shared" si="0"/>
        <v>9.6206342506435921E-2</v>
      </c>
      <c r="AH44" s="30">
        <f t="shared" si="1"/>
        <v>0</v>
      </c>
      <c r="AI44" s="30">
        <f t="shared" si="2"/>
        <v>1.9086591534021612E-2</v>
      </c>
    </row>
    <row r="45" spans="2:35" ht="15.75" thickBot="1" x14ac:dyDescent="0.2">
      <c r="B45" t="s">
        <v>61</v>
      </c>
      <c r="C45" s="22">
        <f>VLOOKUP(B45,[1]SYS!$F$5:$G$360,2,FALSE)</f>
        <v>40</v>
      </c>
      <c r="D45" s="34" t="str">
        <f>VLOOKUP(C45,[1]SYS!$G$5:$H$360,2,FALSE)</f>
        <v>秋田変電所</v>
      </c>
      <c r="E45" s="37">
        <v>0</v>
      </c>
      <c r="F45" s="1">
        <v>0.16071054135122753</v>
      </c>
      <c r="G45" s="26">
        <v>0</v>
      </c>
      <c r="H45" s="26">
        <v>0</v>
      </c>
      <c r="I45" s="26">
        <v>0</v>
      </c>
      <c r="J45" s="26">
        <v>0</v>
      </c>
      <c r="K45" s="26">
        <v>0</v>
      </c>
      <c r="L45" s="26">
        <v>0</v>
      </c>
      <c r="M45" s="63">
        <v>0</v>
      </c>
      <c r="N45" s="37">
        <v>0</v>
      </c>
      <c r="O45" s="1">
        <v>0.32</v>
      </c>
      <c r="P45" s="26">
        <v>0</v>
      </c>
      <c r="Q45" s="26">
        <v>0</v>
      </c>
      <c r="R45" s="26">
        <v>0</v>
      </c>
      <c r="S45" s="26">
        <v>0</v>
      </c>
      <c r="T45" s="26">
        <v>0</v>
      </c>
      <c r="U45" s="26">
        <v>0</v>
      </c>
      <c r="V45" s="27">
        <v>0</v>
      </c>
      <c r="W45" s="68">
        <v>0</v>
      </c>
      <c r="X45" s="1">
        <v>2.4747040284389541E-2</v>
      </c>
      <c r="Y45" s="30">
        <v>0</v>
      </c>
      <c r="Z45" s="30">
        <v>0</v>
      </c>
      <c r="AA45" s="30">
        <v>0</v>
      </c>
      <c r="AB45" s="30">
        <v>0</v>
      </c>
      <c r="AC45" s="30">
        <v>0</v>
      </c>
      <c r="AD45" s="30">
        <v>0</v>
      </c>
      <c r="AE45" s="25">
        <v>0</v>
      </c>
      <c r="AG45" s="30">
        <f t="shared" si="0"/>
        <v>0.16071054135122753</v>
      </c>
      <c r="AH45" s="30">
        <f t="shared" si="1"/>
        <v>0.32</v>
      </c>
      <c r="AI45" s="30">
        <f t="shared" si="2"/>
        <v>2.4747040284389541E-2</v>
      </c>
    </row>
    <row r="46" spans="2:35" ht="15.75" thickBot="1" x14ac:dyDescent="0.2">
      <c r="B46" t="s">
        <v>62</v>
      </c>
      <c r="C46" s="22">
        <f>VLOOKUP(B46,[1]SYS!$F$5:$G$360,2,FALSE)</f>
        <v>41</v>
      </c>
      <c r="D46" s="34" t="str">
        <f>VLOOKUP(C46,[1]SYS!$G$5:$H$360,2,FALSE)</f>
        <v>雫石開閉所</v>
      </c>
      <c r="E46" s="37">
        <v>0</v>
      </c>
      <c r="F46" s="1">
        <v>1.2036185410967839E-2</v>
      </c>
      <c r="G46" s="26">
        <v>0</v>
      </c>
      <c r="H46" s="26">
        <v>0</v>
      </c>
      <c r="I46" s="26">
        <v>0</v>
      </c>
      <c r="J46" s="26">
        <v>0</v>
      </c>
      <c r="K46" s="26">
        <v>0</v>
      </c>
      <c r="L46" s="26">
        <v>0</v>
      </c>
      <c r="M46" s="63">
        <v>0</v>
      </c>
      <c r="N46" s="37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  <c r="U46" s="26">
        <v>0</v>
      </c>
      <c r="V46" s="27">
        <v>0</v>
      </c>
      <c r="W46" s="68">
        <v>0</v>
      </c>
      <c r="X46" s="1">
        <v>2.1956342695024722E-2</v>
      </c>
      <c r="Y46" s="30">
        <v>0</v>
      </c>
      <c r="Z46" s="30">
        <v>0</v>
      </c>
      <c r="AA46" s="30">
        <v>0</v>
      </c>
      <c r="AB46" s="30">
        <v>0</v>
      </c>
      <c r="AC46" s="30">
        <v>0</v>
      </c>
      <c r="AD46" s="30">
        <v>0</v>
      </c>
      <c r="AE46" s="25">
        <v>0</v>
      </c>
      <c r="AG46" s="30">
        <f t="shared" si="0"/>
        <v>1.2036185410967839E-2</v>
      </c>
      <c r="AH46" s="30">
        <f t="shared" si="1"/>
        <v>0</v>
      </c>
      <c r="AI46" s="30">
        <f t="shared" si="2"/>
        <v>2.1956342695024722E-2</v>
      </c>
    </row>
    <row r="47" spans="2:35" ht="15.75" thickBot="1" x14ac:dyDescent="0.2">
      <c r="B47" t="s">
        <v>63</v>
      </c>
      <c r="C47" s="22">
        <f>VLOOKUP(B47,[1]SYS!$F$5:$G$360,2,FALSE)</f>
        <v>42</v>
      </c>
      <c r="D47" s="34" t="str">
        <f>VLOOKUP(C47,[1]SYS!$G$5:$H$360,2,FALSE)</f>
        <v>羽後変電所</v>
      </c>
      <c r="E47" s="37">
        <v>0</v>
      </c>
      <c r="F47" s="1">
        <v>6.0701352342286321E-3</v>
      </c>
      <c r="G47" s="26">
        <v>0</v>
      </c>
      <c r="H47" s="26">
        <v>0</v>
      </c>
      <c r="I47" s="26">
        <v>0</v>
      </c>
      <c r="J47" s="26">
        <v>0</v>
      </c>
      <c r="K47" s="26">
        <v>0</v>
      </c>
      <c r="L47" s="26">
        <v>0</v>
      </c>
      <c r="M47" s="63">
        <v>0</v>
      </c>
      <c r="N47" s="37">
        <v>0</v>
      </c>
      <c r="O47" s="26">
        <v>0</v>
      </c>
      <c r="P47" s="26">
        <v>0</v>
      </c>
      <c r="Q47" s="26">
        <v>0</v>
      </c>
      <c r="R47" s="26">
        <v>0</v>
      </c>
      <c r="S47" s="26">
        <v>0</v>
      </c>
      <c r="T47" s="26">
        <v>0</v>
      </c>
      <c r="U47" s="26">
        <v>0</v>
      </c>
      <c r="V47" s="27">
        <v>0</v>
      </c>
      <c r="W47" s="68">
        <v>0</v>
      </c>
      <c r="X47" s="1">
        <v>1.0851921174807268E-2</v>
      </c>
      <c r="Y47" s="30">
        <v>0</v>
      </c>
      <c r="Z47" s="30">
        <v>0</v>
      </c>
      <c r="AA47" s="30">
        <v>0</v>
      </c>
      <c r="AB47" s="30">
        <v>0</v>
      </c>
      <c r="AC47" s="30">
        <v>0</v>
      </c>
      <c r="AD47" s="30">
        <v>0</v>
      </c>
      <c r="AE47" s="25">
        <v>0</v>
      </c>
      <c r="AG47" s="30">
        <f t="shared" si="0"/>
        <v>6.0701352342286321E-3</v>
      </c>
      <c r="AH47" s="30">
        <f t="shared" si="1"/>
        <v>0</v>
      </c>
      <c r="AI47" s="30">
        <f t="shared" si="2"/>
        <v>1.0851921174807268E-2</v>
      </c>
    </row>
    <row r="48" spans="2:35" ht="15.75" thickBot="1" x14ac:dyDescent="0.2">
      <c r="B48" t="s">
        <v>64</v>
      </c>
      <c r="C48" s="22">
        <f>VLOOKUP(B48,[1]SYS!$F$5:$G$360,2,FALSE)</f>
        <v>43</v>
      </c>
      <c r="D48" s="34" t="str">
        <f>VLOOKUP(C48,[1]SYS!$G$5:$H$360,2,FALSE)</f>
        <v>水沢変電所</v>
      </c>
      <c r="E48" s="37">
        <v>0</v>
      </c>
      <c r="F48" s="1">
        <v>1.8530990335270014E-2</v>
      </c>
      <c r="G48" s="26">
        <v>0</v>
      </c>
      <c r="H48" s="26">
        <v>0</v>
      </c>
      <c r="I48" s="26">
        <v>0</v>
      </c>
      <c r="J48" s="26">
        <v>0</v>
      </c>
      <c r="K48" s="26">
        <v>0</v>
      </c>
      <c r="L48" s="26">
        <v>0</v>
      </c>
      <c r="M48" s="63">
        <v>0</v>
      </c>
      <c r="N48" s="37">
        <v>0</v>
      </c>
      <c r="O48" s="26">
        <v>0</v>
      </c>
      <c r="P48" s="26">
        <v>0</v>
      </c>
      <c r="Q48" s="26">
        <v>0</v>
      </c>
      <c r="R48" s="26">
        <v>0</v>
      </c>
      <c r="S48" s="26">
        <v>0</v>
      </c>
      <c r="T48" s="26">
        <v>0</v>
      </c>
      <c r="U48" s="26">
        <v>0</v>
      </c>
      <c r="V48" s="27">
        <v>0</v>
      </c>
      <c r="W48" s="68">
        <v>0</v>
      </c>
      <c r="X48" s="1">
        <v>7.0556517980378014E-2</v>
      </c>
      <c r="Y48" s="30">
        <v>0</v>
      </c>
      <c r="Z48" s="30">
        <v>0</v>
      </c>
      <c r="AA48" s="30">
        <v>0</v>
      </c>
      <c r="AB48" s="30">
        <v>0</v>
      </c>
      <c r="AC48" s="30">
        <v>0</v>
      </c>
      <c r="AD48" s="30">
        <v>0</v>
      </c>
      <c r="AE48" s="25">
        <v>0</v>
      </c>
      <c r="AG48" s="30">
        <f t="shared" si="0"/>
        <v>1.8530990335270014E-2</v>
      </c>
      <c r="AH48" s="30">
        <f t="shared" si="1"/>
        <v>0</v>
      </c>
      <c r="AI48" s="30">
        <f t="shared" si="2"/>
        <v>7.0556517980378014E-2</v>
      </c>
    </row>
    <row r="49" spans="2:35" ht="15.75" thickBot="1" x14ac:dyDescent="0.2">
      <c r="B49" t="s">
        <v>65</v>
      </c>
      <c r="C49" s="22">
        <f>VLOOKUP(B49,[1]SYS!$F$5:$G$360,2,FALSE)</f>
        <v>44</v>
      </c>
      <c r="D49" s="34" t="str">
        <f>VLOOKUP(C49,[1]SYS!$G$5:$H$360,2,FALSE)</f>
        <v>新庄変電所</v>
      </c>
      <c r="E49" s="37">
        <v>0</v>
      </c>
      <c r="F49" s="1">
        <v>4.9636425657088049E-2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63">
        <v>0</v>
      </c>
      <c r="N49" s="37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7">
        <v>0</v>
      </c>
      <c r="W49" s="68">
        <v>0</v>
      </c>
      <c r="X49" s="1">
        <v>2.4946814347256836E-2</v>
      </c>
      <c r="Y49" s="30">
        <v>0</v>
      </c>
      <c r="Z49" s="30">
        <v>0</v>
      </c>
      <c r="AA49" s="30">
        <v>0</v>
      </c>
      <c r="AB49" s="30">
        <v>0</v>
      </c>
      <c r="AC49" s="30">
        <v>0</v>
      </c>
      <c r="AD49" s="30">
        <v>0</v>
      </c>
      <c r="AE49" s="25">
        <v>0</v>
      </c>
      <c r="AG49" s="30">
        <f t="shared" si="0"/>
        <v>4.9636425657088049E-2</v>
      </c>
      <c r="AH49" s="30">
        <f t="shared" si="1"/>
        <v>0</v>
      </c>
      <c r="AI49" s="30">
        <f t="shared" si="2"/>
        <v>2.4946814347256836E-2</v>
      </c>
    </row>
    <row r="50" spans="2:35" ht="15.75" thickBot="1" x14ac:dyDescent="0.2">
      <c r="B50" t="s">
        <v>66</v>
      </c>
      <c r="C50" s="22">
        <f>VLOOKUP(B50,[1]SYS!$F$5:$G$360,2,FALSE)</f>
        <v>45</v>
      </c>
      <c r="D50" s="34" t="str">
        <f>VLOOKUP(C50,[1]SYS!$G$5:$H$360,2,FALSE)</f>
        <v>西山形変電所</v>
      </c>
      <c r="E50" s="37">
        <v>0</v>
      </c>
      <c r="F50" s="1">
        <v>5.7521407865948095E-2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63">
        <v>0</v>
      </c>
      <c r="N50" s="37">
        <v>0</v>
      </c>
      <c r="O50" s="26">
        <v>0</v>
      </c>
      <c r="P50" s="26">
        <v>0</v>
      </c>
      <c r="Q50" s="26">
        <v>0</v>
      </c>
      <c r="R50" s="26">
        <v>0</v>
      </c>
      <c r="S50" s="26">
        <v>0</v>
      </c>
      <c r="T50" s="26">
        <v>0</v>
      </c>
      <c r="U50" s="26">
        <v>0</v>
      </c>
      <c r="V50" s="27">
        <v>0</v>
      </c>
      <c r="W50" s="68">
        <v>0</v>
      </c>
      <c r="X50" s="1">
        <v>1.9078214023948051E-2</v>
      </c>
      <c r="Y50" s="30">
        <v>0</v>
      </c>
      <c r="Z50" s="30">
        <v>0</v>
      </c>
      <c r="AA50" s="30">
        <v>0</v>
      </c>
      <c r="AB50" s="30">
        <v>0</v>
      </c>
      <c r="AC50" s="30">
        <v>0</v>
      </c>
      <c r="AD50" s="30">
        <v>0</v>
      </c>
      <c r="AE50" s="25">
        <v>0</v>
      </c>
      <c r="AG50" s="30">
        <f t="shared" si="0"/>
        <v>5.7521407865948095E-2</v>
      </c>
      <c r="AH50" s="30">
        <f t="shared" si="1"/>
        <v>0</v>
      </c>
      <c r="AI50" s="30">
        <f t="shared" si="2"/>
        <v>1.9078214023948051E-2</v>
      </c>
    </row>
    <row r="51" spans="2:35" ht="15.75" thickBot="1" x14ac:dyDescent="0.2">
      <c r="B51" t="s">
        <v>67</v>
      </c>
      <c r="C51" s="22">
        <f>VLOOKUP(B51,[1]SYS!$F$5:$G$360,2,FALSE)</f>
        <v>46</v>
      </c>
      <c r="D51" s="34" t="str">
        <f>VLOOKUP(C51,[1]SYS!$G$5:$H$360,2,FALSE)</f>
        <v>石巻変電所</v>
      </c>
      <c r="E51" s="37">
        <v>0</v>
      </c>
      <c r="F51" s="1">
        <v>3.3775921699371166E-2</v>
      </c>
      <c r="G51" s="26">
        <v>0</v>
      </c>
      <c r="H51" s="26">
        <v>0</v>
      </c>
      <c r="I51" s="26">
        <v>0</v>
      </c>
      <c r="J51" s="26">
        <v>0</v>
      </c>
      <c r="K51" s="26">
        <v>0</v>
      </c>
      <c r="L51" s="26">
        <v>0</v>
      </c>
      <c r="M51" s="63">
        <v>0</v>
      </c>
      <c r="N51" s="37">
        <v>0</v>
      </c>
      <c r="O51" s="26">
        <v>0</v>
      </c>
      <c r="P51" s="26">
        <v>0</v>
      </c>
      <c r="Q51" s="26">
        <v>0</v>
      </c>
      <c r="R51" s="26">
        <v>0</v>
      </c>
      <c r="S51" s="26">
        <v>0</v>
      </c>
      <c r="T51" s="26">
        <v>0</v>
      </c>
      <c r="U51" s="26">
        <v>0</v>
      </c>
      <c r="V51" s="27">
        <v>0</v>
      </c>
      <c r="W51" s="68">
        <v>0</v>
      </c>
      <c r="X51" s="1">
        <v>5.5069169016147952E-2</v>
      </c>
      <c r="Y51" s="30">
        <v>0</v>
      </c>
      <c r="Z51" s="30">
        <v>0</v>
      </c>
      <c r="AA51" s="30">
        <v>0</v>
      </c>
      <c r="AB51" s="30">
        <v>0</v>
      </c>
      <c r="AC51" s="30">
        <v>0</v>
      </c>
      <c r="AD51" s="30">
        <v>0</v>
      </c>
      <c r="AE51" s="25">
        <v>0</v>
      </c>
      <c r="AG51" s="30">
        <f t="shared" si="0"/>
        <v>3.3775921699371166E-2</v>
      </c>
      <c r="AH51" s="30">
        <f t="shared" si="1"/>
        <v>0</v>
      </c>
      <c r="AI51" s="30">
        <f t="shared" si="2"/>
        <v>5.5069169016147952E-2</v>
      </c>
    </row>
    <row r="52" spans="2:35" ht="15.75" thickBot="1" x14ac:dyDescent="0.2">
      <c r="B52" t="s">
        <v>68</v>
      </c>
      <c r="C52" s="22">
        <f>VLOOKUP(B52,[1]SYS!$F$5:$G$360,2,FALSE)</f>
        <v>47</v>
      </c>
      <c r="D52" s="34" t="str">
        <f>VLOOKUP(C52,[1]SYS!$G$5:$H$360,2,FALSE)</f>
        <v>仙台変電所</v>
      </c>
      <c r="E52" s="37">
        <v>0</v>
      </c>
      <c r="F52" s="1">
        <v>3.538738158612105E-2</v>
      </c>
      <c r="G52" s="26">
        <v>0</v>
      </c>
      <c r="H52" s="26">
        <v>0</v>
      </c>
      <c r="I52" s="26">
        <v>0</v>
      </c>
      <c r="J52" s="26">
        <v>0</v>
      </c>
      <c r="K52" s="26">
        <v>0</v>
      </c>
      <c r="L52" s="26">
        <v>0</v>
      </c>
      <c r="M52" s="63">
        <v>0</v>
      </c>
      <c r="N52" s="37">
        <v>0</v>
      </c>
      <c r="O52" s="26">
        <v>0</v>
      </c>
      <c r="P52" s="26">
        <v>0</v>
      </c>
      <c r="Q52" s="26">
        <v>0</v>
      </c>
      <c r="R52" s="26">
        <v>0</v>
      </c>
      <c r="S52" s="26">
        <v>0</v>
      </c>
      <c r="T52" s="26">
        <v>0</v>
      </c>
      <c r="U52" s="26">
        <v>0</v>
      </c>
      <c r="V52" s="27">
        <v>0</v>
      </c>
      <c r="W52" s="68">
        <v>0</v>
      </c>
      <c r="X52" s="1">
        <v>7.1334151085679115E-2</v>
      </c>
      <c r="Y52" s="30">
        <v>0</v>
      </c>
      <c r="Z52" s="30">
        <v>0</v>
      </c>
      <c r="AA52" s="30">
        <v>0</v>
      </c>
      <c r="AB52" s="30">
        <v>0</v>
      </c>
      <c r="AC52" s="30">
        <v>0</v>
      </c>
      <c r="AD52" s="30">
        <v>0</v>
      </c>
      <c r="AE52" s="25">
        <v>0</v>
      </c>
      <c r="AG52" s="30">
        <f t="shared" si="0"/>
        <v>3.538738158612105E-2</v>
      </c>
      <c r="AH52" s="30">
        <f t="shared" si="1"/>
        <v>0</v>
      </c>
      <c r="AI52" s="30">
        <f t="shared" si="2"/>
        <v>7.1334151085679115E-2</v>
      </c>
    </row>
    <row r="53" spans="2:35" ht="15.75" thickBot="1" x14ac:dyDescent="0.2">
      <c r="B53" t="s">
        <v>69</v>
      </c>
      <c r="C53" s="22">
        <f>VLOOKUP(B53,[1]SYS!$F$5:$G$360,2,FALSE)</f>
        <v>48</v>
      </c>
      <c r="D53" s="34" t="str">
        <f>VLOOKUP(C53,[1]SYS!$G$5:$H$360,2,FALSE)</f>
        <v>東仙台変電所</v>
      </c>
      <c r="E53" s="37">
        <v>0</v>
      </c>
      <c r="F53" s="1">
        <v>4.7104965584420233E-2</v>
      </c>
      <c r="G53" s="26">
        <v>0</v>
      </c>
      <c r="H53" s="26">
        <v>0</v>
      </c>
      <c r="I53" s="26">
        <v>0</v>
      </c>
      <c r="J53" s="26">
        <v>0</v>
      </c>
      <c r="K53" s="26">
        <v>0</v>
      </c>
      <c r="L53" s="26">
        <v>0</v>
      </c>
      <c r="M53" s="63">
        <v>0</v>
      </c>
      <c r="N53" s="37">
        <v>0</v>
      </c>
      <c r="O53" s="26">
        <v>0</v>
      </c>
      <c r="P53" s="26">
        <v>0</v>
      </c>
      <c r="Q53" s="26">
        <v>0</v>
      </c>
      <c r="R53" s="26">
        <v>0</v>
      </c>
      <c r="S53" s="26">
        <v>0</v>
      </c>
      <c r="T53" s="26">
        <v>0</v>
      </c>
      <c r="U53" s="26">
        <v>0</v>
      </c>
      <c r="V53" s="27">
        <v>0</v>
      </c>
      <c r="W53" s="68">
        <v>0</v>
      </c>
      <c r="X53" s="1">
        <v>3.4127976672655984E-2</v>
      </c>
      <c r="Y53" s="30">
        <v>0</v>
      </c>
      <c r="Z53" s="30">
        <v>0</v>
      </c>
      <c r="AA53" s="30">
        <v>0</v>
      </c>
      <c r="AB53" s="30">
        <v>0</v>
      </c>
      <c r="AC53" s="30">
        <v>0</v>
      </c>
      <c r="AD53" s="30">
        <v>0</v>
      </c>
      <c r="AE53" s="25">
        <v>0</v>
      </c>
      <c r="AG53" s="30">
        <f t="shared" si="0"/>
        <v>4.7104965584420233E-2</v>
      </c>
      <c r="AH53" s="30">
        <f t="shared" si="1"/>
        <v>0</v>
      </c>
      <c r="AI53" s="30">
        <f t="shared" si="2"/>
        <v>3.4127976672655984E-2</v>
      </c>
    </row>
    <row r="54" spans="2:35" ht="15.75" thickBot="1" x14ac:dyDescent="0.2">
      <c r="B54" t="s">
        <v>70</v>
      </c>
      <c r="C54" s="22">
        <f>VLOOKUP(B54,[1]SYS!$F$5:$G$360,2,FALSE)</f>
        <v>49</v>
      </c>
      <c r="D54" s="34" t="str">
        <f>VLOOKUP(C54,[1]SYS!$G$5:$H$360,2,FALSE)</f>
        <v>越後開閉所</v>
      </c>
      <c r="E54" s="37">
        <v>0</v>
      </c>
      <c r="F54" s="1">
        <v>6.0795104628664151E-2</v>
      </c>
      <c r="G54" s="26">
        <v>0</v>
      </c>
      <c r="H54" s="26">
        <v>0</v>
      </c>
      <c r="I54" s="26">
        <v>0</v>
      </c>
      <c r="J54" s="26">
        <v>0</v>
      </c>
      <c r="K54" s="26">
        <v>0</v>
      </c>
      <c r="L54" s="26">
        <v>0</v>
      </c>
      <c r="M54" s="63">
        <v>0</v>
      </c>
      <c r="N54" s="37">
        <v>0</v>
      </c>
      <c r="O54" s="26">
        <v>0</v>
      </c>
      <c r="P54" s="26">
        <v>0</v>
      </c>
      <c r="Q54" s="26">
        <v>0</v>
      </c>
      <c r="R54" s="26">
        <v>0</v>
      </c>
      <c r="S54" s="26">
        <v>0</v>
      </c>
      <c r="T54" s="26">
        <v>0</v>
      </c>
      <c r="U54" s="26">
        <v>0</v>
      </c>
      <c r="V54" s="27">
        <v>0</v>
      </c>
      <c r="W54" s="68">
        <v>0</v>
      </c>
      <c r="X54" s="1">
        <v>1.1163734228515286E-2</v>
      </c>
      <c r="Y54" s="30">
        <v>0</v>
      </c>
      <c r="Z54" s="30">
        <v>0</v>
      </c>
      <c r="AA54" s="30">
        <v>0</v>
      </c>
      <c r="AB54" s="30">
        <v>0</v>
      </c>
      <c r="AC54" s="30">
        <v>0</v>
      </c>
      <c r="AD54" s="30">
        <v>0</v>
      </c>
      <c r="AE54" s="25">
        <v>0</v>
      </c>
      <c r="AG54" s="30">
        <f t="shared" si="0"/>
        <v>6.0795104628664151E-2</v>
      </c>
      <c r="AH54" s="30">
        <f t="shared" si="1"/>
        <v>0</v>
      </c>
      <c r="AI54" s="30">
        <f t="shared" si="2"/>
        <v>1.1163734228515286E-2</v>
      </c>
    </row>
    <row r="55" spans="2:35" ht="15.75" thickBot="1" x14ac:dyDescent="0.2">
      <c r="B55" t="s">
        <v>71</v>
      </c>
      <c r="C55" s="22">
        <f>VLOOKUP(B55,[1]SYS!$F$5:$G$360,2,FALSE)</f>
        <v>50</v>
      </c>
      <c r="D55" s="34" t="str">
        <f>VLOOKUP(C55,[1]SYS!$G$5:$H$360,2,FALSE)</f>
        <v>米沢変電所</v>
      </c>
      <c r="E55" s="37">
        <v>0</v>
      </c>
      <c r="F55" s="1">
        <v>5.1474682313743976E-2</v>
      </c>
      <c r="G55" s="26">
        <v>0</v>
      </c>
      <c r="H55" s="26">
        <v>0</v>
      </c>
      <c r="I55" s="26">
        <v>0</v>
      </c>
      <c r="J55" s="26">
        <v>0</v>
      </c>
      <c r="K55" s="26">
        <v>0</v>
      </c>
      <c r="L55" s="26">
        <v>0</v>
      </c>
      <c r="M55" s="63">
        <v>0</v>
      </c>
      <c r="N55" s="37">
        <v>0</v>
      </c>
      <c r="O55" s="26">
        <v>0</v>
      </c>
      <c r="P55" s="26">
        <v>0</v>
      </c>
      <c r="Q55" s="26">
        <v>0</v>
      </c>
      <c r="R55" s="26">
        <v>0</v>
      </c>
      <c r="S55" s="26">
        <v>0</v>
      </c>
      <c r="T55" s="26">
        <v>0</v>
      </c>
      <c r="U55" s="26">
        <v>0</v>
      </c>
      <c r="V55" s="27">
        <v>0</v>
      </c>
      <c r="W55" s="68">
        <v>0</v>
      </c>
      <c r="X55" s="1">
        <v>2.0282640356119791E-2</v>
      </c>
      <c r="Y55" s="30">
        <v>0</v>
      </c>
      <c r="Z55" s="30">
        <v>0</v>
      </c>
      <c r="AA55" s="30">
        <v>0</v>
      </c>
      <c r="AB55" s="30">
        <v>0</v>
      </c>
      <c r="AC55" s="30">
        <v>0</v>
      </c>
      <c r="AD55" s="30">
        <v>0</v>
      </c>
      <c r="AE55" s="25">
        <v>0</v>
      </c>
      <c r="AG55" s="30">
        <f t="shared" si="0"/>
        <v>5.1474682313743976E-2</v>
      </c>
      <c r="AH55" s="30">
        <f t="shared" si="1"/>
        <v>0</v>
      </c>
      <c r="AI55" s="30">
        <f t="shared" si="2"/>
        <v>2.0282640356119791E-2</v>
      </c>
    </row>
    <row r="56" spans="2:35" ht="15.75" thickBot="1" x14ac:dyDescent="0.2">
      <c r="B56" t="s">
        <v>72</v>
      </c>
      <c r="C56" s="22">
        <f>VLOOKUP(B56,[1]SYS!$F$5:$G$360,2,FALSE)</f>
        <v>51</v>
      </c>
      <c r="D56" s="34" t="str">
        <f>VLOOKUP(C56,[1]SYS!$G$5:$H$360,2,FALSE)</f>
        <v>福島変電所</v>
      </c>
      <c r="E56" s="37">
        <v>0</v>
      </c>
      <c r="F56" s="1">
        <v>1.6047212907811675E-2</v>
      </c>
      <c r="G56" s="26">
        <v>0</v>
      </c>
      <c r="H56" s="26">
        <v>0</v>
      </c>
      <c r="I56" s="26">
        <v>0</v>
      </c>
      <c r="J56" s="26">
        <v>0</v>
      </c>
      <c r="K56" s="26">
        <v>0</v>
      </c>
      <c r="L56" s="26">
        <v>0</v>
      </c>
      <c r="M56" s="63">
        <v>0</v>
      </c>
      <c r="N56" s="37">
        <v>0</v>
      </c>
      <c r="O56" s="1">
        <v>0.17</v>
      </c>
      <c r="P56" s="26">
        <v>0</v>
      </c>
      <c r="Q56" s="26">
        <v>0</v>
      </c>
      <c r="R56" s="26">
        <v>0</v>
      </c>
      <c r="S56" s="26">
        <v>0</v>
      </c>
      <c r="T56" s="26">
        <v>0</v>
      </c>
      <c r="U56" s="26">
        <v>0</v>
      </c>
      <c r="V56" s="27">
        <v>0</v>
      </c>
      <c r="W56" s="68">
        <v>0</v>
      </c>
      <c r="X56" s="1">
        <v>6.9279345632888262E-2</v>
      </c>
      <c r="Y56" s="30">
        <v>0</v>
      </c>
      <c r="Z56" s="30">
        <v>0</v>
      </c>
      <c r="AA56" s="30">
        <v>0</v>
      </c>
      <c r="AB56" s="30">
        <v>0</v>
      </c>
      <c r="AC56" s="30">
        <v>0</v>
      </c>
      <c r="AD56" s="30">
        <v>0</v>
      </c>
      <c r="AE56" s="25">
        <v>0</v>
      </c>
      <c r="AG56" s="30">
        <f t="shared" si="0"/>
        <v>1.6047212907811675E-2</v>
      </c>
      <c r="AH56" s="30">
        <f t="shared" si="1"/>
        <v>0.17</v>
      </c>
      <c r="AI56" s="30">
        <f t="shared" si="2"/>
        <v>6.9279345632888262E-2</v>
      </c>
    </row>
    <row r="57" spans="2:35" ht="15.75" thickBot="1" x14ac:dyDescent="0.2">
      <c r="B57" t="s">
        <v>73</v>
      </c>
      <c r="C57" s="22">
        <f>VLOOKUP(B57,[1]SYS!$F$5:$G$360,2,FALSE)</f>
        <v>52</v>
      </c>
      <c r="D57" s="34" t="str">
        <f>VLOOKUP(C57,[1]SYS!$G$5:$H$360,2,FALSE)</f>
        <v>北新潟変電所</v>
      </c>
      <c r="E57" s="37">
        <v>0</v>
      </c>
      <c r="F57" s="1">
        <v>1.7589592354752819E-2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63">
        <v>0</v>
      </c>
      <c r="N57" s="37">
        <v>0</v>
      </c>
      <c r="O57" s="26">
        <v>0</v>
      </c>
      <c r="P57" s="26">
        <v>0</v>
      </c>
      <c r="Q57" s="26">
        <v>0</v>
      </c>
      <c r="R57" s="26">
        <v>0</v>
      </c>
      <c r="S57" s="26">
        <v>0</v>
      </c>
      <c r="T57" s="26">
        <v>0</v>
      </c>
      <c r="U57" s="26">
        <v>0</v>
      </c>
      <c r="V57" s="27">
        <v>0</v>
      </c>
      <c r="W57" s="68">
        <v>0</v>
      </c>
      <c r="X57" s="1">
        <v>1.6974639228962429E-2</v>
      </c>
      <c r="Y57" s="30">
        <v>0</v>
      </c>
      <c r="Z57" s="30">
        <v>0</v>
      </c>
      <c r="AA57" s="30">
        <v>0</v>
      </c>
      <c r="AB57" s="30">
        <v>0</v>
      </c>
      <c r="AC57" s="30">
        <v>0</v>
      </c>
      <c r="AD57" s="30">
        <v>0</v>
      </c>
      <c r="AE57" s="25">
        <v>0</v>
      </c>
      <c r="AG57" s="30">
        <f t="shared" si="0"/>
        <v>1.7589592354752819E-2</v>
      </c>
      <c r="AH57" s="30">
        <f t="shared" si="1"/>
        <v>0</v>
      </c>
      <c r="AI57" s="30">
        <f t="shared" si="2"/>
        <v>1.6974639228962429E-2</v>
      </c>
    </row>
    <row r="58" spans="2:35" ht="15.75" thickBot="1" x14ac:dyDescent="0.2">
      <c r="B58" t="s">
        <v>74</v>
      </c>
      <c r="C58" s="22">
        <f>VLOOKUP(B58,[1]SYS!$F$5:$G$360,2,FALSE)</f>
        <v>53</v>
      </c>
      <c r="D58" s="34" t="str">
        <f>VLOOKUP(C58,[1]SYS!$G$5:$H$360,2,FALSE)</f>
        <v>新潟変電所</v>
      </c>
      <c r="E58" s="37">
        <v>0</v>
      </c>
      <c r="F58" s="1">
        <v>3.1435609593777978E-3</v>
      </c>
      <c r="G58" s="26">
        <v>0</v>
      </c>
      <c r="H58" s="26">
        <v>0</v>
      </c>
      <c r="I58" s="26">
        <v>0</v>
      </c>
      <c r="J58" s="26">
        <v>0</v>
      </c>
      <c r="K58" s="26">
        <v>0</v>
      </c>
      <c r="L58" s="26">
        <v>0</v>
      </c>
      <c r="M58" s="63">
        <v>0</v>
      </c>
      <c r="N58" s="37">
        <v>0</v>
      </c>
      <c r="O58" s="26">
        <v>0</v>
      </c>
      <c r="P58" s="26">
        <v>0</v>
      </c>
      <c r="Q58" s="26">
        <v>0</v>
      </c>
      <c r="R58" s="26">
        <v>0</v>
      </c>
      <c r="S58" s="26">
        <v>0</v>
      </c>
      <c r="T58" s="26">
        <v>0</v>
      </c>
      <c r="U58" s="26">
        <v>0</v>
      </c>
      <c r="V58" s="27">
        <v>0</v>
      </c>
      <c r="W58" s="68">
        <v>0</v>
      </c>
      <c r="X58" s="1">
        <v>2.4696118632655938E-2</v>
      </c>
      <c r="Y58" s="30">
        <v>0</v>
      </c>
      <c r="Z58" s="30">
        <v>0</v>
      </c>
      <c r="AA58" s="30">
        <v>0</v>
      </c>
      <c r="AB58" s="30">
        <v>0</v>
      </c>
      <c r="AC58" s="30">
        <v>0</v>
      </c>
      <c r="AD58" s="30">
        <v>0</v>
      </c>
      <c r="AE58" s="25">
        <v>0</v>
      </c>
      <c r="AG58" s="30">
        <f t="shared" si="0"/>
        <v>3.1435609593777978E-3</v>
      </c>
      <c r="AH58" s="30">
        <f t="shared" si="1"/>
        <v>0</v>
      </c>
      <c r="AI58" s="30">
        <f t="shared" si="2"/>
        <v>2.4696118632655938E-2</v>
      </c>
    </row>
    <row r="59" spans="2:35" ht="15.75" thickBot="1" x14ac:dyDescent="0.2">
      <c r="B59" t="s">
        <v>75</v>
      </c>
      <c r="C59" s="22">
        <f>VLOOKUP(B59,[1]SYS!$F$5:$G$360,2,FALSE)</f>
        <v>54</v>
      </c>
      <c r="D59" s="34" t="str">
        <f>VLOOKUP(C59,[1]SYS!$G$5:$H$360,2,FALSE)</f>
        <v>中越変電所</v>
      </c>
      <c r="E59" s="37">
        <v>0</v>
      </c>
      <c r="F59" s="1">
        <v>2.9938241234250366E-3</v>
      </c>
      <c r="G59" s="26">
        <v>0</v>
      </c>
      <c r="H59" s="26">
        <v>0</v>
      </c>
      <c r="I59" s="26">
        <v>0</v>
      </c>
      <c r="J59" s="26">
        <v>0</v>
      </c>
      <c r="K59" s="26">
        <v>0</v>
      </c>
      <c r="L59" s="26">
        <v>0</v>
      </c>
      <c r="M59" s="63">
        <v>0</v>
      </c>
      <c r="N59" s="37">
        <v>0</v>
      </c>
      <c r="O59" s="26">
        <v>0</v>
      </c>
      <c r="P59" s="26">
        <v>0</v>
      </c>
      <c r="Q59" s="26">
        <v>0</v>
      </c>
      <c r="R59" s="26">
        <v>0</v>
      </c>
      <c r="S59" s="26">
        <v>0</v>
      </c>
      <c r="T59" s="26">
        <v>0</v>
      </c>
      <c r="U59" s="26">
        <v>0</v>
      </c>
      <c r="V59" s="27">
        <v>0</v>
      </c>
      <c r="W59" s="68">
        <v>0</v>
      </c>
      <c r="X59" s="1">
        <v>1.9838934752721301E-2</v>
      </c>
      <c r="Y59" s="30">
        <v>0</v>
      </c>
      <c r="Z59" s="30">
        <v>0</v>
      </c>
      <c r="AA59" s="30">
        <v>0</v>
      </c>
      <c r="AB59" s="30">
        <v>0</v>
      </c>
      <c r="AC59" s="30">
        <v>0</v>
      </c>
      <c r="AD59" s="30">
        <v>0</v>
      </c>
      <c r="AE59" s="25">
        <v>0</v>
      </c>
      <c r="AG59" s="30">
        <f t="shared" si="0"/>
        <v>2.9938241234250366E-3</v>
      </c>
      <c r="AH59" s="30">
        <f t="shared" si="1"/>
        <v>0</v>
      </c>
      <c r="AI59" s="30">
        <f t="shared" si="2"/>
        <v>1.9838934752721301E-2</v>
      </c>
    </row>
    <row r="60" spans="2:35" ht="15.75" thickBot="1" x14ac:dyDescent="0.2">
      <c r="B60" t="s">
        <v>76</v>
      </c>
      <c r="C60" s="22">
        <f>VLOOKUP(B60,[1]SYS!$F$5:$G$360,2,FALSE)</f>
        <v>55</v>
      </c>
      <c r="D60" s="34" t="str">
        <f>VLOOKUP(C60,[1]SYS!$G$5:$H$360,2,FALSE)</f>
        <v>本名変電所</v>
      </c>
      <c r="E60" s="37">
        <v>0</v>
      </c>
      <c r="F60" s="1">
        <v>1.2227954136834784E-2</v>
      </c>
      <c r="G60" s="26">
        <v>0</v>
      </c>
      <c r="H60" s="26">
        <v>0</v>
      </c>
      <c r="I60" s="26">
        <v>0</v>
      </c>
      <c r="J60" s="26">
        <v>0</v>
      </c>
      <c r="K60" s="26">
        <v>0</v>
      </c>
      <c r="L60" s="26">
        <v>0</v>
      </c>
      <c r="M60" s="63">
        <v>0</v>
      </c>
      <c r="N60" s="37">
        <v>0</v>
      </c>
      <c r="O60" s="26">
        <v>0</v>
      </c>
      <c r="P60" s="26">
        <v>0</v>
      </c>
      <c r="Q60" s="26">
        <v>0</v>
      </c>
      <c r="R60" s="26">
        <v>0</v>
      </c>
      <c r="S60" s="26">
        <v>0</v>
      </c>
      <c r="T60" s="26">
        <v>0</v>
      </c>
      <c r="U60" s="26">
        <v>0</v>
      </c>
      <c r="V60" s="27">
        <v>0</v>
      </c>
      <c r="W60" s="68">
        <v>0</v>
      </c>
      <c r="X60" s="1">
        <v>6.9394405092897639E-3</v>
      </c>
      <c r="Y60" s="30">
        <v>0</v>
      </c>
      <c r="Z60" s="30">
        <v>0</v>
      </c>
      <c r="AA60" s="30">
        <v>0</v>
      </c>
      <c r="AB60" s="30">
        <v>0</v>
      </c>
      <c r="AC60" s="30">
        <v>0</v>
      </c>
      <c r="AD60" s="30">
        <v>0</v>
      </c>
      <c r="AE60" s="25">
        <v>0</v>
      </c>
      <c r="AG60" s="30">
        <f t="shared" si="0"/>
        <v>1.2227954136834784E-2</v>
      </c>
      <c r="AH60" s="30">
        <f t="shared" si="1"/>
        <v>0</v>
      </c>
      <c r="AI60" s="30">
        <f t="shared" si="2"/>
        <v>6.9394405092897639E-3</v>
      </c>
    </row>
    <row r="61" spans="2:35" ht="15.75" thickBot="1" x14ac:dyDescent="0.2">
      <c r="B61" t="s">
        <v>77</v>
      </c>
      <c r="C61" s="22">
        <f>VLOOKUP(B61,[1]SYS!$F$5:$G$360,2,FALSE)</f>
        <v>56</v>
      </c>
      <c r="D61" s="34" t="str">
        <f>VLOOKUP(C61,[1]SYS!$G$5:$H$360,2,FALSE)</f>
        <v>須賀川変電所</v>
      </c>
      <c r="E61" s="37">
        <v>0</v>
      </c>
      <c r="F61" s="1">
        <v>2.5268738666868788E-2</v>
      </c>
      <c r="G61" s="26">
        <v>0</v>
      </c>
      <c r="H61" s="26">
        <v>0</v>
      </c>
      <c r="I61" s="26">
        <v>0</v>
      </c>
      <c r="J61" s="26">
        <v>0</v>
      </c>
      <c r="K61" s="26">
        <v>0</v>
      </c>
      <c r="L61" s="26">
        <v>0</v>
      </c>
      <c r="M61" s="63">
        <v>0</v>
      </c>
      <c r="N61" s="37">
        <v>0</v>
      </c>
      <c r="O61" s="26">
        <v>0</v>
      </c>
      <c r="P61" s="26">
        <v>0</v>
      </c>
      <c r="Q61" s="26">
        <v>0</v>
      </c>
      <c r="R61" s="26">
        <v>0</v>
      </c>
      <c r="S61" s="26">
        <v>0</v>
      </c>
      <c r="T61" s="26">
        <v>0</v>
      </c>
      <c r="U61" s="26">
        <v>0</v>
      </c>
      <c r="V61" s="27">
        <v>0</v>
      </c>
      <c r="W61" s="68">
        <v>0</v>
      </c>
      <c r="X61" s="1">
        <v>0.13797119105590835</v>
      </c>
      <c r="Y61" s="30">
        <v>0</v>
      </c>
      <c r="Z61" s="30">
        <v>0</v>
      </c>
      <c r="AA61" s="30">
        <v>0</v>
      </c>
      <c r="AB61" s="30">
        <v>0</v>
      </c>
      <c r="AC61" s="30">
        <v>0</v>
      </c>
      <c r="AD61" s="30">
        <v>0</v>
      </c>
      <c r="AE61" s="25">
        <v>0</v>
      </c>
      <c r="AG61" s="30">
        <f t="shared" si="0"/>
        <v>2.5268738666868788E-2</v>
      </c>
      <c r="AH61" s="30">
        <f t="shared" si="1"/>
        <v>0</v>
      </c>
      <c r="AI61" s="30">
        <f t="shared" si="2"/>
        <v>0.13797119105590835</v>
      </c>
    </row>
    <row r="62" spans="2:35" ht="15.75" thickBot="1" x14ac:dyDescent="0.2">
      <c r="B62" t="s">
        <v>78</v>
      </c>
      <c r="C62" s="22">
        <f>VLOOKUP(B62,[1]SYS!$F$5:$G$360,2,FALSE)</f>
        <v>57</v>
      </c>
      <c r="D62" s="34" t="str">
        <f>VLOOKUP(C62,[1]SYS!$G$5:$H$360,2,FALSE)</f>
        <v>いわき変電所</v>
      </c>
      <c r="E62" s="37">
        <v>0</v>
      </c>
      <c r="F62" s="1">
        <v>1.6813470112253686E-2</v>
      </c>
      <c r="G62" s="26">
        <v>0</v>
      </c>
      <c r="H62" s="26">
        <v>0</v>
      </c>
      <c r="I62" s="26">
        <v>0</v>
      </c>
      <c r="J62" s="26">
        <v>0</v>
      </c>
      <c r="K62" s="26">
        <v>0</v>
      </c>
      <c r="L62" s="26">
        <v>0</v>
      </c>
      <c r="M62" s="63">
        <v>0</v>
      </c>
      <c r="N62" s="37">
        <v>0</v>
      </c>
      <c r="O62" s="26">
        <v>0</v>
      </c>
      <c r="P62" s="26">
        <v>0</v>
      </c>
      <c r="Q62" s="26">
        <v>0</v>
      </c>
      <c r="R62" s="26">
        <v>0</v>
      </c>
      <c r="S62" s="26">
        <v>0</v>
      </c>
      <c r="T62" s="26">
        <v>0</v>
      </c>
      <c r="U62" s="26">
        <v>0</v>
      </c>
      <c r="V62" s="27">
        <v>0</v>
      </c>
      <c r="W62" s="68">
        <v>0</v>
      </c>
      <c r="X62" s="1">
        <v>4.7812782325011599E-2</v>
      </c>
      <c r="Y62" s="30">
        <v>0</v>
      </c>
      <c r="Z62" s="30">
        <v>0</v>
      </c>
      <c r="AA62" s="30">
        <v>0</v>
      </c>
      <c r="AB62" s="30">
        <v>0</v>
      </c>
      <c r="AC62" s="30">
        <v>0</v>
      </c>
      <c r="AD62" s="30">
        <v>0</v>
      </c>
      <c r="AE62" s="25">
        <v>0</v>
      </c>
      <c r="AG62" s="30">
        <f t="shared" si="0"/>
        <v>1.6813470112253686E-2</v>
      </c>
      <c r="AH62" s="30">
        <f t="shared" si="1"/>
        <v>0</v>
      </c>
      <c r="AI62" s="30">
        <f t="shared" si="2"/>
        <v>4.7812782325011599E-2</v>
      </c>
    </row>
    <row r="63" spans="2:35" ht="15.75" thickBot="1" x14ac:dyDescent="0.2">
      <c r="B63" t="s">
        <v>80</v>
      </c>
      <c r="C63" s="22">
        <f>VLOOKUP(B63,[1]SYS!$F$5:$G$360,2,FALSE)</f>
        <v>58</v>
      </c>
      <c r="D63" s="34" t="str">
        <f>VLOOKUP(C63,[1]SYS!$G$5:$H$360,2,FALSE)</f>
        <v>信濃川変電所</v>
      </c>
      <c r="E63" s="37">
        <v>0</v>
      </c>
      <c r="F63" s="1">
        <v>3.0367996588207395E-3</v>
      </c>
      <c r="G63" s="26">
        <v>0</v>
      </c>
      <c r="H63" s="26">
        <v>0</v>
      </c>
      <c r="I63" s="26">
        <v>0</v>
      </c>
      <c r="J63" s="26">
        <v>0</v>
      </c>
      <c r="K63" s="26">
        <v>0</v>
      </c>
      <c r="L63" s="26">
        <v>0</v>
      </c>
      <c r="M63" s="63">
        <v>0</v>
      </c>
      <c r="N63" s="37">
        <v>0</v>
      </c>
      <c r="O63" s="26">
        <v>0</v>
      </c>
      <c r="P63" s="26">
        <v>0</v>
      </c>
      <c r="Q63" s="26">
        <v>0</v>
      </c>
      <c r="R63" s="26">
        <v>0</v>
      </c>
      <c r="S63" s="26">
        <v>0</v>
      </c>
      <c r="T63" s="26">
        <v>0</v>
      </c>
      <c r="U63" s="26">
        <v>0</v>
      </c>
      <c r="V63" s="27">
        <v>0</v>
      </c>
      <c r="W63" s="68">
        <v>0</v>
      </c>
      <c r="X63" s="1">
        <v>3.3418861442307568E-3</v>
      </c>
      <c r="Y63" s="30">
        <v>0</v>
      </c>
      <c r="Z63" s="30">
        <v>0</v>
      </c>
      <c r="AA63" s="30">
        <v>0</v>
      </c>
      <c r="AB63" s="30">
        <v>0</v>
      </c>
      <c r="AC63" s="30">
        <v>0</v>
      </c>
      <c r="AD63" s="30">
        <v>0</v>
      </c>
      <c r="AE63" s="25">
        <v>0</v>
      </c>
      <c r="AG63" s="30">
        <f t="shared" si="0"/>
        <v>3.0367996588207395E-3</v>
      </c>
      <c r="AH63" s="30">
        <f t="shared" si="1"/>
        <v>0</v>
      </c>
      <c r="AI63" s="30">
        <f t="shared" si="2"/>
        <v>3.3418861442307568E-3</v>
      </c>
    </row>
    <row r="64" spans="2:35" ht="15.75" thickBot="1" x14ac:dyDescent="0.2">
      <c r="B64" t="s">
        <v>81</v>
      </c>
      <c r="C64" s="22">
        <f>VLOOKUP(B64,[1]SYS!$F$5:$G$360,2,FALSE)</f>
        <v>59</v>
      </c>
      <c r="D64" s="34" t="str">
        <f>VLOOKUP(C64,[1]SYS!$G$5:$H$360,2,FALSE)</f>
        <v>東上越変電所</v>
      </c>
      <c r="E64" s="37">
        <v>0</v>
      </c>
      <c r="F64" s="1">
        <v>6.2207747393885323E-3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63">
        <v>0</v>
      </c>
      <c r="N64" s="37">
        <v>0</v>
      </c>
      <c r="O64" s="26">
        <v>0</v>
      </c>
      <c r="P64" s="26">
        <v>0</v>
      </c>
      <c r="Q64" s="26">
        <v>0</v>
      </c>
      <c r="R64" s="26">
        <v>0</v>
      </c>
      <c r="S64" s="26">
        <v>0</v>
      </c>
      <c r="T64" s="26">
        <v>0</v>
      </c>
      <c r="U64" s="26">
        <v>0</v>
      </c>
      <c r="V64" s="27">
        <v>0</v>
      </c>
      <c r="W64" s="68">
        <v>0</v>
      </c>
      <c r="X64" s="1">
        <v>1.0578919738705523E-2</v>
      </c>
      <c r="Y64" s="30">
        <v>0</v>
      </c>
      <c r="Z64" s="30">
        <v>0</v>
      </c>
      <c r="AA64" s="30">
        <v>0</v>
      </c>
      <c r="AB64" s="30">
        <v>0</v>
      </c>
      <c r="AC64" s="30">
        <v>0</v>
      </c>
      <c r="AD64" s="30">
        <v>0</v>
      </c>
      <c r="AE64" s="25">
        <v>0</v>
      </c>
      <c r="AG64" s="30">
        <f t="shared" si="0"/>
        <v>6.2207747393885323E-3</v>
      </c>
      <c r="AH64" s="30">
        <f t="shared" si="1"/>
        <v>0</v>
      </c>
      <c r="AI64" s="30">
        <f t="shared" si="2"/>
        <v>1.0578919738705523E-2</v>
      </c>
    </row>
    <row r="65" spans="2:35" ht="15.75" thickBot="1" x14ac:dyDescent="0.2">
      <c r="B65" t="s">
        <v>83</v>
      </c>
      <c r="C65" s="22">
        <f>VLOOKUP(B65,[1]SYS!$F$5:$G$360,2,FALSE)</f>
        <v>60</v>
      </c>
      <c r="D65" s="34" t="str">
        <f>VLOOKUP(C65,[1]SYS!$G$5:$H$360,2,FALSE)</f>
        <v>今別変換所</v>
      </c>
      <c r="E65" s="37">
        <v>0</v>
      </c>
      <c r="F65" s="1">
        <v>2.9603308790956441E-2</v>
      </c>
      <c r="G65" s="26">
        <v>0</v>
      </c>
      <c r="H65" s="26">
        <v>0</v>
      </c>
      <c r="I65" s="26">
        <v>0</v>
      </c>
      <c r="J65" s="26">
        <v>0</v>
      </c>
      <c r="K65" s="26">
        <v>0</v>
      </c>
      <c r="L65" s="26">
        <v>0</v>
      </c>
      <c r="M65" s="63">
        <v>0</v>
      </c>
      <c r="N65" s="37">
        <v>0</v>
      </c>
      <c r="O65" s="26">
        <v>0</v>
      </c>
      <c r="P65" s="26">
        <v>0</v>
      </c>
      <c r="Q65" s="26">
        <v>0</v>
      </c>
      <c r="R65" s="26">
        <v>0</v>
      </c>
      <c r="S65" s="26">
        <v>0</v>
      </c>
      <c r="T65" s="26">
        <v>0</v>
      </c>
      <c r="U65" s="26">
        <v>0</v>
      </c>
      <c r="V65" s="27">
        <v>0</v>
      </c>
      <c r="W65" s="68">
        <v>0</v>
      </c>
      <c r="X65" s="1">
        <v>1.5179665833703032E-3</v>
      </c>
      <c r="Y65" s="30">
        <v>0</v>
      </c>
      <c r="Z65" s="30">
        <v>0</v>
      </c>
      <c r="AA65" s="30">
        <v>0</v>
      </c>
      <c r="AB65" s="30">
        <v>0</v>
      </c>
      <c r="AC65" s="30">
        <v>0</v>
      </c>
      <c r="AD65" s="30">
        <v>0</v>
      </c>
      <c r="AE65" s="25">
        <v>0</v>
      </c>
      <c r="AG65" s="30">
        <f t="shared" si="0"/>
        <v>2.9603308790956441E-2</v>
      </c>
      <c r="AH65" s="30">
        <f t="shared" si="1"/>
        <v>0</v>
      </c>
      <c r="AI65" s="30">
        <f t="shared" si="2"/>
        <v>1.5179665833703032E-3</v>
      </c>
    </row>
    <row r="66" spans="2:35" ht="15.75" thickBot="1" x14ac:dyDescent="0.2">
      <c r="B66" t="s">
        <v>373</v>
      </c>
      <c r="C66" s="22">
        <f>VLOOKUP(B66,[1]SYS!$F$5:$G$360,2,FALSE)</f>
        <v>61</v>
      </c>
      <c r="D66" s="34" t="str">
        <f>VLOOKUP(C66,[1]SYS!$G$5:$H$360,2,FALSE)</f>
        <v>旧福島第二原子力</v>
      </c>
      <c r="E66" s="37">
        <v>0</v>
      </c>
      <c r="F66" s="50">
        <v>0</v>
      </c>
      <c r="G66" s="26">
        <v>0</v>
      </c>
      <c r="H66" s="26">
        <v>0</v>
      </c>
      <c r="I66" s="26">
        <v>0</v>
      </c>
      <c r="J66" s="26">
        <v>0</v>
      </c>
      <c r="K66" s="26">
        <v>0</v>
      </c>
      <c r="L66" s="26">
        <v>0</v>
      </c>
      <c r="M66" s="63">
        <v>0</v>
      </c>
      <c r="N66" s="37">
        <v>0</v>
      </c>
      <c r="O66" s="50">
        <v>0</v>
      </c>
      <c r="P66" s="26">
        <v>0</v>
      </c>
      <c r="Q66" s="26">
        <v>0</v>
      </c>
      <c r="R66" s="26">
        <v>0</v>
      </c>
      <c r="S66" s="26">
        <v>0</v>
      </c>
      <c r="T66" s="26">
        <v>0</v>
      </c>
      <c r="U66" s="26">
        <v>0</v>
      </c>
      <c r="V66" s="27">
        <v>0</v>
      </c>
      <c r="W66" s="68">
        <v>0</v>
      </c>
      <c r="X66" s="50">
        <v>0</v>
      </c>
      <c r="Y66" s="30">
        <v>0</v>
      </c>
      <c r="Z66" s="30">
        <v>0</v>
      </c>
      <c r="AA66" s="30">
        <v>0</v>
      </c>
      <c r="AB66" s="30">
        <v>0</v>
      </c>
      <c r="AC66" s="30">
        <v>0</v>
      </c>
      <c r="AD66" s="30">
        <v>0</v>
      </c>
      <c r="AE66" s="25">
        <v>0</v>
      </c>
      <c r="AF66" s="51"/>
      <c r="AG66" s="30">
        <f t="shared" si="0"/>
        <v>0</v>
      </c>
      <c r="AH66" s="30">
        <f t="shared" si="1"/>
        <v>0</v>
      </c>
      <c r="AI66" s="30">
        <f t="shared" si="2"/>
        <v>0</v>
      </c>
    </row>
    <row r="67" spans="2:35" ht="15.75" thickBot="1" x14ac:dyDescent="0.2">
      <c r="B67" t="s">
        <v>79</v>
      </c>
      <c r="C67" s="22">
        <f>VLOOKUP(B67,[1]SYS!$F$5:$G$360,2,FALSE)</f>
        <v>62</v>
      </c>
      <c r="D67" s="34" t="str">
        <f>VLOOKUP(C67,[1]SYS!$G$5:$H$360,2,FALSE)</f>
        <v>新福島変電所</v>
      </c>
      <c r="E67" s="37">
        <v>0</v>
      </c>
      <c r="F67" s="50">
        <v>0</v>
      </c>
      <c r="G67" s="26">
        <v>5.5915000000000001E-3</v>
      </c>
      <c r="H67" s="26">
        <v>0</v>
      </c>
      <c r="I67" s="26">
        <v>0</v>
      </c>
      <c r="J67" s="26">
        <v>0</v>
      </c>
      <c r="K67" s="26">
        <v>0</v>
      </c>
      <c r="L67" s="26">
        <v>0</v>
      </c>
      <c r="M67" s="63">
        <v>0</v>
      </c>
      <c r="N67" s="37">
        <v>0</v>
      </c>
      <c r="O67" s="50">
        <v>0</v>
      </c>
      <c r="P67" s="26">
        <v>0</v>
      </c>
      <c r="Q67" s="26">
        <v>0</v>
      </c>
      <c r="R67" s="26">
        <v>0</v>
      </c>
      <c r="S67" s="26">
        <v>0</v>
      </c>
      <c r="T67" s="26">
        <v>0</v>
      </c>
      <c r="U67" s="26">
        <v>0</v>
      </c>
      <c r="V67" s="27">
        <v>0</v>
      </c>
      <c r="W67" s="68">
        <v>0</v>
      </c>
      <c r="X67" s="50">
        <v>0</v>
      </c>
      <c r="Y67" s="30">
        <v>9.7663000000000003E-3</v>
      </c>
      <c r="Z67" s="30">
        <v>0</v>
      </c>
      <c r="AA67" s="30">
        <v>0</v>
      </c>
      <c r="AB67" s="30">
        <v>0</v>
      </c>
      <c r="AC67" s="30">
        <v>0</v>
      </c>
      <c r="AD67" s="30">
        <v>0</v>
      </c>
      <c r="AE67" s="25">
        <v>0</v>
      </c>
      <c r="AG67" s="30">
        <f t="shared" si="0"/>
        <v>5.5915000000000001E-3</v>
      </c>
      <c r="AH67" s="30">
        <f t="shared" si="1"/>
        <v>0</v>
      </c>
      <c r="AI67" s="30">
        <f t="shared" ref="AI67:AI68" si="3">SUM(W67:AE67)</f>
        <v>9.7663000000000003E-3</v>
      </c>
    </row>
    <row r="68" spans="2:35" ht="15.75" thickBot="1" x14ac:dyDescent="0.2">
      <c r="B68" t="s">
        <v>82</v>
      </c>
      <c r="C68" s="22">
        <f>VLOOKUP(B68,[1]SYS!$F$5:$G$360,2,FALSE)</f>
        <v>63</v>
      </c>
      <c r="D68" s="34" t="str">
        <f>VLOOKUP(C68,[1]SYS!$G$5:$H$360,2,FALSE)</f>
        <v>南いわき開閉所</v>
      </c>
      <c r="E68" s="37">
        <v>0</v>
      </c>
      <c r="F68" s="28">
        <v>0</v>
      </c>
      <c r="G68" s="1">
        <v>0.14510372254250445</v>
      </c>
      <c r="H68" s="26">
        <v>0</v>
      </c>
      <c r="I68" s="26">
        <v>0</v>
      </c>
      <c r="J68" s="26">
        <v>0</v>
      </c>
      <c r="K68" s="26">
        <v>0</v>
      </c>
      <c r="L68" s="26">
        <v>0</v>
      </c>
      <c r="M68" s="63">
        <v>0</v>
      </c>
      <c r="N68" s="37">
        <v>0</v>
      </c>
      <c r="O68" s="28">
        <v>0</v>
      </c>
      <c r="P68" s="26">
        <v>0</v>
      </c>
      <c r="Q68" s="26">
        <v>0</v>
      </c>
      <c r="R68" s="26">
        <v>0</v>
      </c>
      <c r="S68" s="26">
        <v>0</v>
      </c>
      <c r="T68" s="26">
        <v>0</v>
      </c>
      <c r="U68" s="26">
        <v>0</v>
      </c>
      <c r="V68" s="27">
        <v>0</v>
      </c>
      <c r="W68" s="68">
        <v>0</v>
      </c>
      <c r="X68" s="30">
        <v>0</v>
      </c>
      <c r="Y68" s="1">
        <v>2.4989428087084206E-3</v>
      </c>
      <c r="Z68" s="30">
        <v>0</v>
      </c>
      <c r="AA68" s="30">
        <v>0</v>
      </c>
      <c r="AB68" s="30">
        <v>0</v>
      </c>
      <c r="AC68" s="30">
        <v>0</v>
      </c>
      <c r="AD68" s="30">
        <v>0</v>
      </c>
      <c r="AE68" s="25">
        <v>0</v>
      </c>
      <c r="AG68" s="30">
        <f t="shared" si="0"/>
        <v>0.14510372254250445</v>
      </c>
      <c r="AH68" s="30">
        <f t="shared" si="1"/>
        <v>0</v>
      </c>
      <c r="AI68" s="30">
        <f t="shared" si="3"/>
        <v>2.4989428087084206E-3</v>
      </c>
    </row>
    <row r="69" spans="2:35" ht="15.75" thickBot="1" x14ac:dyDescent="0.2">
      <c r="B69" t="s">
        <v>84</v>
      </c>
      <c r="C69" s="22">
        <f>VLOOKUP(B69,[1]SYS!$F$5:$G$360,2,FALSE)</f>
        <v>64</v>
      </c>
      <c r="D69" s="34" t="str">
        <f>VLOOKUP(C69,[1]SYS!$G$5:$H$360,2,FALSE)</f>
        <v>新いわき開閉所</v>
      </c>
      <c r="E69" s="37">
        <v>0</v>
      </c>
      <c r="F69" s="26">
        <v>0</v>
      </c>
      <c r="G69" s="1">
        <v>7.0930940208297918E-2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63">
        <v>0</v>
      </c>
      <c r="N69" s="37">
        <v>0</v>
      </c>
      <c r="O69" s="26">
        <v>0</v>
      </c>
      <c r="P69" s="26">
        <v>0</v>
      </c>
      <c r="Q69" s="26">
        <v>0</v>
      </c>
      <c r="R69" s="26">
        <v>0</v>
      </c>
      <c r="S69" s="26">
        <v>0</v>
      </c>
      <c r="T69" s="26">
        <v>0</v>
      </c>
      <c r="U69" s="26">
        <v>0</v>
      </c>
      <c r="V69" s="27">
        <v>0</v>
      </c>
      <c r="W69" s="68">
        <v>0</v>
      </c>
      <c r="X69" s="30">
        <v>0</v>
      </c>
      <c r="Y69" s="1">
        <v>7.2009205112709383E-3</v>
      </c>
      <c r="Z69" s="30">
        <v>0</v>
      </c>
      <c r="AA69" s="30">
        <v>0</v>
      </c>
      <c r="AB69" s="30">
        <v>0</v>
      </c>
      <c r="AC69" s="30">
        <v>0</v>
      </c>
      <c r="AD69" s="30">
        <v>0</v>
      </c>
      <c r="AE69" s="25">
        <v>0</v>
      </c>
      <c r="AG69" s="30">
        <f t="shared" ref="AG69:AG131" si="4">SUM(E69:M69)</f>
        <v>7.0930940208297918E-2</v>
      </c>
      <c r="AH69" s="30">
        <f t="shared" si="1"/>
        <v>0</v>
      </c>
      <c r="AI69" s="30">
        <f t="shared" si="2"/>
        <v>7.2009205112709383E-3</v>
      </c>
    </row>
    <row r="70" spans="2:35" ht="15.75" thickBot="1" x14ac:dyDescent="0.2">
      <c r="B70" t="s">
        <v>85</v>
      </c>
      <c r="C70" s="22">
        <f>VLOOKUP(B70,[1]SYS!$F$5:$G$360,2,FALSE)</f>
        <v>65</v>
      </c>
      <c r="D70" s="34" t="str">
        <f>VLOOKUP(C70,[1]SYS!$G$5:$H$360,2,FALSE)</f>
        <v>東群馬変電所</v>
      </c>
      <c r="E70" s="37">
        <v>0</v>
      </c>
      <c r="F70" s="26">
        <v>0</v>
      </c>
      <c r="G70" s="1">
        <f>0.0407983549461128-0.0055915</f>
        <v>3.5206854946112802E-2</v>
      </c>
      <c r="H70" s="26">
        <v>0</v>
      </c>
      <c r="I70" s="26">
        <v>0</v>
      </c>
      <c r="J70" s="26">
        <v>0</v>
      </c>
      <c r="K70" s="26">
        <v>0</v>
      </c>
      <c r="L70" s="26">
        <v>0</v>
      </c>
      <c r="M70" s="63">
        <v>0</v>
      </c>
      <c r="N70" s="37">
        <v>0</v>
      </c>
      <c r="O70" s="26">
        <v>0</v>
      </c>
      <c r="P70" s="26">
        <v>0</v>
      </c>
      <c r="Q70" s="26">
        <v>0</v>
      </c>
      <c r="R70" s="26">
        <v>0</v>
      </c>
      <c r="S70" s="26">
        <v>0</v>
      </c>
      <c r="T70" s="26">
        <v>0</v>
      </c>
      <c r="U70" s="26">
        <v>0</v>
      </c>
      <c r="V70" s="27">
        <v>0</v>
      </c>
      <c r="W70" s="68">
        <v>0</v>
      </c>
      <c r="X70" s="30">
        <v>0</v>
      </c>
      <c r="Y70" s="1">
        <v>2.802259639450792E-2</v>
      </c>
      <c r="Z70" s="30">
        <v>0</v>
      </c>
      <c r="AA70" s="30">
        <v>0</v>
      </c>
      <c r="AB70" s="30">
        <v>0</v>
      </c>
      <c r="AC70" s="30">
        <v>0</v>
      </c>
      <c r="AD70" s="30">
        <v>0</v>
      </c>
      <c r="AE70" s="25">
        <v>0</v>
      </c>
      <c r="AG70" s="30">
        <f t="shared" si="4"/>
        <v>3.5206854946112802E-2</v>
      </c>
      <c r="AH70" s="30">
        <f t="shared" ref="AH70:AH132" si="5">SUM(N70:V70)</f>
        <v>0</v>
      </c>
      <c r="AI70" s="30">
        <f t="shared" si="2"/>
        <v>2.802259639450792E-2</v>
      </c>
    </row>
    <row r="71" spans="2:35" ht="15.75" thickBot="1" x14ac:dyDescent="0.2">
      <c r="B71" t="s">
        <v>86</v>
      </c>
      <c r="C71" s="22">
        <f>VLOOKUP(B71,[1]SYS!$F$5:$G$360,2,FALSE)</f>
        <v>66</v>
      </c>
      <c r="D71" s="34" t="str">
        <f>VLOOKUP(C71,[1]SYS!$G$5:$H$360,2,FALSE)</f>
        <v>新今市開閉所</v>
      </c>
      <c r="E71" s="37">
        <v>0</v>
      </c>
      <c r="F71" s="26">
        <v>0</v>
      </c>
      <c r="G71" s="1">
        <v>2.0373036699660896E-2</v>
      </c>
      <c r="H71" s="26">
        <v>0</v>
      </c>
      <c r="I71" s="26">
        <v>0</v>
      </c>
      <c r="J71" s="26">
        <v>0</v>
      </c>
      <c r="K71" s="26">
        <v>0</v>
      </c>
      <c r="L71" s="26">
        <v>0</v>
      </c>
      <c r="M71" s="63">
        <v>0</v>
      </c>
      <c r="N71" s="37">
        <v>0</v>
      </c>
      <c r="O71" s="26">
        <v>0</v>
      </c>
      <c r="P71" s="26">
        <v>0</v>
      </c>
      <c r="Q71" s="26">
        <v>0</v>
      </c>
      <c r="R71" s="26">
        <v>0</v>
      </c>
      <c r="S71" s="26">
        <v>0</v>
      </c>
      <c r="T71" s="26">
        <v>0</v>
      </c>
      <c r="U71" s="26">
        <v>0</v>
      </c>
      <c r="V71" s="27">
        <v>0</v>
      </c>
      <c r="W71" s="68">
        <v>0</v>
      </c>
      <c r="X71" s="30">
        <v>0</v>
      </c>
      <c r="Y71" s="1">
        <v>4.1080005875581221E-2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25">
        <v>0</v>
      </c>
      <c r="AG71" s="30">
        <f t="shared" si="4"/>
        <v>2.0373036699660896E-2</v>
      </c>
      <c r="AH71" s="30">
        <f t="shared" si="5"/>
        <v>0</v>
      </c>
      <c r="AI71" s="30">
        <f t="shared" ref="AI71:AI135" si="6">SUM(W71:AE71)</f>
        <v>4.1080005875581221E-2</v>
      </c>
    </row>
    <row r="72" spans="2:35" ht="15.75" thickBot="1" x14ac:dyDescent="0.2">
      <c r="B72" t="s">
        <v>87</v>
      </c>
      <c r="C72" s="22">
        <f>VLOOKUP(B72,[1]SYS!$F$5:$G$360,2,FALSE)</f>
        <v>67</v>
      </c>
      <c r="D72" s="34" t="str">
        <f>VLOOKUP(C72,[1]SYS!$G$5:$H$360,2,FALSE)</f>
        <v>新茂木変電所</v>
      </c>
      <c r="E72" s="37">
        <v>0</v>
      </c>
      <c r="F72" s="26">
        <v>0</v>
      </c>
      <c r="G72" s="1">
        <v>3.6676287351233086E-2</v>
      </c>
      <c r="H72" s="26">
        <v>0</v>
      </c>
      <c r="I72" s="26">
        <v>0</v>
      </c>
      <c r="J72" s="26">
        <v>0</v>
      </c>
      <c r="K72" s="26">
        <v>0</v>
      </c>
      <c r="L72" s="26">
        <v>0</v>
      </c>
      <c r="M72" s="63">
        <v>0</v>
      </c>
      <c r="N72" s="37">
        <v>0</v>
      </c>
      <c r="O72" s="26">
        <v>0</v>
      </c>
      <c r="P72" s="26">
        <v>0</v>
      </c>
      <c r="Q72" s="26">
        <v>0</v>
      </c>
      <c r="R72" s="26">
        <v>0</v>
      </c>
      <c r="S72" s="26">
        <v>0</v>
      </c>
      <c r="T72" s="26">
        <v>0</v>
      </c>
      <c r="U72" s="26">
        <v>0</v>
      </c>
      <c r="V72" s="27">
        <v>0</v>
      </c>
      <c r="W72" s="68">
        <v>0</v>
      </c>
      <c r="X72" s="30">
        <v>0</v>
      </c>
      <c r="Y72" s="1">
        <v>3.9837805651376776E-2</v>
      </c>
      <c r="Z72" s="30">
        <v>0</v>
      </c>
      <c r="AA72" s="30">
        <v>0</v>
      </c>
      <c r="AB72" s="30">
        <v>0</v>
      </c>
      <c r="AC72" s="30">
        <v>0</v>
      </c>
      <c r="AD72" s="30">
        <v>0</v>
      </c>
      <c r="AE72" s="25">
        <v>0</v>
      </c>
      <c r="AG72" s="30">
        <f t="shared" si="4"/>
        <v>3.6676287351233086E-2</v>
      </c>
      <c r="AH72" s="30">
        <f t="shared" si="5"/>
        <v>0</v>
      </c>
      <c r="AI72" s="30">
        <f t="shared" si="6"/>
        <v>3.9837805651376776E-2</v>
      </c>
    </row>
    <row r="73" spans="2:35" ht="15.75" thickBot="1" x14ac:dyDescent="0.2">
      <c r="B73" t="s">
        <v>88</v>
      </c>
      <c r="C73" s="22">
        <f>VLOOKUP(B73,[1]SYS!$F$5:$G$360,2,FALSE)</f>
        <v>68</v>
      </c>
      <c r="D73" s="34" t="str">
        <f>VLOOKUP(C73,[1]SYS!$G$5:$H$360,2,FALSE)</f>
        <v>新筑波変電所</v>
      </c>
      <c r="E73" s="37">
        <v>0</v>
      </c>
      <c r="F73" s="26">
        <v>0</v>
      </c>
      <c r="G73" s="1">
        <v>4.6328885694987505E-2</v>
      </c>
      <c r="H73" s="26">
        <v>0</v>
      </c>
      <c r="I73" s="26">
        <v>0</v>
      </c>
      <c r="J73" s="26">
        <v>0</v>
      </c>
      <c r="K73" s="26">
        <v>0</v>
      </c>
      <c r="L73" s="26">
        <v>0</v>
      </c>
      <c r="M73" s="63">
        <v>0</v>
      </c>
      <c r="N73" s="37">
        <v>0</v>
      </c>
      <c r="O73" s="26">
        <v>0</v>
      </c>
      <c r="P73" s="26">
        <v>0</v>
      </c>
      <c r="Q73" s="26">
        <v>0</v>
      </c>
      <c r="R73" s="26">
        <v>0</v>
      </c>
      <c r="S73" s="26">
        <v>0</v>
      </c>
      <c r="T73" s="26">
        <v>0</v>
      </c>
      <c r="U73" s="26">
        <v>0</v>
      </c>
      <c r="V73" s="27">
        <v>0</v>
      </c>
      <c r="W73" s="68">
        <v>0</v>
      </c>
      <c r="X73" s="30">
        <v>0</v>
      </c>
      <c r="Y73" s="1">
        <v>5.5140477905243367E-2</v>
      </c>
      <c r="Z73" s="30">
        <v>0</v>
      </c>
      <c r="AA73" s="30">
        <v>0</v>
      </c>
      <c r="AB73" s="30">
        <v>0</v>
      </c>
      <c r="AC73" s="30">
        <v>0</v>
      </c>
      <c r="AD73" s="30">
        <v>0</v>
      </c>
      <c r="AE73" s="25">
        <v>0</v>
      </c>
      <c r="AG73" s="30">
        <f t="shared" si="4"/>
        <v>4.6328885694987505E-2</v>
      </c>
      <c r="AH73" s="30">
        <f t="shared" si="5"/>
        <v>0</v>
      </c>
      <c r="AI73" s="30">
        <f t="shared" si="6"/>
        <v>5.5140477905243367E-2</v>
      </c>
    </row>
    <row r="74" spans="2:35" ht="15.75" thickBot="1" x14ac:dyDescent="0.2">
      <c r="B74" t="s">
        <v>89</v>
      </c>
      <c r="C74" s="22">
        <f>VLOOKUP(B74,[1]SYS!$F$5:$G$360,2,FALSE)</f>
        <v>69</v>
      </c>
      <c r="D74" s="34" t="str">
        <f>VLOOKUP(C74,[1]SYS!$G$5:$H$360,2,FALSE)</f>
        <v>新栃木変電所</v>
      </c>
      <c r="E74" s="37">
        <v>0</v>
      </c>
      <c r="F74" s="26">
        <v>0</v>
      </c>
      <c r="G74" s="1">
        <v>0.19540450282525978</v>
      </c>
      <c r="H74" s="26">
        <v>0</v>
      </c>
      <c r="I74" s="26">
        <v>0</v>
      </c>
      <c r="J74" s="26">
        <v>0</v>
      </c>
      <c r="K74" s="26">
        <v>0</v>
      </c>
      <c r="L74" s="26">
        <v>0</v>
      </c>
      <c r="M74" s="63">
        <v>0</v>
      </c>
      <c r="N74" s="37">
        <v>0</v>
      </c>
      <c r="O74" s="26">
        <v>0</v>
      </c>
      <c r="P74" s="26">
        <v>0</v>
      </c>
      <c r="Q74" s="26">
        <v>0</v>
      </c>
      <c r="R74" s="26">
        <v>0</v>
      </c>
      <c r="S74" s="26">
        <v>0</v>
      </c>
      <c r="T74" s="26">
        <v>0</v>
      </c>
      <c r="U74" s="26">
        <v>0</v>
      </c>
      <c r="V74" s="27">
        <v>0</v>
      </c>
      <c r="W74" s="68">
        <v>0</v>
      </c>
      <c r="X74" s="30">
        <v>0</v>
      </c>
      <c r="Y74" s="1">
        <v>4.1325962562994555E-2</v>
      </c>
      <c r="Z74" s="30">
        <v>0</v>
      </c>
      <c r="AA74" s="30">
        <v>0</v>
      </c>
      <c r="AB74" s="30">
        <v>0</v>
      </c>
      <c r="AC74" s="30">
        <v>0</v>
      </c>
      <c r="AD74" s="30">
        <v>0</v>
      </c>
      <c r="AE74" s="25">
        <v>0</v>
      </c>
      <c r="AG74" s="30">
        <f t="shared" si="4"/>
        <v>0.19540450282525978</v>
      </c>
      <c r="AH74" s="30">
        <f t="shared" si="5"/>
        <v>0</v>
      </c>
      <c r="AI74" s="30">
        <f t="shared" si="6"/>
        <v>4.1325962562994555E-2</v>
      </c>
    </row>
    <row r="75" spans="2:35" ht="15.75" thickBot="1" x14ac:dyDescent="0.2">
      <c r="B75" t="s">
        <v>90</v>
      </c>
      <c r="C75" s="22">
        <f>VLOOKUP(B75,[1]SYS!$F$5:$G$360,2,FALSE)</f>
        <v>70</v>
      </c>
      <c r="D75" s="34" t="str">
        <f>VLOOKUP(C75,[1]SYS!$G$5:$H$360,2,FALSE)</f>
        <v>那珂変電所</v>
      </c>
      <c r="E75" s="37">
        <v>0</v>
      </c>
      <c r="F75" s="26">
        <v>0</v>
      </c>
      <c r="G75" s="1">
        <v>6.2935242607363995E-2</v>
      </c>
      <c r="H75" s="26">
        <v>0</v>
      </c>
      <c r="I75" s="26">
        <v>0</v>
      </c>
      <c r="J75" s="26">
        <v>0</v>
      </c>
      <c r="K75" s="26">
        <v>0</v>
      </c>
      <c r="L75" s="26">
        <v>0</v>
      </c>
      <c r="M75" s="63">
        <v>0</v>
      </c>
      <c r="N75" s="37">
        <v>0</v>
      </c>
      <c r="O75" s="26">
        <v>0</v>
      </c>
      <c r="P75" s="1">
        <v>0.33</v>
      </c>
      <c r="Q75" s="26">
        <v>0</v>
      </c>
      <c r="R75" s="26">
        <v>0</v>
      </c>
      <c r="S75" s="26">
        <v>0</v>
      </c>
      <c r="T75" s="26">
        <v>0</v>
      </c>
      <c r="U75" s="26">
        <v>0</v>
      </c>
      <c r="V75" s="27">
        <v>0</v>
      </c>
      <c r="W75" s="68">
        <v>0</v>
      </c>
      <c r="X75" s="30">
        <v>0</v>
      </c>
      <c r="Y75" s="1">
        <v>6.0493316189425279E-2</v>
      </c>
      <c r="Z75" s="30">
        <v>0</v>
      </c>
      <c r="AA75" s="30">
        <v>0</v>
      </c>
      <c r="AB75" s="30">
        <v>0</v>
      </c>
      <c r="AC75" s="30">
        <v>0</v>
      </c>
      <c r="AD75" s="30">
        <v>0</v>
      </c>
      <c r="AE75" s="25">
        <v>0</v>
      </c>
      <c r="AG75" s="30">
        <f t="shared" si="4"/>
        <v>6.2935242607363995E-2</v>
      </c>
      <c r="AH75" s="30">
        <f t="shared" si="5"/>
        <v>0.33</v>
      </c>
      <c r="AI75" s="30">
        <f t="shared" si="6"/>
        <v>6.0493316189425279E-2</v>
      </c>
    </row>
    <row r="76" spans="2:35" ht="15.75" thickBot="1" x14ac:dyDescent="0.2">
      <c r="B76" t="s">
        <v>91</v>
      </c>
      <c r="C76" s="22">
        <f>VLOOKUP(B76,[1]SYS!$F$5:$G$360,2,FALSE)</f>
        <v>71</v>
      </c>
      <c r="D76" s="34" t="str">
        <f>VLOOKUP(C76,[1]SYS!$G$5:$H$360,2,FALSE)</f>
        <v>新古河変電所</v>
      </c>
      <c r="E76" s="37">
        <v>0</v>
      </c>
      <c r="F76" s="26">
        <v>0</v>
      </c>
      <c r="G76" s="1">
        <v>3.5062671638251289E-2</v>
      </c>
      <c r="H76" s="26">
        <v>0</v>
      </c>
      <c r="I76" s="26">
        <v>0</v>
      </c>
      <c r="J76" s="26">
        <v>0</v>
      </c>
      <c r="K76" s="26">
        <v>0</v>
      </c>
      <c r="L76" s="26">
        <v>0</v>
      </c>
      <c r="M76" s="63">
        <v>0</v>
      </c>
      <c r="N76" s="37">
        <v>0</v>
      </c>
      <c r="O76" s="26">
        <v>0</v>
      </c>
      <c r="P76" s="26">
        <v>0</v>
      </c>
      <c r="Q76" s="26">
        <v>0</v>
      </c>
      <c r="R76" s="26">
        <v>0</v>
      </c>
      <c r="S76" s="26">
        <v>0</v>
      </c>
      <c r="T76" s="26">
        <v>0</v>
      </c>
      <c r="U76" s="26">
        <v>0</v>
      </c>
      <c r="V76" s="27">
        <v>0</v>
      </c>
      <c r="W76" s="68">
        <v>0</v>
      </c>
      <c r="X76" s="30">
        <v>0</v>
      </c>
      <c r="Y76" s="1">
        <v>1.6663248488591759E-2</v>
      </c>
      <c r="Z76" s="30">
        <v>0</v>
      </c>
      <c r="AA76" s="30">
        <v>0</v>
      </c>
      <c r="AB76" s="30">
        <v>0</v>
      </c>
      <c r="AC76" s="30">
        <v>0</v>
      </c>
      <c r="AD76" s="30">
        <v>0</v>
      </c>
      <c r="AE76" s="25">
        <v>0</v>
      </c>
      <c r="AG76" s="30">
        <f t="shared" si="4"/>
        <v>3.5062671638251289E-2</v>
      </c>
      <c r="AH76" s="30">
        <f t="shared" si="5"/>
        <v>0</v>
      </c>
      <c r="AI76" s="30">
        <f t="shared" si="6"/>
        <v>1.6663248488591759E-2</v>
      </c>
    </row>
    <row r="77" spans="2:35" ht="15.75" thickBot="1" x14ac:dyDescent="0.2">
      <c r="B77" t="s">
        <v>92</v>
      </c>
      <c r="C77" s="22">
        <f>VLOOKUP(B77,[1]SYS!$F$5:$G$360,2,FALSE)</f>
        <v>72</v>
      </c>
      <c r="D77" s="34" t="str">
        <f>VLOOKUP(C77,[1]SYS!$G$5:$H$360,2,FALSE)</f>
        <v>新新田変電所</v>
      </c>
      <c r="E77" s="37">
        <v>0</v>
      </c>
      <c r="F77" s="26">
        <v>0</v>
      </c>
      <c r="G77" s="1">
        <v>4.2132584632641988E-2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63">
        <v>0</v>
      </c>
      <c r="N77" s="37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7">
        <v>0</v>
      </c>
      <c r="W77" s="68">
        <v>0</v>
      </c>
      <c r="X77" s="30">
        <v>0</v>
      </c>
      <c r="Y77" s="1">
        <v>2.5802106329240373E-2</v>
      </c>
      <c r="Z77" s="30">
        <v>0</v>
      </c>
      <c r="AA77" s="30">
        <v>0</v>
      </c>
      <c r="AB77" s="30">
        <v>0</v>
      </c>
      <c r="AC77" s="30">
        <v>0</v>
      </c>
      <c r="AD77" s="30">
        <v>0</v>
      </c>
      <c r="AE77" s="25">
        <v>0</v>
      </c>
      <c r="AG77" s="30">
        <f t="shared" si="4"/>
        <v>4.2132584632641988E-2</v>
      </c>
      <c r="AH77" s="30">
        <f t="shared" si="5"/>
        <v>0</v>
      </c>
      <c r="AI77" s="30">
        <f t="shared" si="6"/>
        <v>2.5802106329240373E-2</v>
      </c>
    </row>
    <row r="78" spans="2:35" ht="15.75" thickBot="1" x14ac:dyDescent="0.2">
      <c r="B78" t="s">
        <v>93</v>
      </c>
      <c r="C78" s="22">
        <f>VLOOKUP(B78,[1]SYS!$F$5:$G$360,2,FALSE)</f>
        <v>73</v>
      </c>
      <c r="D78" s="34" t="str">
        <f>VLOOKUP(C78,[1]SYS!$G$5:$H$360,2,FALSE)</f>
        <v>新木更津変電所</v>
      </c>
      <c r="E78" s="37">
        <v>0</v>
      </c>
      <c r="F78" s="26">
        <v>0</v>
      </c>
      <c r="G78" s="1">
        <v>1.3069450127023412E-2</v>
      </c>
      <c r="H78" s="26">
        <v>0</v>
      </c>
      <c r="I78" s="26">
        <v>0</v>
      </c>
      <c r="J78" s="26">
        <v>0</v>
      </c>
      <c r="K78" s="26">
        <v>0</v>
      </c>
      <c r="L78" s="26">
        <v>0</v>
      </c>
      <c r="M78" s="63">
        <v>0</v>
      </c>
      <c r="N78" s="37">
        <v>0</v>
      </c>
      <c r="O78" s="26">
        <v>0</v>
      </c>
      <c r="P78" s="1">
        <v>0.33</v>
      </c>
      <c r="Q78" s="26">
        <v>0</v>
      </c>
      <c r="R78" s="26">
        <v>0</v>
      </c>
      <c r="S78" s="26">
        <v>0</v>
      </c>
      <c r="T78" s="26">
        <v>0</v>
      </c>
      <c r="U78" s="26">
        <v>0</v>
      </c>
      <c r="V78" s="27">
        <v>0</v>
      </c>
      <c r="W78" s="68">
        <v>0</v>
      </c>
      <c r="X78" s="30">
        <v>0</v>
      </c>
      <c r="Y78" s="1">
        <f>0.0475881761376945-0.0097663</f>
        <v>3.7821876137694499E-2</v>
      </c>
      <c r="Z78" s="30">
        <v>0</v>
      </c>
      <c r="AA78" s="30">
        <v>0</v>
      </c>
      <c r="AB78" s="30">
        <v>0</v>
      </c>
      <c r="AC78" s="30">
        <v>0</v>
      </c>
      <c r="AD78" s="30">
        <v>0</v>
      </c>
      <c r="AE78" s="25">
        <v>0</v>
      </c>
      <c r="AG78" s="30">
        <f t="shared" si="4"/>
        <v>1.3069450127023412E-2</v>
      </c>
      <c r="AH78" s="30">
        <f t="shared" si="5"/>
        <v>0.33</v>
      </c>
      <c r="AI78" s="30">
        <f t="shared" si="6"/>
        <v>3.7821876137694499E-2</v>
      </c>
    </row>
    <row r="79" spans="2:35" ht="15.75" thickBot="1" x14ac:dyDescent="0.2">
      <c r="B79" t="s">
        <v>94</v>
      </c>
      <c r="C79" s="22">
        <f>VLOOKUP(B79,[1]SYS!$F$5:$G$360,2,FALSE)</f>
        <v>74</v>
      </c>
      <c r="D79" s="34" t="str">
        <f>VLOOKUP(C79,[1]SYS!$G$5:$H$360,2,FALSE)</f>
        <v>房総変電所</v>
      </c>
      <c r="E79" s="37">
        <v>0</v>
      </c>
      <c r="F79" s="26">
        <v>0</v>
      </c>
      <c r="G79" s="1">
        <v>3.4297141523333954E-3</v>
      </c>
      <c r="H79" s="26">
        <v>0</v>
      </c>
      <c r="I79" s="26">
        <v>0</v>
      </c>
      <c r="J79" s="26">
        <v>0</v>
      </c>
      <c r="K79" s="26">
        <v>0</v>
      </c>
      <c r="L79" s="26">
        <v>0</v>
      </c>
      <c r="M79" s="63">
        <v>0</v>
      </c>
      <c r="N79" s="37">
        <v>0</v>
      </c>
      <c r="O79" s="26">
        <v>0</v>
      </c>
      <c r="P79" s="50">
        <v>0</v>
      </c>
      <c r="Q79" s="26">
        <v>0</v>
      </c>
      <c r="R79" s="26">
        <v>0</v>
      </c>
      <c r="S79" s="26">
        <v>0</v>
      </c>
      <c r="T79" s="26">
        <v>0</v>
      </c>
      <c r="U79" s="26">
        <v>0</v>
      </c>
      <c r="V79" s="27">
        <v>0</v>
      </c>
      <c r="W79" s="68">
        <v>0</v>
      </c>
      <c r="X79" s="30">
        <v>0</v>
      </c>
      <c r="Y79" s="1">
        <v>4.502621421528652E-2</v>
      </c>
      <c r="Z79" s="30">
        <v>0</v>
      </c>
      <c r="AA79" s="30">
        <v>0</v>
      </c>
      <c r="AB79" s="30">
        <v>0</v>
      </c>
      <c r="AC79" s="30">
        <v>0</v>
      </c>
      <c r="AD79" s="30">
        <v>0</v>
      </c>
      <c r="AE79" s="25">
        <v>0</v>
      </c>
      <c r="AG79" s="30">
        <f t="shared" si="4"/>
        <v>3.4297141523333954E-3</v>
      </c>
      <c r="AH79" s="30">
        <f t="shared" si="5"/>
        <v>0</v>
      </c>
      <c r="AI79" s="30">
        <f t="shared" si="6"/>
        <v>4.502621421528652E-2</v>
      </c>
    </row>
    <row r="80" spans="2:35" ht="15.75" thickBot="1" x14ac:dyDescent="0.2">
      <c r="B80" t="s">
        <v>95</v>
      </c>
      <c r="C80" s="22">
        <f>VLOOKUP(B80,[1]SYS!$F$5:$G$360,2,FALSE)</f>
        <v>75</v>
      </c>
      <c r="D80" s="34" t="str">
        <f>VLOOKUP(C80,[1]SYS!$G$5:$H$360,2,FALSE)</f>
        <v>新京葉変電所</v>
      </c>
      <c r="E80" s="37">
        <v>0</v>
      </c>
      <c r="F80" s="26">
        <v>0</v>
      </c>
      <c r="G80" s="1">
        <v>3.1477015347245447E-3</v>
      </c>
      <c r="H80" s="26">
        <v>0</v>
      </c>
      <c r="I80" s="26">
        <v>0</v>
      </c>
      <c r="J80" s="26">
        <v>0</v>
      </c>
      <c r="K80" s="26">
        <v>0</v>
      </c>
      <c r="L80" s="26">
        <v>0</v>
      </c>
      <c r="M80" s="63">
        <v>0</v>
      </c>
      <c r="N80" s="37">
        <v>0</v>
      </c>
      <c r="O80" s="26">
        <v>0</v>
      </c>
      <c r="P80" s="50">
        <v>0</v>
      </c>
      <c r="Q80" s="26">
        <v>0</v>
      </c>
      <c r="R80" s="26">
        <v>0</v>
      </c>
      <c r="S80" s="26">
        <v>0</v>
      </c>
      <c r="T80" s="26">
        <v>0</v>
      </c>
      <c r="U80" s="26">
        <v>0</v>
      </c>
      <c r="V80" s="27">
        <v>0</v>
      </c>
      <c r="W80" s="68">
        <v>0</v>
      </c>
      <c r="X80" s="30">
        <v>0</v>
      </c>
      <c r="Y80" s="1">
        <v>3.9598940642246741E-2</v>
      </c>
      <c r="Z80" s="30">
        <v>0</v>
      </c>
      <c r="AA80" s="30">
        <v>0</v>
      </c>
      <c r="AB80" s="30">
        <v>0</v>
      </c>
      <c r="AC80" s="30">
        <v>0</v>
      </c>
      <c r="AD80" s="30">
        <v>0</v>
      </c>
      <c r="AE80" s="25">
        <v>0</v>
      </c>
      <c r="AG80" s="30">
        <f t="shared" si="4"/>
        <v>3.1477015347245447E-3</v>
      </c>
      <c r="AH80" s="30">
        <f t="shared" si="5"/>
        <v>0</v>
      </c>
      <c r="AI80" s="30">
        <f t="shared" si="6"/>
        <v>3.9598940642246741E-2</v>
      </c>
    </row>
    <row r="81" spans="2:35" ht="15.75" thickBot="1" x14ac:dyDescent="0.2">
      <c r="B81" t="s">
        <v>96</v>
      </c>
      <c r="C81" s="22">
        <f>VLOOKUP(B81,[1]SYS!$F$5:$G$360,2,FALSE)</f>
        <v>76</v>
      </c>
      <c r="D81" s="34" t="str">
        <f>VLOOKUP(C81,[1]SYS!$G$5:$H$360,2,FALSE)</f>
        <v>新佐原変電所</v>
      </c>
      <c r="E81" s="37">
        <v>0</v>
      </c>
      <c r="F81" s="26">
        <v>0</v>
      </c>
      <c r="G81" s="1">
        <v>4.8388730352255611E-2</v>
      </c>
      <c r="H81" s="26">
        <v>0</v>
      </c>
      <c r="I81" s="26">
        <v>0</v>
      </c>
      <c r="J81" s="26">
        <v>0</v>
      </c>
      <c r="K81" s="26">
        <v>0</v>
      </c>
      <c r="L81" s="26">
        <v>0</v>
      </c>
      <c r="M81" s="63">
        <v>0</v>
      </c>
      <c r="N81" s="37">
        <v>0</v>
      </c>
      <c r="O81" s="26">
        <v>0</v>
      </c>
      <c r="P81" s="50">
        <v>0</v>
      </c>
      <c r="Q81" s="26">
        <v>0</v>
      </c>
      <c r="R81" s="26">
        <v>0</v>
      </c>
      <c r="S81" s="26">
        <v>0</v>
      </c>
      <c r="T81" s="26">
        <v>0</v>
      </c>
      <c r="U81" s="26">
        <v>0</v>
      </c>
      <c r="V81" s="27">
        <v>0</v>
      </c>
      <c r="W81" s="68">
        <v>0</v>
      </c>
      <c r="X81" s="30">
        <v>0</v>
      </c>
      <c r="Y81" s="1">
        <v>6.4100660945993246E-2</v>
      </c>
      <c r="Z81" s="30">
        <v>0</v>
      </c>
      <c r="AA81" s="30">
        <v>0</v>
      </c>
      <c r="AB81" s="30">
        <v>0</v>
      </c>
      <c r="AC81" s="30">
        <v>0</v>
      </c>
      <c r="AD81" s="30">
        <v>0</v>
      </c>
      <c r="AE81" s="25">
        <v>0</v>
      </c>
      <c r="AG81" s="30">
        <f t="shared" si="4"/>
        <v>4.8388730352255611E-2</v>
      </c>
      <c r="AH81" s="30">
        <f t="shared" si="5"/>
        <v>0</v>
      </c>
      <c r="AI81" s="30">
        <f t="shared" si="6"/>
        <v>6.4100660945993246E-2</v>
      </c>
    </row>
    <row r="82" spans="2:35" ht="15.75" thickBot="1" x14ac:dyDescent="0.2">
      <c r="B82" t="s">
        <v>97</v>
      </c>
      <c r="C82" s="22">
        <f>VLOOKUP(B82,[1]SYS!$F$5:$G$360,2,FALSE)</f>
        <v>77</v>
      </c>
      <c r="D82" s="34" t="str">
        <f>VLOOKUP(C82,[1]SYS!$G$5:$H$360,2,FALSE)</f>
        <v>鹿島変電所</v>
      </c>
      <c r="E82" s="37">
        <v>0</v>
      </c>
      <c r="F82" s="26">
        <v>0</v>
      </c>
      <c r="G82" s="1">
        <v>0</v>
      </c>
      <c r="H82" s="26">
        <v>0</v>
      </c>
      <c r="I82" s="26">
        <v>0</v>
      </c>
      <c r="J82" s="26">
        <v>0</v>
      </c>
      <c r="K82" s="26">
        <v>0</v>
      </c>
      <c r="L82" s="26">
        <v>0</v>
      </c>
      <c r="M82" s="63">
        <v>0</v>
      </c>
      <c r="N82" s="37">
        <v>0</v>
      </c>
      <c r="O82" s="26">
        <v>0</v>
      </c>
      <c r="P82" s="1">
        <v>0.34</v>
      </c>
      <c r="Q82" s="26">
        <v>0</v>
      </c>
      <c r="R82" s="26">
        <v>0</v>
      </c>
      <c r="S82" s="26">
        <v>0</v>
      </c>
      <c r="T82" s="26">
        <v>0</v>
      </c>
      <c r="U82" s="26">
        <v>0</v>
      </c>
      <c r="V82" s="27">
        <v>0</v>
      </c>
      <c r="W82" s="68">
        <v>0</v>
      </c>
      <c r="X82" s="30">
        <v>0</v>
      </c>
      <c r="Y82" s="1">
        <v>4.0712943016495966E-2</v>
      </c>
      <c r="Z82" s="30">
        <v>0</v>
      </c>
      <c r="AA82" s="30">
        <v>0</v>
      </c>
      <c r="AB82" s="30">
        <v>0</v>
      </c>
      <c r="AC82" s="30">
        <v>0</v>
      </c>
      <c r="AD82" s="30">
        <v>0</v>
      </c>
      <c r="AE82" s="25">
        <v>0</v>
      </c>
      <c r="AG82" s="30">
        <f t="shared" si="4"/>
        <v>0</v>
      </c>
      <c r="AH82" s="30">
        <f t="shared" si="5"/>
        <v>0.34</v>
      </c>
      <c r="AI82" s="30">
        <f t="shared" si="6"/>
        <v>4.0712943016495966E-2</v>
      </c>
    </row>
    <row r="83" spans="2:35" ht="15.75" thickBot="1" x14ac:dyDescent="0.2">
      <c r="B83" t="s">
        <v>98</v>
      </c>
      <c r="C83" s="22">
        <f>VLOOKUP(B83,[1]SYS!$F$5:$G$360,2,FALSE)</f>
        <v>78</v>
      </c>
      <c r="D83" s="34" t="str">
        <f>VLOOKUP(C83,[1]SYS!$G$5:$H$360,2,FALSE)</f>
        <v>新野田変電所</v>
      </c>
      <c r="E83" s="37">
        <v>0</v>
      </c>
      <c r="F83" s="26">
        <v>0</v>
      </c>
      <c r="G83" s="1">
        <v>3.4436788510611468E-3</v>
      </c>
      <c r="H83" s="26">
        <v>0</v>
      </c>
      <c r="I83" s="26">
        <v>0</v>
      </c>
      <c r="J83" s="26">
        <v>0</v>
      </c>
      <c r="K83" s="26">
        <v>0</v>
      </c>
      <c r="L83" s="26">
        <v>0</v>
      </c>
      <c r="M83" s="63">
        <v>0</v>
      </c>
      <c r="N83" s="37">
        <v>0</v>
      </c>
      <c r="O83" s="26">
        <v>0</v>
      </c>
      <c r="P83" s="50">
        <v>0</v>
      </c>
      <c r="Q83" s="26">
        <v>0</v>
      </c>
      <c r="R83" s="26">
        <v>0</v>
      </c>
      <c r="S83" s="26">
        <v>0</v>
      </c>
      <c r="T83" s="26">
        <v>0</v>
      </c>
      <c r="U83" s="26">
        <v>0</v>
      </c>
      <c r="V83" s="27">
        <v>0</v>
      </c>
      <c r="W83" s="68">
        <v>0</v>
      </c>
      <c r="X83" s="30">
        <v>0</v>
      </c>
      <c r="Y83" s="1">
        <v>2.0350977806805549E-2</v>
      </c>
      <c r="Z83" s="30">
        <v>0</v>
      </c>
      <c r="AA83" s="30">
        <v>0</v>
      </c>
      <c r="AB83" s="30">
        <v>0</v>
      </c>
      <c r="AC83" s="30">
        <v>0</v>
      </c>
      <c r="AD83" s="30">
        <v>0</v>
      </c>
      <c r="AE83" s="25">
        <v>0</v>
      </c>
      <c r="AG83" s="30">
        <f t="shared" si="4"/>
        <v>3.4436788510611468E-3</v>
      </c>
      <c r="AH83" s="30">
        <f t="shared" si="5"/>
        <v>0</v>
      </c>
      <c r="AI83" s="30">
        <f t="shared" si="6"/>
        <v>2.0350977806805549E-2</v>
      </c>
    </row>
    <row r="84" spans="2:35" ht="15.75" thickBot="1" x14ac:dyDescent="0.2">
      <c r="B84" t="s">
        <v>99</v>
      </c>
      <c r="C84" s="22">
        <f>VLOOKUP(B84,[1]SYS!$F$5:$G$360,2,FALSE)</f>
        <v>79</v>
      </c>
      <c r="D84" s="34" t="str">
        <f>VLOOKUP(C84,[1]SYS!$G$5:$H$360,2,FALSE)</f>
        <v>北東京変電所</v>
      </c>
      <c r="E84" s="37">
        <v>0</v>
      </c>
      <c r="F84" s="26">
        <v>0</v>
      </c>
      <c r="G84" s="1">
        <v>7.4283343870126028E-2</v>
      </c>
      <c r="H84" s="26">
        <v>0</v>
      </c>
      <c r="I84" s="26">
        <v>0</v>
      </c>
      <c r="J84" s="26">
        <v>0</v>
      </c>
      <c r="K84" s="26">
        <v>0</v>
      </c>
      <c r="L84" s="26">
        <v>0</v>
      </c>
      <c r="M84" s="63">
        <v>0</v>
      </c>
      <c r="N84" s="37">
        <v>0</v>
      </c>
      <c r="O84" s="26">
        <v>0</v>
      </c>
      <c r="P84" s="50">
        <v>0</v>
      </c>
      <c r="Q84" s="26">
        <v>0</v>
      </c>
      <c r="R84" s="26">
        <v>0</v>
      </c>
      <c r="S84" s="26">
        <v>0</v>
      </c>
      <c r="T84" s="26">
        <v>0</v>
      </c>
      <c r="U84" s="26">
        <v>0</v>
      </c>
      <c r="V84" s="27">
        <v>0</v>
      </c>
      <c r="W84" s="68">
        <v>0</v>
      </c>
      <c r="X84" s="30">
        <v>0</v>
      </c>
      <c r="Y84" s="1">
        <v>9.8630520463968124E-3</v>
      </c>
      <c r="Z84" s="30">
        <v>0</v>
      </c>
      <c r="AA84" s="30">
        <v>0</v>
      </c>
      <c r="AB84" s="30">
        <v>0</v>
      </c>
      <c r="AC84" s="30">
        <v>0</v>
      </c>
      <c r="AD84" s="30">
        <v>0</v>
      </c>
      <c r="AE84" s="25">
        <v>0</v>
      </c>
      <c r="AG84" s="30">
        <f t="shared" si="4"/>
        <v>7.4283343870126028E-2</v>
      </c>
      <c r="AH84" s="30">
        <f t="shared" si="5"/>
        <v>0</v>
      </c>
      <c r="AI84" s="30">
        <f t="shared" si="6"/>
        <v>9.8630520463968124E-3</v>
      </c>
    </row>
    <row r="85" spans="2:35" ht="15.75" thickBot="1" x14ac:dyDescent="0.2">
      <c r="B85" t="s">
        <v>100</v>
      </c>
      <c r="C85" s="22">
        <f>VLOOKUP(B85,[1]SYS!$F$5:$G$360,2,FALSE)</f>
        <v>80</v>
      </c>
      <c r="D85" s="34" t="str">
        <f>VLOOKUP(C85,[1]SYS!$G$5:$H$360,2,FALSE)</f>
        <v>北葛飾変電所</v>
      </c>
      <c r="E85" s="37">
        <v>0</v>
      </c>
      <c r="F85" s="26">
        <v>0</v>
      </c>
      <c r="G85" s="1">
        <v>4.6392819832701245E-3</v>
      </c>
      <c r="H85" s="26">
        <v>0</v>
      </c>
      <c r="I85" s="26">
        <v>0</v>
      </c>
      <c r="J85" s="26">
        <v>0</v>
      </c>
      <c r="K85" s="26">
        <v>0</v>
      </c>
      <c r="L85" s="26">
        <v>0</v>
      </c>
      <c r="M85" s="63">
        <v>0</v>
      </c>
      <c r="N85" s="37">
        <v>0</v>
      </c>
      <c r="O85" s="26">
        <v>0</v>
      </c>
      <c r="P85" s="50">
        <v>0</v>
      </c>
      <c r="Q85" s="26">
        <v>0</v>
      </c>
      <c r="R85" s="26">
        <v>0</v>
      </c>
      <c r="S85" s="26">
        <v>0</v>
      </c>
      <c r="T85" s="26">
        <v>0</v>
      </c>
      <c r="U85" s="26">
        <v>0</v>
      </c>
      <c r="V85" s="27">
        <v>0</v>
      </c>
      <c r="W85" s="68">
        <v>0</v>
      </c>
      <c r="X85" s="30">
        <v>0</v>
      </c>
      <c r="Y85" s="1">
        <v>9.8040298254653425E-3</v>
      </c>
      <c r="Z85" s="30">
        <v>0</v>
      </c>
      <c r="AA85" s="30">
        <v>0</v>
      </c>
      <c r="AB85" s="30">
        <v>0</v>
      </c>
      <c r="AC85" s="30">
        <v>0</v>
      </c>
      <c r="AD85" s="30">
        <v>0</v>
      </c>
      <c r="AE85" s="25">
        <v>0</v>
      </c>
      <c r="AG85" s="30">
        <f t="shared" si="4"/>
        <v>4.6392819832701245E-3</v>
      </c>
      <c r="AH85" s="30">
        <f t="shared" si="5"/>
        <v>0</v>
      </c>
      <c r="AI85" s="30">
        <f t="shared" si="6"/>
        <v>9.8040298254653425E-3</v>
      </c>
    </row>
    <row r="86" spans="2:35" ht="15.75" thickBot="1" x14ac:dyDescent="0.2">
      <c r="B86" t="s">
        <v>101</v>
      </c>
      <c r="C86" s="22">
        <f>VLOOKUP(B86,[1]SYS!$F$5:$G$360,2,FALSE)</f>
        <v>81</v>
      </c>
      <c r="D86" s="34" t="str">
        <f>VLOOKUP(C86,[1]SYS!$G$5:$H$360,2,FALSE)</f>
        <v>新坂戸変電所</v>
      </c>
      <c r="E86" s="37">
        <v>0</v>
      </c>
      <c r="F86" s="26">
        <v>0</v>
      </c>
      <c r="G86" s="1">
        <v>1.3679698190719014E-4</v>
      </c>
      <c r="H86" s="26">
        <v>0</v>
      </c>
      <c r="I86" s="26">
        <v>0</v>
      </c>
      <c r="J86" s="26">
        <v>0</v>
      </c>
      <c r="K86" s="26">
        <v>0</v>
      </c>
      <c r="L86" s="26">
        <v>0</v>
      </c>
      <c r="M86" s="63">
        <v>0</v>
      </c>
      <c r="N86" s="37">
        <v>0</v>
      </c>
      <c r="O86" s="26">
        <v>0</v>
      </c>
      <c r="P86" s="50">
        <v>0</v>
      </c>
      <c r="Q86" s="26">
        <v>0</v>
      </c>
      <c r="R86" s="26">
        <v>0</v>
      </c>
      <c r="S86" s="26">
        <v>0</v>
      </c>
      <c r="T86" s="26">
        <v>0</v>
      </c>
      <c r="U86" s="26">
        <v>0</v>
      </c>
      <c r="V86" s="27">
        <v>0</v>
      </c>
      <c r="W86" s="68">
        <v>0</v>
      </c>
      <c r="X86" s="30">
        <v>0</v>
      </c>
      <c r="Y86" s="1">
        <v>9.0008947329667903E-3</v>
      </c>
      <c r="Z86" s="30">
        <v>0</v>
      </c>
      <c r="AA86" s="30">
        <v>0</v>
      </c>
      <c r="AB86" s="30">
        <v>0</v>
      </c>
      <c r="AC86" s="30">
        <v>0</v>
      </c>
      <c r="AD86" s="30">
        <v>0</v>
      </c>
      <c r="AE86" s="25">
        <v>0</v>
      </c>
      <c r="AG86" s="30">
        <f t="shared" si="4"/>
        <v>1.3679698190719014E-4</v>
      </c>
      <c r="AH86" s="30">
        <f t="shared" si="5"/>
        <v>0</v>
      </c>
      <c r="AI86" s="30">
        <f t="shared" si="6"/>
        <v>9.0008947329667903E-3</v>
      </c>
    </row>
    <row r="87" spans="2:35" ht="15.75" thickBot="1" x14ac:dyDescent="0.2">
      <c r="B87" t="s">
        <v>374</v>
      </c>
      <c r="C87" s="22">
        <f>VLOOKUP(B87,[1]SYS!$F$5:$G$360,2,FALSE)</f>
        <v>82</v>
      </c>
      <c r="D87" s="34" t="str">
        <f>VLOOKUP(C87,[1]SYS!$G$5:$H$360,2,FALSE)</f>
        <v>柏崎刈羽原子力</v>
      </c>
      <c r="E87" s="37">
        <v>0</v>
      </c>
      <c r="F87" s="26">
        <v>0</v>
      </c>
      <c r="G87" s="50">
        <v>0</v>
      </c>
      <c r="H87" s="26">
        <v>0</v>
      </c>
      <c r="I87" s="26">
        <v>0</v>
      </c>
      <c r="J87" s="26">
        <v>0</v>
      </c>
      <c r="K87" s="26">
        <v>0</v>
      </c>
      <c r="L87" s="26">
        <v>0</v>
      </c>
      <c r="M87" s="63">
        <v>0</v>
      </c>
      <c r="N87" s="37">
        <v>0</v>
      </c>
      <c r="O87" s="26">
        <v>0</v>
      </c>
      <c r="P87" s="50">
        <v>0</v>
      </c>
      <c r="Q87" s="26">
        <v>0</v>
      </c>
      <c r="R87" s="26">
        <v>0</v>
      </c>
      <c r="S87" s="26">
        <v>0</v>
      </c>
      <c r="T87" s="26">
        <v>0</v>
      </c>
      <c r="U87" s="26">
        <v>0</v>
      </c>
      <c r="V87" s="27">
        <v>0</v>
      </c>
      <c r="W87" s="68">
        <v>0</v>
      </c>
      <c r="X87" s="30">
        <v>0</v>
      </c>
      <c r="Y87" s="50">
        <v>0</v>
      </c>
      <c r="Z87" s="30">
        <v>0</v>
      </c>
      <c r="AA87" s="30">
        <v>0</v>
      </c>
      <c r="AB87" s="30">
        <v>0</v>
      </c>
      <c r="AC87" s="30">
        <v>0</v>
      </c>
      <c r="AD87" s="30">
        <v>0</v>
      </c>
      <c r="AE87" s="25">
        <v>0</v>
      </c>
      <c r="AG87" s="30">
        <f t="shared" si="4"/>
        <v>0</v>
      </c>
      <c r="AH87" s="30">
        <f t="shared" si="5"/>
        <v>0</v>
      </c>
      <c r="AI87" s="30">
        <f t="shared" si="6"/>
        <v>0</v>
      </c>
    </row>
    <row r="88" spans="2:35" ht="15.75" thickBot="1" x14ac:dyDescent="0.2">
      <c r="B88" t="s">
        <v>102</v>
      </c>
      <c r="C88" s="22">
        <f>VLOOKUP(B88,[1]SYS!$F$5:$G$360,2,FALSE)</f>
        <v>83</v>
      </c>
      <c r="D88" s="34" t="str">
        <f>VLOOKUP(C88,[1]SYS!$G$5:$H$360,2,FALSE)</f>
        <v>西群馬開閉所</v>
      </c>
      <c r="E88" s="37">
        <v>0</v>
      </c>
      <c r="F88" s="26">
        <v>0</v>
      </c>
      <c r="G88" s="1">
        <v>7.0721671193278506E-4</v>
      </c>
      <c r="H88" s="26">
        <v>0</v>
      </c>
      <c r="I88" s="26">
        <v>0</v>
      </c>
      <c r="J88" s="26">
        <v>0</v>
      </c>
      <c r="K88" s="26">
        <v>0</v>
      </c>
      <c r="L88" s="26">
        <v>0</v>
      </c>
      <c r="M88" s="63">
        <v>0</v>
      </c>
      <c r="N88" s="37">
        <v>0</v>
      </c>
      <c r="O88" s="26">
        <v>0</v>
      </c>
      <c r="P88" s="50">
        <v>0</v>
      </c>
      <c r="Q88" s="26">
        <v>0</v>
      </c>
      <c r="R88" s="26">
        <v>0</v>
      </c>
      <c r="S88" s="26">
        <v>0</v>
      </c>
      <c r="T88" s="26">
        <v>0</v>
      </c>
      <c r="U88" s="26">
        <v>0</v>
      </c>
      <c r="V88" s="27">
        <v>0</v>
      </c>
      <c r="W88" s="68">
        <v>0</v>
      </c>
      <c r="X88" s="30">
        <v>0</v>
      </c>
      <c r="Y88" s="1">
        <v>4.0659568321269888E-3</v>
      </c>
      <c r="Z88" s="30">
        <v>0</v>
      </c>
      <c r="AA88" s="30">
        <v>0</v>
      </c>
      <c r="AB88" s="30">
        <v>0</v>
      </c>
      <c r="AC88" s="30">
        <v>0</v>
      </c>
      <c r="AD88" s="30">
        <v>0</v>
      </c>
      <c r="AE88" s="25">
        <v>0</v>
      </c>
      <c r="AG88" s="30">
        <f t="shared" si="4"/>
        <v>7.0721671193278506E-4</v>
      </c>
      <c r="AH88" s="30">
        <f t="shared" si="5"/>
        <v>0</v>
      </c>
      <c r="AI88" s="30">
        <f t="shared" si="6"/>
        <v>4.0659568321269888E-3</v>
      </c>
    </row>
    <row r="89" spans="2:35" ht="15.75" thickBot="1" x14ac:dyDescent="0.2">
      <c r="B89" t="s">
        <v>103</v>
      </c>
      <c r="C89" s="22">
        <f>VLOOKUP(B89,[1]SYS!$F$5:$G$360,2,FALSE)</f>
        <v>84</v>
      </c>
      <c r="D89" s="34" t="str">
        <f>VLOOKUP(C89,[1]SYS!$G$5:$H$360,2,FALSE)</f>
        <v>新岡部変電所</v>
      </c>
      <c r="E89" s="37">
        <v>0</v>
      </c>
      <c r="F89" s="26">
        <v>0</v>
      </c>
      <c r="G89" s="1">
        <v>1.4282236826094483E-2</v>
      </c>
      <c r="H89" s="26">
        <v>0</v>
      </c>
      <c r="I89" s="26">
        <v>0</v>
      </c>
      <c r="J89" s="26">
        <v>0</v>
      </c>
      <c r="K89" s="26">
        <v>0</v>
      </c>
      <c r="L89" s="26">
        <v>0</v>
      </c>
      <c r="M89" s="63">
        <v>0</v>
      </c>
      <c r="N89" s="37">
        <v>0</v>
      </c>
      <c r="O89" s="26">
        <v>0</v>
      </c>
      <c r="P89" s="50">
        <v>0</v>
      </c>
      <c r="Q89" s="26">
        <v>0</v>
      </c>
      <c r="R89" s="26">
        <v>0</v>
      </c>
      <c r="S89" s="26">
        <v>0</v>
      </c>
      <c r="T89" s="26">
        <v>0</v>
      </c>
      <c r="U89" s="26">
        <v>0</v>
      </c>
      <c r="V89" s="27">
        <v>0</v>
      </c>
      <c r="W89" s="68">
        <v>0</v>
      </c>
      <c r="X89" s="30">
        <v>0</v>
      </c>
      <c r="Y89" s="1">
        <v>2.1006179940670403E-2</v>
      </c>
      <c r="Z89" s="30">
        <v>0</v>
      </c>
      <c r="AA89" s="30">
        <v>0</v>
      </c>
      <c r="AB89" s="30">
        <v>0</v>
      </c>
      <c r="AC89" s="30">
        <v>0</v>
      </c>
      <c r="AD89" s="30">
        <v>0</v>
      </c>
      <c r="AE89" s="25">
        <v>0</v>
      </c>
      <c r="AG89" s="30">
        <f t="shared" si="4"/>
        <v>1.4282236826094483E-2</v>
      </c>
      <c r="AH89" s="30">
        <f t="shared" si="5"/>
        <v>0</v>
      </c>
      <c r="AI89" s="30">
        <f t="shared" si="6"/>
        <v>2.1006179940670403E-2</v>
      </c>
    </row>
    <row r="90" spans="2:35" ht="15.75" thickBot="1" x14ac:dyDescent="0.2">
      <c r="B90" t="s">
        <v>104</v>
      </c>
      <c r="C90" s="22">
        <f>VLOOKUP(B90,[1]SYS!$F$5:$G$360,2,FALSE)</f>
        <v>85</v>
      </c>
      <c r="D90" s="34" t="str">
        <f>VLOOKUP(C90,[1]SYS!$G$5:$H$360,2,FALSE)</f>
        <v>東毛変電所</v>
      </c>
      <c r="E90" s="37">
        <v>0</v>
      </c>
      <c r="F90" s="26">
        <v>0</v>
      </c>
      <c r="G90" s="1">
        <v>2.3770977550743923E-4</v>
      </c>
      <c r="H90" s="26">
        <v>0</v>
      </c>
      <c r="I90" s="26">
        <v>0</v>
      </c>
      <c r="J90" s="26">
        <v>0</v>
      </c>
      <c r="K90" s="26">
        <v>0</v>
      </c>
      <c r="L90" s="26">
        <v>0</v>
      </c>
      <c r="M90" s="63">
        <v>0</v>
      </c>
      <c r="N90" s="37">
        <v>0</v>
      </c>
      <c r="O90" s="26">
        <v>0</v>
      </c>
      <c r="P90" s="50">
        <v>0</v>
      </c>
      <c r="Q90" s="26">
        <v>0</v>
      </c>
      <c r="R90" s="26">
        <v>0</v>
      </c>
      <c r="S90" s="26">
        <v>0</v>
      </c>
      <c r="T90" s="26">
        <v>0</v>
      </c>
      <c r="U90" s="26">
        <v>0</v>
      </c>
      <c r="V90" s="27">
        <v>0</v>
      </c>
      <c r="W90" s="68">
        <v>0</v>
      </c>
      <c r="X90" s="30">
        <v>0</v>
      </c>
      <c r="Y90" s="1">
        <v>2.7841452384440381E-2</v>
      </c>
      <c r="Z90" s="30">
        <v>0</v>
      </c>
      <c r="AA90" s="30">
        <v>0</v>
      </c>
      <c r="AB90" s="30">
        <v>0</v>
      </c>
      <c r="AC90" s="30">
        <v>0</v>
      </c>
      <c r="AD90" s="30">
        <v>0</v>
      </c>
      <c r="AE90" s="25">
        <v>0</v>
      </c>
      <c r="AG90" s="30">
        <f t="shared" si="4"/>
        <v>2.3770977550743923E-4</v>
      </c>
      <c r="AH90" s="30">
        <f t="shared" si="5"/>
        <v>0</v>
      </c>
      <c r="AI90" s="30">
        <f t="shared" si="6"/>
        <v>2.7841452384440381E-2</v>
      </c>
    </row>
    <row r="91" spans="2:35" ht="15.75" thickBot="1" x14ac:dyDescent="0.2">
      <c r="B91" t="s">
        <v>105</v>
      </c>
      <c r="C91" s="22">
        <f>VLOOKUP(B91,[1]SYS!$F$5:$G$360,2,FALSE)</f>
        <v>86</v>
      </c>
      <c r="D91" s="34" t="str">
        <f>VLOOKUP(C91,[1]SYS!$G$5:$H$360,2,FALSE)</f>
        <v>新秩父開閉所</v>
      </c>
      <c r="E91" s="37">
        <v>0</v>
      </c>
      <c r="F91" s="26">
        <v>0</v>
      </c>
      <c r="G91" s="1">
        <v>0</v>
      </c>
      <c r="H91" s="26">
        <v>0</v>
      </c>
      <c r="I91" s="26">
        <v>0</v>
      </c>
      <c r="J91" s="26">
        <v>0</v>
      </c>
      <c r="K91" s="26">
        <v>0</v>
      </c>
      <c r="L91" s="26">
        <v>0</v>
      </c>
      <c r="M91" s="63">
        <v>0</v>
      </c>
      <c r="N91" s="37">
        <v>0</v>
      </c>
      <c r="O91" s="26">
        <v>0</v>
      </c>
      <c r="P91" s="50">
        <v>0</v>
      </c>
      <c r="Q91" s="26">
        <v>0</v>
      </c>
      <c r="R91" s="26">
        <v>0</v>
      </c>
      <c r="S91" s="26">
        <v>0</v>
      </c>
      <c r="T91" s="26">
        <v>0</v>
      </c>
      <c r="U91" s="26">
        <v>0</v>
      </c>
      <c r="V91" s="27">
        <v>0</v>
      </c>
      <c r="W91" s="68">
        <v>0</v>
      </c>
      <c r="X91" s="30">
        <v>0</v>
      </c>
      <c r="Y91" s="1">
        <v>1.565008225883905E-2</v>
      </c>
      <c r="Z91" s="30">
        <v>0</v>
      </c>
      <c r="AA91" s="30">
        <v>0</v>
      </c>
      <c r="AB91" s="30">
        <v>0</v>
      </c>
      <c r="AC91" s="30">
        <v>0</v>
      </c>
      <c r="AD91" s="30">
        <v>0</v>
      </c>
      <c r="AE91" s="25">
        <v>0</v>
      </c>
      <c r="AG91" s="30">
        <f t="shared" si="4"/>
        <v>0</v>
      </c>
      <c r="AH91" s="30">
        <f t="shared" si="5"/>
        <v>0</v>
      </c>
      <c r="AI91" s="30">
        <f t="shared" si="6"/>
        <v>1.565008225883905E-2</v>
      </c>
    </row>
    <row r="92" spans="2:35" ht="15.75" thickBot="1" x14ac:dyDescent="0.2">
      <c r="B92" t="s">
        <v>106</v>
      </c>
      <c r="C92" s="22">
        <f>VLOOKUP(B92,[1]SYS!$F$5:$G$360,2,FALSE)</f>
        <v>87</v>
      </c>
      <c r="D92" s="34" t="str">
        <f>VLOOKUP(C92,[1]SYS!$G$5:$H$360,2,FALSE)</f>
        <v>北熊谷変電所</v>
      </c>
      <c r="E92" s="37">
        <v>0</v>
      </c>
      <c r="F92" s="26">
        <v>0</v>
      </c>
      <c r="G92" s="1">
        <v>0</v>
      </c>
      <c r="H92" s="26">
        <v>0</v>
      </c>
      <c r="I92" s="26">
        <v>0</v>
      </c>
      <c r="J92" s="26">
        <v>0</v>
      </c>
      <c r="K92" s="26">
        <v>0</v>
      </c>
      <c r="L92" s="26">
        <v>0</v>
      </c>
      <c r="M92" s="63">
        <v>0</v>
      </c>
      <c r="N92" s="37">
        <v>0</v>
      </c>
      <c r="O92" s="26">
        <v>0</v>
      </c>
      <c r="P92" s="50">
        <v>0</v>
      </c>
      <c r="Q92" s="26">
        <v>0</v>
      </c>
      <c r="R92" s="26">
        <v>0</v>
      </c>
      <c r="S92" s="26">
        <v>0</v>
      </c>
      <c r="T92" s="26">
        <v>0</v>
      </c>
      <c r="U92" s="26">
        <v>0</v>
      </c>
      <c r="V92" s="27">
        <v>0</v>
      </c>
      <c r="W92" s="68">
        <v>0</v>
      </c>
      <c r="X92" s="30">
        <v>0</v>
      </c>
      <c r="Y92" s="1">
        <v>1.6776358817369795E-2</v>
      </c>
      <c r="Z92" s="30">
        <v>0</v>
      </c>
      <c r="AA92" s="30">
        <v>0</v>
      </c>
      <c r="AB92" s="30">
        <v>0</v>
      </c>
      <c r="AC92" s="30">
        <v>0</v>
      </c>
      <c r="AD92" s="30">
        <v>0</v>
      </c>
      <c r="AE92" s="25">
        <v>0</v>
      </c>
      <c r="AG92" s="30">
        <f t="shared" si="4"/>
        <v>0</v>
      </c>
      <c r="AH92" s="30">
        <f t="shared" si="5"/>
        <v>0</v>
      </c>
      <c r="AI92" s="30">
        <f t="shared" si="6"/>
        <v>1.6776358817369795E-2</v>
      </c>
    </row>
    <row r="93" spans="2:35" ht="15.75" thickBot="1" x14ac:dyDescent="0.2">
      <c r="B93" t="s">
        <v>107</v>
      </c>
      <c r="C93" s="22">
        <f>VLOOKUP(B93,[1]SYS!$F$5:$G$360,2,FALSE)</f>
        <v>88</v>
      </c>
      <c r="D93" s="34" t="str">
        <f>VLOOKUP(C93,[1]SYS!$G$5:$H$360,2,FALSE)</f>
        <v>西毛変電所</v>
      </c>
      <c r="E93" s="37">
        <v>0</v>
      </c>
      <c r="F93" s="26">
        <v>0</v>
      </c>
      <c r="G93" s="1">
        <v>0</v>
      </c>
      <c r="H93" s="26">
        <v>0</v>
      </c>
      <c r="I93" s="26">
        <v>0</v>
      </c>
      <c r="J93" s="26">
        <v>0</v>
      </c>
      <c r="K93" s="26">
        <v>0</v>
      </c>
      <c r="L93" s="26">
        <v>0</v>
      </c>
      <c r="M93" s="63">
        <v>0</v>
      </c>
      <c r="N93" s="37">
        <v>0</v>
      </c>
      <c r="O93" s="26">
        <v>0</v>
      </c>
      <c r="P93" s="50">
        <v>0</v>
      </c>
      <c r="Q93" s="26">
        <v>0</v>
      </c>
      <c r="R93" s="26">
        <v>0</v>
      </c>
      <c r="S93" s="26">
        <v>0</v>
      </c>
      <c r="T93" s="26">
        <v>0</v>
      </c>
      <c r="U93" s="26">
        <v>0</v>
      </c>
      <c r="V93" s="27">
        <v>0</v>
      </c>
      <c r="W93" s="68">
        <v>0</v>
      </c>
      <c r="X93" s="30">
        <v>0</v>
      </c>
      <c r="Y93" s="1">
        <v>2.9098673624581909E-2</v>
      </c>
      <c r="Z93" s="30">
        <v>0</v>
      </c>
      <c r="AA93" s="30">
        <v>0</v>
      </c>
      <c r="AB93" s="30">
        <v>0</v>
      </c>
      <c r="AC93" s="30">
        <v>0</v>
      </c>
      <c r="AD93" s="30">
        <v>0</v>
      </c>
      <c r="AE93" s="25">
        <v>0</v>
      </c>
      <c r="AG93" s="30">
        <f t="shared" si="4"/>
        <v>0</v>
      </c>
      <c r="AH93" s="30">
        <f t="shared" si="5"/>
        <v>0</v>
      </c>
      <c r="AI93" s="30">
        <f t="shared" si="6"/>
        <v>2.9098673624581909E-2</v>
      </c>
    </row>
    <row r="94" spans="2:35" ht="15.75" thickBot="1" x14ac:dyDescent="0.2">
      <c r="B94" t="s">
        <v>108</v>
      </c>
      <c r="C94" s="22">
        <f>VLOOKUP(B94,[1]SYS!$F$5:$G$360,2,FALSE)</f>
        <v>89</v>
      </c>
      <c r="D94" s="34" t="str">
        <f>VLOOKUP(C94,[1]SYS!$G$5:$H$360,2,FALSE)</f>
        <v>新富士変電所</v>
      </c>
      <c r="E94" s="37">
        <v>0</v>
      </c>
      <c r="F94" s="26">
        <v>0</v>
      </c>
      <c r="G94" s="1">
        <v>2.3484351855477037E-2</v>
      </c>
      <c r="H94" s="26">
        <v>0</v>
      </c>
      <c r="I94" s="26">
        <v>0</v>
      </c>
      <c r="J94" s="26">
        <v>0</v>
      </c>
      <c r="K94" s="26">
        <v>0</v>
      </c>
      <c r="L94" s="26">
        <v>0</v>
      </c>
      <c r="M94" s="63">
        <v>0</v>
      </c>
      <c r="N94" s="37">
        <v>0</v>
      </c>
      <c r="O94" s="26">
        <v>0</v>
      </c>
      <c r="P94" s="50">
        <v>0</v>
      </c>
      <c r="Q94" s="26">
        <v>0</v>
      </c>
      <c r="R94" s="26">
        <v>0</v>
      </c>
      <c r="S94" s="26">
        <v>0</v>
      </c>
      <c r="T94" s="26">
        <v>0</v>
      </c>
      <c r="U94" s="26">
        <v>0</v>
      </c>
      <c r="V94" s="27">
        <v>0</v>
      </c>
      <c r="W94" s="68">
        <v>0</v>
      </c>
      <c r="X94" s="30">
        <v>0</v>
      </c>
      <c r="Y94" s="1">
        <v>4.0685420167703039E-2</v>
      </c>
      <c r="Z94" s="30">
        <v>0</v>
      </c>
      <c r="AA94" s="30">
        <v>0</v>
      </c>
      <c r="AB94" s="30">
        <v>0</v>
      </c>
      <c r="AC94" s="30">
        <v>0</v>
      </c>
      <c r="AD94" s="30">
        <v>0</v>
      </c>
      <c r="AE94" s="25">
        <v>0</v>
      </c>
      <c r="AG94" s="30">
        <f t="shared" si="4"/>
        <v>2.3484351855477037E-2</v>
      </c>
      <c r="AH94" s="30">
        <f t="shared" si="5"/>
        <v>0</v>
      </c>
      <c r="AI94" s="30">
        <f t="shared" si="6"/>
        <v>4.0685420167703039E-2</v>
      </c>
    </row>
    <row r="95" spans="2:35" ht="15.75" thickBot="1" x14ac:dyDescent="0.2">
      <c r="B95" t="s">
        <v>109</v>
      </c>
      <c r="C95" s="22">
        <f>VLOOKUP(B95,[1]SYS!$F$5:$G$360,2,FALSE)</f>
        <v>90</v>
      </c>
      <c r="D95" s="34" t="str">
        <f>VLOOKUP(C95,[1]SYS!$G$5:$H$360,2,FALSE)</f>
        <v>新榛名変電所</v>
      </c>
      <c r="E95" s="37">
        <v>0</v>
      </c>
      <c r="F95" s="26">
        <v>0</v>
      </c>
      <c r="G95" s="1">
        <v>1.9648821507421677E-4</v>
      </c>
      <c r="H95" s="26">
        <v>0</v>
      </c>
      <c r="I95" s="26">
        <v>0</v>
      </c>
      <c r="J95" s="26">
        <v>0</v>
      </c>
      <c r="K95" s="26">
        <v>0</v>
      </c>
      <c r="L95" s="26">
        <v>0</v>
      </c>
      <c r="M95" s="63">
        <v>0</v>
      </c>
      <c r="N95" s="37">
        <v>0</v>
      </c>
      <c r="O95" s="26">
        <v>0</v>
      </c>
      <c r="P95" s="50">
        <v>0</v>
      </c>
      <c r="Q95" s="26">
        <v>0</v>
      </c>
      <c r="R95" s="26">
        <v>0</v>
      </c>
      <c r="S95" s="26">
        <v>0</v>
      </c>
      <c r="T95" s="26">
        <v>0</v>
      </c>
      <c r="U95" s="26">
        <v>0</v>
      </c>
      <c r="V95" s="27">
        <v>0</v>
      </c>
      <c r="W95" s="68">
        <v>0</v>
      </c>
      <c r="X95" s="30">
        <v>0</v>
      </c>
      <c r="Y95" s="1">
        <v>1.8897324300139545E-2</v>
      </c>
      <c r="Z95" s="30">
        <v>0</v>
      </c>
      <c r="AA95" s="30">
        <v>0</v>
      </c>
      <c r="AB95" s="30">
        <v>0</v>
      </c>
      <c r="AC95" s="30">
        <v>0</v>
      </c>
      <c r="AD95" s="30">
        <v>0</v>
      </c>
      <c r="AE95" s="25">
        <v>0</v>
      </c>
      <c r="AG95" s="30">
        <f t="shared" si="4"/>
        <v>1.9648821507421677E-4</v>
      </c>
      <c r="AH95" s="30">
        <f t="shared" si="5"/>
        <v>0</v>
      </c>
      <c r="AI95" s="30">
        <f t="shared" si="6"/>
        <v>1.8897324300139545E-2</v>
      </c>
    </row>
    <row r="96" spans="2:35" ht="15.75" thickBot="1" x14ac:dyDescent="0.2">
      <c r="B96" t="s">
        <v>110</v>
      </c>
      <c r="C96" s="22">
        <f>VLOOKUP(B96,[1]SYS!$F$5:$G$360,2,FALSE)</f>
        <v>91</v>
      </c>
      <c r="D96" s="34" t="str">
        <f>VLOOKUP(C96,[1]SYS!$G$5:$H$360,2,FALSE)</f>
        <v>新所沢変電所</v>
      </c>
      <c r="E96" s="37">
        <v>0</v>
      </c>
      <c r="F96" s="26">
        <v>0</v>
      </c>
      <c r="G96" s="1">
        <v>1.9515428152617662E-8</v>
      </c>
      <c r="H96" s="26">
        <v>0</v>
      </c>
      <c r="I96" s="26">
        <v>0</v>
      </c>
      <c r="J96" s="26">
        <v>0</v>
      </c>
      <c r="K96" s="26">
        <v>0</v>
      </c>
      <c r="L96" s="26">
        <v>0</v>
      </c>
      <c r="M96" s="63">
        <v>0</v>
      </c>
      <c r="N96" s="37">
        <v>0</v>
      </c>
      <c r="O96" s="26">
        <v>0</v>
      </c>
      <c r="P96" s="50">
        <v>0</v>
      </c>
      <c r="Q96" s="26">
        <v>0</v>
      </c>
      <c r="R96" s="26">
        <v>0</v>
      </c>
      <c r="S96" s="26">
        <v>0</v>
      </c>
      <c r="T96" s="26">
        <v>0</v>
      </c>
      <c r="U96" s="26">
        <v>0</v>
      </c>
      <c r="V96" s="27">
        <v>0</v>
      </c>
      <c r="W96" s="68">
        <v>0</v>
      </c>
      <c r="X96" s="30">
        <v>0</v>
      </c>
      <c r="Y96" s="1">
        <v>4.6222038565232977E-3</v>
      </c>
      <c r="Z96" s="30">
        <v>0</v>
      </c>
      <c r="AA96" s="30">
        <v>0</v>
      </c>
      <c r="AB96" s="30">
        <v>0</v>
      </c>
      <c r="AC96" s="30">
        <v>0</v>
      </c>
      <c r="AD96" s="30">
        <v>0</v>
      </c>
      <c r="AE96" s="25">
        <v>0</v>
      </c>
      <c r="AG96" s="30">
        <f t="shared" si="4"/>
        <v>1.9515428152617662E-8</v>
      </c>
      <c r="AH96" s="30">
        <f t="shared" si="5"/>
        <v>0</v>
      </c>
      <c r="AI96" s="30">
        <f t="shared" si="6"/>
        <v>4.6222038565232977E-3</v>
      </c>
    </row>
    <row r="97" spans="2:35" ht="15.75" thickBot="1" x14ac:dyDescent="0.2">
      <c r="B97" t="s">
        <v>111</v>
      </c>
      <c r="C97" s="22">
        <f>VLOOKUP(B97,[1]SYS!$F$5:$G$360,2,FALSE)</f>
        <v>92</v>
      </c>
      <c r="D97" s="34" t="str">
        <f>VLOOKUP(C97,[1]SYS!$G$5:$H$360,2,FALSE)</f>
        <v>新秦野変電所</v>
      </c>
      <c r="E97" s="37">
        <v>0</v>
      </c>
      <c r="F97" s="26">
        <v>0</v>
      </c>
      <c r="G97" s="1">
        <v>1.8054462985898994E-3</v>
      </c>
      <c r="H97" s="26">
        <v>0</v>
      </c>
      <c r="I97" s="26">
        <v>0</v>
      </c>
      <c r="J97" s="26">
        <v>0</v>
      </c>
      <c r="K97" s="26">
        <v>0</v>
      </c>
      <c r="L97" s="26">
        <v>0</v>
      </c>
      <c r="M97" s="63">
        <v>0</v>
      </c>
      <c r="N97" s="37">
        <v>0</v>
      </c>
      <c r="O97" s="26">
        <v>0</v>
      </c>
      <c r="P97" s="50">
        <v>0</v>
      </c>
      <c r="Q97" s="26">
        <v>0</v>
      </c>
      <c r="R97" s="26">
        <v>0</v>
      </c>
      <c r="S97" s="26">
        <v>0</v>
      </c>
      <c r="T97" s="26">
        <v>0</v>
      </c>
      <c r="U97" s="26">
        <v>0</v>
      </c>
      <c r="V97" s="27">
        <v>0</v>
      </c>
      <c r="W97" s="68">
        <v>0</v>
      </c>
      <c r="X97" s="30">
        <v>0</v>
      </c>
      <c r="Y97" s="1">
        <v>1.6647163081024836E-2</v>
      </c>
      <c r="Z97" s="30">
        <v>0</v>
      </c>
      <c r="AA97" s="30">
        <v>0</v>
      </c>
      <c r="AB97" s="30">
        <v>0</v>
      </c>
      <c r="AC97" s="30">
        <v>0</v>
      </c>
      <c r="AD97" s="30">
        <v>0</v>
      </c>
      <c r="AE97" s="25">
        <v>0</v>
      </c>
      <c r="AG97" s="30">
        <f t="shared" si="4"/>
        <v>1.8054462985898994E-3</v>
      </c>
      <c r="AH97" s="30">
        <f t="shared" si="5"/>
        <v>0</v>
      </c>
      <c r="AI97" s="30">
        <f t="shared" si="6"/>
        <v>1.6647163081024836E-2</v>
      </c>
    </row>
    <row r="98" spans="2:35" ht="15.75" thickBot="1" x14ac:dyDescent="0.2">
      <c r="B98" t="s">
        <v>112</v>
      </c>
      <c r="C98" s="22">
        <f>VLOOKUP(B98,[1]SYS!$F$5:$G$360,2,FALSE)</f>
        <v>93</v>
      </c>
      <c r="D98" s="34" t="str">
        <f>VLOOKUP(C98,[1]SYS!$G$5:$H$360,2,FALSE)</f>
        <v>北相模変電所</v>
      </c>
      <c r="E98" s="37">
        <v>0</v>
      </c>
      <c r="F98" s="26">
        <v>0</v>
      </c>
      <c r="G98" s="1">
        <v>1.897766162205217E-5</v>
      </c>
      <c r="H98" s="26">
        <v>0</v>
      </c>
      <c r="I98" s="26">
        <v>0</v>
      </c>
      <c r="J98" s="26">
        <v>0</v>
      </c>
      <c r="K98" s="26">
        <v>0</v>
      </c>
      <c r="L98" s="26">
        <v>0</v>
      </c>
      <c r="M98" s="63">
        <v>0</v>
      </c>
      <c r="N98" s="37">
        <v>0</v>
      </c>
      <c r="O98" s="26">
        <v>0</v>
      </c>
      <c r="P98" s="50">
        <v>0</v>
      </c>
      <c r="Q98" s="26">
        <v>0</v>
      </c>
      <c r="R98" s="26">
        <v>0</v>
      </c>
      <c r="S98" s="26">
        <v>0</v>
      </c>
      <c r="T98" s="26">
        <v>0</v>
      </c>
      <c r="U98" s="26">
        <v>0</v>
      </c>
      <c r="V98" s="27">
        <v>0</v>
      </c>
      <c r="W98" s="68">
        <v>0</v>
      </c>
      <c r="X98" s="30">
        <v>0</v>
      </c>
      <c r="Y98" s="1">
        <v>1.0686105394989393E-2</v>
      </c>
      <c r="Z98" s="30">
        <v>0</v>
      </c>
      <c r="AA98" s="30">
        <v>0</v>
      </c>
      <c r="AB98" s="30">
        <v>0</v>
      </c>
      <c r="AC98" s="30">
        <v>0</v>
      </c>
      <c r="AD98" s="30">
        <v>0</v>
      </c>
      <c r="AE98" s="25">
        <v>0</v>
      </c>
      <c r="AG98" s="30">
        <f t="shared" si="4"/>
        <v>1.897766162205217E-5</v>
      </c>
      <c r="AH98" s="30">
        <f t="shared" si="5"/>
        <v>0</v>
      </c>
      <c r="AI98" s="30">
        <f t="shared" si="6"/>
        <v>1.0686105394989393E-2</v>
      </c>
    </row>
    <row r="99" spans="2:35" ht="15.75" thickBot="1" x14ac:dyDescent="0.2">
      <c r="B99" t="s">
        <v>113</v>
      </c>
      <c r="C99" s="22">
        <f>VLOOKUP(B99,[1]SYS!$F$5:$G$360,2,FALSE)</f>
        <v>94</v>
      </c>
      <c r="D99" s="34" t="str">
        <f>VLOOKUP(C99,[1]SYS!$G$5:$H$360,2,FALSE)</f>
        <v>新多摩変電所</v>
      </c>
      <c r="E99" s="37">
        <v>0</v>
      </c>
      <c r="F99" s="26">
        <v>0</v>
      </c>
      <c r="G99" s="1">
        <v>5.7208288833193093E-4</v>
      </c>
      <c r="H99" s="26">
        <v>0</v>
      </c>
      <c r="I99" s="26">
        <v>0</v>
      </c>
      <c r="J99" s="26">
        <v>0</v>
      </c>
      <c r="K99" s="26">
        <v>0</v>
      </c>
      <c r="L99" s="26">
        <v>0</v>
      </c>
      <c r="M99" s="63">
        <v>0</v>
      </c>
      <c r="N99" s="37">
        <v>0</v>
      </c>
      <c r="O99" s="26">
        <v>0</v>
      </c>
      <c r="P99" s="50">
        <v>0</v>
      </c>
      <c r="Q99" s="26">
        <v>0</v>
      </c>
      <c r="R99" s="26">
        <v>0</v>
      </c>
      <c r="S99" s="26">
        <v>0</v>
      </c>
      <c r="T99" s="26">
        <v>0</v>
      </c>
      <c r="U99" s="26">
        <v>0</v>
      </c>
      <c r="V99" s="27">
        <v>0</v>
      </c>
      <c r="W99" s="68">
        <v>0</v>
      </c>
      <c r="X99" s="30">
        <v>0</v>
      </c>
      <c r="Y99" s="1">
        <v>7.6347375262028781E-3</v>
      </c>
      <c r="Z99" s="30">
        <v>0</v>
      </c>
      <c r="AA99" s="30">
        <v>0</v>
      </c>
      <c r="AB99" s="30">
        <v>0</v>
      </c>
      <c r="AC99" s="30">
        <v>0</v>
      </c>
      <c r="AD99" s="30">
        <v>0</v>
      </c>
      <c r="AE99" s="25">
        <v>0</v>
      </c>
      <c r="AG99" s="30">
        <f t="shared" si="4"/>
        <v>5.7208288833193093E-4</v>
      </c>
      <c r="AH99" s="30">
        <f t="shared" si="5"/>
        <v>0</v>
      </c>
      <c r="AI99" s="30">
        <f t="shared" si="6"/>
        <v>7.6347375262028781E-3</v>
      </c>
    </row>
    <row r="100" spans="2:35" ht="15.75" thickBot="1" x14ac:dyDescent="0.2">
      <c r="B100" t="s">
        <v>114</v>
      </c>
      <c r="C100" s="22">
        <f>VLOOKUP(B100,[1]SYS!$F$5:$G$360,2,FALSE)</f>
        <v>95</v>
      </c>
      <c r="D100" s="34" t="str">
        <f>VLOOKUP(C100,[1]SYS!$G$5:$H$360,2,FALSE)</f>
        <v>新飯能変電所</v>
      </c>
      <c r="E100" s="37">
        <v>0</v>
      </c>
      <c r="F100" s="26">
        <v>0</v>
      </c>
      <c r="G100" s="1">
        <v>5.1482692906408389E-2</v>
      </c>
      <c r="H100" s="26">
        <v>0</v>
      </c>
      <c r="I100" s="26">
        <v>0</v>
      </c>
      <c r="J100" s="26">
        <v>0</v>
      </c>
      <c r="K100" s="26">
        <v>0</v>
      </c>
      <c r="L100" s="26">
        <v>0</v>
      </c>
      <c r="M100" s="63">
        <v>0</v>
      </c>
      <c r="N100" s="37">
        <v>0</v>
      </c>
      <c r="O100" s="26">
        <v>0</v>
      </c>
      <c r="P100" s="50">
        <v>0</v>
      </c>
      <c r="Q100" s="26">
        <v>0</v>
      </c>
      <c r="R100" s="26">
        <v>0</v>
      </c>
      <c r="S100" s="26">
        <v>0</v>
      </c>
      <c r="T100" s="26">
        <v>0</v>
      </c>
      <c r="U100" s="26">
        <v>0</v>
      </c>
      <c r="V100" s="27">
        <v>0</v>
      </c>
      <c r="W100" s="68">
        <v>0</v>
      </c>
      <c r="X100" s="30">
        <v>0</v>
      </c>
      <c r="Y100" s="1">
        <v>1.0278582330720543E-3</v>
      </c>
      <c r="Z100" s="30">
        <v>0</v>
      </c>
      <c r="AA100" s="30">
        <v>0</v>
      </c>
      <c r="AB100" s="30">
        <v>0</v>
      </c>
      <c r="AC100" s="30">
        <v>0</v>
      </c>
      <c r="AD100" s="30">
        <v>0</v>
      </c>
      <c r="AE100" s="25">
        <v>0</v>
      </c>
      <c r="AG100" s="30">
        <f t="shared" si="4"/>
        <v>5.1482692906408389E-2</v>
      </c>
      <c r="AH100" s="30">
        <f t="shared" si="5"/>
        <v>0</v>
      </c>
      <c r="AI100" s="30">
        <f t="shared" si="6"/>
        <v>1.0278582330720543E-3</v>
      </c>
    </row>
    <row r="101" spans="2:35" ht="15.75" thickBot="1" x14ac:dyDescent="0.2">
      <c r="B101" t="s">
        <v>115</v>
      </c>
      <c r="C101" s="22">
        <f>VLOOKUP(B101,[1]SYS!$F$5:$G$360,2,FALSE)</f>
        <v>96</v>
      </c>
      <c r="D101" s="34" t="str">
        <f>VLOOKUP(C101,[1]SYS!$G$5:$H$360,2,FALSE)</f>
        <v>青梅変電所</v>
      </c>
      <c r="E101" s="37">
        <v>0</v>
      </c>
      <c r="F101" s="26">
        <v>0</v>
      </c>
      <c r="G101" s="1">
        <v>1.5929605119918318E-2</v>
      </c>
      <c r="H101" s="26">
        <v>0</v>
      </c>
      <c r="I101" s="26">
        <v>0</v>
      </c>
      <c r="J101" s="26">
        <v>0</v>
      </c>
      <c r="K101" s="26">
        <v>0</v>
      </c>
      <c r="L101" s="26">
        <v>0</v>
      </c>
      <c r="M101" s="63">
        <v>0</v>
      </c>
      <c r="N101" s="37">
        <v>0</v>
      </c>
      <c r="O101" s="26">
        <v>0</v>
      </c>
      <c r="P101" s="50">
        <v>0</v>
      </c>
      <c r="Q101" s="26">
        <v>0</v>
      </c>
      <c r="R101" s="26">
        <v>0</v>
      </c>
      <c r="S101" s="26">
        <v>0</v>
      </c>
      <c r="T101" s="26">
        <v>0</v>
      </c>
      <c r="U101" s="26">
        <v>0</v>
      </c>
      <c r="V101" s="27">
        <v>0</v>
      </c>
      <c r="W101" s="68">
        <v>0</v>
      </c>
      <c r="X101" s="30">
        <v>0</v>
      </c>
      <c r="Y101" s="1">
        <v>4.2765503654595381E-3</v>
      </c>
      <c r="Z101" s="30">
        <v>0</v>
      </c>
      <c r="AA101" s="30">
        <v>0</v>
      </c>
      <c r="AB101" s="30">
        <v>0</v>
      </c>
      <c r="AC101" s="30">
        <v>0</v>
      </c>
      <c r="AD101" s="30">
        <v>0</v>
      </c>
      <c r="AE101" s="25">
        <v>0</v>
      </c>
      <c r="AG101" s="30">
        <f t="shared" si="4"/>
        <v>1.5929605119918318E-2</v>
      </c>
      <c r="AH101" s="30">
        <f t="shared" si="5"/>
        <v>0</v>
      </c>
      <c r="AI101" s="30">
        <f t="shared" si="6"/>
        <v>4.2765503654595381E-3</v>
      </c>
    </row>
    <row r="102" spans="2:35" ht="15.75" thickBot="1" x14ac:dyDescent="0.2">
      <c r="B102" t="s">
        <v>116</v>
      </c>
      <c r="C102" s="22">
        <f>VLOOKUP(B102,[1]SYS!$F$5:$G$360,2,FALSE)</f>
        <v>97</v>
      </c>
      <c r="D102" s="34" t="str">
        <f>VLOOKUP(C102,[1]SYS!$G$5:$H$360,2,FALSE)</f>
        <v>西東京変電所</v>
      </c>
      <c r="E102" s="37">
        <v>0</v>
      </c>
      <c r="F102" s="26">
        <v>0</v>
      </c>
      <c r="G102" s="1">
        <v>8.8363597539757591E-5</v>
      </c>
      <c r="H102" s="26">
        <v>0</v>
      </c>
      <c r="I102" s="26">
        <v>0</v>
      </c>
      <c r="J102" s="26">
        <v>0</v>
      </c>
      <c r="K102" s="26">
        <v>0</v>
      </c>
      <c r="L102" s="26">
        <v>0</v>
      </c>
      <c r="M102" s="63">
        <v>0</v>
      </c>
      <c r="N102" s="37">
        <v>0</v>
      </c>
      <c r="O102" s="26">
        <v>0</v>
      </c>
      <c r="P102" s="50">
        <v>0</v>
      </c>
      <c r="Q102" s="26">
        <v>0</v>
      </c>
      <c r="R102" s="26">
        <v>0</v>
      </c>
      <c r="S102" s="26">
        <v>0</v>
      </c>
      <c r="T102" s="26">
        <v>0</v>
      </c>
      <c r="U102" s="26">
        <v>0</v>
      </c>
      <c r="V102" s="27">
        <v>0</v>
      </c>
      <c r="W102" s="68">
        <v>0</v>
      </c>
      <c r="X102" s="30">
        <v>0</v>
      </c>
      <c r="Y102" s="1">
        <v>5.0812457777649617E-3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25">
        <v>0</v>
      </c>
      <c r="AG102" s="30">
        <f t="shared" si="4"/>
        <v>8.8363597539757591E-5</v>
      </c>
      <c r="AH102" s="30">
        <f t="shared" si="5"/>
        <v>0</v>
      </c>
      <c r="AI102" s="30">
        <f t="shared" si="6"/>
        <v>5.0812457777649617E-3</v>
      </c>
    </row>
    <row r="103" spans="2:35" ht="15.75" thickBot="1" x14ac:dyDescent="0.2">
      <c r="B103" t="s">
        <v>117</v>
      </c>
      <c r="C103" s="22">
        <f>VLOOKUP(B103,[1]SYS!$F$5:$G$360,2,FALSE)</f>
        <v>98</v>
      </c>
      <c r="D103" s="34" t="str">
        <f>VLOOKUP(C103,[1]SYS!$G$5:$H$360,2,FALSE)</f>
        <v>港北変電所</v>
      </c>
      <c r="E103" s="37">
        <v>0</v>
      </c>
      <c r="F103" s="26">
        <v>0</v>
      </c>
      <c r="G103" s="1">
        <v>3.3717003602582389E-2</v>
      </c>
      <c r="H103" s="26">
        <v>0</v>
      </c>
      <c r="I103" s="26">
        <v>0</v>
      </c>
      <c r="J103" s="26">
        <v>0</v>
      </c>
      <c r="K103" s="26">
        <v>0</v>
      </c>
      <c r="L103" s="26">
        <v>0</v>
      </c>
      <c r="M103" s="63">
        <v>0</v>
      </c>
      <c r="N103" s="37">
        <v>0</v>
      </c>
      <c r="O103" s="26">
        <v>0</v>
      </c>
      <c r="P103" s="50">
        <v>0</v>
      </c>
      <c r="Q103" s="26">
        <v>0</v>
      </c>
      <c r="R103" s="26">
        <v>0</v>
      </c>
      <c r="S103" s="26">
        <v>0</v>
      </c>
      <c r="T103" s="26">
        <v>0</v>
      </c>
      <c r="U103" s="26">
        <v>0</v>
      </c>
      <c r="V103" s="27">
        <v>0</v>
      </c>
      <c r="W103" s="68">
        <v>0</v>
      </c>
      <c r="X103" s="30">
        <v>0</v>
      </c>
      <c r="Y103" s="1">
        <v>3.7881401029865192E-3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25">
        <v>0</v>
      </c>
      <c r="AG103" s="30">
        <f t="shared" si="4"/>
        <v>3.3717003602582389E-2</v>
      </c>
      <c r="AH103" s="30">
        <f t="shared" si="5"/>
        <v>0</v>
      </c>
      <c r="AI103" s="30">
        <f t="shared" si="6"/>
        <v>3.7881401029865192E-3</v>
      </c>
    </row>
    <row r="104" spans="2:35" ht="15.75" thickBot="1" x14ac:dyDescent="0.2">
      <c r="B104" t="s">
        <v>118</v>
      </c>
      <c r="C104" s="22">
        <f>VLOOKUP(B104,[1]SYS!$F$5:$G$360,2,FALSE)</f>
        <v>99</v>
      </c>
      <c r="D104" s="34" t="str">
        <f>VLOOKUP(C104,[1]SYS!$G$5:$H$360,2,FALSE)</f>
        <v>北多摩変電所</v>
      </c>
      <c r="E104" s="37">
        <v>0</v>
      </c>
      <c r="F104" s="26">
        <v>0</v>
      </c>
      <c r="G104" s="1">
        <v>1.0111098362887487E-5</v>
      </c>
      <c r="H104" s="26">
        <v>0</v>
      </c>
      <c r="I104" s="26">
        <v>0</v>
      </c>
      <c r="J104" s="26">
        <v>0</v>
      </c>
      <c r="K104" s="26">
        <v>0</v>
      </c>
      <c r="L104" s="26">
        <v>0</v>
      </c>
      <c r="M104" s="63">
        <v>0</v>
      </c>
      <c r="N104" s="37">
        <v>0</v>
      </c>
      <c r="O104" s="26">
        <v>0</v>
      </c>
      <c r="P104" s="50">
        <v>0</v>
      </c>
      <c r="Q104" s="26">
        <v>0</v>
      </c>
      <c r="R104" s="26">
        <v>0</v>
      </c>
      <c r="S104" s="26">
        <v>0</v>
      </c>
      <c r="T104" s="26">
        <v>0</v>
      </c>
      <c r="U104" s="26">
        <v>0</v>
      </c>
      <c r="V104" s="27">
        <v>0</v>
      </c>
      <c r="W104" s="68">
        <v>0</v>
      </c>
      <c r="X104" s="30">
        <v>0</v>
      </c>
      <c r="Y104" s="1">
        <v>5.5513533309671289E-3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25">
        <v>0</v>
      </c>
      <c r="AG104" s="30">
        <f t="shared" si="4"/>
        <v>1.0111098362887487E-5</v>
      </c>
      <c r="AH104" s="30">
        <f t="shared" si="5"/>
        <v>0</v>
      </c>
      <c r="AI104" s="30">
        <f t="shared" si="6"/>
        <v>5.5513533309671289E-3</v>
      </c>
    </row>
    <row r="105" spans="2:35" ht="15.75" thickBot="1" x14ac:dyDescent="0.2">
      <c r="B105" t="s">
        <v>119</v>
      </c>
      <c r="C105" s="22">
        <f>VLOOKUP(B105,[1]SYS!$F$5:$G$360,2,FALSE)</f>
        <v>100</v>
      </c>
      <c r="D105" s="34" t="str">
        <f>VLOOKUP(C105,[1]SYS!$G$5:$H$360,2,FALSE)</f>
        <v>東新宿変電所</v>
      </c>
      <c r="E105" s="37">
        <v>0</v>
      </c>
      <c r="F105" s="26">
        <v>0</v>
      </c>
      <c r="G105" s="1">
        <v>1.1032305271149681E-4</v>
      </c>
      <c r="H105" s="26">
        <v>0</v>
      </c>
      <c r="I105" s="26">
        <v>0</v>
      </c>
      <c r="J105" s="26">
        <v>0</v>
      </c>
      <c r="K105" s="26">
        <v>0</v>
      </c>
      <c r="L105" s="26">
        <v>0</v>
      </c>
      <c r="M105" s="63">
        <v>0</v>
      </c>
      <c r="N105" s="37">
        <v>0</v>
      </c>
      <c r="O105" s="26">
        <v>0</v>
      </c>
      <c r="P105" s="50">
        <v>0</v>
      </c>
      <c r="Q105" s="26">
        <v>0</v>
      </c>
      <c r="R105" s="26">
        <v>0</v>
      </c>
      <c r="S105" s="26">
        <v>0</v>
      </c>
      <c r="T105" s="26">
        <v>0</v>
      </c>
      <c r="U105" s="26">
        <v>0</v>
      </c>
      <c r="V105" s="27">
        <v>0</v>
      </c>
      <c r="W105" s="68">
        <v>0</v>
      </c>
      <c r="X105" s="30">
        <v>0</v>
      </c>
      <c r="Y105" s="1">
        <v>4.1459664262851517E-4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25">
        <v>0</v>
      </c>
      <c r="AG105" s="30">
        <f t="shared" si="4"/>
        <v>1.1032305271149681E-4</v>
      </c>
      <c r="AH105" s="30">
        <f t="shared" si="5"/>
        <v>0</v>
      </c>
      <c r="AI105" s="30">
        <f t="shared" si="6"/>
        <v>4.1459664262851517E-4</v>
      </c>
    </row>
    <row r="106" spans="2:35" ht="15.75" thickBot="1" x14ac:dyDescent="0.2">
      <c r="B106" t="s">
        <v>120</v>
      </c>
      <c r="C106" s="22">
        <f>VLOOKUP(B106,[1]SYS!$F$5:$G$360,2,FALSE)</f>
        <v>101</v>
      </c>
      <c r="D106" s="34" t="str">
        <f>VLOOKUP(C106,[1]SYS!$G$5:$H$360,2,FALSE)</f>
        <v>新宿変電所</v>
      </c>
      <c r="E106" s="37">
        <v>0</v>
      </c>
      <c r="F106" s="26">
        <v>0</v>
      </c>
      <c r="G106" s="1">
        <v>6.2607083489007271E-5</v>
      </c>
      <c r="H106" s="26">
        <v>0</v>
      </c>
      <c r="I106" s="26">
        <v>0</v>
      </c>
      <c r="J106" s="26">
        <v>0</v>
      </c>
      <c r="K106" s="26">
        <v>0</v>
      </c>
      <c r="L106" s="26">
        <v>0</v>
      </c>
      <c r="M106" s="63">
        <v>0</v>
      </c>
      <c r="N106" s="37">
        <v>0</v>
      </c>
      <c r="O106" s="26">
        <v>0</v>
      </c>
      <c r="P106" s="50">
        <v>0</v>
      </c>
      <c r="Q106" s="26">
        <v>0</v>
      </c>
      <c r="R106" s="26">
        <v>0</v>
      </c>
      <c r="S106" s="26">
        <v>0</v>
      </c>
      <c r="T106" s="26">
        <v>0</v>
      </c>
      <c r="U106" s="26">
        <v>0</v>
      </c>
      <c r="V106" s="27">
        <v>0</v>
      </c>
      <c r="W106" s="68">
        <v>0</v>
      </c>
      <c r="X106" s="30">
        <v>0</v>
      </c>
      <c r="Y106" s="1">
        <v>8.7267315750584346E-4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25">
        <v>0</v>
      </c>
      <c r="AG106" s="30">
        <f t="shared" si="4"/>
        <v>6.2607083489007271E-5</v>
      </c>
      <c r="AH106" s="30">
        <f t="shared" si="5"/>
        <v>0</v>
      </c>
      <c r="AI106" s="30">
        <f t="shared" si="6"/>
        <v>8.7267315750584346E-4</v>
      </c>
    </row>
    <row r="107" spans="2:35" ht="15.75" thickBot="1" x14ac:dyDescent="0.2">
      <c r="B107" t="s">
        <v>121</v>
      </c>
      <c r="C107" s="22">
        <f>VLOOKUP(B107,[1]SYS!$F$5:$G$360,2,FALSE)</f>
        <v>102</v>
      </c>
      <c r="D107" s="34" t="str">
        <f>VLOOKUP(C107,[1]SYS!$G$5:$H$360,2,FALSE)</f>
        <v>城南変電所</v>
      </c>
      <c r="E107" s="37">
        <v>0</v>
      </c>
      <c r="F107" s="26">
        <v>0</v>
      </c>
      <c r="G107" s="1">
        <v>4.7292071872007241E-5</v>
      </c>
      <c r="H107" s="26">
        <v>0</v>
      </c>
      <c r="I107" s="26">
        <v>0</v>
      </c>
      <c r="J107" s="26">
        <v>0</v>
      </c>
      <c r="K107" s="26">
        <v>0</v>
      </c>
      <c r="L107" s="26">
        <v>0</v>
      </c>
      <c r="M107" s="63">
        <v>0</v>
      </c>
      <c r="N107" s="37">
        <v>0</v>
      </c>
      <c r="O107" s="26">
        <v>0</v>
      </c>
      <c r="P107" s="50">
        <v>0</v>
      </c>
      <c r="Q107" s="26">
        <v>0</v>
      </c>
      <c r="R107" s="26">
        <v>0</v>
      </c>
      <c r="S107" s="26">
        <v>0</v>
      </c>
      <c r="T107" s="26">
        <v>0</v>
      </c>
      <c r="U107" s="26">
        <v>0</v>
      </c>
      <c r="V107" s="27">
        <v>0</v>
      </c>
      <c r="W107" s="68">
        <v>0</v>
      </c>
      <c r="X107" s="30">
        <v>0</v>
      </c>
      <c r="Y107" s="1">
        <v>4.6778072498419442E-4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25">
        <v>0</v>
      </c>
      <c r="AG107" s="30">
        <f t="shared" si="4"/>
        <v>4.7292071872007241E-5</v>
      </c>
      <c r="AH107" s="30">
        <f t="shared" si="5"/>
        <v>0</v>
      </c>
      <c r="AI107" s="30">
        <f t="shared" si="6"/>
        <v>4.6778072498419442E-4</v>
      </c>
    </row>
    <row r="108" spans="2:35" ht="15.75" thickBot="1" x14ac:dyDescent="0.2">
      <c r="B108" t="s">
        <v>122</v>
      </c>
      <c r="C108" s="22">
        <f>VLOOKUP(B108,[1]SYS!$F$5:$G$360,2,FALSE)</f>
        <v>103</v>
      </c>
      <c r="D108" s="34" t="str">
        <f>VLOOKUP(C108,[1]SYS!$G$5:$H$360,2,FALSE)</f>
        <v>多摩変電所</v>
      </c>
      <c r="E108" s="37">
        <v>0</v>
      </c>
      <c r="F108" s="26">
        <v>0</v>
      </c>
      <c r="G108" s="1">
        <v>1.7117820186481681E-5</v>
      </c>
      <c r="H108" s="26">
        <v>0</v>
      </c>
      <c r="I108" s="26">
        <v>0</v>
      </c>
      <c r="J108" s="26">
        <v>0</v>
      </c>
      <c r="K108" s="26">
        <v>0</v>
      </c>
      <c r="L108" s="26">
        <v>0</v>
      </c>
      <c r="M108" s="63">
        <v>0</v>
      </c>
      <c r="N108" s="37">
        <v>0</v>
      </c>
      <c r="O108" s="26">
        <v>0</v>
      </c>
      <c r="P108" s="50">
        <v>0</v>
      </c>
      <c r="Q108" s="26">
        <v>0</v>
      </c>
      <c r="R108" s="26">
        <v>0</v>
      </c>
      <c r="S108" s="26">
        <v>0</v>
      </c>
      <c r="T108" s="26">
        <v>0</v>
      </c>
      <c r="U108" s="26">
        <v>0</v>
      </c>
      <c r="V108" s="27">
        <v>0</v>
      </c>
      <c r="W108" s="68">
        <v>0</v>
      </c>
      <c r="X108" s="30">
        <v>0</v>
      </c>
      <c r="Y108" s="1">
        <v>7.8798896987743935E-3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25">
        <v>0</v>
      </c>
      <c r="AG108" s="30">
        <f t="shared" si="4"/>
        <v>1.7117820186481681E-5</v>
      </c>
      <c r="AH108" s="30">
        <f t="shared" si="5"/>
        <v>0</v>
      </c>
      <c r="AI108" s="30">
        <f t="shared" si="6"/>
        <v>7.8798896987743935E-3</v>
      </c>
    </row>
    <row r="109" spans="2:35" ht="15.75" thickBot="1" x14ac:dyDescent="0.2">
      <c r="B109" t="s">
        <v>123</v>
      </c>
      <c r="C109" s="22">
        <f>VLOOKUP(B109,[1]SYS!$F$5:$G$360,2,FALSE)</f>
        <v>104</v>
      </c>
      <c r="D109" s="34" t="str">
        <f>VLOOKUP(C109,[1]SYS!$G$5:$H$360,2,FALSE)</f>
        <v>京浜変電所</v>
      </c>
      <c r="E109" s="37">
        <v>0</v>
      </c>
      <c r="F109" s="26">
        <v>0</v>
      </c>
      <c r="G109" s="1">
        <v>1.0364945392940606E-4</v>
      </c>
      <c r="H109" s="26">
        <v>0</v>
      </c>
      <c r="I109" s="26">
        <v>0</v>
      </c>
      <c r="J109" s="26">
        <v>0</v>
      </c>
      <c r="K109" s="26">
        <v>0</v>
      </c>
      <c r="L109" s="26">
        <v>0</v>
      </c>
      <c r="M109" s="63">
        <v>0</v>
      </c>
      <c r="N109" s="37">
        <v>0</v>
      </c>
      <c r="O109" s="26">
        <v>0</v>
      </c>
      <c r="P109" s="50">
        <v>0</v>
      </c>
      <c r="Q109" s="26">
        <v>0</v>
      </c>
      <c r="R109" s="26">
        <v>0</v>
      </c>
      <c r="S109" s="26">
        <v>0</v>
      </c>
      <c r="T109" s="26">
        <v>0</v>
      </c>
      <c r="U109" s="26">
        <v>0</v>
      </c>
      <c r="V109" s="27">
        <v>0</v>
      </c>
      <c r="W109" s="68">
        <v>0</v>
      </c>
      <c r="X109" s="30">
        <v>0</v>
      </c>
      <c r="Y109" s="1">
        <v>1.7560178287499943E-2</v>
      </c>
      <c r="Z109" s="30">
        <v>0</v>
      </c>
      <c r="AA109" s="30">
        <v>0</v>
      </c>
      <c r="AB109" s="30">
        <v>0</v>
      </c>
      <c r="AC109" s="30">
        <v>0</v>
      </c>
      <c r="AD109" s="30">
        <v>0</v>
      </c>
      <c r="AE109" s="25">
        <v>0</v>
      </c>
      <c r="AG109" s="30">
        <f t="shared" si="4"/>
        <v>1.0364945392940606E-4</v>
      </c>
      <c r="AH109" s="30">
        <f t="shared" si="5"/>
        <v>0</v>
      </c>
      <c r="AI109" s="30">
        <f t="shared" si="6"/>
        <v>1.7560178287499943E-2</v>
      </c>
    </row>
    <row r="110" spans="2:35" ht="15.75" thickBot="1" x14ac:dyDescent="0.2">
      <c r="B110" t="s">
        <v>124</v>
      </c>
      <c r="C110" s="22">
        <f>VLOOKUP(B110,[1]SYS!$F$5:$G$360,2,FALSE)</f>
        <v>105</v>
      </c>
      <c r="D110" s="34" t="str">
        <f>VLOOKUP(C110,[1]SYS!$G$5:$H$360,2,FALSE)</f>
        <v>西横浜変電所</v>
      </c>
      <c r="E110" s="37">
        <v>0</v>
      </c>
      <c r="F110" s="26">
        <v>0</v>
      </c>
      <c r="G110" s="1">
        <v>2.1680351197542221E-5</v>
      </c>
      <c r="H110" s="26">
        <v>0</v>
      </c>
      <c r="I110" s="26">
        <v>0</v>
      </c>
      <c r="J110" s="26">
        <v>0</v>
      </c>
      <c r="K110" s="26">
        <v>0</v>
      </c>
      <c r="L110" s="26">
        <v>0</v>
      </c>
      <c r="M110" s="63">
        <v>0</v>
      </c>
      <c r="N110" s="37">
        <v>0</v>
      </c>
      <c r="O110" s="26">
        <v>0</v>
      </c>
      <c r="P110" s="50">
        <v>0</v>
      </c>
      <c r="Q110" s="26">
        <v>0</v>
      </c>
      <c r="R110" s="26">
        <v>0</v>
      </c>
      <c r="S110" s="26">
        <v>0</v>
      </c>
      <c r="T110" s="26">
        <v>0</v>
      </c>
      <c r="U110" s="26">
        <v>0</v>
      </c>
      <c r="V110" s="27">
        <v>0</v>
      </c>
      <c r="W110" s="68">
        <v>0</v>
      </c>
      <c r="X110" s="30">
        <v>0</v>
      </c>
      <c r="Y110" s="1">
        <v>3.4929570434765159E-3</v>
      </c>
      <c r="Z110" s="30">
        <v>0</v>
      </c>
      <c r="AA110" s="30">
        <v>0</v>
      </c>
      <c r="AB110" s="30">
        <v>0</v>
      </c>
      <c r="AC110" s="30">
        <v>0</v>
      </c>
      <c r="AD110" s="30">
        <v>0</v>
      </c>
      <c r="AE110" s="25">
        <v>0</v>
      </c>
      <c r="AG110" s="30">
        <f t="shared" si="4"/>
        <v>2.1680351197542221E-5</v>
      </c>
      <c r="AH110" s="30">
        <f t="shared" si="5"/>
        <v>0</v>
      </c>
      <c r="AI110" s="30">
        <f t="shared" si="6"/>
        <v>3.4929570434765159E-3</v>
      </c>
    </row>
    <row r="111" spans="2:35" ht="15.75" thickBot="1" x14ac:dyDescent="0.2">
      <c r="B111" t="s">
        <v>125</v>
      </c>
      <c r="C111" s="22">
        <f>VLOOKUP(B111,[1]SYS!$F$5:$G$360,2,FALSE)</f>
        <v>106</v>
      </c>
      <c r="D111" s="34" t="str">
        <f>VLOOKUP(C111,[1]SYS!$G$5:$H$360,2,FALSE)</f>
        <v>南川崎変電所</v>
      </c>
      <c r="E111" s="37">
        <v>0</v>
      </c>
      <c r="F111" s="26">
        <v>0</v>
      </c>
      <c r="G111" s="1">
        <v>0</v>
      </c>
      <c r="H111" s="26">
        <v>0</v>
      </c>
      <c r="I111" s="26">
        <v>0</v>
      </c>
      <c r="J111" s="26">
        <v>0</v>
      </c>
      <c r="K111" s="26">
        <v>0</v>
      </c>
      <c r="L111" s="26">
        <v>0</v>
      </c>
      <c r="M111" s="63">
        <v>0</v>
      </c>
      <c r="N111" s="37">
        <v>0</v>
      </c>
      <c r="O111" s="26">
        <v>0</v>
      </c>
      <c r="P111" s="50">
        <v>0</v>
      </c>
      <c r="Q111" s="26">
        <v>0</v>
      </c>
      <c r="R111" s="26">
        <v>0</v>
      </c>
      <c r="S111" s="26">
        <v>0</v>
      </c>
      <c r="T111" s="26">
        <v>0</v>
      </c>
      <c r="U111" s="26">
        <v>0</v>
      </c>
      <c r="V111" s="27">
        <v>0</v>
      </c>
      <c r="W111" s="68">
        <v>0</v>
      </c>
      <c r="X111" s="30">
        <v>0</v>
      </c>
      <c r="Y111" s="1">
        <v>4.0247979966870568E-3</v>
      </c>
      <c r="Z111" s="30">
        <v>0</v>
      </c>
      <c r="AA111" s="30">
        <v>0</v>
      </c>
      <c r="AB111" s="30">
        <v>0</v>
      </c>
      <c r="AC111" s="30">
        <v>0</v>
      </c>
      <c r="AD111" s="30">
        <v>0</v>
      </c>
      <c r="AE111" s="25">
        <v>0</v>
      </c>
      <c r="AG111" s="30">
        <f t="shared" si="4"/>
        <v>0</v>
      </c>
      <c r="AH111" s="30">
        <f t="shared" si="5"/>
        <v>0</v>
      </c>
      <c r="AI111" s="30">
        <f t="shared" si="6"/>
        <v>4.0247979966870568E-3</v>
      </c>
    </row>
    <row r="112" spans="2:35" ht="15.75" thickBot="1" x14ac:dyDescent="0.2">
      <c r="B112" t="s">
        <v>126</v>
      </c>
      <c r="C112" s="22">
        <f>VLOOKUP(B112,[1]SYS!$F$5:$G$360,2,FALSE)</f>
        <v>107</v>
      </c>
      <c r="D112" s="34" t="str">
        <f>VLOOKUP(C112,[1]SYS!$G$5:$H$360,2,FALSE)</f>
        <v>池上変電所</v>
      </c>
      <c r="E112" s="37">
        <v>0</v>
      </c>
      <c r="F112" s="26">
        <v>0</v>
      </c>
      <c r="G112" s="1">
        <v>0</v>
      </c>
      <c r="H112" s="26">
        <v>0</v>
      </c>
      <c r="I112" s="26">
        <v>0</v>
      </c>
      <c r="J112" s="26">
        <v>0</v>
      </c>
      <c r="K112" s="26">
        <v>0</v>
      </c>
      <c r="L112" s="26">
        <v>0</v>
      </c>
      <c r="M112" s="63">
        <v>0</v>
      </c>
      <c r="N112" s="37">
        <v>0</v>
      </c>
      <c r="O112" s="26">
        <v>0</v>
      </c>
      <c r="P112" s="50">
        <v>0</v>
      </c>
      <c r="Q112" s="26">
        <v>0</v>
      </c>
      <c r="R112" s="26">
        <v>0</v>
      </c>
      <c r="S112" s="26">
        <v>0</v>
      </c>
      <c r="T112" s="26">
        <v>0</v>
      </c>
      <c r="U112" s="26">
        <v>0</v>
      </c>
      <c r="V112" s="27">
        <v>0</v>
      </c>
      <c r="W112" s="68">
        <v>0</v>
      </c>
      <c r="X112" s="30">
        <v>0</v>
      </c>
      <c r="Y112" s="1">
        <v>2.7353022179480158E-3</v>
      </c>
      <c r="Z112" s="30">
        <v>0</v>
      </c>
      <c r="AA112" s="30">
        <v>0</v>
      </c>
      <c r="AB112" s="30">
        <v>0</v>
      </c>
      <c r="AC112" s="30">
        <v>0</v>
      </c>
      <c r="AD112" s="30">
        <v>0</v>
      </c>
      <c r="AE112" s="25">
        <v>0</v>
      </c>
      <c r="AG112" s="30">
        <f t="shared" si="4"/>
        <v>0</v>
      </c>
      <c r="AH112" s="30">
        <f t="shared" si="5"/>
        <v>0</v>
      </c>
      <c r="AI112" s="30">
        <f t="shared" si="6"/>
        <v>2.7353022179480158E-3</v>
      </c>
    </row>
    <row r="113" spans="2:35" ht="15.75" thickBot="1" x14ac:dyDescent="0.2">
      <c r="B113" t="s">
        <v>127</v>
      </c>
      <c r="C113" s="22">
        <f>VLOOKUP(B113,[1]SYS!$F$5:$G$360,2,FALSE)</f>
        <v>108</v>
      </c>
      <c r="D113" s="34" t="str">
        <f>VLOOKUP(C113,[1]SYS!$G$5:$H$360,2,FALSE)</f>
        <v>中東京変電所</v>
      </c>
      <c r="E113" s="37">
        <v>0</v>
      </c>
      <c r="F113" s="26">
        <v>0</v>
      </c>
      <c r="G113" s="1">
        <v>0</v>
      </c>
      <c r="H113" s="26">
        <v>0</v>
      </c>
      <c r="I113" s="26">
        <v>0</v>
      </c>
      <c r="J113" s="26">
        <v>0</v>
      </c>
      <c r="K113" s="26">
        <v>0</v>
      </c>
      <c r="L113" s="26">
        <v>0</v>
      </c>
      <c r="M113" s="63">
        <v>0</v>
      </c>
      <c r="N113" s="37">
        <v>0</v>
      </c>
      <c r="O113" s="26">
        <v>0</v>
      </c>
      <c r="P113" s="50">
        <v>0</v>
      </c>
      <c r="Q113" s="26">
        <v>0</v>
      </c>
      <c r="R113" s="26">
        <v>0</v>
      </c>
      <c r="S113" s="26">
        <v>0</v>
      </c>
      <c r="T113" s="26">
        <v>0</v>
      </c>
      <c r="U113" s="26">
        <v>0</v>
      </c>
      <c r="V113" s="27">
        <v>0</v>
      </c>
      <c r="W113" s="68">
        <v>0</v>
      </c>
      <c r="X113" s="30">
        <v>0</v>
      </c>
      <c r="Y113" s="1">
        <v>3.0469890488858974E-3</v>
      </c>
      <c r="Z113" s="30">
        <v>0</v>
      </c>
      <c r="AA113" s="30">
        <v>0</v>
      </c>
      <c r="AB113" s="30">
        <v>0</v>
      </c>
      <c r="AC113" s="30">
        <v>0</v>
      </c>
      <c r="AD113" s="30">
        <v>0</v>
      </c>
      <c r="AE113" s="25">
        <v>0</v>
      </c>
      <c r="AG113" s="30">
        <f t="shared" si="4"/>
        <v>0</v>
      </c>
      <c r="AH113" s="30">
        <f t="shared" si="5"/>
        <v>0</v>
      </c>
      <c r="AI113" s="30">
        <f t="shared" si="6"/>
        <v>3.0469890488858974E-3</v>
      </c>
    </row>
    <row r="114" spans="2:35" ht="15.75" thickBot="1" x14ac:dyDescent="0.2">
      <c r="B114" t="s">
        <v>128</v>
      </c>
      <c r="C114" s="22">
        <f>VLOOKUP(B114,[1]SYS!$F$5:$G$360,2,FALSE)</f>
        <v>109</v>
      </c>
      <c r="D114" s="34" t="str">
        <f>VLOOKUP(C114,[1]SYS!$G$5:$H$360,2,FALSE)</f>
        <v>南狭山変電所</v>
      </c>
      <c r="E114" s="37">
        <v>0</v>
      </c>
      <c r="F114" s="26">
        <v>0</v>
      </c>
      <c r="G114" s="1">
        <v>0</v>
      </c>
      <c r="H114" s="26">
        <v>0</v>
      </c>
      <c r="I114" s="26">
        <v>0</v>
      </c>
      <c r="J114" s="26">
        <v>0</v>
      </c>
      <c r="K114" s="26">
        <v>0</v>
      </c>
      <c r="L114" s="26">
        <v>0</v>
      </c>
      <c r="M114" s="63">
        <v>0</v>
      </c>
      <c r="N114" s="37">
        <v>0</v>
      </c>
      <c r="O114" s="26">
        <v>0</v>
      </c>
      <c r="P114" s="50">
        <v>0</v>
      </c>
      <c r="Q114" s="26">
        <v>0</v>
      </c>
      <c r="R114" s="26">
        <v>0</v>
      </c>
      <c r="S114" s="26">
        <v>0</v>
      </c>
      <c r="T114" s="26">
        <v>0</v>
      </c>
      <c r="U114" s="26">
        <v>0</v>
      </c>
      <c r="V114" s="27">
        <v>0</v>
      </c>
      <c r="W114" s="68">
        <v>0</v>
      </c>
      <c r="X114" s="30">
        <v>0</v>
      </c>
      <c r="Y114" s="1">
        <v>4.0073136505291524E-3</v>
      </c>
      <c r="Z114" s="30">
        <v>0</v>
      </c>
      <c r="AA114" s="30">
        <v>0</v>
      </c>
      <c r="AB114" s="30">
        <v>0</v>
      </c>
      <c r="AC114" s="30">
        <v>0</v>
      </c>
      <c r="AD114" s="30">
        <v>0</v>
      </c>
      <c r="AE114" s="25">
        <v>0</v>
      </c>
      <c r="AG114" s="30">
        <f t="shared" si="4"/>
        <v>0</v>
      </c>
      <c r="AH114" s="30">
        <f t="shared" si="5"/>
        <v>0</v>
      </c>
      <c r="AI114" s="30">
        <f t="shared" si="6"/>
        <v>4.0073136505291524E-3</v>
      </c>
    </row>
    <row r="115" spans="2:35" ht="15.75" thickBot="1" x14ac:dyDescent="0.2">
      <c r="B115" t="s">
        <v>129</v>
      </c>
      <c r="C115" s="22">
        <f>VLOOKUP(B115,[1]SYS!$F$5:$G$360,2,FALSE)</f>
        <v>110</v>
      </c>
      <c r="D115" s="34" t="str">
        <f>VLOOKUP(C115,[1]SYS!$G$5:$H$360,2,FALSE)</f>
        <v>新座変電所</v>
      </c>
      <c r="E115" s="37">
        <v>0</v>
      </c>
      <c r="F115" s="26">
        <v>0</v>
      </c>
      <c r="G115" s="1">
        <v>9.690363208018948E-3</v>
      </c>
      <c r="H115" s="26">
        <v>0</v>
      </c>
      <c r="I115" s="26">
        <v>0</v>
      </c>
      <c r="J115" s="26">
        <v>0</v>
      </c>
      <c r="K115" s="26">
        <v>0</v>
      </c>
      <c r="L115" s="26">
        <v>0</v>
      </c>
      <c r="M115" s="63">
        <v>0</v>
      </c>
      <c r="N115" s="37">
        <v>0</v>
      </c>
      <c r="O115" s="26">
        <v>0</v>
      </c>
      <c r="P115" s="50">
        <v>0</v>
      </c>
      <c r="Q115" s="26">
        <v>0</v>
      </c>
      <c r="R115" s="26">
        <v>0</v>
      </c>
      <c r="S115" s="26">
        <v>0</v>
      </c>
      <c r="T115" s="26">
        <v>0</v>
      </c>
      <c r="U115" s="26">
        <v>0</v>
      </c>
      <c r="V115" s="27">
        <v>0</v>
      </c>
      <c r="W115" s="68">
        <v>0</v>
      </c>
      <c r="X115" s="30">
        <v>0</v>
      </c>
      <c r="Y115" s="1">
        <v>5.8304652550996245E-3</v>
      </c>
      <c r="Z115" s="30">
        <v>0</v>
      </c>
      <c r="AA115" s="30">
        <v>0</v>
      </c>
      <c r="AB115" s="30">
        <v>0</v>
      </c>
      <c r="AC115" s="30">
        <v>0</v>
      </c>
      <c r="AD115" s="30">
        <v>0</v>
      </c>
      <c r="AE115" s="25">
        <v>0</v>
      </c>
      <c r="AG115" s="30">
        <f t="shared" si="4"/>
        <v>9.690363208018948E-3</v>
      </c>
      <c r="AH115" s="30">
        <f t="shared" si="5"/>
        <v>0</v>
      </c>
      <c r="AI115" s="30">
        <f t="shared" si="6"/>
        <v>5.8304652550996245E-3</v>
      </c>
    </row>
    <row r="116" spans="2:35" ht="15.75" thickBot="1" x14ac:dyDescent="0.2">
      <c r="B116" t="s">
        <v>130</v>
      </c>
      <c r="C116" s="22">
        <f>VLOOKUP(B116,[1]SYS!$F$5:$G$360,2,FALSE)</f>
        <v>111</v>
      </c>
      <c r="D116" s="34" t="str">
        <f>VLOOKUP(C116,[1]SYS!$G$5:$H$360,2,FALSE)</f>
        <v>練馬変電所</v>
      </c>
      <c r="E116" s="37">
        <v>0</v>
      </c>
      <c r="F116" s="26">
        <v>0</v>
      </c>
      <c r="G116" s="1">
        <v>4.2067717200066177E-5</v>
      </c>
      <c r="H116" s="26">
        <v>0</v>
      </c>
      <c r="I116" s="26">
        <v>0</v>
      </c>
      <c r="J116" s="26">
        <v>0</v>
      </c>
      <c r="K116" s="26">
        <v>0</v>
      </c>
      <c r="L116" s="26">
        <v>0</v>
      </c>
      <c r="M116" s="63">
        <v>0</v>
      </c>
      <c r="N116" s="37">
        <v>0</v>
      </c>
      <c r="O116" s="26">
        <v>0</v>
      </c>
      <c r="P116" s="50">
        <v>0</v>
      </c>
      <c r="Q116" s="26">
        <v>0</v>
      </c>
      <c r="R116" s="26">
        <v>0</v>
      </c>
      <c r="S116" s="26">
        <v>0</v>
      </c>
      <c r="T116" s="26">
        <v>0</v>
      </c>
      <c r="U116" s="26">
        <v>0</v>
      </c>
      <c r="V116" s="27">
        <v>0</v>
      </c>
      <c r="W116" s="68">
        <v>0</v>
      </c>
      <c r="X116" s="30">
        <v>0</v>
      </c>
      <c r="Y116" s="1">
        <v>6.9164681734378425E-3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  <c r="AE116" s="25">
        <v>0</v>
      </c>
      <c r="AG116" s="30">
        <f t="shared" si="4"/>
        <v>4.2067717200066177E-5</v>
      </c>
      <c r="AH116" s="30">
        <f t="shared" si="5"/>
        <v>0</v>
      </c>
      <c r="AI116" s="30">
        <f t="shared" si="6"/>
        <v>6.9164681734378425E-3</v>
      </c>
    </row>
    <row r="117" spans="2:35" ht="15.75" thickBot="1" x14ac:dyDescent="0.2">
      <c r="B117" t="s">
        <v>131</v>
      </c>
      <c r="C117" s="22">
        <f>VLOOKUP(B117,[1]SYS!$F$5:$G$360,2,FALSE)</f>
        <v>112</v>
      </c>
      <c r="D117" s="34" t="str">
        <f>VLOOKUP(C117,[1]SYS!$G$5:$H$360,2,FALSE)</f>
        <v>豊島変電所</v>
      </c>
      <c r="E117" s="37">
        <v>0</v>
      </c>
      <c r="F117" s="26">
        <v>0</v>
      </c>
      <c r="G117" s="35">
        <v>4.1300934720720026E-4</v>
      </c>
      <c r="H117" s="26">
        <v>0</v>
      </c>
      <c r="I117" s="26">
        <v>0</v>
      </c>
      <c r="J117" s="26">
        <v>0</v>
      </c>
      <c r="K117" s="26">
        <v>0</v>
      </c>
      <c r="L117" s="26">
        <v>0</v>
      </c>
      <c r="M117" s="63">
        <v>0</v>
      </c>
      <c r="N117" s="37">
        <v>0</v>
      </c>
      <c r="O117" s="26">
        <v>0</v>
      </c>
      <c r="P117" s="50">
        <v>0</v>
      </c>
      <c r="Q117" s="26">
        <v>0</v>
      </c>
      <c r="R117" s="26">
        <v>0</v>
      </c>
      <c r="S117" s="26">
        <v>0</v>
      </c>
      <c r="T117" s="26">
        <v>0</v>
      </c>
      <c r="U117" s="26">
        <v>0</v>
      </c>
      <c r="V117" s="27">
        <v>0</v>
      </c>
      <c r="W117" s="68">
        <v>0</v>
      </c>
      <c r="X117" s="30">
        <v>0</v>
      </c>
      <c r="Y117" s="1">
        <v>2.5861027385331117E-3</v>
      </c>
      <c r="Z117" s="30">
        <v>0</v>
      </c>
      <c r="AA117" s="30">
        <v>0</v>
      </c>
      <c r="AB117" s="30">
        <v>0</v>
      </c>
      <c r="AC117" s="30">
        <v>0</v>
      </c>
      <c r="AD117" s="30">
        <v>0</v>
      </c>
      <c r="AE117" s="25">
        <v>0</v>
      </c>
      <c r="AG117" s="30">
        <f t="shared" si="4"/>
        <v>4.1300934720720026E-4</v>
      </c>
      <c r="AH117" s="30">
        <f t="shared" si="5"/>
        <v>0</v>
      </c>
      <c r="AI117" s="30">
        <f t="shared" si="6"/>
        <v>2.5861027385331117E-3</v>
      </c>
    </row>
    <row r="118" spans="2:35" ht="15.75" thickBot="1" x14ac:dyDescent="0.2">
      <c r="B118" t="s">
        <v>132</v>
      </c>
      <c r="C118" s="22">
        <f>VLOOKUP(B118,[1]SYS!$F$5:$G$360,2,FALSE)</f>
        <v>113</v>
      </c>
      <c r="D118" s="34" t="str">
        <f>VLOOKUP(C118,[1]SYS!$G$5:$H$360,2,FALSE)</f>
        <v>水道橋変電所</v>
      </c>
      <c r="E118" s="37">
        <v>0</v>
      </c>
      <c r="F118" s="26">
        <v>0</v>
      </c>
      <c r="G118" s="35">
        <v>3.325432128246508E-5</v>
      </c>
      <c r="H118" s="26">
        <v>0</v>
      </c>
      <c r="I118" s="26">
        <v>0</v>
      </c>
      <c r="J118" s="26">
        <v>0</v>
      </c>
      <c r="K118" s="26">
        <v>0</v>
      </c>
      <c r="L118" s="26">
        <v>0</v>
      </c>
      <c r="M118" s="63">
        <v>0</v>
      </c>
      <c r="N118" s="37">
        <v>0</v>
      </c>
      <c r="O118" s="26">
        <v>0</v>
      </c>
      <c r="P118" s="50">
        <v>0</v>
      </c>
      <c r="Q118" s="26">
        <v>0</v>
      </c>
      <c r="R118" s="26">
        <v>0</v>
      </c>
      <c r="S118" s="26">
        <v>0</v>
      </c>
      <c r="T118" s="26">
        <v>0</v>
      </c>
      <c r="U118" s="26">
        <v>0</v>
      </c>
      <c r="V118" s="27">
        <v>0</v>
      </c>
      <c r="W118" s="68">
        <v>0</v>
      </c>
      <c r="X118" s="30">
        <v>0</v>
      </c>
      <c r="Y118" s="1">
        <v>3.2396624352580767E-4</v>
      </c>
      <c r="Z118" s="30">
        <v>0</v>
      </c>
      <c r="AA118" s="30">
        <v>0</v>
      </c>
      <c r="AB118" s="30">
        <v>0</v>
      </c>
      <c r="AC118" s="30">
        <v>0</v>
      </c>
      <c r="AD118" s="30">
        <v>0</v>
      </c>
      <c r="AE118" s="25">
        <v>0</v>
      </c>
      <c r="AG118" s="30">
        <f t="shared" si="4"/>
        <v>3.325432128246508E-5</v>
      </c>
      <c r="AH118" s="30">
        <f t="shared" si="5"/>
        <v>0</v>
      </c>
      <c r="AI118" s="30">
        <f t="shared" si="6"/>
        <v>3.2396624352580767E-4</v>
      </c>
    </row>
    <row r="119" spans="2:35" ht="15.75" thickBot="1" x14ac:dyDescent="0.2">
      <c r="B119" t="s">
        <v>133</v>
      </c>
      <c r="C119" s="22">
        <f>VLOOKUP(B119,[1]SYS!$F$5:$G$360,2,FALSE)</f>
        <v>114</v>
      </c>
      <c r="D119" s="34" t="str">
        <f>VLOOKUP(C119,[1]SYS!$G$5:$H$360,2,FALSE)</f>
        <v>南川越変電所</v>
      </c>
      <c r="E119" s="37">
        <v>0</v>
      </c>
      <c r="F119" s="26">
        <v>0</v>
      </c>
      <c r="G119" s="35">
        <v>2.7827157607677343E-4</v>
      </c>
      <c r="H119" s="26">
        <v>0</v>
      </c>
      <c r="I119" s="26">
        <v>0</v>
      </c>
      <c r="J119" s="26">
        <v>0</v>
      </c>
      <c r="K119" s="26">
        <v>0</v>
      </c>
      <c r="L119" s="26">
        <v>0</v>
      </c>
      <c r="M119" s="63">
        <v>0</v>
      </c>
      <c r="N119" s="37">
        <v>0</v>
      </c>
      <c r="O119" s="26">
        <v>0</v>
      </c>
      <c r="P119" s="50">
        <v>0</v>
      </c>
      <c r="Q119" s="26">
        <v>0</v>
      </c>
      <c r="R119" s="26">
        <v>0</v>
      </c>
      <c r="S119" s="26">
        <v>0</v>
      </c>
      <c r="T119" s="26">
        <v>0</v>
      </c>
      <c r="U119" s="26">
        <v>0</v>
      </c>
      <c r="V119" s="27">
        <v>0</v>
      </c>
      <c r="W119" s="68">
        <v>0</v>
      </c>
      <c r="X119" s="30">
        <v>0</v>
      </c>
      <c r="Y119" s="1">
        <v>5.2373283771984568E-3</v>
      </c>
      <c r="Z119" s="30">
        <v>0</v>
      </c>
      <c r="AA119" s="30">
        <v>0</v>
      </c>
      <c r="AB119" s="30">
        <v>0</v>
      </c>
      <c r="AC119" s="30">
        <v>0</v>
      </c>
      <c r="AD119" s="30">
        <v>0</v>
      </c>
      <c r="AE119" s="25">
        <v>0</v>
      </c>
      <c r="AG119" s="30">
        <f t="shared" si="4"/>
        <v>2.7827157607677343E-4</v>
      </c>
      <c r="AH119" s="30">
        <f t="shared" si="5"/>
        <v>0</v>
      </c>
      <c r="AI119" s="30">
        <f t="shared" si="6"/>
        <v>5.2373283771984568E-3</v>
      </c>
    </row>
    <row r="120" spans="2:35" ht="15.75" thickBot="1" x14ac:dyDescent="0.2">
      <c r="B120" t="s">
        <v>134</v>
      </c>
      <c r="C120" s="22">
        <f>VLOOKUP(B120,[1]SYS!$F$5:$G$360,2,FALSE)</f>
        <v>115</v>
      </c>
      <c r="D120" s="34" t="str">
        <f>VLOOKUP(C120,[1]SYS!$G$5:$H$360,2,FALSE)</f>
        <v>上尾変電所</v>
      </c>
      <c r="E120" s="37">
        <v>0</v>
      </c>
      <c r="F120" s="26">
        <v>0</v>
      </c>
      <c r="G120" s="35">
        <v>0</v>
      </c>
      <c r="H120" s="26">
        <v>0</v>
      </c>
      <c r="I120" s="26">
        <v>0</v>
      </c>
      <c r="J120" s="26">
        <v>0</v>
      </c>
      <c r="K120" s="26">
        <v>0</v>
      </c>
      <c r="L120" s="26">
        <v>0</v>
      </c>
      <c r="M120" s="63">
        <v>0</v>
      </c>
      <c r="N120" s="37">
        <v>0</v>
      </c>
      <c r="O120" s="26">
        <v>0</v>
      </c>
      <c r="P120" s="50">
        <v>0</v>
      </c>
      <c r="Q120" s="26">
        <v>0</v>
      </c>
      <c r="R120" s="26">
        <v>0</v>
      </c>
      <c r="S120" s="26">
        <v>0</v>
      </c>
      <c r="T120" s="26">
        <v>0</v>
      </c>
      <c r="U120" s="26">
        <v>0</v>
      </c>
      <c r="V120" s="27">
        <v>0</v>
      </c>
      <c r="W120" s="68">
        <v>0</v>
      </c>
      <c r="X120" s="30">
        <v>0</v>
      </c>
      <c r="Y120" s="1">
        <v>7.2550500030985161E-3</v>
      </c>
      <c r="Z120" s="30">
        <v>0</v>
      </c>
      <c r="AA120" s="30">
        <v>0</v>
      </c>
      <c r="AB120" s="30">
        <v>0</v>
      </c>
      <c r="AC120" s="30">
        <v>0</v>
      </c>
      <c r="AD120" s="30">
        <v>0</v>
      </c>
      <c r="AE120" s="25">
        <v>0</v>
      </c>
      <c r="AG120" s="30">
        <f t="shared" si="4"/>
        <v>0</v>
      </c>
      <c r="AH120" s="30">
        <f t="shared" si="5"/>
        <v>0</v>
      </c>
      <c r="AI120" s="30">
        <f t="shared" si="6"/>
        <v>7.2550500030985161E-3</v>
      </c>
    </row>
    <row r="121" spans="2:35" ht="15.75" thickBot="1" x14ac:dyDescent="0.2">
      <c r="B121" t="s">
        <v>135</v>
      </c>
      <c r="C121" s="22">
        <f>VLOOKUP(B121,[1]SYS!$F$5:$G$360,2,FALSE)</f>
        <v>116</v>
      </c>
      <c r="D121" s="34" t="str">
        <f>VLOOKUP(C121,[1]SYS!$G$5:$H$360,2,FALSE)</f>
        <v>北与野変電所</v>
      </c>
      <c r="E121" s="37">
        <v>0</v>
      </c>
      <c r="F121" s="26">
        <v>0</v>
      </c>
      <c r="G121" s="35">
        <v>0</v>
      </c>
      <c r="H121" s="26">
        <v>0</v>
      </c>
      <c r="I121" s="26">
        <v>0</v>
      </c>
      <c r="J121" s="26">
        <v>0</v>
      </c>
      <c r="K121" s="26">
        <v>0</v>
      </c>
      <c r="L121" s="26">
        <v>0</v>
      </c>
      <c r="M121" s="63">
        <v>0</v>
      </c>
      <c r="N121" s="37">
        <v>0</v>
      </c>
      <c r="O121" s="26">
        <v>0</v>
      </c>
      <c r="P121" s="50">
        <v>0</v>
      </c>
      <c r="Q121" s="26">
        <v>0</v>
      </c>
      <c r="R121" s="26">
        <v>0</v>
      </c>
      <c r="S121" s="26">
        <v>0</v>
      </c>
      <c r="T121" s="26">
        <v>0</v>
      </c>
      <c r="U121" s="26">
        <v>0</v>
      </c>
      <c r="V121" s="27">
        <v>0</v>
      </c>
      <c r="W121" s="68">
        <v>0</v>
      </c>
      <c r="X121" s="30">
        <v>0</v>
      </c>
      <c r="Y121" s="1">
        <v>5.9374140762086637E-3</v>
      </c>
      <c r="Z121" s="30">
        <v>0</v>
      </c>
      <c r="AA121" s="30">
        <v>0</v>
      </c>
      <c r="AB121" s="30">
        <v>0</v>
      </c>
      <c r="AC121" s="30">
        <v>0</v>
      </c>
      <c r="AD121" s="30">
        <v>0</v>
      </c>
      <c r="AE121" s="25">
        <v>0</v>
      </c>
      <c r="AG121" s="30">
        <f t="shared" si="4"/>
        <v>0</v>
      </c>
      <c r="AH121" s="30">
        <f t="shared" si="5"/>
        <v>0</v>
      </c>
      <c r="AI121" s="30">
        <f t="shared" si="6"/>
        <v>5.9374140762086637E-3</v>
      </c>
    </row>
    <row r="122" spans="2:35" ht="15.75" thickBot="1" x14ac:dyDescent="0.2">
      <c r="B122" t="s">
        <v>136</v>
      </c>
      <c r="C122" s="22">
        <f>VLOOKUP(B122,[1]SYS!$F$5:$G$360,2,FALSE)</f>
        <v>117</v>
      </c>
      <c r="D122" s="34" t="str">
        <f>VLOOKUP(C122,[1]SYS!$G$5:$H$360,2,FALSE)</f>
        <v>西越谷変電所</v>
      </c>
      <c r="E122" s="37">
        <v>0</v>
      </c>
      <c r="F122" s="26">
        <v>0</v>
      </c>
      <c r="G122" s="35">
        <v>0</v>
      </c>
      <c r="H122" s="26">
        <v>0</v>
      </c>
      <c r="I122" s="26">
        <v>0</v>
      </c>
      <c r="J122" s="26">
        <v>0</v>
      </c>
      <c r="K122" s="26">
        <v>0</v>
      </c>
      <c r="L122" s="26">
        <v>0</v>
      </c>
      <c r="M122" s="63">
        <v>0</v>
      </c>
      <c r="N122" s="37">
        <v>0</v>
      </c>
      <c r="O122" s="26">
        <v>0</v>
      </c>
      <c r="P122" s="50">
        <v>0</v>
      </c>
      <c r="Q122" s="26">
        <v>0</v>
      </c>
      <c r="R122" s="26">
        <v>0</v>
      </c>
      <c r="S122" s="26">
        <v>0</v>
      </c>
      <c r="T122" s="26">
        <v>0</v>
      </c>
      <c r="U122" s="26">
        <v>0</v>
      </c>
      <c r="V122" s="27">
        <v>0</v>
      </c>
      <c r="W122" s="68">
        <v>0</v>
      </c>
      <c r="X122" s="30">
        <v>0</v>
      </c>
      <c r="Y122" s="1">
        <v>8.0901119606415373E-3</v>
      </c>
      <c r="Z122" s="30">
        <v>0</v>
      </c>
      <c r="AA122" s="30">
        <v>0</v>
      </c>
      <c r="AB122" s="30">
        <v>0</v>
      </c>
      <c r="AC122" s="30">
        <v>0</v>
      </c>
      <c r="AD122" s="30">
        <v>0</v>
      </c>
      <c r="AE122" s="25">
        <v>0</v>
      </c>
      <c r="AG122" s="30">
        <f t="shared" si="4"/>
        <v>0</v>
      </c>
      <c r="AH122" s="30">
        <f t="shared" si="5"/>
        <v>0</v>
      </c>
      <c r="AI122" s="30">
        <f t="shared" si="6"/>
        <v>8.0901119606415373E-3</v>
      </c>
    </row>
    <row r="123" spans="2:35" ht="15.75" thickBot="1" x14ac:dyDescent="0.2">
      <c r="B123" t="s">
        <v>137</v>
      </c>
      <c r="C123" s="22">
        <f>VLOOKUP(B123,[1]SYS!$F$5:$G$360,2,FALSE)</f>
        <v>118</v>
      </c>
      <c r="D123" s="34" t="str">
        <f>VLOOKUP(C123,[1]SYS!$G$5:$H$360,2,FALSE)</f>
        <v>京北変電所</v>
      </c>
      <c r="E123" s="37">
        <v>0</v>
      </c>
      <c r="F123" s="26">
        <v>0</v>
      </c>
      <c r="G123" s="35">
        <v>0</v>
      </c>
      <c r="H123" s="26">
        <v>0</v>
      </c>
      <c r="I123" s="26">
        <v>0</v>
      </c>
      <c r="J123" s="26">
        <v>0</v>
      </c>
      <c r="K123" s="26">
        <v>0</v>
      </c>
      <c r="L123" s="26">
        <v>0</v>
      </c>
      <c r="M123" s="63">
        <v>0</v>
      </c>
      <c r="N123" s="37">
        <v>0</v>
      </c>
      <c r="O123" s="26">
        <v>0</v>
      </c>
      <c r="P123" s="50">
        <v>0</v>
      </c>
      <c r="Q123" s="26">
        <v>0</v>
      </c>
      <c r="R123" s="26">
        <v>0</v>
      </c>
      <c r="S123" s="26">
        <v>0</v>
      </c>
      <c r="T123" s="26">
        <v>0</v>
      </c>
      <c r="U123" s="26">
        <v>0</v>
      </c>
      <c r="V123" s="27">
        <v>0</v>
      </c>
      <c r="W123" s="68">
        <v>0</v>
      </c>
      <c r="X123" s="30">
        <v>0</v>
      </c>
      <c r="Y123" s="1">
        <v>7.0054941516038954E-3</v>
      </c>
      <c r="Z123" s="30">
        <v>0</v>
      </c>
      <c r="AA123" s="30">
        <v>0</v>
      </c>
      <c r="AB123" s="30">
        <v>0</v>
      </c>
      <c r="AC123" s="30">
        <v>0</v>
      </c>
      <c r="AD123" s="30">
        <v>0</v>
      </c>
      <c r="AE123" s="25">
        <v>0</v>
      </c>
      <c r="AG123" s="30">
        <f t="shared" si="4"/>
        <v>0</v>
      </c>
      <c r="AH123" s="30">
        <f t="shared" si="5"/>
        <v>0</v>
      </c>
      <c r="AI123" s="30">
        <f t="shared" si="6"/>
        <v>7.0054941516038954E-3</v>
      </c>
    </row>
    <row r="124" spans="2:35" ht="15.75" thickBot="1" x14ac:dyDescent="0.2">
      <c r="B124" t="s">
        <v>138</v>
      </c>
      <c r="C124" s="22">
        <f>VLOOKUP(B124,[1]SYS!$F$5:$G$360,2,FALSE)</f>
        <v>119</v>
      </c>
      <c r="D124" s="34" t="str">
        <f>VLOOKUP(C124,[1]SYS!$G$5:$H$360,2,FALSE)</f>
        <v>東内幸町変電所</v>
      </c>
      <c r="E124" s="37">
        <v>0</v>
      </c>
      <c r="F124" s="26">
        <v>0</v>
      </c>
      <c r="G124" s="35">
        <v>0</v>
      </c>
      <c r="H124" s="26">
        <v>0</v>
      </c>
      <c r="I124" s="26">
        <v>0</v>
      </c>
      <c r="J124" s="26">
        <v>0</v>
      </c>
      <c r="K124" s="26">
        <v>0</v>
      </c>
      <c r="L124" s="26">
        <v>0</v>
      </c>
      <c r="M124" s="63">
        <v>0</v>
      </c>
      <c r="N124" s="37">
        <v>0</v>
      </c>
      <c r="O124" s="26">
        <v>0</v>
      </c>
      <c r="P124" s="50">
        <v>0</v>
      </c>
      <c r="Q124" s="26">
        <v>0</v>
      </c>
      <c r="R124" s="26">
        <v>0</v>
      </c>
      <c r="S124" s="26">
        <v>0</v>
      </c>
      <c r="T124" s="26">
        <v>0</v>
      </c>
      <c r="U124" s="26">
        <v>0</v>
      </c>
      <c r="V124" s="27">
        <v>0</v>
      </c>
      <c r="W124" s="68">
        <v>0</v>
      </c>
      <c r="X124" s="30">
        <v>0</v>
      </c>
      <c r="Y124" s="1">
        <v>8.962421004158995E-5</v>
      </c>
      <c r="Z124" s="30">
        <v>0</v>
      </c>
      <c r="AA124" s="30">
        <v>0</v>
      </c>
      <c r="AB124" s="30">
        <v>0</v>
      </c>
      <c r="AC124" s="30">
        <v>0</v>
      </c>
      <c r="AD124" s="30">
        <v>0</v>
      </c>
      <c r="AE124" s="25">
        <v>0</v>
      </c>
      <c r="AG124" s="30">
        <f t="shared" si="4"/>
        <v>0</v>
      </c>
      <c r="AH124" s="30">
        <f t="shared" si="5"/>
        <v>0</v>
      </c>
      <c r="AI124" s="30">
        <f t="shared" si="6"/>
        <v>8.962421004158995E-5</v>
      </c>
    </row>
    <row r="125" spans="2:35" ht="15.75" thickBot="1" x14ac:dyDescent="0.2">
      <c r="B125" t="s">
        <v>139</v>
      </c>
      <c r="C125" s="22">
        <f>VLOOKUP(B125,[1]SYS!$F$5:$G$360,2,FALSE)</f>
        <v>120</v>
      </c>
      <c r="D125" s="34" t="str">
        <f>VLOOKUP(C125,[1]SYS!$G$5:$H$360,2,FALSE)</f>
        <v>高輪変電所</v>
      </c>
      <c r="E125" s="37">
        <v>0</v>
      </c>
      <c r="F125" s="26">
        <v>0</v>
      </c>
      <c r="G125" s="35">
        <v>0</v>
      </c>
      <c r="H125" s="26">
        <v>0</v>
      </c>
      <c r="I125" s="26">
        <v>0</v>
      </c>
      <c r="J125" s="26">
        <v>0</v>
      </c>
      <c r="K125" s="26">
        <v>0</v>
      </c>
      <c r="L125" s="26">
        <v>0</v>
      </c>
      <c r="M125" s="63">
        <v>0</v>
      </c>
      <c r="N125" s="37">
        <v>0</v>
      </c>
      <c r="O125" s="26">
        <v>0</v>
      </c>
      <c r="P125" s="50">
        <v>0</v>
      </c>
      <c r="Q125" s="26">
        <v>0</v>
      </c>
      <c r="R125" s="26">
        <v>0</v>
      </c>
      <c r="S125" s="26">
        <v>0</v>
      </c>
      <c r="T125" s="26">
        <v>0</v>
      </c>
      <c r="U125" s="26">
        <v>0</v>
      </c>
      <c r="V125" s="27">
        <v>0</v>
      </c>
      <c r="W125" s="68">
        <v>0</v>
      </c>
      <c r="X125" s="30">
        <v>0</v>
      </c>
      <c r="Y125" s="1">
        <v>9.0520896367904066E-4</v>
      </c>
      <c r="Z125" s="30">
        <v>0</v>
      </c>
      <c r="AA125" s="30">
        <v>0</v>
      </c>
      <c r="AB125" s="30">
        <v>0</v>
      </c>
      <c r="AC125" s="30">
        <v>0</v>
      </c>
      <c r="AD125" s="30">
        <v>0</v>
      </c>
      <c r="AE125" s="25">
        <v>0</v>
      </c>
      <c r="AG125" s="30">
        <f t="shared" si="4"/>
        <v>0</v>
      </c>
      <c r="AH125" s="30">
        <f t="shared" si="5"/>
        <v>0</v>
      </c>
      <c r="AI125" s="30">
        <f t="shared" si="6"/>
        <v>9.0520896367904066E-4</v>
      </c>
    </row>
    <row r="126" spans="2:35" ht="15.75" thickBot="1" x14ac:dyDescent="0.2">
      <c r="B126" t="s">
        <v>140</v>
      </c>
      <c r="C126" s="22">
        <f>VLOOKUP(B126,[1]SYS!$F$5:$G$360,2,FALSE)</f>
        <v>121</v>
      </c>
      <c r="D126" s="34" t="str">
        <f>VLOOKUP(C126,[1]SYS!$G$5:$H$360,2,FALSE)</f>
        <v>上野変電所</v>
      </c>
      <c r="E126" s="37">
        <v>0</v>
      </c>
      <c r="F126" s="26">
        <v>0</v>
      </c>
      <c r="G126" s="35">
        <v>0</v>
      </c>
      <c r="H126" s="26">
        <v>0</v>
      </c>
      <c r="I126" s="26">
        <v>0</v>
      </c>
      <c r="J126" s="26">
        <v>0</v>
      </c>
      <c r="K126" s="26">
        <v>0</v>
      </c>
      <c r="L126" s="26">
        <v>0</v>
      </c>
      <c r="M126" s="63">
        <v>0</v>
      </c>
      <c r="N126" s="37">
        <v>0</v>
      </c>
      <c r="O126" s="26">
        <v>0</v>
      </c>
      <c r="P126" s="50">
        <v>0</v>
      </c>
      <c r="Q126" s="26">
        <v>0</v>
      </c>
      <c r="R126" s="26">
        <v>0</v>
      </c>
      <c r="S126" s="26">
        <v>0</v>
      </c>
      <c r="T126" s="26">
        <v>0</v>
      </c>
      <c r="U126" s="26">
        <v>0</v>
      </c>
      <c r="V126" s="27">
        <v>0</v>
      </c>
      <c r="W126" s="68">
        <v>0</v>
      </c>
      <c r="X126" s="30">
        <v>0</v>
      </c>
      <c r="Y126" s="1">
        <v>2.1802125316778952E-3</v>
      </c>
      <c r="Z126" s="30">
        <v>0</v>
      </c>
      <c r="AA126" s="30">
        <v>0</v>
      </c>
      <c r="AB126" s="30">
        <v>0</v>
      </c>
      <c r="AC126" s="30">
        <v>0</v>
      </c>
      <c r="AD126" s="30">
        <v>0</v>
      </c>
      <c r="AE126" s="25">
        <v>0</v>
      </c>
      <c r="AG126" s="30">
        <f t="shared" si="4"/>
        <v>0</v>
      </c>
      <c r="AH126" s="30">
        <f t="shared" si="5"/>
        <v>0</v>
      </c>
      <c r="AI126" s="30">
        <f t="shared" si="6"/>
        <v>2.1802125316778952E-3</v>
      </c>
    </row>
    <row r="127" spans="2:35" ht="15.75" thickBot="1" x14ac:dyDescent="0.2">
      <c r="B127" t="s">
        <v>141</v>
      </c>
      <c r="C127" s="22">
        <f>VLOOKUP(B127,[1]SYS!$F$5:$G$360,2,FALSE)</f>
        <v>122</v>
      </c>
      <c r="D127" s="34" t="str">
        <f>VLOOKUP(C127,[1]SYS!$G$5:$H$360,2,FALSE)</f>
        <v>永代橋変電所</v>
      </c>
      <c r="E127" s="37">
        <v>0</v>
      </c>
      <c r="F127" s="26">
        <v>0</v>
      </c>
      <c r="G127" s="35">
        <v>0</v>
      </c>
      <c r="H127" s="26">
        <v>0</v>
      </c>
      <c r="I127" s="26">
        <v>0</v>
      </c>
      <c r="J127" s="26">
        <v>0</v>
      </c>
      <c r="K127" s="26">
        <v>0</v>
      </c>
      <c r="L127" s="26">
        <v>0</v>
      </c>
      <c r="M127" s="63">
        <v>0</v>
      </c>
      <c r="N127" s="37">
        <v>0</v>
      </c>
      <c r="O127" s="26">
        <v>0</v>
      </c>
      <c r="P127" s="50">
        <v>0</v>
      </c>
      <c r="Q127" s="26">
        <v>0</v>
      </c>
      <c r="R127" s="26">
        <v>0</v>
      </c>
      <c r="S127" s="26">
        <v>0</v>
      </c>
      <c r="T127" s="26">
        <v>0</v>
      </c>
      <c r="U127" s="26">
        <v>0</v>
      </c>
      <c r="V127" s="27">
        <v>0</v>
      </c>
      <c r="W127" s="68">
        <v>0</v>
      </c>
      <c r="X127" s="30">
        <v>0</v>
      </c>
      <c r="Y127" s="1">
        <v>2.0088273104276532E-4</v>
      </c>
      <c r="Z127" s="30">
        <v>0</v>
      </c>
      <c r="AA127" s="30">
        <v>0</v>
      </c>
      <c r="AB127" s="30">
        <v>0</v>
      </c>
      <c r="AC127" s="30">
        <v>0</v>
      </c>
      <c r="AD127" s="30">
        <v>0</v>
      </c>
      <c r="AE127" s="25">
        <v>0</v>
      </c>
      <c r="AG127" s="30">
        <f t="shared" si="4"/>
        <v>0</v>
      </c>
      <c r="AH127" s="30">
        <f t="shared" si="5"/>
        <v>0</v>
      </c>
      <c r="AI127" s="30">
        <f t="shared" si="6"/>
        <v>2.0088273104276532E-4</v>
      </c>
    </row>
    <row r="128" spans="2:35" ht="15.75" thickBot="1" x14ac:dyDescent="0.2">
      <c r="B128" t="s">
        <v>142</v>
      </c>
      <c r="C128" s="22">
        <f>VLOOKUP(B128,[1]SYS!$F$5:$G$360,2,FALSE)</f>
        <v>123</v>
      </c>
      <c r="D128" s="34" t="str">
        <f>VLOOKUP(C128,[1]SYS!$G$5:$H$360,2,FALSE)</f>
        <v>新豊洲変電所</v>
      </c>
      <c r="E128" s="37">
        <v>0</v>
      </c>
      <c r="F128" s="26">
        <v>0</v>
      </c>
      <c r="G128" s="35">
        <v>0</v>
      </c>
      <c r="H128" s="26">
        <v>0</v>
      </c>
      <c r="I128" s="26">
        <v>0</v>
      </c>
      <c r="J128" s="26">
        <v>0</v>
      </c>
      <c r="K128" s="26">
        <v>0</v>
      </c>
      <c r="L128" s="26">
        <v>0</v>
      </c>
      <c r="M128" s="63">
        <v>0</v>
      </c>
      <c r="N128" s="37">
        <v>0</v>
      </c>
      <c r="O128" s="26">
        <v>0</v>
      </c>
      <c r="P128" s="50">
        <v>0</v>
      </c>
      <c r="Q128" s="26">
        <v>0</v>
      </c>
      <c r="R128" s="26">
        <v>0</v>
      </c>
      <c r="S128" s="26">
        <v>0</v>
      </c>
      <c r="T128" s="26">
        <v>0</v>
      </c>
      <c r="U128" s="26">
        <v>0</v>
      </c>
      <c r="V128" s="27">
        <v>0</v>
      </c>
      <c r="W128" s="68">
        <v>0</v>
      </c>
      <c r="X128" s="30">
        <v>0</v>
      </c>
      <c r="Y128" s="1">
        <v>4.0332960463375199E-4</v>
      </c>
      <c r="Z128" s="30">
        <v>0</v>
      </c>
      <c r="AA128" s="30">
        <v>0</v>
      </c>
      <c r="AB128" s="30">
        <v>0</v>
      </c>
      <c r="AC128" s="30">
        <v>0</v>
      </c>
      <c r="AD128" s="30">
        <v>0</v>
      </c>
      <c r="AE128" s="25">
        <v>0</v>
      </c>
      <c r="AG128" s="30">
        <f t="shared" si="4"/>
        <v>0</v>
      </c>
      <c r="AH128" s="30">
        <f t="shared" si="5"/>
        <v>0</v>
      </c>
      <c r="AI128" s="30">
        <f t="shared" si="6"/>
        <v>4.0332960463375199E-4</v>
      </c>
    </row>
    <row r="129" spans="2:35" ht="15.75" thickBot="1" x14ac:dyDescent="0.2">
      <c r="B129" t="s">
        <v>143</v>
      </c>
      <c r="C129" s="22">
        <f>VLOOKUP(B129,[1]SYS!$F$5:$G$360,2,FALSE)</f>
        <v>124</v>
      </c>
      <c r="D129" s="34" t="str">
        <f>VLOOKUP(C129,[1]SYS!$G$5:$H$360,2,FALSE)</f>
        <v>江東変電所</v>
      </c>
      <c r="E129" s="37">
        <v>0</v>
      </c>
      <c r="F129" s="26">
        <v>0</v>
      </c>
      <c r="G129" s="35">
        <v>0</v>
      </c>
      <c r="H129" s="26">
        <v>0</v>
      </c>
      <c r="I129" s="26">
        <v>0</v>
      </c>
      <c r="J129" s="26">
        <v>0</v>
      </c>
      <c r="K129" s="26">
        <v>0</v>
      </c>
      <c r="L129" s="26">
        <v>0</v>
      </c>
      <c r="M129" s="63">
        <v>0</v>
      </c>
      <c r="N129" s="37">
        <v>0</v>
      </c>
      <c r="O129" s="26">
        <v>0</v>
      </c>
      <c r="P129" s="50">
        <v>0</v>
      </c>
      <c r="Q129" s="26">
        <v>0</v>
      </c>
      <c r="R129" s="26">
        <v>0</v>
      </c>
      <c r="S129" s="26">
        <v>0</v>
      </c>
      <c r="T129" s="26">
        <v>0</v>
      </c>
      <c r="U129" s="26">
        <v>0</v>
      </c>
      <c r="V129" s="27">
        <v>0</v>
      </c>
      <c r="W129" s="68">
        <v>0</v>
      </c>
      <c r="X129" s="30">
        <v>0</v>
      </c>
      <c r="Y129" s="1">
        <v>2.010481999965812E-4</v>
      </c>
      <c r="Z129" s="30">
        <v>0</v>
      </c>
      <c r="AA129" s="30">
        <v>0</v>
      </c>
      <c r="AB129" s="30">
        <v>0</v>
      </c>
      <c r="AC129" s="30">
        <v>0</v>
      </c>
      <c r="AD129" s="30">
        <v>0</v>
      </c>
      <c r="AE129" s="25">
        <v>0</v>
      </c>
      <c r="AG129" s="30">
        <f t="shared" si="4"/>
        <v>0</v>
      </c>
      <c r="AH129" s="30">
        <f t="shared" si="5"/>
        <v>0</v>
      </c>
      <c r="AI129" s="30">
        <f t="shared" si="6"/>
        <v>2.010481999965812E-4</v>
      </c>
    </row>
    <row r="130" spans="2:35" ht="15.75" thickBot="1" x14ac:dyDescent="0.2">
      <c r="B130" t="s">
        <v>144</v>
      </c>
      <c r="C130" s="22">
        <f>VLOOKUP(B130,[1]SYS!$F$5:$G$360,2,FALSE)</f>
        <v>125</v>
      </c>
      <c r="D130" s="34" t="str">
        <f>VLOOKUP(C130,[1]SYS!$G$5:$H$360,2,FALSE)</f>
        <v>葛南変電所</v>
      </c>
      <c r="E130" s="37">
        <v>0</v>
      </c>
      <c r="F130" s="26">
        <v>0</v>
      </c>
      <c r="G130" s="35">
        <v>0</v>
      </c>
      <c r="H130" s="26">
        <v>0</v>
      </c>
      <c r="I130" s="26">
        <v>0</v>
      </c>
      <c r="J130" s="26">
        <v>0</v>
      </c>
      <c r="K130" s="26">
        <v>0</v>
      </c>
      <c r="L130" s="26">
        <v>0</v>
      </c>
      <c r="M130" s="63">
        <v>0</v>
      </c>
      <c r="N130" s="37">
        <v>0</v>
      </c>
      <c r="O130" s="26">
        <v>0</v>
      </c>
      <c r="P130" s="50">
        <v>0</v>
      </c>
      <c r="Q130" s="26">
        <v>0</v>
      </c>
      <c r="R130" s="26">
        <v>0</v>
      </c>
      <c r="S130" s="26">
        <v>0</v>
      </c>
      <c r="T130" s="26">
        <v>0</v>
      </c>
      <c r="U130" s="26">
        <v>0</v>
      </c>
      <c r="V130" s="27">
        <v>0</v>
      </c>
      <c r="W130" s="68">
        <v>0</v>
      </c>
      <c r="X130" s="30">
        <v>0</v>
      </c>
      <c r="Y130" s="1">
        <v>1.1288026141153078E-3</v>
      </c>
      <c r="Z130" s="30">
        <v>0</v>
      </c>
      <c r="AA130" s="30">
        <v>0</v>
      </c>
      <c r="AB130" s="30">
        <v>0</v>
      </c>
      <c r="AC130" s="30">
        <v>0</v>
      </c>
      <c r="AD130" s="30">
        <v>0</v>
      </c>
      <c r="AE130" s="25">
        <v>0</v>
      </c>
      <c r="AG130" s="30">
        <f t="shared" si="4"/>
        <v>0</v>
      </c>
      <c r="AH130" s="30">
        <f t="shared" si="5"/>
        <v>0</v>
      </c>
      <c r="AI130" s="30">
        <f t="shared" si="6"/>
        <v>1.1288026141153078E-3</v>
      </c>
    </row>
    <row r="131" spans="2:35" ht="15.75" thickBot="1" x14ac:dyDescent="0.2">
      <c r="B131" t="s">
        <v>145</v>
      </c>
      <c r="C131" s="22">
        <f>VLOOKUP(B131,[1]SYS!$F$5:$G$360,2,FALSE)</f>
        <v>126</v>
      </c>
      <c r="D131" s="34" t="str">
        <f>VLOOKUP(C131,[1]SYS!$G$5:$H$360,2,FALSE)</f>
        <v>世田谷変電所</v>
      </c>
      <c r="E131" s="37">
        <v>0</v>
      </c>
      <c r="F131" s="26">
        <v>0</v>
      </c>
      <c r="G131" s="35">
        <v>0</v>
      </c>
      <c r="H131" s="26">
        <v>0</v>
      </c>
      <c r="I131" s="26">
        <v>0</v>
      </c>
      <c r="J131" s="26">
        <v>0</v>
      </c>
      <c r="K131" s="26">
        <v>0</v>
      </c>
      <c r="L131" s="26">
        <v>0</v>
      </c>
      <c r="M131" s="63">
        <v>0</v>
      </c>
      <c r="N131" s="37">
        <v>0</v>
      </c>
      <c r="O131" s="26">
        <v>0</v>
      </c>
      <c r="P131" s="50">
        <v>0</v>
      </c>
      <c r="Q131" s="26">
        <v>0</v>
      </c>
      <c r="R131" s="26">
        <v>0</v>
      </c>
      <c r="S131" s="26">
        <v>0</v>
      </c>
      <c r="T131" s="26">
        <v>0</v>
      </c>
      <c r="U131" s="26">
        <v>0</v>
      </c>
      <c r="V131" s="27">
        <v>0</v>
      </c>
      <c r="W131" s="68">
        <v>0</v>
      </c>
      <c r="X131" s="30">
        <v>0</v>
      </c>
      <c r="Y131" s="1">
        <v>5.2862928894610141E-3</v>
      </c>
      <c r="Z131" s="30">
        <v>0</v>
      </c>
      <c r="AA131" s="30">
        <v>0</v>
      </c>
      <c r="AB131" s="30">
        <v>0</v>
      </c>
      <c r="AC131" s="30">
        <v>0</v>
      </c>
      <c r="AD131" s="30">
        <v>0</v>
      </c>
      <c r="AE131" s="25">
        <v>0</v>
      </c>
      <c r="AG131" s="30">
        <f t="shared" si="4"/>
        <v>0</v>
      </c>
      <c r="AH131" s="30">
        <f t="shared" si="5"/>
        <v>0</v>
      </c>
      <c r="AI131" s="30">
        <f t="shared" si="6"/>
        <v>5.2862928894610141E-3</v>
      </c>
    </row>
    <row r="132" spans="2:35" ht="15.75" thickBot="1" x14ac:dyDescent="0.2">
      <c r="B132" t="s">
        <v>146</v>
      </c>
      <c r="C132" s="22">
        <f>VLOOKUP(B132,[1]SYS!$F$5:$G$360,2,FALSE)</f>
        <v>127</v>
      </c>
      <c r="D132" s="34" t="str">
        <f>VLOOKUP(C132,[1]SYS!$G$5:$H$360,2,FALSE)</f>
        <v>荏田変電所</v>
      </c>
      <c r="E132" s="37">
        <v>0</v>
      </c>
      <c r="F132" s="26">
        <v>0</v>
      </c>
      <c r="G132" s="35">
        <v>8.0096288858056029E-7</v>
      </c>
      <c r="H132" s="26">
        <v>0</v>
      </c>
      <c r="I132" s="26">
        <v>0</v>
      </c>
      <c r="J132" s="26">
        <v>0</v>
      </c>
      <c r="K132" s="26">
        <v>0</v>
      </c>
      <c r="L132" s="26">
        <v>0</v>
      </c>
      <c r="M132" s="63">
        <v>0</v>
      </c>
      <c r="N132" s="37">
        <v>0</v>
      </c>
      <c r="O132" s="26">
        <v>0</v>
      </c>
      <c r="P132" s="50">
        <v>0</v>
      </c>
      <c r="Q132" s="26">
        <v>0</v>
      </c>
      <c r="R132" s="26">
        <v>0</v>
      </c>
      <c r="S132" s="26">
        <v>0</v>
      </c>
      <c r="T132" s="26">
        <v>0</v>
      </c>
      <c r="U132" s="26">
        <v>0</v>
      </c>
      <c r="V132" s="27">
        <v>0</v>
      </c>
      <c r="W132" s="68">
        <v>0</v>
      </c>
      <c r="X132" s="30">
        <v>0</v>
      </c>
      <c r="Y132" s="1">
        <v>1.6470841264985634E-3</v>
      </c>
      <c r="Z132" s="30">
        <v>0</v>
      </c>
      <c r="AA132" s="30">
        <v>0</v>
      </c>
      <c r="AB132" s="30">
        <v>0</v>
      </c>
      <c r="AC132" s="30">
        <v>0</v>
      </c>
      <c r="AD132" s="30">
        <v>0</v>
      </c>
      <c r="AE132" s="25">
        <v>0</v>
      </c>
      <c r="AG132" s="30">
        <f t="shared" ref="AG132:AG195" si="7">SUM(E132:M132)</f>
        <v>8.0096288858056029E-7</v>
      </c>
      <c r="AH132" s="30">
        <f t="shared" si="5"/>
        <v>0</v>
      </c>
      <c r="AI132" s="30">
        <f t="shared" si="6"/>
        <v>1.6470841264985634E-3</v>
      </c>
    </row>
    <row r="133" spans="2:35" ht="15.75" thickBot="1" x14ac:dyDescent="0.2">
      <c r="B133" t="s">
        <v>147</v>
      </c>
      <c r="C133" s="22">
        <f>VLOOKUP(B133,[1]SYS!$F$5:$G$360,2,FALSE)</f>
        <v>128</v>
      </c>
      <c r="D133" s="34" t="str">
        <f>VLOOKUP(C133,[1]SYS!$G$5:$H$360,2,FALSE)</f>
        <v>東京中線</v>
      </c>
      <c r="E133" s="37">
        <v>0</v>
      </c>
      <c r="F133" s="26">
        <v>0</v>
      </c>
      <c r="G133" s="35">
        <v>4.6467208248734881E-5</v>
      </c>
      <c r="H133" s="26">
        <v>0</v>
      </c>
      <c r="I133" s="26">
        <v>0</v>
      </c>
      <c r="J133" s="26">
        <v>0</v>
      </c>
      <c r="K133" s="26">
        <v>0</v>
      </c>
      <c r="L133" s="26">
        <v>0</v>
      </c>
      <c r="M133" s="63">
        <v>0</v>
      </c>
      <c r="N133" s="37">
        <v>0</v>
      </c>
      <c r="O133" s="26">
        <v>0</v>
      </c>
      <c r="P133" s="50">
        <v>0</v>
      </c>
      <c r="Q133" s="26">
        <v>0</v>
      </c>
      <c r="R133" s="26">
        <v>0</v>
      </c>
      <c r="S133" s="26">
        <v>0</v>
      </c>
      <c r="T133" s="26">
        <v>0</v>
      </c>
      <c r="U133" s="26">
        <v>0</v>
      </c>
      <c r="V133" s="27">
        <v>0</v>
      </c>
      <c r="W133" s="68">
        <v>0</v>
      </c>
      <c r="X133" s="30">
        <v>0</v>
      </c>
      <c r="Y133" s="1">
        <v>2.7772184164883633E-2</v>
      </c>
      <c r="Z133" s="30">
        <v>0</v>
      </c>
      <c r="AA133" s="30">
        <v>0</v>
      </c>
      <c r="AB133" s="30">
        <v>0</v>
      </c>
      <c r="AC133" s="30">
        <v>0</v>
      </c>
      <c r="AD133" s="30">
        <v>0</v>
      </c>
      <c r="AE133" s="25">
        <v>0</v>
      </c>
      <c r="AG133" s="30">
        <f t="shared" si="7"/>
        <v>4.6467208248734881E-5</v>
      </c>
      <c r="AH133" s="30">
        <f t="shared" ref="AH133:AH196" si="8">SUM(N133:V133)</f>
        <v>0</v>
      </c>
      <c r="AI133" s="30">
        <f t="shared" si="6"/>
        <v>2.7772184164883633E-2</v>
      </c>
    </row>
    <row r="134" spans="2:35" ht="15.75" thickBot="1" x14ac:dyDescent="0.2">
      <c r="B134" t="s">
        <v>148</v>
      </c>
      <c r="C134" s="22">
        <f>VLOOKUP(B134,[1]SYS!$F$5:$G$360,2,FALSE)</f>
        <v>129</v>
      </c>
      <c r="D134" s="34" t="str">
        <f>VLOOKUP(C134,[1]SYS!$G$5:$H$360,2,FALSE)</f>
        <v>新所沢線</v>
      </c>
      <c r="E134" s="37">
        <v>0</v>
      </c>
      <c r="F134" s="26">
        <v>0</v>
      </c>
      <c r="G134" s="35">
        <v>1.4615253401880068E-4</v>
      </c>
      <c r="H134" s="26">
        <v>0</v>
      </c>
      <c r="I134" s="26">
        <v>0</v>
      </c>
      <c r="J134" s="26">
        <v>0</v>
      </c>
      <c r="K134" s="26">
        <v>0</v>
      </c>
      <c r="L134" s="26">
        <v>0</v>
      </c>
      <c r="M134" s="63">
        <v>0</v>
      </c>
      <c r="N134" s="37">
        <v>0</v>
      </c>
      <c r="O134" s="26">
        <v>0</v>
      </c>
      <c r="P134" s="50">
        <v>0</v>
      </c>
      <c r="Q134" s="26">
        <v>0</v>
      </c>
      <c r="R134" s="26">
        <v>0</v>
      </c>
      <c r="S134" s="26">
        <v>0</v>
      </c>
      <c r="T134" s="26">
        <v>0</v>
      </c>
      <c r="U134" s="26">
        <v>0</v>
      </c>
      <c r="V134" s="27">
        <v>0</v>
      </c>
      <c r="W134" s="68">
        <v>0</v>
      </c>
      <c r="X134" s="30">
        <v>0</v>
      </c>
      <c r="Y134" s="1">
        <v>2.5231741984885446E-3</v>
      </c>
      <c r="Z134" s="30">
        <v>0</v>
      </c>
      <c r="AA134" s="30">
        <v>0</v>
      </c>
      <c r="AB134" s="30">
        <v>0</v>
      </c>
      <c r="AC134" s="30">
        <v>0</v>
      </c>
      <c r="AD134" s="30">
        <v>0</v>
      </c>
      <c r="AE134" s="25">
        <v>0</v>
      </c>
      <c r="AG134" s="30">
        <f t="shared" si="7"/>
        <v>1.4615253401880068E-4</v>
      </c>
      <c r="AH134" s="30">
        <f t="shared" si="8"/>
        <v>0</v>
      </c>
      <c r="AI134" s="30">
        <f t="shared" si="6"/>
        <v>2.5231741984885446E-3</v>
      </c>
    </row>
    <row r="135" spans="2:35" ht="15.75" thickBot="1" x14ac:dyDescent="0.2">
      <c r="B135" t="s">
        <v>149</v>
      </c>
      <c r="C135" s="22">
        <f>VLOOKUP(B135,[1]SYS!$F$5:$G$360,2,FALSE)</f>
        <v>130</v>
      </c>
      <c r="D135" s="34" t="str">
        <f>VLOOKUP(C135,[1]SYS!$G$5:$H$360,2,FALSE)</f>
        <v>港北線</v>
      </c>
      <c r="E135" s="37">
        <v>0</v>
      </c>
      <c r="F135" s="26">
        <v>0</v>
      </c>
      <c r="G135" s="35">
        <v>1.0622002773870639E-4</v>
      </c>
      <c r="H135" s="26">
        <v>0</v>
      </c>
      <c r="I135" s="26">
        <v>0</v>
      </c>
      <c r="J135" s="26">
        <v>0</v>
      </c>
      <c r="K135" s="26">
        <v>0</v>
      </c>
      <c r="L135" s="26">
        <v>0</v>
      </c>
      <c r="M135" s="63">
        <v>0</v>
      </c>
      <c r="N135" s="37">
        <v>0</v>
      </c>
      <c r="O135" s="26">
        <v>0</v>
      </c>
      <c r="P135" s="50">
        <v>0</v>
      </c>
      <c r="Q135" s="26">
        <v>0</v>
      </c>
      <c r="R135" s="26">
        <v>0</v>
      </c>
      <c r="S135" s="26">
        <v>0</v>
      </c>
      <c r="T135" s="26">
        <v>0</v>
      </c>
      <c r="U135" s="26">
        <v>0</v>
      </c>
      <c r="V135" s="27">
        <v>0</v>
      </c>
      <c r="W135" s="68">
        <v>0</v>
      </c>
      <c r="X135" s="30">
        <v>0</v>
      </c>
      <c r="Y135" s="1">
        <v>1.1000387807114979E-3</v>
      </c>
      <c r="Z135" s="30">
        <v>0</v>
      </c>
      <c r="AA135" s="30">
        <v>0</v>
      </c>
      <c r="AB135" s="30">
        <v>0</v>
      </c>
      <c r="AC135" s="30">
        <v>0</v>
      </c>
      <c r="AD135" s="30">
        <v>0</v>
      </c>
      <c r="AE135" s="25">
        <v>0</v>
      </c>
      <c r="AG135" s="30">
        <f t="shared" si="7"/>
        <v>1.0622002773870639E-4</v>
      </c>
      <c r="AH135" s="30">
        <f t="shared" si="8"/>
        <v>0</v>
      </c>
      <c r="AI135" s="30">
        <f t="shared" si="6"/>
        <v>1.1000387807114979E-3</v>
      </c>
    </row>
    <row r="136" spans="2:35" ht="15.75" thickBot="1" x14ac:dyDescent="0.2">
      <c r="B136" t="s">
        <v>150</v>
      </c>
      <c r="C136" s="22">
        <f>VLOOKUP(B136,[1]SYS!$F$5:$G$360,2,FALSE)</f>
        <v>131</v>
      </c>
      <c r="D136" s="34" t="str">
        <f>VLOOKUP(C136,[1]SYS!$G$5:$H$360,2,FALSE)</f>
        <v>江東線</v>
      </c>
      <c r="E136" s="37">
        <v>0</v>
      </c>
      <c r="F136" s="26">
        <v>0</v>
      </c>
      <c r="G136" s="35">
        <v>5.1816373500686569E-5</v>
      </c>
      <c r="H136" s="26">
        <v>0</v>
      </c>
      <c r="I136" s="26">
        <v>0</v>
      </c>
      <c r="J136" s="26">
        <v>0</v>
      </c>
      <c r="K136" s="26">
        <v>0</v>
      </c>
      <c r="L136" s="26">
        <v>0</v>
      </c>
      <c r="M136" s="63">
        <v>0</v>
      </c>
      <c r="N136" s="37">
        <v>0</v>
      </c>
      <c r="O136" s="26">
        <v>0</v>
      </c>
      <c r="P136" s="50">
        <v>0</v>
      </c>
      <c r="Q136" s="26">
        <v>0</v>
      </c>
      <c r="R136" s="26">
        <v>0</v>
      </c>
      <c r="S136" s="26">
        <v>0</v>
      </c>
      <c r="T136" s="26">
        <v>0</v>
      </c>
      <c r="U136" s="26">
        <v>0</v>
      </c>
      <c r="V136" s="27">
        <v>0</v>
      </c>
      <c r="W136" s="68">
        <v>0</v>
      </c>
      <c r="X136" s="30">
        <v>0</v>
      </c>
      <c r="Y136" s="1">
        <v>9.9042524815566059E-3</v>
      </c>
      <c r="Z136" s="30">
        <v>0</v>
      </c>
      <c r="AA136" s="30">
        <v>0</v>
      </c>
      <c r="AB136" s="30">
        <v>0</v>
      </c>
      <c r="AC136" s="30">
        <v>0</v>
      </c>
      <c r="AD136" s="30">
        <v>0</v>
      </c>
      <c r="AE136" s="25">
        <v>0</v>
      </c>
      <c r="AG136" s="30">
        <f t="shared" si="7"/>
        <v>5.1816373500686569E-5</v>
      </c>
      <c r="AH136" s="30">
        <f t="shared" si="8"/>
        <v>0</v>
      </c>
      <c r="AI136" s="30">
        <f t="shared" ref="AI136:AI199" si="9">SUM(W136:AE136)</f>
        <v>9.9042524815566059E-3</v>
      </c>
    </row>
    <row r="137" spans="2:35" ht="15.75" thickBot="1" x14ac:dyDescent="0.2">
      <c r="B137" t="s">
        <v>151</v>
      </c>
      <c r="C137" s="22">
        <f>VLOOKUP(B137,[1]SYS!$F$5:$G$360,2,FALSE)</f>
        <v>132</v>
      </c>
      <c r="D137" s="34" t="str">
        <f>VLOOKUP(C137,[1]SYS!$G$5:$H$360,2,FALSE)</f>
        <v>新信濃変電所</v>
      </c>
      <c r="E137" s="37">
        <v>0</v>
      </c>
      <c r="F137" s="26">
        <v>0</v>
      </c>
      <c r="G137" s="35">
        <v>1.1673818548931359E-5</v>
      </c>
      <c r="H137" s="26">
        <v>0</v>
      </c>
      <c r="I137" s="26">
        <v>0</v>
      </c>
      <c r="J137" s="26">
        <v>0</v>
      </c>
      <c r="K137" s="26">
        <v>0</v>
      </c>
      <c r="L137" s="26">
        <v>0</v>
      </c>
      <c r="M137" s="63">
        <v>0</v>
      </c>
      <c r="N137" s="37">
        <v>0</v>
      </c>
      <c r="O137" s="26">
        <v>0</v>
      </c>
      <c r="P137" s="50">
        <v>0</v>
      </c>
      <c r="Q137" s="26">
        <v>0</v>
      </c>
      <c r="R137" s="26">
        <v>0</v>
      </c>
      <c r="S137" s="26">
        <v>0</v>
      </c>
      <c r="T137" s="26">
        <v>0</v>
      </c>
      <c r="U137" s="26">
        <v>0</v>
      </c>
      <c r="V137" s="27">
        <v>0</v>
      </c>
      <c r="W137" s="68">
        <v>0</v>
      </c>
      <c r="X137" s="30">
        <v>0</v>
      </c>
      <c r="Y137" s="1">
        <v>1.552490697379302E-2</v>
      </c>
      <c r="Z137" s="30">
        <v>0</v>
      </c>
      <c r="AA137" s="30">
        <v>0</v>
      </c>
      <c r="AB137" s="30">
        <v>0</v>
      </c>
      <c r="AC137" s="30">
        <v>0</v>
      </c>
      <c r="AD137" s="30">
        <v>0</v>
      </c>
      <c r="AE137" s="25">
        <v>0</v>
      </c>
      <c r="AG137" s="30">
        <f t="shared" si="7"/>
        <v>1.1673818548931359E-5</v>
      </c>
      <c r="AH137" s="30">
        <f t="shared" si="8"/>
        <v>0</v>
      </c>
      <c r="AI137" s="30">
        <f t="shared" si="9"/>
        <v>1.552490697379302E-2</v>
      </c>
    </row>
    <row r="138" spans="2:35" ht="15.75" thickBot="1" x14ac:dyDescent="0.2">
      <c r="B138" t="s">
        <v>152</v>
      </c>
      <c r="C138" s="22">
        <f>VLOOKUP(B138,[1]SYS!$F$5:$G$360,2,FALSE)</f>
        <v>133</v>
      </c>
      <c r="D138" s="34" t="str">
        <f>VLOOKUP(C138,[1]SYS!$G$5:$H$360,2,FALSE)</f>
        <v>三重開閉所</v>
      </c>
      <c r="E138" s="37">
        <v>0</v>
      </c>
      <c r="F138" s="26">
        <v>0</v>
      </c>
      <c r="G138" s="26">
        <v>0</v>
      </c>
      <c r="H138" s="35">
        <v>1.8603003290007536E-4</v>
      </c>
      <c r="I138" s="26">
        <v>0</v>
      </c>
      <c r="J138" s="26">
        <v>0</v>
      </c>
      <c r="K138" s="26">
        <v>0</v>
      </c>
      <c r="L138" s="26">
        <v>0</v>
      </c>
      <c r="M138" s="63">
        <v>0</v>
      </c>
      <c r="N138" s="37">
        <v>0</v>
      </c>
      <c r="O138" s="26">
        <v>0</v>
      </c>
      <c r="P138" s="26">
        <v>0</v>
      </c>
      <c r="Q138" s="26">
        <v>0</v>
      </c>
      <c r="R138" s="26">
        <v>0</v>
      </c>
      <c r="S138" s="26">
        <v>0</v>
      </c>
      <c r="T138" s="26">
        <v>0</v>
      </c>
      <c r="U138" s="26">
        <v>0</v>
      </c>
      <c r="V138" s="27">
        <v>0</v>
      </c>
      <c r="W138" s="68">
        <v>0</v>
      </c>
      <c r="X138" s="30">
        <v>0</v>
      </c>
      <c r="Y138" s="30">
        <v>0</v>
      </c>
      <c r="Z138" s="1">
        <v>1.0741795629266462E-2</v>
      </c>
      <c r="AA138" s="30">
        <v>0</v>
      </c>
      <c r="AB138" s="30">
        <v>0</v>
      </c>
      <c r="AC138" s="30">
        <v>0</v>
      </c>
      <c r="AD138" s="30">
        <v>0</v>
      </c>
      <c r="AE138" s="25">
        <v>0</v>
      </c>
      <c r="AG138" s="30">
        <f t="shared" si="7"/>
        <v>1.8603003290007536E-4</v>
      </c>
      <c r="AH138" s="30">
        <f t="shared" si="8"/>
        <v>0</v>
      </c>
      <c r="AI138" s="30">
        <f t="shared" si="9"/>
        <v>1.0741795629266462E-2</v>
      </c>
    </row>
    <row r="139" spans="2:35" ht="15.75" thickBot="1" x14ac:dyDescent="0.2">
      <c r="B139" t="s">
        <v>153</v>
      </c>
      <c r="C139" s="22">
        <f>VLOOKUP(B139,[1]SYS!$F$5:$G$360,2,FALSE)</f>
        <v>134</v>
      </c>
      <c r="D139" s="34" t="str">
        <f>VLOOKUP(C139,[1]SYS!$G$5:$H$360,2,FALSE)</f>
        <v>岐阜開閉所</v>
      </c>
      <c r="E139" s="37">
        <v>0</v>
      </c>
      <c r="F139" s="26">
        <v>0</v>
      </c>
      <c r="G139" s="26">
        <v>0</v>
      </c>
      <c r="H139" s="35">
        <v>0</v>
      </c>
      <c r="I139" s="26">
        <v>0</v>
      </c>
      <c r="J139" s="26">
        <v>0</v>
      </c>
      <c r="K139" s="26">
        <v>0</v>
      </c>
      <c r="L139" s="26">
        <v>0</v>
      </c>
      <c r="M139" s="63">
        <v>0</v>
      </c>
      <c r="N139" s="37">
        <v>0</v>
      </c>
      <c r="O139" s="26">
        <v>0</v>
      </c>
      <c r="P139" s="26">
        <v>0</v>
      </c>
      <c r="Q139" s="26">
        <v>0</v>
      </c>
      <c r="R139" s="26">
        <v>0</v>
      </c>
      <c r="S139" s="26">
        <v>0</v>
      </c>
      <c r="T139" s="26">
        <v>0</v>
      </c>
      <c r="U139" s="26">
        <v>0</v>
      </c>
      <c r="V139" s="27">
        <v>0</v>
      </c>
      <c r="W139" s="68">
        <v>0</v>
      </c>
      <c r="X139" s="30">
        <v>0</v>
      </c>
      <c r="Y139" s="30">
        <v>0</v>
      </c>
      <c r="Z139" s="1">
        <v>8.3087433246216199E-3</v>
      </c>
      <c r="AA139" s="30">
        <v>0</v>
      </c>
      <c r="AB139" s="30">
        <v>0</v>
      </c>
      <c r="AC139" s="30">
        <v>0</v>
      </c>
      <c r="AD139" s="30">
        <v>0</v>
      </c>
      <c r="AE139" s="25">
        <v>0</v>
      </c>
      <c r="AG139" s="30">
        <f t="shared" si="7"/>
        <v>0</v>
      </c>
      <c r="AH139" s="30">
        <f t="shared" si="8"/>
        <v>0</v>
      </c>
      <c r="AI139" s="30">
        <f t="shared" si="9"/>
        <v>8.3087433246216199E-3</v>
      </c>
    </row>
    <row r="140" spans="2:35" ht="15.75" thickBot="1" x14ac:dyDescent="0.2">
      <c r="B140" t="s">
        <v>154</v>
      </c>
      <c r="C140" s="22">
        <f>VLOOKUP(B140,[1]SYS!$F$5:$G$360,2,FALSE)</f>
        <v>135</v>
      </c>
      <c r="D140" s="34" t="str">
        <f>VLOOKUP(C140,[1]SYS!$G$5:$H$360,2,FALSE)</f>
        <v>西部変電所</v>
      </c>
      <c r="E140" s="37">
        <v>0</v>
      </c>
      <c r="F140" s="26">
        <v>0</v>
      </c>
      <c r="G140" s="26">
        <v>0</v>
      </c>
      <c r="H140" s="35">
        <v>7.1636595536909518E-3</v>
      </c>
      <c r="I140" s="26">
        <v>0</v>
      </c>
      <c r="J140" s="26">
        <v>0</v>
      </c>
      <c r="K140" s="26">
        <v>0</v>
      </c>
      <c r="L140" s="26">
        <v>0</v>
      </c>
      <c r="M140" s="63">
        <v>0</v>
      </c>
      <c r="N140" s="37">
        <v>0</v>
      </c>
      <c r="O140" s="26">
        <v>0</v>
      </c>
      <c r="P140" s="26">
        <v>0</v>
      </c>
      <c r="Q140" s="26">
        <v>0</v>
      </c>
      <c r="R140" s="26">
        <v>0</v>
      </c>
      <c r="S140" s="26">
        <v>0</v>
      </c>
      <c r="T140" s="26">
        <v>0</v>
      </c>
      <c r="U140" s="26">
        <v>0</v>
      </c>
      <c r="V140" s="27">
        <v>0</v>
      </c>
      <c r="W140" s="68">
        <v>0</v>
      </c>
      <c r="X140" s="30">
        <v>0</v>
      </c>
      <c r="Y140" s="30">
        <v>0</v>
      </c>
      <c r="Z140" s="1">
        <v>9.6860019222376973E-3</v>
      </c>
      <c r="AA140" s="30">
        <v>0</v>
      </c>
      <c r="AB140" s="30">
        <v>0</v>
      </c>
      <c r="AC140" s="30">
        <v>0</v>
      </c>
      <c r="AD140" s="30">
        <v>0</v>
      </c>
      <c r="AE140" s="25">
        <v>0</v>
      </c>
      <c r="AG140" s="30">
        <f t="shared" si="7"/>
        <v>7.1636595536909518E-3</v>
      </c>
      <c r="AH140" s="30">
        <f t="shared" si="8"/>
        <v>0</v>
      </c>
      <c r="AI140" s="30">
        <f t="shared" si="9"/>
        <v>9.6860019222376973E-3</v>
      </c>
    </row>
    <row r="141" spans="2:35" ht="15.75" thickBot="1" x14ac:dyDescent="0.2">
      <c r="B141" t="s">
        <v>155</v>
      </c>
      <c r="C141" s="22">
        <f>VLOOKUP(B141,[1]SYS!$F$5:$G$360,2,FALSE)</f>
        <v>136</v>
      </c>
      <c r="D141" s="34" t="str">
        <f>VLOOKUP(C141,[1]SYS!$G$5:$H$360,2,FALSE)</f>
        <v>北部変電所</v>
      </c>
      <c r="E141" s="37">
        <v>0</v>
      </c>
      <c r="F141" s="26">
        <v>0</v>
      </c>
      <c r="G141" s="26">
        <v>0</v>
      </c>
      <c r="H141" s="35">
        <v>1.0284740142576809E-4</v>
      </c>
      <c r="I141" s="26">
        <v>0</v>
      </c>
      <c r="J141" s="26">
        <v>0</v>
      </c>
      <c r="K141" s="26">
        <v>0</v>
      </c>
      <c r="L141" s="26">
        <v>0</v>
      </c>
      <c r="M141" s="63">
        <v>0</v>
      </c>
      <c r="N141" s="37">
        <v>0</v>
      </c>
      <c r="O141" s="26">
        <v>0</v>
      </c>
      <c r="P141" s="26">
        <v>0</v>
      </c>
      <c r="Q141" s="26">
        <v>0</v>
      </c>
      <c r="R141" s="26">
        <v>0</v>
      </c>
      <c r="S141" s="26">
        <v>0</v>
      </c>
      <c r="T141" s="26">
        <v>0</v>
      </c>
      <c r="U141" s="26">
        <v>0</v>
      </c>
      <c r="V141" s="27">
        <v>0</v>
      </c>
      <c r="W141" s="68">
        <v>0</v>
      </c>
      <c r="X141" s="30">
        <v>0</v>
      </c>
      <c r="Y141" s="30">
        <v>0</v>
      </c>
      <c r="Z141" s="1">
        <v>1.0281717076385021E-2</v>
      </c>
      <c r="AA141" s="30">
        <v>0</v>
      </c>
      <c r="AB141" s="30">
        <v>0</v>
      </c>
      <c r="AC141" s="30">
        <v>0</v>
      </c>
      <c r="AD141" s="30">
        <v>0</v>
      </c>
      <c r="AE141" s="25">
        <v>0</v>
      </c>
      <c r="AG141" s="30">
        <f t="shared" si="7"/>
        <v>1.0284740142576809E-4</v>
      </c>
      <c r="AH141" s="30">
        <f t="shared" si="8"/>
        <v>0</v>
      </c>
      <c r="AI141" s="30">
        <f t="shared" si="9"/>
        <v>1.0281717076385021E-2</v>
      </c>
    </row>
    <row r="142" spans="2:35" ht="15.75" thickBot="1" x14ac:dyDescent="0.2">
      <c r="B142" t="s">
        <v>156</v>
      </c>
      <c r="C142" s="22">
        <f>VLOOKUP(B142,[1]SYS!$F$5:$G$360,2,FALSE)</f>
        <v>137</v>
      </c>
      <c r="D142" s="34" t="str">
        <f>VLOOKUP(C142,[1]SYS!$G$5:$H$360,2,FALSE)</f>
        <v>愛知変電所</v>
      </c>
      <c r="E142" s="37">
        <v>0</v>
      </c>
      <c r="F142" s="26">
        <v>0</v>
      </c>
      <c r="G142" s="26">
        <v>0</v>
      </c>
      <c r="H142" s="35">
        <v>2.9279068675281945E-7</v>
      </c>
      <c r="I142" s="26">
        <v>0</v>
      </c>
      <c r="J142" s="26">
        <v>0</v>
      </c>
      <c r="K142" s="26">
        <v>0</v>
      </c>
      <c r="L142" s="26">
        <v>0</v>
      </c>
      <c r="M142" s="63">
        <v>0</v>
      </c>
      <c r="N142" s="37">
        <v>0</v>
      </c>
      <c r="O142" s="26">
        <v>0</v>
      </c>
      <c r="P142" s="26">
        <v>0</v>
      </c>
      <c r="Q142" s="26">
        <v>0</v>
      </c>
      <c r="R142" s="26">
        <v>0</v>
      </c>
      <c r="S142" s="26">
        <v>0</v>
      </c>
      <c r="T142" s="26">
        <v>0</v>
      </c>
      <c r="U142" s="26">
        <v>0</v>
      </c>
      <c r="V142" s="27">
        <v>0</v>
      </c>
      <c r="W142" s="68">
        <v>0</v>
      </c>
      <c r="X142" s="30">
        <v>0</v>
      </c>
      <c r="Y142" s="30">
        <v>0</v>
      </c>
      <c r="Z142" s="1">
        <v>3.0324543699369218E-2</v>
      </c>
      <c r="AA142" s="30">
        <v>0</v>
      </c>
      <c r="AB142" s="30">
        <v>0</v>
      </c>
      <c r="AC142" s="30">
        <v>0</v>
      </c>
      <c r="AD142" s="30">
        <v>0</v>
      </c>
      <c r="AE142" s="25">
        <v>0</v>
      </c>
      <c r="AG142" s="30">
        <f t="shared" si="7"/>
        <v>2.9279068675281945E-7</v>
      </c>
      <c r="AH142" s="30">
        <f t="shared" si="8"/>
        <v>0</v>
      </c>
      <c r="AI142" s="30">
        <f t="shared" si="9"/>
        <v>3.0324543699369218E-2</v>
      </c>
    </row>
    <row r="143" spans="2:35" ht="15.75" thickBot="1" x14ac:dyDescent="0.2">
      <c r="B143" t="s">
        <v>157</v>
      </c>
      <c r="C143" s="22">
        <f>VLOOKUP(B143,[1]SYS!$F$5:$G$360,2,FALSE)</f>
        <v>138</v>
      </c>
      <c r="D143" s="34" t="str">
        <f>VLOOKUP(C143,[1]SYS!$G$5:$H$360,2,FALSE)</f>
        <v>東部変電所</v>
      </c>
      <c r="E143" s="37">
        <v>0</v>
      </c>
      <c r="F143" s="26">
        <v>0</v>
      </c>
      <c r="G143" s="26">
        <v>0</v>
      </c>
      <c r="H143" s="35">
        <v>1.2787617334007873E-2</v>
      </c>
      <c r="I143" s="26">
        <v>0</v>
      </c>
      <c r="J143" s="26">
        <v>0</v>
      </c>
      <c r="K143" s="26">
        <v>0</v>
      </c>
      <c r="L143" s="26">
        <v>0</v>
      </c>
      <c r="M143" s="63">
        <v>0</v>
      </c>
      <c r="N143" s="37">
        <v>0</v>
      </c>
      <c r="O143" s="26">
        <v>0</v>
      </c>
      <c r="P143" s="26">
        <v>0</v>
      </c>
      <c r="Q143" s="26">
        <v>0</v>
      </c>
      <c r="R143" s="26">
        <v>0</v>
      </c>
      <c r="S143" s="26">
        <v>0</v>
      </c>
      <c r="T143" s="26">
        <v>0</v>
      </c>
      <c r="U143" s="26">
        <v>0</v>
      </c>
      <c r="V143" s="27">
        <v>0</v>
      </c>
      <c r="W143" s="68">
        <v>0</v>
      </c>
      <c r="X143" s="30">
        <v>0</v>
      </c>
      <c r="Y143" s="30">
        <v>0</v>
      </c>
      <c r="Z143" s="1">
        <v>7.3979257101978333E-3</v>
      </c>
      <c r="AA143" s="30">
        <v>0</v>
      </c>
      <c r="AB143" s="30">
        <v>0</v>
      </c>
      <c r="AC143" s="30">
        <v>0</v>
      </c>
      <c r="AD143" s="30">
        <v>0</v>
      </c>
      <c r="AE143" s="25">
        <v>0</v>
      </c>
      <c r="AG143" s="30">
        <f t="shared" si="7"/>
        <v>1.2787617334007873E-2</v>
      </c>
      <c r="AH143" s="30">
        <f t="shared" si="8"/>
        <v>0</v>
      </c>
      <c r="AI143" s="30">
        <f t="shared" si="9"/>
        <v>7.3979257101978333E-3</v>
      </c>
    </row>
    <row r="144" spans="2:35" ht="15.75" thickBot="1" x14ac:dyDescent="0.2">
      <c r="B144" t="s">
        <v>158</v>
      </c>
      <c r="C144" s="22">
        <f>VLOOKUP(B144,[1]SYS!$F$5:$G$360,2,FALSE)</f>
        <v>139</v>
      </c>
      <c r="D144" s="34" t="str">
        <f>VLOOKUP(C144,[1]SYS!$G$5:$H$360,2,FALSE)</f>
        <v>南福光連係所</v>
      </c>
      <c r="E144" s="37">
        <v>0</v>
      </c>
      <c r="F144" s="26">
        <v>0</v>
      </c>
      <c r="G144" s="26">
        <v>0</v>
      </c>
      <c r="H144" s="35">
        <v>1.9022426256283635E-2</v>
      </c>
      <c r="I144" s="26">
        <v>0</v>
      </c>
      <c r="J144" s="26">
        <v>0</v>
      </c>
      <c r="K144" s="26">
        <v>0</v>
      </c>
      <c r="L144" s="26">
        <v>0</v>
      </c>
      <c r="M144" s="63">
        <v>0</v>
      </c>
      <c r="N144" s="37">
        <v>0</v>
      </c>
      <c r="O144" s="26">
        <v>0</v>
      </c>
      <c r="P144" s="26">
        <v>0</v>
      </c>
      <c r="Q144" s="26">
        <v>0</v>
      </c>
      <c r="R144" s="26">
        <v>0</v>
      </c>
      <c r="S144" s="26">
        <v>0</v>
      </c>
      <c r="T144" s="26">
        <v>0</v>
      </c>
      <c r="U144" s="26">
        <v>0</v>
      </c>
      <c r="V144" s="27">
        <v>0</v>
      </c>
      <c r="W144" s="68">
        <v>0</v>
      </c>
      <c r="X144" s="30">
        <v>0</v>
      </c>
      <c r="Y144" s="30">
        <v>0</v>
      </c>
      <c r="Z144" s="1">
        <v>5.1339158384580037E-3</v>
      </c>
      <c r="AA144" s="30">
        <v>0</v>
      </c>
      <c r="AB144" s="30">
        <v>0</v>
      </c>
      <c r="AC144" s="30">
        <v>0</v>
      </c>
      <c r="AD144" s="30">
        <v>0</v>
      </c>
      <c r="AE144" s="25">
        <v>0</v>
      </c>
      <c r="AG144" s="30">
        <f t="shared" si="7"/>
        <v>1.9022426256283635E-2</v>
      </c>
      <c r="AH144" s="30">
        <f t="shared" si="8"/>
        <v>0</v>
      </c>
      <c r="AI144" s="30">
        <f t="shared" si="9"/>
        <v>5.1339158384580037E-3</v>
      </c>
    </row>
    <row r="145" spans="2:35" ht="15.75" thickBot="1" x14ac:dyDescent="0.2">
      <c r="B145" t="s">
        <v>159</v>
      </c>
      <c r="C145" s="22">
        <f>VLOOKUP(B145,[1]SYS!$F$5:$G$360,2,FALSE)</f>
        <v>140</v>
      </c>
      <c r="D145" s="34" t="str">
        <f>VLOOKUP(C145,[1]SYS!$G$5:$H$360,2,FALSE)</f>
        <v>豊根開閉所</v>
      </c>
      <c r="E145" s="37">
        <v>0</v>
      </c>
      <c r="F145" s="26">
        <v>0</v>
      </c>
      <c r="G145" s="26">
        <v>0</v>
      </c>
      <c r="H145" s="35">
        <v>2.3775170638843462E-2</v>
      </c>
      <c r="I145" s="26">
        <v>0</v>
      </c>
      <c r="J145" s="26">
        <v>0</v>
      </c>
      <c r="K145" s="26">
        <v>0</v>
      </c>
      <c r="L145" s="26">
        <v>0</v>
      </c>
      <c r="M145" s="63">
        <v>0</v>
      </c>
      <c r="N145" s="37">
        <v>0</v>
      </c>
      <c r="O145" s="26">
        <v>0</v>
      </c>
      <c r="P145" s="26">
        <v>0</v>
      </c>
      <c r="Q145" s="26">
        <v>0</v>
      </c>
      <c r="R145" s="26">
        <v>0</v>
      </c>
      <c r="S145" s="26">
        <v>0</v>
      </c>
      <c r="T145" s="26">
        <v>0</v>
      </c>
      <c r="U145" s="26">
        <v>0</v>
      </c>
      <c r="V145" s="27">
        <v>0</v>
      </c>
      <c r="W145" s="68">
        <v>0</v>
      </c>
      <c r="X145" s="30">
        <v>0</v>
      </c>
      <c r="Y145" s="30">
        <v>0</v>
      </c>
      <c r="Z145" s="1">
        <v>5.8453712589000605E-3</v>
      </c>
      <c r="AA145" s="30">
        <v>0</v>
      </c>
      <c r="AB145" s="30">
        <v>0</v>
      </c>
      <c r="AC145" s="30">
        <v>0</v>
      </c>
      <c r="AD145" s="30">
        <v>0</v>
      </c>
      <c r="AE145" s="25">
        <v>0</v>
      </c>
      <c r="AG145" s="30">
        <f t="shared" si="7"/>
        <v>2.3775170638843462E-2</v>
      </c>
      <c r="AH145" s="30">
        <f t="shared" si="8"/>
        <v>0</v>
      </c>
      <c r="AI145" s="30">
        <f t="shared" si="9"/>
        <v>5.8453712589000605E-3</v>
      </c>
    </row>
    <row r="146" spans="2:35" ht="15.75" thickBot="1" x14ac:dyDescent="0.2">
      <c r="B146" t="s">
        <v>160</v>
      </c>
      <c r="C146" s="22">
        <f>VLOOKUP(B146,[1]SYS!$F$5:$G$360,2,FALSE)</f>
        <v>141</v>
      </c>
      <c r="D146" s="34" t="str">
        <f>VLOOKUP(C146,[1]SYS!$G$5:$H$360,2,FALSE)</f>
        <v>東栄変電所</v>
      </c>
      <c r="E146" s="37">
        <v>0</v>
      </c>
      <c r="F146" s="26">
        <v>0</v>
      </c>
      <c r="G146" s="26">
        <v>0</v>
      </c>
      <c r="H146" s="35">
        <v>1.0112169635885786E-2</v>
      </c>
      <c r="I146" s="26">
        <v>0</v>
      </c>
      <c r="J146" s="26">
        <v>0</v>
      </c>
      <c r="K146" s="26">
        <v>0</v>
      </c>
      <c r="L146" s="26">
        <v>0</v>
      </c>
      <c r="M146" s="63">
        <v>0</v>
      </c>
      <c r="N146" s="37">
        <v>0</v>
      </c>
      <c r="O146" s="26">
        <v>0</v>
      </c>
      <c r="P146" s="26">
        <v>0</v>
      </c>
      <c r="Q146" s="26">
        <v>0</v>
      </c>
      <c r="R146" s="26">
        <v>0</v>
      </c>
      <c r="S146" s="26">
        <v>0</v>
      </c>
      <c r="T146" s="26">
        <v>0</v>
      </c>
      <c r="U146" s="26">
        <v>0</v>
      </c>
      <c r="V146" s="27">
        <v>0</v>
      </c>
      <c r="W146" s="68">
        <v>0</v>
      </c>
      <c r="X146" s="30">
        <v>0</v>
      </c>
      <c r="Y146" s="30">
        <v>0</v>
      </c>
      <c r="Z146" s="1">
        <v>4.7481128451646957E-3</v>
      </c>
      <c r="AA146" s="30">
        <v>0</v>
      </c>
      <c r="AB146" s="30">
        <v>0</v>
      </c>
      <c r="AC146" s="30">
        <v>0</v>
      </c>
      <c r="AD146" s="30">
        <v>0</v>
      </c>
      <c r="AE146" s="25">
        <v>0</v>
      </c>
      <c r="AG146" s="30">
        <f t="shared" si="7"/>
        <v>1.0112169635885786E-2</v>
      </c>
      <c r="AH146" s="30">
        <f t="shared" si="8"/>
        <v>0</v>
      </c>
      <c r="AI146" s="30">
        <f t="shared" si="9"/>
        <v>4.7481128451646957E-3</v>
      </c>
    </row>
    <row r="147" spans="2:35" ht="15.75" thickBot="1" x14ac:dyDescent="0.2">
      <c r="B147" t="s">
        <v>161</v>
      </c>
      <c r="C147" s="22">
        <f>VLOOKUP(B147,[1]SYS!$F$5:$G$360,2,FALSE)</f>
        <v>142</v>
      </c>
      <c r="D147" s="34" t="str">
        <f>VLOOKUP(C147,[1]SYS!$G$5:$H$360,2,FALSE)</f>
        <v>新三河変電所</v>
      </c>
      <c r="E147" s="37">
        <v>0</v>
      </c>
      <c r="F147" s="26">
        <v>0</v>
      </c>
      <c r="G147" s="26">
        <v>0</v>
      </c>
      <c r="H147" s="35">
        <v>2.220057078686573E-3</v>
      </c>
      <c r="I147" s="26">
        <v>0</v>
      </c>
      <c r="J147" s="26">
        <v>0</v>
      </c>
      <c r="K147" s="26">
        <v>0</v>
      </c>
      <c r="L147" s="26">
        <v>0</v>
      </c>
      <c r="M147" s="63">
        <v>0</v>
      </c>
      <c r="N147" s="37">
        <v>0</v>
      </c>
      <c r="O147" s="26">
        <v>0</v>
      </c>
      <c r="P147" s="26">
        <v>0</v>
      </c>
      <c r="Q147" s="26">
        <v>0</v>
      </c>
      <c r="R147" s="26">
        <v>0</v>
      </c>
      <c r="S147" s="26">
        <v>0</v>
      </c>
      <c r="T147" s="26">
        <v>0</v>
      </c>
      <c r="U147" s="26">
        <v>0</v>
      </c>
      <c r="V147" s="27">
        <v>0</v>
      </c>
      <c r="W147" s="68">
        <v>0</v>
      </c>
      <c r="X147" s="30">
        <v>0</v>
      </c>
      <c r="Y147" s="30">
        <v>0</v>
      </c>
      <c r="Z147" s="1">
        <v>9.0135833601412661E-3</v>
      </c>
      <c r="AA147" s="30">
        <v>0</v>
      </c>
      <c r="AB147" s="30">
        <v>0</v>
      </c>
      <c r="AC147" s="30">
        <v>0</v>
      </c>
      <c r="AD147" s="30">
        <v>0</v>
      </c>
      <c r="AE147" s="25">
        <v>0</v>
      </c>
      <c r="AG147" s="30">
        <f t="shared" si="7"/>
        <v>2.220057078686573E-3</v>
      </c>
      <c r="AH147" s="30">
        <f t="shared" si="8"/>
        <v>0</v>
      </c>
      <c r="AI147" s="30">
        <f t="shared" si="9"/>
        <v>9.0135833601412661E-3</v>
      </c>
    </row>
    <row r="148" spans="2:35" ht="15.75" thickBot="1" x14ac:dyDescent="0.2">
      <c r="B148" t="s">
        <v>162</v>
      </c>
      <c r="C148" s="22">
        <f>VLOOKUP(B148,[1]SYS!$F$5:$G$360,2,FALSE)</f>
        <v>143</v>
      </c>
      <c r="D148" s="34" t="str">
        <f>VLOOKUP(C148,[1]SYS!$G$5:$H$360,2,FALSE)</f>
        <v>南信変電所</v>
      </c>
      <c r="E148" s="37">
        <v>0</v>
      </c>
      <c r="F148" s="26">
        <v>0</v>
      </c>
      <c r="G148" s="26">
        <v>0</v>
      </c>
      <c r="H148" s="35">
        <v>4.9972147926518849E-2</v>
      </c>
      <c r="I148" s="26">
        <v>0</v>
      </c>
      <c r="J148" s="26">
        <v>0</v>
      </c>
      <c r="K148" s="26">
        <v>0</v>
      </c>
      <c r="L148" s="26">
        <v>0</v>
      </c>
      <c r="M148" s="63">
        <v>0</v>
      </c>
      <c r="N148" s="37">
        <v>0</v>
      </c>
      <c r="O148" s="26">
        <v>0</v>
      </c>
      <c r="P148" s="26">
        <v>0</v>
      </c>
      <c r="Q148" s="26">
        <v>0</v>
      </c>
      <c r="R148" s="26">
        <v>0</v>
      </c>
      <c r="S148" s="26">
        <v>0</v>
      </c>
      <c r="T148" s="26">
        <v>0</v>
      </c>
      <c r="U148" s="26">
        <v>0</v>
      </c>
      <c r="V148" s="27">
        <v>0</v>
      </c>
      <c r="W148" s="68">
        <v>0</v>
      </c>
      <c r="X148" s="30">
        <v>0</v>
      </c>
      <c r="Y148" s="30">
        <v>0</v>
      </c>
      <c r="Z148" s="1">
        <v>5.7884592087530821E-2</v>
      </c>
      <c r="AA148" s="30">
        <v>0</v>
      </c>
      <c r="AB148" s="30">
        <v>0</v>
      </c>
      <c r="AC148" s="30">
        <v>0</v>
      </c>
      <c r="AD148" s="30">
        <v>0</v>
      </c>
      <c r="AE148" s="25">
        <v>0</v>
      </c>
      <c r="AG148" s="30">
        <f t="shared" si="7"/>
        <v>4.9972147926518849E-2</v>
      </c>
      <c r="AH148" s="30">
        <f t="shared" si="8"/>
        <v>0</v>
      </c>
      <c r="AI148" s="30">
        <f t="shared" si="9"/>
        <v>5.7884592087530821E-2</v>
      </c>
    </row>
    <row r="149" spans="2:35" ht="15.75" thickBot="1" x14ac:dyDescent="0.2">
      <c r="B149" t="s">
        <v>163</v>
      </c>
      <c r="C149" s="22">
        <f>VLOOKUP(B149,[1]SYS!$F$5:$G$360,2,FALSE)</f>
        <v>144</v>
      </c>
      <c r="D149" s="34" t="str">
        <f>VLOOKUP(C149,[1]SYS!$G$5:$H$360,2,FALSE)</f>
        <v>信濃変電所</v>
      </c>
      <c r="E149" s="37">
        <v>0</v>
      </c>
      <c r="F149" s="26">
        <v>0</v>
      </c>
      <c r="G149" s="26">
        <v>0</v>
      </c>
      <c r="H149" s="35">
        <v>1.4554618674514049E-2</v>
      </c>
      <c r="I149" s="26">
        <v>0</v>
      </c>
      <c r="J149" s="26">
        <v>0</v>
      </c>
      <c r="K149" s="26">
        <v>0</v>
      </c>
      <c r="L149" s="26">
        <v>0</v>
      </c>
      <c r="M149" s="63">
        <v>0</v>
      </c>
      <c r="N149" s="37">
        <v>0</v>
      </c>
      <c r="O149" s="26">
        <v>0</v>
      </c>
      <c r="P149" s="26">
        <v>0</v>
      </c>
      <c r="Q149" s="26">
        <v>0</v>
      </c>
      <c r="R149" s="26">
        <v>0</v>
      </c>
      <c r="S149" s="26">
        <v>0</v>
      </c>
      <c r="T149" s="26">
        <v>0</v>
      </c>
      <c r="U149" s="26">
        <v>0</v>
      </c>
      <c r="V149" s="27">
        <v>0</v>
      </c>
      <c r="W149" s="68">
        <v>0</v>
      </c>
      <c r="X149" s="30">
        <v>0</v>
      </c>
      <c r="Y149" s="30">
        <v>0</v>
      </c>
      <c r="Z149" s="1">
        <v>2.1541974264028738E-2</v>
      </c>
      <c r="AA149" s="30">
        <v>0</v>
      </c>
      <c r="AB149" s="30">
        <v>0</v>
      </c>
      <c r="AC149" s="30">
        <v>0</v>
      </c>
      <c r="AD149" s="30">
        <v>0</v>
      </c>
      <c r="AE149" s="25">
        <v>0</v>
      </c>
      <c r="AG149" s="30">
        <f t="shared" si="7"/>
        <v>1.4554618674514049E-2</v>
      </c>
      <c r="AH149" s="30">
        <f t="shared" si="8"/>
        <v>0</v>
      </c>
      <c r="AI149" s="30">
        <f t="shared" si="9"/>
        <v>2.1541974264028738E-2</v>
      </c>
    </row>
    <row r="150" spans="2:35" ht="15.75" thickBot="1" x14ac:dyDescent="0.2">
      <c r="B150" t="s">
        <v>164</v>
      </c>
      <c r="C150" s="22">
        <f>VLOOKUP(B150,[1]SYS!$F$5:$G$360,2,FALSE)</f>
        <v>145</v>
      </c>
      <c r="D150" s="34" t="str">
        <f>VLOOKUP(C150,[1]SYS!$G$5:$H$360,2,FALSE)</f>
        <v>駿遠変電所</v>
      </c>
      <c r="E150" s="37">
        <v>0</v>
      </c>
      <c r="F150" s="26">
        <v>0</v>
      </c>
      <c r="G150" s="26">
        <v>0</v>
      </c>
      <c r="H150" s="35">
        <v>1.2626714816145091E-2</v>
      </c>
      <c r="I150" s="26">
        <v>0</v>
      </c>
      <c r="J150" s="26">
        <v>0</v>
      </c>
      <c r="K150" s="26">
        <v>0</v>
      </c>
      <c r="L150" s="26">
        <v>0</v>
      </c>
      <c r="M150" s="63">
        <v>0</v>
      </c>
      <c r="N150" s="37">
        <v>0</v>
      </c>
      <c r="O150" s="26">
        <v>0</v>
      </c>
      <c r="P150" s="26">
        <v>0</v>
      </c>
      <c r="Q150" s="26">
        <v>0</v>
      </c>
      <c r="R150" s="26">
        <v>0</v>
      </c>
      <c r="S150" s="26">
        <v>0</v>
      </c>
      <c r="T150" s="26">
        <v>0</v>
      </c>
      <c r="U150" s="26">
        <v>0</v>
      </c>
      <c r="V150" s="27">
        <v>0</v>
      </c>
      <c r="W150" s="68">
        <v>0</v>
      </c>
      <c r="X150" s="30">
        <v>0</v>
      </c>
      <c r="Y150" s="30">
        <v>0</v>
      </c>
      <c r="Z150" s="1">
        <v>1.6089329243313206E-2</v>
      </c>
      <c r="AA150" s="30">
        <v>0</v>
      </c>
      <c r="AB150" s="30">
        <v>0</v>
      </c>
      <c r="AC150" s="30">
        <v>0</v>
      </c>
      <c r="AD150" s="30">
        <v>0</v>
      </c>
      <c r="AE150" s="25">
        <v>0</v>
      </c>
      <c r="AG150" s="30">
        <f t="shared" si="7"/>
        <v>1.2626714816145091E-2</v>
      </c>
      <c r="AH150" s="30">
        <f t="shared" si="8"/>
        <v>0</v>
      </c>
      <c r="AI150" s="30">
        <f t="shared" si="9"/>
        <v>1.6089329243313206E-2</v>
      </c>
    </row>
    <row r="151" spans="2:35" ht="15.75" thickBot="1" x14ac:dyDescent="0.2">
      <c r="B151" t="s">
        <v>165</v>
      </c>
      <c r="C151" s="22">
        <f>VLOOKUP(B151,[1]SYS!$F$5:$G$360,2,FALSE)</f>
        <v>146</v>
      </c>
      <c r="D151" s="34" t="str">
        <f>VLOOKUP(C151,[1]SYS!$G$5:$H$360,2,FALSE)</f>
        <v>静岡変電所</v>
      </c>
      <c r="E151" s="37">
        <v>0</v>
      </c>
      <c r="F151" s="26">
        <v>0</v>
      </c>
      <c r="G151" s="26">
        <v>0</v>
      </c>
      <c r="H151" s="35">
        <v>7.1711083917692819E-2</v>
      </c>
      <c r="I151" s="26">
        <v>0</v>
      </c>
      <c r="J151" s="26">
        <v>0</v>
      </c>
      <c r="K151" s="26">
        <v>0</v>
      </c>
      <c r="L151" s="26">
        <v>0</v>
      </c>
      <c r="M151" s="63">
        <v>0</v>
      </c>
      <c r="N151" s="37">
        <v>0</v>
      </c>
      <c r="O151" s="26">
        <v>0</v>
      </c>
      <c r="P151" s="26">
        <v>0</v>
      </c>
      <c r="Q151" s="26">
        <v>0</v>
      </c>
      <c r="R151" s="26">
        <v>0</v>
      </c>
      <c r="S151" s="26">
        <v>0</v>
      </c>
      <c r="T151" s="26">
        <v>0</v>
      </c>
      <c r="U151" s="26">
        <v>0</v>
      </c>
      <c r="V151" s="27">
        <v>0</v>
      </c>
      <c r="W151" s="68">
        <v>0</v>
      </c>
      <c r="X151" s="30">
        <v>0</v>
      </c>
      <c r="Y151" s="30">
        <v>0</v>
      </c>
      <c r="Z151" s="1">
        <v>2.3613936489813195E-3</v>
      </c>
      <c r="AA151" s="30">
        <v>0</v>
      </c>
      <c r="AB151" s="30">
        <v>0</v>
      </c>
      <c r="AC151" s="30">
        <v>0</v>
      </c>
      <c r="AD151" s="30">
        <v>0</v>
      </c>
      <c r="AE151" s="25">
        <v>0</v>
      </c>
      <c r="AG151" s="30">
        <f t="shared" si="7"/>
        <v>7.1711083917692819E-2</v>
      </c>
      <c r="AH151" s="30">
        <f t="shared" si="8"/>
        <v>0</v>
      </c>
      <c r="AI151" s="30">
        <f t="shared" si="9"/>
        <v>2.3613936489813195E-3</v>
      </c>
    </row>
    <row r="152" spans="2:35" ht="15.75" thickBot="1" x14ac:dyDescent="0.2">
      <c r="B152" t="s">
        <v>166</v>
      </c>
      <c r="C152" s="22">
        <f>VLOOKUP(B152,[1]SYS!$F$5:$G$360,2,FALSE)</f>
        <v>147</v>
      </c>
      <c r="D152" s="34" t="str">
        <f>VLOOKUP(C152,[1]SYS!$G$5:$H$360,2,FALSE)</f>
        <v>鈴鹿開閉所</v>
      </c>
      <c r="E152" s="37">
        <v>0</v>
      </c>
      <c r="F152" s="26">
        <v>0</v>
      </c>
      <c r="G152" s="26">
        <v>0</v>
      </c>
      <c r="H152" s="35">
        <v>3.7177505626829074E-2</v>
      </c>
      <c r="I152" s="26">
        <v>0</v>
      </c>
      <c r="J152" s="26">
        <v>0</v>
      </c>
      <c r="K152" s="26">
        <v>0</v>
      </c>
      <c r="L152" s="26">
        <v>0</v>
      </c>
      <c r="M152" s="63">
        <v>0</v>
      </c>
      <c r="N152" s="37">
        <v>0</v>
      </c>
      <c r="O152" s="26">
        <v>0</v>
      </c>
      <c r="P152" s="26">
        <v>0</v>
      </c>
      <c r="Q152" s="26">
        <v>0</v>
      </c>
      <c r="R152" s="26">
        <v>0</v>
      </c>
      <c r="S152" s="26">
        <v>0</v>
      </c>
      <c r="T152" s="26">
        <v>0</v>
      </c>
      <c r="U152" s="26">
        <v>0</v>
      </c>
      <c r="V152" s="27">
        <v>0</v>
      </c>
      <c r="W152" s="68">
        <v>0</v>
      </c>
      <c r="X152" s="30">
        <v>0</v>
      </c>
      <c r="Y152" s="30">
        <v>0</v>
      </c>
      <c r="Z152" s="1">
        <v>1.987428091797851E-2</v>
      </c>
      <c r="AA152" s="30">
        <v>0</v>
      </c>
      <c r="AB152" s="30">
        <v>0</v>
      </c>
      <c r="AC152" s="30">
        <v>0</v>
      </c>
      <c r="AD152" s="30">
        <v>0</v>
      </c>
      <c r="AE152" s="25">
        <v>0</v>
      </c>
      <c r="AG152" s="30">
        <f t="shared" si="7"/>
        <v>3.7177505626829074E-2</v>
      </c>
      <c r="AH152" s="30">
        <f t="shared" si="8"/>
        <v>0</v>
      </c>
      <c r="AI152" s="30">
        <f t="shared" si="9"/>
        <v>1.987428091797851E-2</v>
      </c>
    </row>
    <row r="153" spans="2:35" ht="15.75" thickBot="1" x14ac:dyDescent="0.2">
      <c r="B153" t="s">
        <v>167</v>
      </c>
      <c r="C153" s="22">
        <f>VLOOKUP(B153,[1]SYS!$F$5:$G$360,2,FALSE)</f>
        <v>148</v>
      </c>
      <c r="D153" s="34" t="str">
        <f>VLOOKUP(C153,[1]SYS!$G$5:$H$360,2,FALSE)</f>
        <v>伊勢開閉所</v>
      </c>
      <c r="E153" s="37">
        <v>0</v>
      </c>
      <c r="F153" s="26">
        <v>0</v>
      </c>
      <c r="G153" s="26">
        <v>0</v>
      </c>
      <c r="H153" s="35">
        <v>2.9746784002322901E-2</v>
      </c>
      <c r="I153" s="26">
        <v>0</v>
      </c>
      <c r="J153" s="26">
        <v>0</v>
      </c>
      <c r="K153" s="26">
        <v>0</v>
      </c>
      <c r="L153" s="26">
        <v>0</v>
      </c>
      <c r="M153" s="63">
        <v>0</v>
      </c>
      <c r="N153" s="37">
        <v>0</v>
      </c>
      <c r="O153" s="26">
        <v>0</v>
      </c>
      <c r="P153" s="26">
        <v>0</v>
      </c>
      <c r="Q153" s="26">
        <v>0</v>
      </c>
      <c r="R153" s="26">
        <v>0</v>
      </c>
      <c r="S153" s="26">
        <v>0</v>
      </c>
      <c r="T153" s="26">
        <v>0</v>
      </c>
      <c r="U153" s="26">
        <v>0</v>
      </c>
      <c r="V153" s="27">
        <v>0</v>
      </c>
      <c r="W153" s="68">
        <v>0</v>
      </c>
      <c r="X153" s="30">
        <v>0</v>
      </c>
      <c r="Y153" s="30">
        <v>0</v>
      </c>
      <c r="Z153" s="1">
        <v>2.0170237590908423E-2</v>
      </c>
      <c r="AA153" s="30">
        <v>0</v>
      </c>
      <c r="AB153" s="30">
        <v>0</v>
      </c>
      <c r="AC153" s="30">
        <v>0</v>
      </c>
      <c r="AD153" s="30">
        <v>0</v>
      </c>
      <c r="AE153" s="25">
        <v>0</v>
      </c>
      <c r="AG153" s="30">
        <f t="shared" si="7"/>
        <v>2.9746784002322901E-2</v>
      </c>
      <c r="AH153" s="30">
        <f t="shared" si="8"/>
        <v>0</v>
      </c>
      <c r="AI153" s="30">
        <f t="shared" si="9"/>
        <v>2.0170237590908423E-2</v>
      </c>
    </row>
    <row r="154" spans="2:35" ht="15.75" thickBot="1" x14ac:dyDescent="0.2">
      <c r="B154" t="s">
        <v>168</v>
      </c>
      <c r="C154" s="22">
        <f>VLOOKUP(B154,[1]SYS!$F$5:$G$360,2,FALSE)</f>
        <v>149</v>
      </c>
      <c r="D154" s="34" t="str">
        <f>VLOOKUP(C154,[1]SYS!$G$5:$H$360,2,FALSE)</f>
        <v>南勢変電所</v>
      </c>
      <c r="E154" s="37">
        <v>0</v>
      </c>
      <c r="F154" s="26">
        <v>0</v>
      </c>
      <c r="G154" s="26">
        <v>0</v>
      </c>
      <c r="H154" s="35">
        <v>6.541032395873744E-3</v>
      </c>
      <c r="I154" s="26">
        <v>0</v>
      </c>
      <c r="J154" s="26">
        <v>0</v>
      </c>
      <c r="K154" s="26">
        <v>0</v>
      </c>
      <c r="L154" s="26">
        <v>0</v>
      </c>
      <c r="M154" s="63">
        <v>0</v>
      </c>
      <c r="N154" s="37">
        <v>0</v>
      </c>
      <c r="O154" s="26">
        <v>0</v>
      </c>
      <c r="P154" s="26">
        <v>0</v>
      </c>
      <c r="Q154" s="26">
        <v>0</v>
      </c>
      <c r="R154" s="26">
        <v>0</v>
      </c>
      <c r="S154" s="26">
        <v>0</v>
      </c>
      <c r="T154" s="26">
        <v>0</v>
      </c>
      <c r="U154" s="26">
        <v>0</v>
      </c>
      <c r="V154" s="27">
        <v>0</v>
      </c>
      <c r="W154" s="68">
        <v>0</v>
      </c>
      <c r="X154" s="30">
        <v>0</v>
      </c>
      <c r="Y154" s="30">
        <v>0</v>
      </c>
      <c r="Z154" s="1">
        <v>3.2654786874163094E-2</v>
      </c>
      <c r="AA154" s="30">
        <v>0</v>
      </c>
      <c r="AB154" s="30">
        <v>0</v>
      </c>
      <c r="AC154" s="30">
        <v>0</v>
      </c>
      <c r="AD154" s="30">
        <v>0</v>
      </c>
      <c r="AE154" s="25">
        <v>0</v>
      </c>
      <c r="AG154" s="30">
        <f t="shared" si="7"/>
        <v>6.541032395873744E-3</v>
      </c>
      <c r="AH154" s="30">
        <f t="shared" si="8"/>
        <v>0</v>
      </c>
      <c r="AI154" s="30">
        <f t="shared" si="9"/>
        <v>3.2654786874163094E-2</v>
      </c>
    </row>
    <row r="155" spans="2:35" ht="15.75" thickBot="1" x14ac:dyDescent="0.2">
      <c r="B155" t="s">
        <v>169</v>
      </c>
      <c r="C155" s="22">
        <f>VLOOKUP(B155,[1]SYS!$F$5:$G$360,2,FALSE)</f>
        <v>150</v>
      </c>
      <c r="D155" s="34" t="str">
        <f>VLOOKUP(C155,[1]SYS!$G$5:$H$360,2,FALSE)</f>
        <v>中勢変電所</v>
      </c>
      <c r="E155" s="37">
        <v>0</v>
      </c>
      <c r="F155" s="26">
        <v>0</v>
      </c>
      <c r="G155" s="26">
        <v>0</v>
      </c>
      <c r="H155" s="35">
        <v>4.2612235346324344E-3</v>
      </c>
      <c r="I155" s="26">
        <v>0</v>
      </c>
      <c r="J155" s="26">
        <v>0</v>
      </c>
      <c r="K155" s="26">
        <v>0</v>
      </c>
      <c r="L155" s="26">
        <v>0</v>
      </c>
      <c r="M155" s="63">
        <v>0</v>
      </c>
      <c r="N155" s="37">
        <v>0</v>
      </c>
      <c r="O155" s="26">
        <v>0</v>
      </c>
      <c r="P155" s="26">
        <v>0</v>
      </c>
      <c r="Q155" s="26">
        <v>0</v>
      </c>
      <c r="R155" s="26">
        <v>0</v>
      </c>
      <c r="S155" s="26">
        <v>0</v>
      </c>
      <c r="T155" s="26">
        <v>0</v>
      </c>
      <c r="U155" s="26">
        <v>0</v>
      </c>
      <c r="V155" s="27">
        <v>0</v>
      </c>
      <c r="W155" s="68">
        <v>0</v>
      </c>
      <c r="X155" s="30">
        <v>0</v>
      </c>
      <c r="Y155" s="30">
        <v>0</v>
      </c>
      <c r="Z155" s="1">
        <v>2.0127955552999115E-2</v>
      </c>
      <c r="AA155" s="30">
        <v>0</v>
      </c>
      <c r="AB155" s="30">
        <v>0</v>
      </c>
      <c r="AC155" s="30">
        <v>0</v>
      </c>
      <c r="AD155" s="30">
        <v>0</v>
      </c>
      <c r="AE155" s="25">
        <v>0</v>
      </c>
      <c r="AG155" s="30">
        <f t="shared" si="7"/>
        <v>4.2612235346324344E-3</v>
      </c>
      <c r="AH155" s="30">
        <f t="shared" si="8"/>
        <v>0</v>
      </c>
      <c r="AI155" s="30">
        <f t="shared" si="9"/>
        <v>2.0127955552999115E-2</v>
      </c>
    </row>
    <row r="156" spans="2:35" ht="15.75" thickBot="1" x14ac:dyDescent="0.2">
      <c r="B156" t="s">
        <v>170</v>
      </c>
      <c r="C156" s="22">
        <f>VLOOKUP(B156,[1]SYS!$F$5:$G$360,2,FALSE)</f>
        <v>151</v>
      </c>
      <c r="D156" s="34" t="str">
        <f>VLOOKUP(C156,[1]SYS!$G$5:$H$360,2,FALSE)</f>
        <v>尾鷲三田変電所</v>
      </c>
      <c r="E156" s="37">
        <v>0</v>
      </c>
      <c r="F156" s="26">
        <v>0</v>
      </c>
      <c r="G156" s="26">
        <v>0</v>
      </c>
      <c r="H156" s="35">
        <v>5.3786401602192871E-3</v>
      </c>
      <c r="I156" s="26">
        <v>0</v>
      </c>
      <c r="J156" s="26">
        <v>0</v>
      </c>
      <c r="K156" s="26">
        <v>0</v>
      </c>
      <c r="L156" s="26">
        <v>0</v>
      </c>
      <c r="M156" s="63">
        <v>0</v>
      </c>
      <c r="N156" s="37">
        <v>0</v>
      </c>
      <c r="O156" s="26">
        <v>0</v>
      </c>
      <c r="P156" s="26">
        <v>0</v>
      </c>
      <c r="Q156" s="26">
        <v>0</v>
      </c>
      <c r="R156" s="26">
        <v>0</v>
      </c>
      <c r="S156" s="26">
        <v>0</v>
      </c>
      <c r="T156" s="26">
        <v>0</v>
      </c>
      <c r="U156" s="26">
        <v>0</v>
      </c>
      <c r="V156" s="27">
        <v>0</v>
      </c>
      <c r="W156" s="68">
        <v>0</v>
      </c>
      <c r="X156" s="30">
        <v>0</v>
      </c>
      <c r="Y156" s="30">
        <v>0</v>
      </c>
      <c r="Z156" s="1">
        <v>8.888411131169215E-3</v>
      </c>
      <c r="AA156" s="30">
        <v>0</v>
      </c>
      <c r="AB156" s="30">
        <v>0</v>
      </c>
      <c r="AC156" s="30">
        <v>0</v>
      </c>
      <c r="AD156" s="30">
        <v>0</v>
      </c>
      <c r="AE156" s="25">
        <v>0</v>
      </c>
      <c r="AG156" s="30">
        <f t="shared" si="7"/>
        <v>5.3786401602192871E-3</v>
      </c>
      <c r="AH156" s="30">
        <f t="shared" si="8"/>
        <v>0</v>
      </c>
      <c r="AI156" s="30">
        <f t="shared" si="9"/>
        <v>8.888411131169215E-3</v>
      </c>
    </row>
    <row r="157" spans="2:35" ht="15.75" thickBot="1" x14ac:dyDescent="0.2">
      <c r="B157" t="s">
        <v>171</v>
      </c>
      <c r="C157" s="22">
        <f>VLOOKUP(B157,[1]SYS!$F$5:$G$360,2,FALSE)</f>
        <v>152</v>
      </c>
      <c r="D157" s="34" t="str">
        <f>VLOOKUP(C157,[1]SYS!$G$5:$H$360,2,FALSE)</f>
        <v>西名古屋変電所</v>
      </c>
      <c r="E157" s="37">
        <v>0</v>
      </c>
      <c r="F157" s="26">
        <v>0</v>
      </c>
      <c r="G157" s="26">
        <v>0</v>
      </c>
      <c r="H157" s="35">
        <v>3.1808847805938224E-3</v>
      </c>
      <c r="I157" s="26">
        <v>0</v>
      </c>
      <c r="J157" s="26">
        <v>0</v>
      </c>
      <c r="K157" s="26">
        <v>0</v>
      </c>
      <c r="L157" s="26">
        <v>0</v>
      </c>
      <c r="M157" s="63">
        <v>0</v>
      </c>
      <c r="N157" s="37">
        <v>0</v>
      </c>
      <c r="O157" s="26">
        <v>0</v>
      </c>
      <c r="P157" s="26">
        <v>0</v>
      </c>
      <c r="Q157" s="26">
        <v>0</v>
      </c>
      <c r="R157" s="26">
        <v>0</v>
      </c>
      <c r="S157" s="26">
        <v>0</v>
      </c>
      <c r="T157" s="26">
        <v>0</v>
      </c>
      <c r="U157" s="26">
        <v>0</v>
      </c>
      <c r="V157" s="27">
        <v>0</v>
      </c>
      <c r="W157" s="68">
        <v>0</v>
      </c>
      <c r="X157" s="30">
        <v>0</v>
      </c>
      <c r="Y157" s="30">
        <v>0</v>
      </c>
      <c r="Z157" s="1">
        <v>1.9247253564853444E-2</v>
      </c>
      <c r="AA157" s="30">
        <v>0</v>
      </c>
      <c r="AB157" s="30">
        <v>0</v>
      </c>
      <c r="AC157" s="30">
        <v>0</v>
      </c>
      <c r="AD157" s="30">
        <v>0</v>
      </c>
      <c r="AE157" s="25">
        <v>0</v>
      </c>
      <c r="AG157" s="30">
        <f t="shared" si="7"/>
        <v>3.1808847805938224E-3</v>
      </c>
      <c r="AH157" s="30">
        <f t="shared" si="8"/>
        <v>0</v>
      </c>
      <c r="AI157" s="30">
        <f t="shared" si="9"/>
        <v>1.9247253564853444E-2</v>
      </c>
    </row>
    <row r="158" spans="2:35" ht="15.75" thickBot="1" x14ac:dyDescent="0.2">
      <c r="B158" t="s">
        <v>172</v>
      </c>
      <c r="C158" s="22">
        <f>VLOOKUP(B158,[1]SYS!$F$5:$G$360,2,FALSE)</f>
        <v>153</v>
      </c>
      <c r="D158" s="34" t="str">
        <f>VLOOKUP(C158,[1]SYS!$G$5:$H$360,2,FALSE)</f>
        <v>亀山変電所</v>
      </c>
      <c r="E158" s="37">
        <v>0</v>
      </c>
      <c r="F158" s="26">
        <v>0</v>
      </c>
      <c r="G158" s="26">
        <v>0</v>
      </c>
      <c r="H158" s="35">
        <v>4.9820141060235906E-4</v>
      </c>
      <c r="I158" s="26">
        <v>0</v>
      </c>
      <c r="J158" s="26">
        <v>0</v>
      </c>
      <c r="K158" s="26">
        <v>0</v>
      </c>
      <c r="L158" s="26">
        <v>0</v>
      </c>
      <c r="M158" s="63">
        <v>0</v>
      </c>
      <c r="N158" s="37">
        <v>0</v>
      </c>
      <c r="O158" s="26">
        <v>0</v>
      </c>
      <c r="P158" s="26">
        <v>0</v>
      </c>
      <c r="Q158" s="26">
        <v>0</v>
      </c>
      <c r="R158" s="26">
        <v>0</v>
      </c>
      <c r="S158" s="26">
        <v>0</v>
      </c>
      <c r="T158" s="26">
        <v>0</v>
      </c>
      <c r="U158" s="26">
        <v>0</v>
      </c>
      <c r="V158" s="27">
        <v>0</v>
      </c>
      <c r="W158" s="68">
        <v>0</v>
      </c>
      <c r="X158" s="30">
        <v>0</v>
      </c>
      <c r="Y158" s="30">
        <v>0</v>
      </c>
      <c r="Z158" s="1">
        <v>1.8392872476172873E-2</v>
      </c>
      <c r="AA158" s="30">
        <v>0</v>
      </c>
      <c r="AB158" s="30">
        <v>0</v>
      </c>
      <c r="AC158" s="30">
        <v>0</v>
      </c>
      <c r="AD158" s="30">
        <v>0</v>
      </c>
      <c r="AE158" s="25">
        <v>0</v>
      </c>
      <c r="AG158" s="30">
        <f t="shared" si="7"/>
        <v>4.9820141060235906E-4</v>
      </c>
      <c r="AH158" s="30">
        <f t="shared" si="8"/>
        <v>0</v>
      </c>
      <c r="AI158" s="30">
        <f t="shared" si="9"/>
        <v>1.8392872476172873E-2</v>
      </c>
    </row>
    <row r="159" spans="2:35" ht="15.75" thickBot="1" x14ac:dyDescent="0.2">
      <c r="B159" t="s">
        <v>173</v>
      </c>
      <c r="C159" s="22">
        <f>VLOOKUP(B159,[1]SYS!$F$5:$G$360,2,FALSE)</f>
        <v>154</v>
      </c>
      <c r="D159" s="34" t="str">
        <f>VLOOKUP(C159,[1]SYS!$G$5:$H$360,2,FALSE)</f>
        <v>西尾張変電所</v>
      </c>
      <c r="E159" s="37">
        <v>0</v>
      </c>
      <c r="F159" s="26">
        <v>0</v>
      </c>
      <c r="G159" s="26">
        <v>0</v>
      </c>
      <c r="H159" s="35">
        <v>6.8428570301964559E-2</v>
      </c>
      <c r="I159" s="26">
        <v>0</v>
      </c>
      <c r="J159" s="26">
        <v>0</v>
      </c>
      <c r="K159" s="26">
        <v>0</v>
      </c>
      <c r="L159" s="26">
        <v>0</v>
      </c>
      <c r="M159" s="63">
        <v>0</v>
      </c>
      <c r="N159" s="37">
        <v>0</v>
      </c>
      <c r="O159" s="26">
        <v>0</v>
      </c>
      <c r="P159" s="26">
        <v>0</v>
      </c>
      <c r="Q159" s="26">
        <v>0</v>
      </c>
      <c r="R159" s="26">
        <v>0</v>
      </c>
      <c r="S159" s="26">
        <v>0</v>
      </c>
      <c r="T159" s="26">
        <v>0</v>
      </c>
      <c r="U159" s="26">
        <v>0</v>
      </c>
      <c r="V159" s="27">
        <v>0</v>
      </c>
      <c r="W159" s="68">
        <v>0</v>
      </c>
      <c r="X159" s="30">
        <v>0</v>
      </c>
      <c r="Y159" s="30">
        <v>0</v>
      </c>
      <c r="Z159" s="1">
        <v>1.0402553628314843E-2</v>
      </c>
      <c r="AA159" s="30">
        <v>0</v>
      </c>
      <c r="AB159" s="30">
        <v>0</v>
      </c>
      <c r="AC159" s="30">
        <v>0</v>
      </c>
      <c r="AD159" s="30">
        <v>0</v>
      </c>
      <c r="AE159" s="25">
        <v>0</v>
      </c>
      <c r="AG159" s="30">
        <f t="shared" si="7"/>
        <v>6.8428570301964559E-2</v>
      </c>
      <c r="AH159" s="30">
        <f t="shared" si="8"/>
        <v>0</v>
      </c>
      <c r="AI159" s="30">
        <f t="shared" si="9"/>
        <v>1.0402553628314843E-2</v>
      </c>
    </row>
    <row r="160" spans="2:35" ht="15.75" thickBot="1" x14ac:dyDescent="0.2">
      <c r="B160" t="s">
        <v>174</v>
      </c>
      <c r="C160" s="22">
        <f>VLOOKUP(B160,[1]SYS!$F$5:$G$360,2,FALSE)</f>
        <v>155</v>
      </c>
      <c r="D160" s="34" t="str">
        <f>VLOOKUP(C160,[1]SYS!$G$5:$H$360,2,FALSE)</f>
        <v>川越変電所</v>
      </c>
      <c r="E160" s="37">
        <v>0</v>
      </c>
      <c r="F160" s="26">
        <v>0</v>
      </c>
      <c r="G160" s="26">
        <v>0</v>
      </c>
      <c r="H160" s="35">
        <v>0.1210024016477964</v>
      </c>
      <c r="I160" s="26">
        <v>0</v>
      </c>
      <c r="J160" s="26">
        <v>0</v>
      </c>
      <c r="K160" s="26">
        <v>0</v>
      </c>
      <c r="L160" s="26">
        <v>0</v>
      </c>
      <c r="M160" s="63">
        <v>0</v>
      </c>
      <c r="N160" s="37">
        <v>0</v>
      </c>
      <c r="O160" s="26">
        <v>0</v>
      </c>
      <c r="P160" s="26">
        <v>0</v>
      </c>
      <c r="Q160" s="26">
        <v>0</v>
      </c>
      <c r="R160" s="26">
        <v>0</v>
      </c>
      <c r="S160" s="26">
        <v>0</v>
      </c>
      <c r="T160" s="26">
        <v>0</v>
      </c>
      <c r="U160" s="26">
        <v>0</v>
      </c>
      <c r="V160" s="27">
        <v>0</v>
      </c>
      <c r="W160" s="68">
        <v>0</v>
      </c>
      <c r="X160" s="30">
        <v>0</v>
      </c>
      <c r="Y160" s="30">
        <v>0</v>
      </c>
      <c r="Z160" s="1">
        <v>9.338849111764861E-3</v>
      </c>
      <c r="AA160" s="30">
        <v>0</v>
      </c>
      <c r="AB160" s="30">
        <v>0</v>
      </c>
      <c r="AC160" s="30">
        <v>0</v>
      </c>
      <c r="AD160" s="30">
        <v>0</v>
      </c>
      <c r="AE160" s="25">
        <v>0</v>
      </c>
      <c r="AG160" s="30">
        <f t="shared" si="7"/>
        <v>0.1210024016477964</v>
      </c>
      <c r="AH160" s="30">
        <f t="shared" si="8"/>
        <v>0</v>
      </c>
      <c r="AI160" s="30">
        <f t="shared" si="9"/>
        <v>9.338849111764861E-3</v>
      </c>
    </row>
    <row r="161" spans="2:35" ht="15.75" thickBot="1" x14ac:dyDescent="0.2">
      <c r="B161" t="s">
        <v>175</v>
      </c>
      <c r="C161" s="22">
        <f>VLOOKUP(B161,[1]SYS!$F$5:$G$360,2,FALSE)</f>
        <v>156</v>
      </c>
      <c r="D161" s="34" t="str">
        <f>VLOOKUP(C161,[1]SYS!$G$5:$H$360,2,FALSE)</f>
        <v>海部開閉所</v>
      </c>
      <c r="E161" s="37">
        <v>0</v>
      </c>
      <c r="F161" s="26">
        <v>0</v>
      </c>
      <c r="G161" s="26">
        <v>0</v>
      </c>
      <c r="H161" s="35">
        <v>4.1701721501092241E-2</v>
      </c>
      <c r="I161" s="26">
        <v>0</v>
      </c>
      <c r="J161" s="26">
        <v>0</v>
      </c>
      <c r="K161" s="26">
        <v>0</v>
      </c>
      <c r="L161" s="26">
        <v>0</v>
      </c>
      <c r="M161" s="63">
        <v>0</v>
      </c>
      <c r="N161" s="37">
        <v>0</v>
      </c>
      <c r="O161" s="26">
        <v>0</v>
      </c>
      <c r="P161" s="26">
        <v>0</v>
      </c>
      <c r="Q161" s="26">
        <v>0</v>
      </c>
      <c r="R161" s="26">
        <v>0</v>
      </c>
      <c r="S161" s="26">
        <v>0</v>
      </c>
      <c r="T161" s="26">
        <v>0</v>
      </c>
      <c r="U161" s="26">
        <v>0</v>
      </c>
      <c r="V161" s="27">
        <v>0</v>
      </c>
      <c r="W161" s="68">
        <v>0</v>
      </c>
      <c r="X161" s="30">
        <v>0</v>
      </c>
      <c r="Y161" s="30">
        <v>0</v>
      </c>
      <c r="Z161" s="1">
        <v>1.483786557583402E-2</v>
      </c>
      <c r="AA161" s="30">
        <v>0</v>
      </c>
      <c r="AB161" s="30">
        <v>0</v>
      </c>
      <c r="AC161" s="30">
        <v>0</v>
      </c>
      <c r="AD161" s="30">
        <v>0</v>
      </c>
      <c r="AE161" s="25">
        <v>0</v>
      </c>
      <c r="AG161" s="30">
        <f t="shared" si="7"/>
        <v>4.1701721501092241E-2</v>
      </c>
      <c r="AH161" s="30">
        <f t="shared" si="8"/>
        <v>0</v>
      </c>
      <c r="AI161" s="30">
        <f t="shared" si="9"/>
        <v>1.483786557583402E-2</v>
      </c>
    </row>
    <row r="162" spans="2:35" ht="15.75" thickBot="1" x14ac:dyDescent="0.2">
      <c r="B162" t="s">
        <v>176</v>
      </c>
      <c r="C162" s="22">
        <f>VLOOKUP(B162,[1]SYS!$F$5:$G$360,2,FALSE)</f>
        <v>157</v>
      </c>
      <c r="D162" s="34" t="str">
        <f>VLOOKUP(C162,[1]SYS!$G$5:$H$360,2,FALSE)</f>
        <v>牛島町変電所</v>
      </c>
      <c r="E162" s="37">
        <v>0</v>
      </c>
      <c r="F162" s="26">
        <v>0</v>
      </c>
      <c r="G162" s="26">
        <v>0</v>
      </c>
      <c r="H162" s="35">
        <v>0.10892130783018106</v>
      </c>
      <c r="I162" s="26">
        <v>0</v>
      </c>
      <c r="J162" s="26">
        <v>0</v>
      </c>
      <c r="K162" s="26">
        <v>0</v>
      </c>
      <c r="L162" s="26">
        <v>0</v>
      </c>
      <c r="M162" s="63">
        <v>0</v>
      </c>
      <c r="N162" s="37">
        <v>0</v>
      </c>
      <c r="O162" s="26">
        <v>0</v>
      </c>
      <c r="P162" s="26">
        <v>0</v>
      </c>
      <c r="Q162" s="26">
        <v>0</v>
      </c>
      <c r="R162" s="26">
        <v>0</v>
      </c>
      <c r="S162" s="26">
        <v>0</v>
      </c>
      <c r="T162" s="26">
        <v>0</v>
      </c>
      <c r="U162" s="26">
        <v>0</v>
      </c>
      <c r="V162" s="27">
        <v>0</v>
      </c>
      <c r="W162" s="68">
        <v>0</v>
      </c>
      <c r="X162" s="30">
        <v>0</v>
      </c>
      <c r="Y162" s="30">
        <v>0</v>
      </c>
      <c r="Z162" s="1">
        <v>1.6359244651645351E-2</v>
      </c>
      <c r="AA162" s="30">
        <v>0</v>
      </c>
      <c r="AB162" s="30">
        <v>0</v>
      </c>
      <c r="AC162" s="30">
        <v>0</v>
      </c>
      <c r="AD162" s="30">
        <v>0</v>
      </c>
      <c r="AE162" s="25">
        <v>0</v>
      </c>
      <c r="AG162" s="30">
        <f t="shared" si="7"/>
        <v>0.10892130783018106</v>
      </c>
      <c r="AH162" s="30">
        <f t="shared" si="8"/>
        <v>0</v>
      </c>
      <c r="AI162" s="30">
        <f t="shared" si="9"/>
        <v>1.6359244651645351E-2</v>
      </c>
    </row>
    <row r="163" spans="2:35" ht="15.75" thickBot="1" x14ac:dyDescent="0.2">
      <c r="B163" t="s">
        <v>177</v>
      </c>
      <c r="C163" s="22">
        <f>VLOOKUP(B163,[1]SYS!$F$5:$G$360,2,FALSE)</f>
        <v>158</v>
      </c>
      <c r="D163" s="34" t="str">
        <f>VLOOKUP(C163,[1]SYS!$G$5:$H$360,2,FALSE)</f>
        <v>名城変電所</v>
      </c>
      <c r="E163" s="37">
        <v>0</v>
      </c>
      <c r="F163" s="26">
        <v>0</v>
      </c>
      <c r="G163" s="26">
        <v>0</v>
      </c>
      <c r="H163" s="35">
        <v>4.1041950158104343E-3</v>
      </c>
      <c r="I163" s="26">
        <v>0</v>
      </c>
      <c r="J163" s="26">
        <v>0</v>
      </c>
      <c r="K163" s="26">
        <v>0</v>
      </c>
      <c r="L163" s="26">
        <v>0</v>
      </c>
      <c r="M163" s="63">
        <v>0</v>
      </c>
      <c r="N163" s="37">
        <v>0</v>
      </c>
      <c r="O163" s="26">
        <v>0</v>
      </c>
      <c r="P163" s="26">
        <v>0</v>
      </c>
      <c r="Q163" s="26">
        <v>0</v>
      </c>
      <c r="R163" s="26">
        <v>0</v>
      </c>
      <c r="S163" s="26">
        <v>0</v>
      </c>
      <c r="T163" s="26">
        <v>0</v>
      </c>
      <c r="U163" s="26">
        <v>0</v>
      </c>
      <c r="V163" s="27">
        <v>0</v>
      </c>
      <c r="W163" s="68">
        <v>0</v>
      </c>
      <c r="X163" s="30">
        <v>0</v>
      </c>
      <c r="Y163" s="30">
        <v>0</v>
      </c>
      <c r="Z163" s="1">
        <v>4.3836656116783201E-3</v>
      </c>
      <c r="AA163" s="30">
        <v>0</v>
      </c>
      <c r="AB163" s="30">
        <v>0</v>
      </c>
      <c r="AC163" s="30">
        <v>0</v>
      </c>
      <c r="AD163" s="30">
        <v>0</v>
      </c>
      <c r="AE163" s="25">
        <v>0</v>
      </c>
      <c r="AG163" s="30">
        <f t="shared" si="7"/>
        <v>4.1041950158104343E-3</v>
      </c>
      <c r="AH163" s="30">
        <f t="shared" si="8"/>
        <v>0</v>
      </c>
      <c r="AI163" s="30">
        <f t="shared" si="9"/>
        <v>4.3836656116783201E-3</v>
      </c>
    </row>
    <row r="164" spans="2:35" ht="15.75" thickBot="1" x14ac:dyDescent="0.2">
      <c r="B164" t="s">
        <v>178</v>
      </c>
      <c r="C164" s="22">
        <f>VLOOKUP(B164,[1]SYS!$F$5:$G$360,2,FALSE)</f>
        <v>159</v>
      </c>
      <c r="D164" s="34" t="str">
        <f>VLOOKUP(C164,[1]SYS!$G$5:$H$360,2,FALSE)</f>
        <v>松ヶ枝変電所</v>
      </c>
      <c r="E164" s="37">
        <v>0</v>
      </c>
      <c r="F164" s="26">
        <v>0</v>
      </c>
      <c r="G164" s="26">
        <v>0</v>
      </c>
      <c r="H164" s="35">
        <v>2.3279007837344289E-2</v>
      </c>
      <c r="I164" s="26">
        <v>0</v>
      </c>
      <c r="J164" s="26">
        <v>0</v>
      </c>
      <c r="K164" s="26">
        <v>0</v>
      </c>
      <c r="L164" s="26">
        <v>0</v>
      </c>
      <c r="M164" s="63">
        <v>0</v>
      </c>
      <c r="N164" s="37">
        <v>0</v>
      </c>
      <c r="O164" s="26">
        <v>0</v>
      </c>
      <c r="P164" s="26">
        <v>0</v>
      </c>
      <c r="Q164" s="26">
        <v>0</v>
      </c>
      <c r="R164" s="26">
        <v>0</v>
      </c>
      <c r="S164" s="26">
        <v>0</v>
      </c>
      <c r="T164" s="26">
        <v>0</v>
      </c>
      <c r="U164" s="26">
        <v>0</v>
      </c>
      <c r="V164" s="27">
        <v>0</v>
      </c>
      <c r="W164" s="68">
        <v>0</v>
      </c>
      <c r="X164" s="30">
        <v>0</v>
      </c>
      <c r="Y164" s="30">
        <v>0</v>
      </c>
      <c r="Z164" s="1">
        <v>5.6000172103873032E-4</v>
      </c>
      <c r="AA164" s="30">
        <v>0</v>
      </c>
      <c r="AB164" s="30">
        <v>0</v>
      </c>
      <c r="AC164" s="30">
        <v>0</v>
      </c>
      <c r="AD164" s="30">
        <v>0</v>
      </c>
      <c r="AE164" s="25">
        <v>0</v>
      </c>
      <c r="AG164" s="30">
        <f t="shared" si="7"/>
        <v>2.3279007837344289E-2</v>
      </c>
      <c r="AH164" s="30">
        <f t="shared" si="8"/>
        <v>0</v>
      </c>
      <c r="AI164" s="30">
        <f t="shared" si="9"/>
        <v>5.6000172103873032E-4</v>
      </c>
    </row>
    <row r="165" spans="2:35" ht="15.75" thickBot="1" x14ac:dyDescent="0.2">
      <c r="B165" t="s">
        <v>179</v>
      </c>
      <c r="C165" s="22">
        <f>VLOOKUP(B165,[1]SYS!$F$5:$G$360,2,FALSE)</f>
        <v>160</v>
      </c>
      <c r="D165" s="34" t="str">
        <f>VLOOKUP(C165,[1]SYS!$G$5:$H$360,2,FALSE)</f>
        <v>西濃開閉所</v>
      </c>
      <c r="E165" s="37">
        <v>0</v>
      </c>
      <c r="F165" s="26">
        <v>0</v>
      </c>
      <c r="G165" s="26">
        <v>0</v>
      </c>
      <c r="H165" s="35">
        <v>1.6652773132362691E-3</v>
      </c>
      <c r="I165" s="26">
        <v>0</v>
      </c>
      <c r="J165" s="26">
        <v>0</v>
      </c>
      <c r="K165" s="26">
        <v>0</v>
      </c>
      <c r="L165" s="26">
        <v>0</v>
      </c>
      <c r="M165" s="63">
        <v>0</v>
      </c>
      <c r="N165" s="37">
        <v>0</v>
      </c>
      <c r="O165" s="26">
        <v>0</v>
      </c>
      <c r="P165" s="26">
        <v>0</v>
      </c>
      <c r="Q165" s="26">
        <v>0</v>
      </c>
      <c r="R165" s="26">
        <v>0</v>
      </c>
      <c r="S165" s="26">
        <v>0</v>
      </c>
      <c r="T165" s="26">
        <v>0</v>
      </c>
      <c r="U165" s="26">
        <v>0</v>
      </c>
      <c r="V165" s="27">
        <v>0</v>
      </c>
      <c r="W165" s="68">
        <v>0</v>
      </c>
      <c r="X165" s="30">
        <v>0</v>
      </c>
      <c r="Y165" s="30">
        <v>0</v>
      </c>
      <c r="Z165" s="1">
        <v>4.5314546864263505E-2</v>
      </c>
      <c r="AA165" s="30">
        <v>0</v>
      </c>
      <c r="AB165" s="30">
        <v>0</v>
      </c>
      <c r="AC165" s="30">
        <v>0</v>
      </c>
      <c r="AD165" s="30">
        <v>0</v>
      </c>
      <c r="AE165" s="25">
        <v>0</v>
      </c>
      <c r="AG165" s="30">
        <f t="shared" si="7"/>
        <v>1.6652773132362691E-3</v>
      </c>
      <c r="AH165" s="30">
        <f t="shared" si="8"/>
        <v>0</v>
      </c>
      <c r="AI165" s="30">
        <f t="shared" si="9"/>
        <v>4.5314546864263505E-2</v>
      </c>
    </row>
    <row r="166" spans="2:35" ht="15.75" thickBot="1" x14ac:dyDescent="0.2">
      <c r="B166" t="s">
        <v>180</v>
      </c>
      <c r="C166" s="22">
        <f>VLOOKUP(B166,[1]SYS!$F$5:$G$360,2,FALSE)</f>
        <v>161</v>
      </c>
      <c r="D166" s="34" t="str">
        <f>VLOOKUP(C166,[1]SYS!$G$5:$H$360,2,FALSE)</f>
        <v>中濃変電所</v>
      </c>
      <c r="E166" s="37">
        <v>0</v>
      </c>
      <c r="F166" s="26">
        <v>0</v>
      </c>
      <c r="G166" s="26">
        <v>0</v>
      </c>
      <c r="H166" s="35">
        <v>7.2315967903205359E-4</v>
      </c>
      <c r="I166" s="26">
        <v>0</v>
      </c>
      <c r="J166" s="26">
        <v>0</v>
      </c>
      <c r="K166" s="26">
        <v>0</v>
      </c>
      <c r="L166" s="26">
        <v>0</v>
      </c>
      <c r="M166" s="63">
        <v>0</v>
      </c>
      <c r="N166" s="37">
        <v>0</v>
      </c>
      <c r="O166" s="26">
        <v>0</v>
      </c>
      <c r="P166" s="26">
        <v>0</v>
      </c>
      <c r="Q166" s="26">
        <v>0</v>
      </c>
      <c r="R166" s="26">
        <v>0</v>
      </c>
      <c r="S166" s="26">
        <v>0</v>
      </c>
      <c r="T166" s="26">
        <v>0</v>
      </c>
      <c r="U166" s="26">
        <v>0</v>
      </c>
      <c r="V166" s="27">
        <v>0</v>
      </c>
      <c r="W166" s="68">
        <v>0</v>
      </c>
      <c r="X166" s="30">
        <v>0</v>
      </c>
      <c r="Y166" s="30">
        <v>0</v>
      </c>
      <c r="Z166" s="1">
        <v>1.8004865596824467E-2</v>
      </c>
      <c r="AA166" s="30">
        <v>0</v>
      </c>
      <c r="AB166" s="30">
        <v>0</v>
      </c>
      <c r="AC166" s="30">
        <v>0</v>
      </c>
      <c r="AD166" s="30">
        <v>0</v>
      </c>
      <c r="AE166" s="25">
        <v>0</v>
      </c>
      <c r="AG166" s="30">
        <f t="shared" si="7"/>
        <v>7.2315967903205359E-4</v>
      </c>
      <c r="AH166" s="30">
        <f t="shared" si="8"/>
        <v>0</v>
      </c>
      <c r="AI166" s="30">
        <f t="shared" si="9"/>
        <v>1.8004865596824467E-2</v>
      </c>
    </row>
    <row r="167" spans="2:35" ht="15.75" thickBot="1" x14ac:dyDescent="0.2">
      <c r="B167" t="s">
        <v>181</v>
      </c>
      <c r="C167" s="22">
        <f>VLOOKUP(B167,[1]SYS!$F$5:$G$360,2,FALSE)</f>
        <v>162</v>
      </c>
      <c r="D167" s="34" t="str">
        <f>VLOOKUP(C167,[1]SYS!$G$5:$H$360,2,FALSE)</f>
        <v>犬山変電所</v>
      </c>
      <c r="E167" s="37">
        <v>0</v>
      </c>
      <c r="F167" s="26">
        <v>0</v>
      </c>
      <c r="G167" s="26">
        <v>0</v>
      </c>
      <c r="H167" s="35">
        <v>8.0760793807813243E-5</v>
      </c>
      <c r="I167" s="26">
        <v>0</v>
      </c>
      <c r="J167" s="26">
        <v>0</v>
      </c>
      <c r="K167" s="26">
        <v>0</v>
      </c>
      <c r="L167" s="26">
        <v>0</v>
      </c>
      <c r="M167" s="63">
        <v>0</v>
      </c>
      <c r="N167" s="37">
        <v>0</v>
      </c>
      <c r="O167" s="26">
        <v>0</v>
      </c>
      <c r="P167" s="26">
        <v>0</v>
      </c>
      <c r="Q167" s="26">
        <v>0</v>
      </c>
      <c r="R167" s="26">
        <v>0</v>
      </c>
      <c r="S167" s="26">
        <v>0</v>
      </c>
      <c r="T167" s="26">
        <v>0</v>
      </c>
      <c r="U167" s="26">
        <v>0</v>
      </c>
      <c r="V167" s="27">
        <v>0</v>
      </c>
      <c r="W167" s="68">
        <v>0</v>
      </c>
      <c r="X167" s="30">
        <v>0</v>
      </c>
      <c r="Y167" s="30">
        <v>0</v>
      </c>
      <c r="Z167" s="1">
        <v>3.1298048713027958E-2</v>
      </c>
      <c r="AA167" s="30">
        <v>0</v>
      </c>
      <c r="AB167" s="30">
        <v>0</v>
      </c>
      <c r="AC167" s="30">
        <v>0</v>
      </c>
      <c r="AD167" s="30">
        <v>0</v>
      </c>
      <c r="AE167" s="25">
        <v>0</v>
      </c>
      <c r="AG167" s="30">
        <f t="shared" si="7"/>
        <v>8.0760793807813243E-5</v>
      </c>
      <c r="AH167" s="30">
        <f t="shared" si="8"/>
        <v>0</v>
      </c>
      <c r="AI167" s="30">
        <f t="shared" si="9"/>
        <v>3.1298048713027958E-2</v>
      </c>
    </row>
    <row r="168" spans="2:35" ht="15.75" thickBot="1" x14ac:dyDescent="0.2">
      <c r="B168" t="s">
        <v>182</v>
      </c>
      <c r="C168" s="22">
        <f>VLOOKUP(B168,[1]SYS!$F$5:$G$360,2,FALSE)</f>
        <v>163</v>
      </c>
      <c r="D168" s="34" t="str">
        <f>VLOOKUP(C168,[1]SYS!$G$5:$H$360,2,FALSE)</f>
        <v>馬瀬一変電所</v>
      </c>
      <c r="E168" s="37">
        <v>0</v>
      </c>
      <c r="F168" s="26">
        <v>0</v>
      </c>
      <c r="G168" s="26">
        <v>0</v>
      </c>
      <c r="H168" s="35">
        <v>0</v>
      </c>
      <c r="I168" s="26">
        <v>0</v>
      </c>
      <c r="J168" s="26">
        <v>0</v>
      </c>
      <c r="K168" s="26">
        <v>0</v>
      </c>
      <c r="L168" s="26">
        <v>0</v>
      </c>
      <c r="M168" s="63">
        <v>0</v>
      </c>
      <c r="N168" s="37">
        <v>0</v>
      </c>
      <c r="O168" s="26">
        <v>0</v>
      </c>
      <c r="P168" s="26">
        <v>0</v>
      </c>
      <c r="Q168" s="26">
        <v>0</v>
      </c>
      <c r="R168" s="26">
        <v>0</v>
      </c>
      <c r="S168" s="26">
        <v>0</v>
      </c>
      <c r="T168" s="26">
        <v>0</v>
      </c>
      <c r="U168" s="26">
        <v>0</v>
      </c>
      <c r="V168" s="27">
        <v>0</v>
      </c>
      <c r="W168" s="68">
        <v>0</v>
      </c>
      <c r="X168" s="30">
        <v>0</v>
      </c>
      <c r="Y168" s="30">
        <v>0</v>
      </c>
      <c r="Z168" s="1">
        <v>4.2210678358396373E-3</v>
      </c>
      <c r="AA168" s="30">
        <v>0</v>
      </c>
      <c r="AB168" s="30">
        <v>0</v>
      </c>
      <c r="AC168" s="30">
        <v>0</v>
      </c>
      <c r="AD168" s="30">
        <v>0</v>
      </c>
      <c r="AE168" s="25">
        <v>0</v>
      </c>
      <c r="AG168" s="30">
        <f t="shared" si="7"/>
        <v>0</v>
      </c>
      <c r="AH168" s="30">
        <f t="shared" si="8"/>
        <v>0</v>
      </c>
      <c r="AI168" s="30">
        <f t="shared" si="9"/>
        <v>4.2210678358396373E-3</v>
      </c>
    </row>
    <row r="169" spans="2:35" ht="15.75" thickBot="1" x14ac:dyDescent="0.2">
      <c r="B169" t="s">
        <v>183</v>
      </c>
      <c r="C169" s="22">
        <f>VLOOKUP(B169,[1]SYS!$F$5:$G$360,2,FALSE)</f>
        <v>164</v>
      </c>
      <c r="D169" s="34" t="str">
        <f>VLOOKUP(C169,[1]SYS!$G$5:$H$360,2,FALSE)</f>
        <v>馬瀬変電所</v>
      </c>
      <c r="E169" s="37">
        <v>0</v>
      </c>
      <c r="F169" s="26">
        <v>0</v>
      </c>
      <c r="G169" s="26">
        <v>0</v>
      </c>
      <c r="H169" s="35">
        <v>3.5237347652775346E-6</v>
      </c>
      <c r="I169" s="26">
        <v>0</v>
      </c>
      <c r="J169" s="26">
        <v>0</v>
      </c>
      <c r="K169" s="26">
        <v>0</v>
      </c>
      <c r="L169" s="26">
        <v>0</v>
      </c>
      <c r="M169" s="63">
        <v>0</v>
      </c>
      <c r="N169" s="37">
        <v>0</v>
      </c>
      <c r="O169" s="26">
        <v>0</v>
      </c>
      <c r="P169" s="26">
        <v>0</v>
      </c>
      <c r="Q169" s="26">
        <v>0</v>
      </c>
      <c r="R169" s="26">
        <v>0</v>
      </c>
      <c r="S169" s="26">
        <v>0</v>
      </c>
      <c r="T169" s="26">
        <v>0</v>
      </c>
      <c r="U169" s="26">
        <v>0</v>
      </c>
      <c r="V169" s="27">
        <v>0</v>
      </c>
      <c r="W169" s="68">
        <v>0</v>
      </c>
      <c r="X169" s="30">
        <v>0</v>
      </c>
      <c r="Y169" s="30">
        <v>0</v>
      </c>
      <c r="Z169" s="1">
        <v>2.6899216368972915E-3</v>
      </c>
      <c r="AA169" s="30">
        <v>0</v>
      </c>
      <c r="AB169" s="30">
        <v>0</v>
      </c>
      <c r="AC169" s="30">
        <v>0</v>
      </c>
      <c r="AD169" s="30">
        <v>0</v>
      </c>
      <c r="AE169" s="25">
        <v>0</v>
      </c>
      <c r="AG169" s="30">
        <f t="shared" si="7"/>
        <v>3.5237347652775346E-6</v>
      </c>
      <c r="AH169" s="30">
        <f t="shared" si="8"/>
        <v>0</v>
      </c>
      <c r="AI169" s="30">
        <f t="shared" si="9"/>
        <v>2.6899216368972915E-3</v>
      </c>
    </row>
    <row r="170" spans="2:35" ht="15.75" thickBot="1" x14ac:dyDescent="0.2">
      <c r="B170" t="s">
        <v>184</v>
      </c>
      <c r="C170" s="22">
        <f>VLOOKUP(B170,[1]SYS!$F$5:$G$360,2,FALSE)</f>
        <v>165</v>
      </c>
      <c r="D170" s="34" t="str">
        <f>VLOOKUP(C170,[1]SYS!$G$5:$H$360,2,FALSE)</f>
        <v>高根変電所</v>
      </c>
      <c r="E170" s="37">
        <v>0</v>
      </c>
      <c r="F170" s="26">
        <v>0</v>
      </c>
      <c r="G170" s="26">
        <v>0</v>
      </c>
      <c r="H170" s="35">
        <v>0</v>
      </c>
      <c r="I170" s="26">
        <v>0</v>
      </c>
      <c r="J170" s="26">
        <v>0</v>
      </c>
      <c r="K170" s="26">
        <v>0</v>
      </c>
      <c r="L170" s="26">
        <v>0</v>
      </c>
      <c r="M170" s="63">
        <v>0</v>
      </c>
      <c r="N170" s="37">
        <v>0</v>
      </c>
      <c r="O170" s="26">
        <v>0</v>
      </c>
      <c r="P170" s="26">
        <v>0</v>
      </c>
      <c r="Q170" s="26">
        <v>0</v>
      </c>
      <c r="R170" s="26">
        <v>0</v>
      </c>
      <c r="S170" s="26">
        <v>0</v>
      </c>
      <c r="T170" s="26">
        <v>0</v>
      </c>
      <c r="U170" s="26">
        <v>0</v>
      </c>
      <c r="V170" s="27">
        <v>0</v>
      </c>
      <c r="W170" s="68">
        <v>0</v>
      </c>
      <c r="X170" s="30">
        <v>0</v>
      </c>
      <c r="Y170" s="30">
        <v>0</v>
      </c>
      <c r="Z170" s="1">
        <v>8.2641675504721082E-3</v>
      </c>
      <c r="AA170" s="30">
        <v>0</v>
      </c>
      <c r="AB170" s="30">
        <v>0</v>
      </c>
      <c r="AC170" s="30">
        <v>0</v>
      </c>
      <c r="AD170" s="30">
        <v>0</v>
      </c>
      <c r="AE170" s="25">
        <v>0</v>
      </c>
      <c r="AG170" s="30">
        <f t="shared" si="7"/>
        <v>0</v>
      </c>
      <c r="AH170" s="30">
        <f t="shared" si="8"/>
        <v>0</v>
      </c>
      <c r="AI170" s="30">
        <f t="shared" si="9"/>
        <v>8.2641675504721082E-3</v>
      </c>
    </row>
    <row r="171" spans="2:35" ht="15.75" thickBot="1" x14ac:dyDescent="0.2">
      <c r="B171" t="s">
        <v>185</v>
      </c>
      <c r="C171" s="22">
        <f>VLOOKUP(B171,[1]SYS!$F$5:$G$360,2,FALSE)</f>
        <v>166</v>
      </c>
      <c r="D171" s="34" t="str">
        <f>VLOOKUP(C171,[1]SYS!$G$5:$H$360,2,FALSE)</f>
        <v>中信変電所</v>
      </c>
      <c r="E171" s="37">
        <v>0</v>
      </c>
      <c r="F171" s="26">
        <v>0</v>
      </c>
      <c r="G171" s="26">
        <v>0</v>
      </c>
      <c r="H171" s="35">
        <v>2.1757748738034363E-2</v>
      </c>
      <c r="I171" s="26">
        <v>0</v>
      </c>
      <c r="J171" s="26">
        <v>0</v>
      </c>
      <c r="K171" s="26">
        <v>0</v>
      </c>
      <c r="L171" s="26">
        <v>0</v>
      </c>
      <c r="M171" s="63">
        <v>0</v>
      </c>
      <c r="N171" s="37">
        <v>0</v>
      </c>
      <c r="O171" s="26">
        <v>0</v>
      </c>
      <c r="P171" s="26">
        <v>0</v>
      </c>
      <c r="Q171" s="26">
        <v>0</v>
      </c>
      <c r="R171" s="26">
        <v>0</v>
      </c>
      <c r="S171" s="26">
        <v>0</v>
      </c>
      <c r="T171" s="26">
        <v>0</v>
      </c>
      <c r="U171" s="26">
        <v>0</v>
      </c>
      <c r="V171" s="27">
        <v>0</v>
      </c>
      <c r="W171" s="68">
        <v>0</v>
      </c>
      <c r="X171" s="30">
        <v>0</v>
      </c>
      <c r="Y171" s="30">
        <v>0</v>
      </c>
      <c r="Z171" s="1">
        <v>6.9070969276872765E-3</v>
      </c>
      <c r="AA171" s="30">
        <v>0</v>
      </c>
      <c r="AB171" s="30">
        <v>0</v>
      </c>
      <c r="AC171" s="30">
        <v>0</v>
      </c>
      <c r="AD171" s="30">
        <v>0</v>
      </c>
      <c r="AE171" s="25">
        <v>0</v>
      </c>
      <c r="AG171" s="30">
        <f t="shared" si="7"/>
        <v>2.1757748738034363E-2</v>
      </c>
      <c r="AH171" s="30">
        <f t="shared" si="8"/>
        <v>0</v>
      </c>
      <c r="AI171" s="30">
        <f t="shared" si="9"/>
        <v>6.9070969276872765E-3</v>
      </c>
    </row>
    <row r="172" spans="2:35" ht="15.75" thickBot="1" x14ac:dyDescent="0.2">
      <c r="B172" t="s">
        <v>186</v>
      </c>
      <c r="C172" s="22">
        <f>VLOOKUP(B172,[1]SYS!$F$5:$G$360,2,FALSE)</f>
        <v>167</v>
      </c>
      <c r="D172" s="34" t="str">
        <f>VLOOKUP(C172,[1]SYS!$G$5:$H$360,2,FALSE)</f>
        <v>東信変電所</v>
      </c>
      <c r="E172" s="37">
        <v>0</v>
      </c>
      <c r="F172" s="26">
        <v>0</v>
      </c>
      <c r="G172" s="26">
        <v>0</v>
      </c>
      <c r="H172" s="35">
        <v>4.1119793794268909E-3</v>
      </c>
      <c r="I172" s="26">
        <v>0</v>
      </c>
      <c r="J172" s="26">
        <v>0</v>
      </c>
      <c r="K172" s="26">
        <v>0</v>
      </c>
      <c r="L172" s="26">
        <v>0</v>
      </c>
      <c r="M172" s="63">
        <v>0</v>
      </c>
      <c r="N172" s="37">
        <v>0</v>
      </c>
      <c r="O172" s="26">
        <v>0</v>
      </c>
      <c r="P172" s="26">
        <v>0</v>
      </c>
      <c r="Q172" s="26">
        <v>0</v>
      </c>
      <c r="R172" s="26">
        <v>0</v>
      </c>
      <c r="S172" s="26">
        <v>0</v>
      </c>
      <c r="T172" s="26">
        <v>0</v>
      </c>
      <c r="U172" s="26">
        <v>0</v>
      </c>
      <c r="V172" s="27">
        <v>0</v>
      </c>
      <c r="W172" s="68">
        <v>0</v>
      </c>
      <c r="X172" s="30">
        <v>0</v>
      </c>
      <c r="Y172" s="30">
        <v>0</v>
      </c>
      <c r="Z172" s="1">
        <v>3.1155644938102991E-2</v>
      </c>
      <c r="AA172" s="30">
        <v>0</v>
      </c>
      <c r="AB172" s="30">
        <v>0</v>
      </c>
      <c r="AC172" s="30">
        <v>0</v>
      </c>
      <c r="AD172" s="30">
        <v>0</v>
      </c>
      <c r="AE172" s="25">
        <v>0</v>
      </c>
      <c r="AG172" s="30">
        <f t="shared" si="7"/>
        <v>4.1119793794268909E-3</v>
      </c>
      <c r="AH172" s="30">
        <f t="shared" si="8"/>
        <v>0</v>
      </c>
      <c r="AI172" s="30">
        <f t="shared" si="9"/>
        <v>3.1155644938102991E-2</v>
      </c>
    </row>
    <row r="173" spans="2:35" ht="15.75" thickBot="1" x14ac:dyDescent="0.2">
      <c r="B173" t="s">
        <v>187</v>
      </c>
      <c r="C173" s="22">
        <f>VLOOKUP(B173,[1]SYS!$F$5:$G$360,2,FALSE)</f>
        <v>168</v>
      </c>
      <c r="D173" s="34" t="str">
        <f>VLOOKUP(C173,[1]SYS!$G$5:$H$360,2,FALSE)</f>
        <v>新北信変電所</v>
      </c>
      <c r="E173" s="37">
        <v>0</v>
      </c>
      <c r="F173" s="26">
        <v>0</v>
      </c>
      <c r="G173" s="26">
        <v>0</v>
      </c>
      <c r="H173" s="35">
        <v>6.1963555778488783E-4</v>
      </c>
      <c r="I173" s="26">
        <v>0</v>
      </c>
      <c r="J173" s="26">
        <v>0</v>
      </c>
      <c r="K173" s="26">
        <v>0</v>
      </c>
      <c r="L173" s="26">
        <v>0</v>
      </c>
      <c r="M173" s="63">
        <v>0</v>
      </c>
      <c r="N173" s="37">
        <v>0</v>
      </c>
      <c r="O173" s="26">
        <v>0</v>
      </c>
      <c r="P173" s="26">
        <v>0</v>
      </c>
      <c r="Q173" s="26">
        <v>0</v>
      </c>
      <c r="R173" s="26">
        <v>0</v>
      </c>
      <c r="S173" s="26">
        <v>0</v>
      </c>
      <c r="T173" s="26">
        <v>0</v>
      </c>
      <c r="U173" s="26">
        <v>0</v>
      </c>
      <c r="V173" s="27">
        <v>0</v>
      </c>
      <c r="W173" s="68">
        <v>0</v>
      </c>
      <c r="X173" s="30">
        <v>0</v>
      </c>
      <c r="Y173" s="30">
        <v>0</v>
      </c>
      <c r="Z173" s="1">
        <v>2.2327003644629237E-2</v>
      </c>
      <c r="AA173" s="30">
        <v>0</v>
      </c>
      <c r="AB173" s="30">
        <v>0</v>
      </c>
      <c r="AC173" s="30">
        <v>0</v>
      </c>
      <c r="AD173" s="30">
        <v>0</v>
      </c>
      <c r="AE173" s="25">
        <v>0</v>
      </c>
      <c r="AG173" s="30">
        <f t="shared" si="7"/>
        <v>6.1963555778488783E-4</v>
      </c>
      <c r="AH173" s="30">
        <f t="shared" si="8"/>
        <v>0</v>
      </c>
      <c r="AI173" s="30">
        <f t="shared" si="9"/>
        <v>2.2327003644629237E-2</v>
      </c>
    </row>
    <row r="174" spans="2:35" ht="15.75" thickBot="1" x14ac:dyDescent="0.2">
      <c r="B174" t="s">
        <v>188</v>
      </c>
      <c r="C174" s="22">
        <f>VLOOKUP(B174,[1]SYS!$F$5:$G$360,2,FALSE)</f>
        <v>169</v>
      </c>
      <c r="D174" s="34" t="str">
        <f>VLOOKUP(C174,[1]SYS!$G$5:$H$360,2,FALSE)</f>
        <v>佐久変電所</v>
      </c>
      <c r="E174" s="37">
        <v>0</v>
      </c>
      <c r="F174" s="26">
        <v>0</v>
      </c>
      <c r="G174" s="26">
        <v>0</v>
      </c>
      <c r="H174" s="35">
        <v>4.0979048478483042E-2</v>
      </c>
      <c r="I174" s="26">
        <v>0</v>
      </c>
      <c r="J174" s="26">
        <v>0</v>
      </c>
      <c r="K174" s="26">
        <v>0</v>
      </c>
      <c r="L174" s="26">
        <v>0</v>
      </c>
      <c r="M174" s="63">
        <v>0</v>
      </c>
      <c r="N174" s="37">
        <v>0</v>
      </c>
      <c r="O174" s="26">
        <v>0</v>
      </c>
      <c r="P174" s="26">
        <v>0</v>
      </c>
      <c r="Q174" s="26">
        <v>0</v>
      </c>
      <c r="R174" s="26">
        <v>0</v>
      </c>
      <c r="S174" s="26">
        <v>0</v>
      </c>
      <c r="T174" s="26">
        <v>0</v>
      </c>
      <c r="U174" s="26">
        <v>0</v>
      </c>
      <c r="V174" s="27">
        <v>0</v>
      </c>
      <c r="W174" s="68">
        <v>0</v>
      </c>
      <c r="X174" s="30">
        <v>0</v>
      </c>
      <c r="Y174" s="30">
        <v>0</v>
      </c>
      <c r="Z174" s="1">
        <v>3.7119981637979874E-2</v>
      </c>
      <c r="AA174" s="30">
        <v>0</v>
      </c>
      <c r="AB174" s="30">
        <v>0</v>
      </c>
      <c r="AC174" s="30">
        <v>0</v>
      </c>
      <c r="AD174" s="30">
        <v>0</v>
      </c>
      <c r="AE174" s="25">
        <v>0</v>
      </c>
      <c r="AG174" s="30">
        <f t="shared" si="7"/>
        <v>4.0979048478483042E-2</v>
      </c>
      <c r="AH174" s="30">
        <f t="shared" si="8"/>
        <v>0</v>
      </c>
      <c r="AI174" s="30">
        <f t="shared" si="9"/>
        <v>3.7119981637979874E-2</v>
      </c>
    </row>
    <row r="175" spans="2:35" ht="15.75" thickBot="1" x14ac:dyDescent="0.2">
      <c r="B175" t="s">
        <v>189</v>
      </c>
      <c r="C175" s="22">
        <f>VLOOKUP(B175,[1]SYS!$F$5:$G$360,2,FALSE)</f>
        <v>170</v>
      </c>
      <c r="D175" s="34" t="str">
        <f>VLOOKUP(C175,[1]SYS!$G$5:$H$360,2,FALSE)</f>
        <v>電名変電所</v>
      </c>
      <c r="E175" s="37">
        <v>0</v>
      </c>
      <c r="F175" s="26">
        <v>0</v>
      </c>
      <c r="G175" s="26">
        <v>0</v>
      </c>
      <c r="H175" s="35">
        <v>2.4185121452854196E-2</v>
      </c>
      <c r="I175" s="26">
        <v>0</v>
      </c>
      <c r="J175" s="26">
        <v>0</v>
      </c>
      <c r="K175" s="26">
        <v>0</v>
      </c>
      <c r="L175" s="26">
        <v>0</v>
      </c>
      <c r="M175" s="63">
        <v>0</v>
      </c>
      <c r="N175" s="37">
        <v>0</v>
      </c>
      <c r="O175" s="26">
        <v>0</v>
      </c>
      <c r="P175" s="26">
        <v>0</v>
      </c>
      <c r="Q175" s="26">
        <v>0</v>
      </c>
      <c r="R175" s="26">
        <v>0</v>
      </c>
      <c r="S175" s="26">
        <v>0</v>
      </c>
      <c r="T175" s="26">
        <v>0</v>
      </c>
      <c r="U175" s="26">
        <v>0</v>
      </c>
      <c r="V175" s="27">
        <v>0</v>
      </c>
      <c r="W175" s="68">
        <v>0</v>
      </c>
      <c r="X175" s="30">
        <v>0</v>
      </c>
      <c r="Y175" s="30">
        <v>0</v>
      </c>
      <c r="Z175" s="1">
        <v>1.1264276342387828E-2</v>
      </c>
      <c r="AA175" s="30">
        <v>0</v>
      </c>
      <c r="AB175" s="30">
        <v>0</v>
      </c>
      <c r="AC175" s="30">
        <v>0</v>
      </c>
      <c r="AD175" s="30">
        <v>0</v>
      </c>
      <c r="AE175" s="25">
        <v>0</v>
      </c>
      <c r="AG175" s="30">
        <f t="shared" si="7"/>
        <v>2.4185121452854196E-2</v>
      </c>
      <c r="AH175" s="30">
        <f t="shared" si="8"/>
        <v>0</v>
      </c>
      <c r="AI175" s="30">
        <f t="shared" si="9"/>
        <v>1.1264276342387828E-2</v>
      </c>
    </row>
    <row r="176" spans="2:35" ht="15.75" thickBot="1" x14ac:dyDescent="0.2">
      <c r="B176" t="s">
        <v>190</v>
      </c>
      <c r="C176" s="22">
        <f>VLOOKUP(B176,[1]SYS!$F$5:$G$360,2,FALSE)</f>
        <v>171</v>
      </c>
      <c r="D176" s="34" t="str">
        <f>VLOOKUP(C176,[1]SYS!$G$5:$H$360,2,FALSE)</f>
        <v>瀬戸変電所</v>
      </c>
      <c r="E176" s="37">
        <v>0</v>
      </c>
      <c r="F176" s="26">
        <v>0</v>
      </c>
      <c r="G176" s="26">
        <v>0</v>
      </c>
      <c r="H176" s="35">
        <v>2.7456308274037496E-2</v>
      </c>
      <c r="I176" s="26">
        <v>0</v>
      </c>
      <c r="J176" s="26">
        <v>0</v>
      </c>
      <c r="K176" s="26">
        <v>0</v>
      </c>
      <c r="L176" s="26">
        <v>0</v>
      </c>
      <c r="M176" s="63">
        <v>0</v>
      </c>
      <c r="N176" s="37">
        <v>0</v>
      </c>
      <c r="O176" s="26">
        <v>0</v>
      </c>
      <c r="P176" s="26">
        <v>0</v>
      </c>
      <c r="Q176" s="26">
        <v>0</v>
      </c>
      <c r="R176" s="26">
        <v>0</v>
      </c>
      <c r="S176" s="26">
        <v>0</v>
      </c>
      <c r="T176" s="26">
        <v>0</v>
      </c>
      <c r="U176" s="26">
        <v>0</v>
      </c>
      <c r="V176" s="27">
        <v>0</v>
      </c>
      <c r="W176" s="68">
        <v>0</v>
      </c>
      <c r="X176" s="30">
        <v>0</v>
      </c>
      <c r="Y176" s="30">
        <v>0</v>
      </c>
      <c r="Z176" s="1">
        <v>1.7395071031050702E-2</v>
      </c>
      <c r="AA176" s="30">
        <v>0</v>
      </c>
      <c r="AB176" s="30">
        <v>0</v>
      </c>
      <c r="AC176" s="30">
        <v>0</v>
      </c>
      <c r="AD176" s="30">
        <v>0</v>
      </c>
      <c r="AE176" s="25">
        <v>0</v>
      </c>
      <c r="AG176" s="30">
        <f t="shared" si="7"/>
        <v>2.7456308274037496E-2</v>
      </c>
      <c r="AH176" s="30">
        <f t="shared" si="8"/>
        <v>0</v>
      </c>
      <c r="AI176" s="30">
        <f t="shared" si="9"/>
        <v>1.7395071031050702E-2</v>
      </c>
    </row>
    <row r="177" spans="2:35" ht="15.75" thickBot="1" x14ac:dyDescent="0.2">
      <c r="B177" t="s">
        <v>191</v>
      </c>
      <c r="C177" s="22">
        <f>VLOOKUP(B177,[1]SYS!$F$5:$G$360,2,FALSE)</f>
        <v>172</v>
      </c>
      <c r="D177" s="34" t="str">
        <f>VLOOKUP(C177,[1]SYS!$G$5:$H$360,2,FALSE)</f>
        <v>北豊田変電所</v>
      </c>
      <c r="E177" s="37">
        <v>0</v>
      </c>
      <c r="F177" s="26">
        <v>0</v>
      </c>
      <c r="G177" s="26">
        <v>0</v>
      </c>
      <c r="H177" s="35">
        <v>2.2764856930967184E-3</v>
      </c>
      <c r="I177" s="26">
        <v>0</v>
      </c>
      <c r="J177" s="26">
        <v>0</v>
      </c>
      <c r="K177" s="26">
        <v>0</v>
      </c>
      <c r="L177" s="26">
        <v>0</v>
      </c>
      <c r="M177" s="63">
        <v>0</v>
      </c>
      <c r="N177" s="37">
        <v>0</v>
      </c>
      <c r="O177" s="26">
        <v>0</v>
      </c>
      <c r="P177" s="26">
        <v>0</v>
      </c>
      <c r="Q177" s="26">
        <v>0</v>
      </c>
      <c r="R177" s="26">
        <v>0</v>
      </c>
      <c r="S177" s="26">
        <v>0</v>
      </c>
      <c r="T177" s="26">
        <v>0</v>
      </c>
      <c r="U177" s="26">
        <v>0</v>
      </c>
      <c r="V177" s="27">
        <v>0</v>
      </c>
      <c r="W177" s="68">
        <v>0</v>
      </c>
      <c r="X177" s="30">
        <v>0</v>
      </c>
      <c r="Y177" s="30">
        <v>0</v>
      </c>
      <c r="Z177" s="1">
        <v>9.4779386631701334E-3</v>
      </c>
      <c r="AA177" s="30">
        <v>0</v>
      </c>
      <c r="AB177" s="30">
        <v>0</v>
      </c>
      <c r="AC177" s="30">
        <v>0</v>
      </c>
      <c r="AD177" s="30">
        <v>0</v>
      </c>
      <c r="AE177" s="25">
        <v>0</v>
      </c>
      <c r="AG177" s="30">
        <f t="shared" si="7"/>
        <v>2.2764856930967184E-3</v>
      </c>
      <c r="AH177" s="30">
        <f t="shared" si="8"/>
        <v>0</v>
      </c>
      <c r="AI177" s="30">
        <f t="shared" si="9"/>
        <v>9.4779386631701334E-3</v>
      </c>
    </row>
    <row r="178" spans="2:35" ht="15.75" thickBot="1" x14ac:dyDescent="0.2">
      <c r="B178" t="s">
        <v>192</v>
      </c>
      <c r="C178" s="22">
        <f>VLOOKUP(B178,[1]SYS!$F$5:$G$360,2,FALSE)</f>
        <v>173</v>
      </c>
      <c r="D178" s="34" t="str">
        <f>VLOOKUP(C178,[1]SYS!$G$5:$H$360,2,FALSE)</f>
        <v>東浦開閉所</v>
      </c>
      <c r="E178" s="37">
        <v>0</v>
      </c>
      <c r="F178" s="26">
        <v>0</v>
      </c>
      <c r="G178" s="26">
        <v>0</v>
      </c>
      <c r="H178" s="35">
        <v>4.9469213648507468E-3</v>
      </c>
      <c r="I178" s="26">
        <v>0</v>
      </c>
      <c r="J178" s="26">
        <v>0</v>
      </c>
      <c r="K178" s="26">
        <v>0</v>
      </c>
      <c r="L178" s="26">
        <v>0</v>
      </c>
      <c r="M178" s="63">
        <v>0</v>
      </c>
      <c r="N178" s="37">
        <v>0</v>
      </c>
      <c r="O178" s="26">
        <v>0</v>
      </c>
      <c r="P178" s="26">
        <v>0</v>
      </c>
      <c r="Q178" s="26">
        <v>0</v>
      </c>
      <c r="R178" s="26">
        <v>0</v>
      </c>
      <c r="S178" s="26">
        <v>0</v>
      </c>
      <c r="T178" s="26">
        <v>0</v>
      </c>
      <c r="U178" s="26">
        <v>0</v>
      </c>
      <c r="V178" s="27">
        <v>0</v>
      </c>
      <c r="W178" s="68">
        <v>0</v>
      </c>
      <c r="X178" s="30">
        <v>0</v>
      </c>
      <c r="Y178" s="30">
        <v>0</v>
      </c>
      <c r="Z178" s="1">
        <v>1.442335817305993E-2</v>
      </c>
      <c r="AA178" s="30">
        <v>0</v>
      </c>
      <c r="AB178" s="30">
        <v>0</v>
      </c>
      <c r="AC178" s="30">
        <v>0</v>
      </c>
      <c r="AD178" s="30">
        <v>0</v>
      </c>
      <c r="AE178" s="25">
        <v>0</v>
      </c>
      <c r="AG178" s="30">
        <f t="shared" si="7"/>
        <v>4.9469213648507468E-3</v>
      </c>
      <c r="AH178" s="30">
        <f t="shared" si="8"/>
        <v>0</v>
      </c>
      <c r="AI178" s="30">
        <f t="shared" si="9"/>
        <v>1.442335817305993E-2</v>
      </c>
    </row>
    <row r="179" spans="2:35" ht="15.75" thickBot="1" x14ac:dyDescent="0.2">
      <c r="B179" t="s">
        <v>193</v>
      </c>
      <c r="C179" s="22">
        <f>VLOOKUP(B179,[1]SYS!$F$5:$G$360,2,FALSE)</f>
        <v>174</v>
      </c>
      <c r="D179" s="34" t="str">
        <f>VLOOKUP(C179,[1]SYS!$G$5:$H$360,2,FALSE)</f>
        <v>東名古屋分岐点</v>
      </c>
      <c r="E179" s="37">
        <v>0</v>
      </c>
      <c r="F179" s="26">
        <v>0</v>
      </c>
      <c r="G179" s="26">
        <v>0</v>
      </c>
      <c r="H179" s="35">
        <v>4.4918671266130049E-2</v>
      </c>
      <c r="I179" s="26">
        <v>0</v>
      </c>
      <c r="J179" s="26">
        <v>0</v>
      </c>
      <c r="K179" s="26">
        <v>0</v>
      </c>
      <c r="L179" s="26">
        <v>0</v>
      </c>
      <c r="M179" s="63">
        <v>0</v>
      </c>
      <c r="N179" s="37">
        <v>0</v>
      </c>
      <c r="O179" s="26">
        <v>0</v>
      </c>
      <c r="P179" s="26">
        <v>0</v>
      </c>
      <c r="Q179" s="26">
        <v>0</v>
      </c>
      <c r="R179" s="26">
        <v>0</v>
      </c>
      <c r="S179" s="26">
        <v>0</v>
      </c>
      <c r="T179" s="26">
        <v>0</v>
      </c>
      <c r="U179" s="26">
        <v>0</v>
      </c>
      <c r="V179" s="27">
        <v>0</v>
      </c>
      <c r="W179" s="68">
        <v>0</v>
      </c>
      <c r="X179" s="30">
        <v>0</v>
      </c>
      <c r="Y179" s="30">
        <v>0</v>
      </c>
      <c r="Z179" s="1">
        <v>0</v>
      </c>
      <c r="AA179" s="30">
        <v>0</v>
      </c>
      <c r="AB179" s="30">
        <v>0</v>
      </c>
      <c r="AC179" s="30">
        <v>0</v>
      </c>
      <c r="AD179" s="30">
        <v>0</v>
      </c>
      <c r="AE179" s="25">
        <v>0</v>
      </c>
      <c r="AG179" s="30">
        <f t="shared" si="7"/>
        <v>4.4918671266130049E-2</v>
      </c>
      <c r="AH179" s="30">
        <f t="shared" si="8"/>
        <v>0</v>
      </c>
      <c r="AI179" s="30">
        <f t="shared" si="9"/>
        <v>0</v>
      </c>
    </row>
    <row r="180" spans="2:35" ht="15.75" thickBot="1" x14ac:dyDescent="0.2">
      <c r="B180" t="s">
        <v>194</v>
      </c>
      <c r="C180" s="22">
        <f>VLOOKUP(B180,[1]SYS!$F$5:$G$360,2,FALSE)</f>
        <v>175</v>
      </c>
      <c r="D180" s="34" t="str">
        <f>VLOOKUP(C180,[1]SYS!$G$5:$H$360,2,FALSE)</f>
        <v>知多火力変電所</v>
      </c>
      <c r="E180" s="37">
        <v>0</v>
      </c>
      <c r="F180" s="26">
        <v>0</v>
      </c>
      <c r="G180" s="26">
        <v>0</v>
      </c>
      <c r="H180" s="35">
        <v>1.8222502141813725E-2</v>
      </c>
      <c r="I180" s="26">
        <v>0</v>
      </c>
      <c r="J180" s="26">
        <v>0</v>
      </c>
      <c r="K180" s="26">
        <v>0</v>
      </c>
      <c r="L180" s="26">
        <v>0</v>
      </c>
      <c r="M180" s="63">
        <v>0</v>
      </c>
      <c r="N180" s="37">
        <v>0</v>
      </c>
      <c r="O180" s="26">
        <v>0</v>
      </c>
      <c r="P180" s="26">
        <v>0</v>
      </c>
      <c r="Q180" s="26">
        <v>0</v>
      </c>
      <c r="R180" s="26">
        <v>0</v>
      </c>
      <c r="S180" s="26">
        <v>0</v>
      </c>
      <c r="T180" s="26">
        <v>0</v>
      </c>
      <c r="U180" s="26">
        <v>0</v>
      </c>
      <c r="V180" s="27">
        <v>0</v>
      </c>
      <c r="W180" s="68">
        <v>0</v>
      </c>
      <c r="X180" s="30">
        <v>0</v>
      </c>
      <c r="Y180" s="30">
        <v>0</v>
      </c>
      <c r="Z180" s="1">
        <v>8.2023249067283907E-3</v>
      </c>
      <c r="AA180" s="30">
        <v>0</v>
      </c>
      <c r="AB180" s="30">
        <v>0</v>
      </c>
      <c r="AC180" s="30">
        <v>0</v>
      </c>
      <c r="AD180" s="30">
        <v>0</v>
      </c>
      <c r="AE180" s="25">
        <v>0</v>
      </c>
      <c r="AG180" s="30">
        <f t="shared" si="7"/>
        <v>1.8222502141813725E-2</v>
      </c>
      <c r="AH180" s="30">
        <f t="shared" si="8"/>
        <v>0</v>
      </c>
      <c r="AI180" s="30">
        <f t="shared" si="9"/>
        <v>8.2023249067283907E-3</v>
      </c>
    </row>
    <row r="181" spans="2:35" ht="15.75" thickBot="1" x14ac:dyDescent="0.2">
      <c r="B181" t="s">
        <v>195</v>
      </c>
      <c r="C181" s="22">
        <f>VLOOKUP(B181,[1]SYS!$F$5:$G$360,2,FALSE)</f>
        <v>176</v>
      </c>
      <c r="D181" s="34" t="str">
        <f>VLOOKUP(C181,[1]SYS!$G$5:$H$360,2,FALSE)</f>
        <v>梅森開閉所</v>
      </c>
      <c r="E181" s="37">
        <v>0</v>
      </c>
      <c r="F181" s="26">
        <v>0</v>
      </c>
      <c r="G181" s="26">
        <v>0</v>
      </c>
      <c r="H181" s="35">
        <v>1.5731730395204184E-4</v>
      </c>
      <c r="I181" s="26">
        <v>0</v>
      </c>
      <c r="J181" s="26">
        <v>0</v>
      </c>
      <c r="K181" s="26">
        <v>0</v>
      </c>
      <c r="L181" s="26">
        <v>0</v>
      </c>
      <c r="M181" s="63">
        <v>0</v>
      </c>
      <c r="N181" s="37">
        <v>0</v>
      </c>
      <c r="O181" s="26">
        <v>0</v>
      </c>
      <c r="P181" s="26">
        <v>0</v>
      </c>
      <c r="Q181" s="26">
        <v>0</v>
      </c>
      <c r="R181" s="26">
        <v>0</v>
      </c>
      <c r="S181" s="26">
        <v>0</v>
      </c>
      <c r="T181" s="26">
        <v>0</v>
      </c>
      <c r="U181" s="26">
        <v>0</v>
      </c>
      <c r="V181" s="27">
        <v>0</v>
      </c>
      <c r="W181" s="68">
        <v>0</v>
      </c>
      <c r="X181" s="30">
        <v>0</v>
      </c>
      <c r="Y181" s="30">
        <v>0</v>
      </c>
      <c r="Z181" s="1">
        <v>9.8483046615799093E-3</v>
      </c>
      <c r="AA181" s="30">
        <v>0</v>
      </c>
      <c r="AB181" s="30">
        <v>0</v>
      </c>
      <c r="AC181" s="30">
        <v>0</v>
      </c>
      <c r="AD181" s="30">
        <v>0</v>
      </c>
      <c r="AE181" s="25">
        <v>0</v>
      </c>
      <c r="AG181" s="30">
        <f t="shared" si="7"/>
        <v>1.5731730395204184E-4</v>
      </c>
      <c r="AH181" s="30">
        <f t="shared" si="8"/>
        <v>0</v>
      </c>
      <c r="AI181" s="30">
        <f t="shared" si="9"/>
        <v>9.8483046615799093E-3</v>
      </c>
    </row>
    <row r="182" spans="2:35" ht="15.75" thickBot="1" x14ac:dyDescent="0.2">
      <c r="B182" t="s">
        <v>196</v>
      </c>
      <c r="C182" s="22">
        <f>VLOOKUP(B182,[1]SYS!$F$5:$G$360,2,FALSE)</f>
        <v>177</v>
      </c>
      <c r="D182" s="34" t="str">
        <f>VLOOKUP(C182,[1]SYS!$G$5:$H$360,2,FALSE)</f>
        <v>金山変電所</v>
      </c>
      <c r="E182" s="37">
        <v>0</v>
      </c>
      <c r="F182" s="26">
        <v>0</v>
      </c>
      <c r="G182" s="26">
        <v>0</v>
      </c>
      <c r="H182" s="35">
        <v>4.4117821969669449E-3</v>
      </c>
      <c r="I182" s="26">
        <v>0</v>
      </c>
      <c r="J182" s="26">
        <v>0</v>
      </c>
      <c r="K182" s="26">
        <v>0</v>
      </c>
      <c r="L182" s="26">
        <v>0</v>
      </c>
      <c r="M182" s="63">
        <v>0</v>
      </c>
      <c r="N182" s="37">
        <v>0</v>
      </c>
      <c r="O182" s="26">
        <v>0</v>
      </c>
      <c r="P182" s="26">
        <v>0</v>
      </c>
      <c r="Q182" s="26">
        <v>0</v>
      </c>
      <c r="R182" s="26">
        <v>0</v>
      </c>
      <c r="S182" s="26">
        <v>0</v>
      </c>
      <c r="T182" s="26">
        <v>0</v>
      </c>
      <c r="U182" s="26">
        <v>0</v>
      </c>
      <c r="V182" s="27">
        <v>0</v>
      </c>
      <c r="W182" s="68">
        <v>0</v>
      </c>
      <c r="X182" s="30">
        <v>0</v>
      </c>
      <c r="Y182" s="30">
        <v>0</v>
      </c>
      <c r="Z182" s="1">
        <v>5.0985562708904955E-3</v>
      </c>
      <c r="AA182" s="30">
        <v>0</v>
      </c>
      <c r="AB182" s="30">
        <v>0</v>
      </c>
      <c r="AC182" s="30">
        <v>0</v>
      </c>
      <c r="AD182" s="30">
        <v>0</v>
      </c>
      <c r="AE182" s="25">
        <v>0</v>
      </c>
      <c r="AG182" s="30">
        <f t="shared" si="7"/>
        <v>4.4117821969669449E-3</v>
      </c>
      <c r="AH182" s="30">
        <f t="shared" si="8"/>
        <v>0</v>
      </c>
      <c r="AI182" s="30">
        <f t="shared" si="9"/>
        <v>5.0985562708904955E-3</v>
      </c>
    </row>
    <row r="183" spans="2:35" ht="15.75" thickBot="1" x14ac:dyDescent="0.2">
      <c r="B183" t="s">
        <v>197</v>
      </c>
      <c r="C183" s="22">
        <f>VLOOKUP(B183,[1]SYS!$F$5:$G$360,2,FALSE)</f>
        <v>178</v>
      </c>
      <c r="D183" s="34" t="str">
        <f>VLOOKUP(C183,[1]SYS!$G$5:$H$360,2,FALSE)</f>
        <v>南武平町変電所</v>
      </c>
      <c r="E183" s="37">
        <v>0</v>
      </c>
      <c r="F183" s="26">
        <v>0</v>
      </c>
      <c r="G183" s="26">
        <v>0</v>
      </c>
      <c r="H183" s="35">
        <v>7.544366060199462E-3</v>
      </c>
      <c r="I183" s="26">
        <v>0</v>
      </c>
      <c r="J183" s="26">
        <v>0</v>
      </c>
      <c r="K183" s="26">
        <v>0</v>
      </c>
      <c r="L183" s="26">
        <v>0</v>
      </c>
      <c r="M183" s="63">
        <v>0</v>
      </c>
      <c r="N183" s="37">
        <v>0</v>
      </c>
      <c r="O183" s="26">
        <v>0</v>
      </c>
      <c r="P183" s="26">
        <v>0</v>
      </c>
      <c r="Q183" s="26">
        <v>0</v>
      </c>
      <c r="R183" s="26">
        <v>0</v>
      </c>
      <c r="S183" s="26">
        <v>0</v>
      </c>
      <c r="T183" s="26">
        <v>0</v>
      </c>
      <c r="U183" s="26">
        <v>0</v>
      </c>
      <c r="V183" s="27">
        <v>0</v>
      </c>
      <c r="W183" s="68">
        <v>0</v>
      </c>
      <c r="X183" s="30">
        <v>0</v>
      </c>
      <c r="Y183" s="30">
        <v>0</v>
      </c>
      <c r="Z183" s="1">
        <v>2.7412843357969754E-3</v>
      </c>
      <c r="AA183" s="30">
        <v>0</v>
      </c>
      <c r="AB183" s="30">
        <v>0</v>
      </c>
      <c r="AC183" s="30">
        <v>0</v>
      </c>
      <c r="AD183" s="30">
        <v>0</v>
      </c>
      <c r="AE183" s="25">
        <v>0</v>
      </c>
      <c r="AG183" s="30">
        <f t="shared" si="7"/>
        <v>7.544366060199462E-3</v>
      </c>
      <c r="AH183" s="30">
        <f t="shared" si="8"/>
        <v>0</v>
      </c>
      <c r="AI183" s="30">
        <f t="shared" si="9"/>
        <v>2.7412843357969754E-3</v>
      </c>
    </row>
    <row r="184" spans="2:35" ht="15.75" thickBot="1" x14ac:dyDescent="0.2">
      <c r="B184" t="s">
        <v>198</v>
      </c>
      <c r="C184" s="22">
        <f>VLOOKUP(B184,[1]SYS!$F$5:$G$360,2,FALSE)</f>
        <v>179</v>
      </c>
      <c r="D184" s="34" t="str">
        <f>VLOOKUP(C184,[1]SYS!$G$5:$H$360,2,FALSE)</f>
        <v>下広井変電所</v>
      </c>
      <c r="E184" s="37">
        <v>0</v>
      </c>
      <c r="F184" s="26">
        <v>0</v>
      </c>
      <c r="G184" s="26">
        <v>0</v>
      </c>
      <c r="H184" s="35">
        <v>1.182051015988405E-4</v>
      </c>
      <c r="I184" s="26">
        <v>0</v>
      </c>
      <c r="J184" s="26">
        <v>0</v>
      </c>
      <c r="K184" s="26">
        <v>0</v>
      </c>
      <c r="L184" s="26">
        <v>0</v>
      </c>
      <c r="M184" s="63">
        <v>0</v>
      </c>
      <c r="N184" s="37">
        <v>0</v>
      </c>
      <c r="O184" s="26">
        <v>0</v>
      </c>
      <c r="P184" s="26">
        <v>0</v>
      </c>
      <c r="Q184" s="26">
        <v>0</v>
      </c>
      <c r="R184" s="26">
        <v>0</v>
      </c>
      <c r="S184" s="26">
        <v>0</v>
      </c>
      <c r="T184" s="26">
        <v>0</v>
      </c>
      <c r="U184" s="26">
        <v>0</v>
      </c>
      <c r="V184" s="27">
        <v>0</v>
      </c>
      <c r="W184" s="68">
        <v>0</v>
      </c>
      <c r="X184" s="30">
        <v>0</v>
      </c>
      <c r="Y184" s="30">
        <v>0</v>
      </c>
      <c r="Z184" s="1">
        <v>3.0051348832762486E-3</v>
      </c>
      <c r="AA184" s="30">
        <v>0</v>
      </c>
      <c r="AB184" s="30">
        <v>0</v>
      </c>
      <c r="AC184" s="30">
        <v>0</v>
      </c>
      <c r="AD184" s="30">
        <v>0</v>
      </c>
      <c r="AE184" s="25">
        <v>0</v>
      </c>
      <c r="AG184" s="30">
        <f t="shared" si="7"/>
        <v>1.182051015988405E-4</v>
      </c>
      <c r="AH184" s="30">
        <f t="shared" si="8"/>
        <v>0</v>
      </c>
      <c r="AI184" s="30">
        <f t="shared" si="9"/>
        <v>3.0051348832762486E-3</v>
      </c>
    </row>
    <row r="185" spans="2:35" ht="15.75" thickBot="1" x14ac:dyDescent="0.2">
      <c r="B185" t="s">
        <v>199</v>
      </c>
      <c r="C185" s="22">
        <f>VLOOKUP(B185,[1]SYS!$F$5:$G$360,2,FALSE)</f>
        <v>180</v>
      </c>
      <c r="D185" s="34" t="str">
        <f>VLOOKUP(C185,[1]SYS!$G$5:$H$360,2,FALSE)</f>
        <v>東海変電所</v>
      </c>
      <c r="E185" s="37">
        <v>0</v>
      </c>
      <c r="F185" s="26">
        <v>0</v>
      </c>
      <c r="G185" s="26">
        <v>0</v>
      </c>
      <c r="H185" s="35">
        <v>0</v>
      </c>
      <c r="I185" s="26">
        <v>0</v>
      </c>
      <c r="J185" s="26">
        <v>0</v>
      </c>
      <c r="K185" s="26">
        <v>0</v>
      </c>
      <c r="L185" s="26">
        <v>0</v>
      </c>
      <c r="M185" s="63">
        <v>0</v>
      </c>
      <c r="N185" s="37">
        <v>0</v>
      </c>
      <c r="O185" s="26">
        <v>0</v>
      </c>
      <c r="P185" s="26">
        <v>0</v>
      </c>
      <c r="Q185" s="26">
        <v>0</v>
      </c>
      <c r="R185" s="26">
        <v>0</v>
      </c>
      <c r="S185" s="26">
        <v>0</v>
      </c>
      <c r="T185" s="26">
        <v>0</v>
      </c>
      <c r="U185" s="26">
        <v>0</v>
      </c>
      <c r="V185" s="27">
        <v>0</v>
      </c>
      <c r="W185" s="68">
        <v>0</v>
      </c>
      <c r="X185" s="30">
        <v>0</v>
      </c>
      <c r="Y185" s="30">
        <v>0</v>
      </c>
      <c r="Z185" s="1">
        <v>5.1666424221164043E-3</v>
      </c>
      <c r="AA185" s="30">
        <v>0</v>
      </c>
      <c r="AB185" s="30">
        <v>0</v>
      </c>
      <c r="AC185" s="30">
        <v>0</v>
      </c>
      <c r="AD185" s="30">
        <v>0</v>
      </c>
      <c r="AE185" s="25">
        <v>0</v>
      </c>
      <c r="AG185" s="30">
        <f t="shared" si="7"/>
        <v>0</v>
      </c>
      <c r="AH185" s="30">
        <f t="shared" si="8"/>
        <v>0</v>
      </c>
      <c r="AI185" s="30">
        <f t="shared" si="9"/>
        <v>5.1666424221164043E-3</v>
      </c>
    </row>
    <row r="186" spans="2:35" ht="15.75" thickBot="1" x14ac:dyDescent="0.2">
      <c r="B186" t="s">
        <v>200</v>
      </c>
      <c r="C186" s="22">
        <f>VLOOKUP(B186,[1]SYS!$F$5:$G$360,2,FALSE)</f>
        <v>181</v>
      </c>
      <c r="D186" s="34" t="str">
        <f>VLOOKUP(C186,[1]SYS!$G$5:$H$360,2,FALSE)</f>
        <v>知多第二変電所</v>
      </c>
      <c r="E186" s="37">
        <v>0</v>
      </c>
      <c r="F186" s="26">
        <v>0</v>
      </c>
      <c r="G186" s="26">
        <v>0</v>
      </c>
      <c r="H186" s="35">
        <v>5.8598995098592009E-4</v>
      </c>
      <c r="I186" s="26">
        <v>0</v>
      </c>
      <c r="J186" s="26">
        <v>0</v>
      </c>
      <c r="K186" s="26">
        <v>0</v>
      </c>
      <c r="L186" s="26">
        <v>0</v>
      </c>
      <c r="M186" s="63">
        <v>0</v>
      </c>
      <c r="N186" s="37">
        <v>0</v>
      </c>
      <c r="O186" s="26">
        <v>0</v>
      </c>
      <c r="P186" s="26">
        <v>0</v>
      </c>
      <c r="Q186" s="26">
        <v>0</v>
      </c>
      <c r="R186" s="26">
        <v>0</v>
      </c>
      <c r="S186" s="26">
        <v>0</v>
      </c>
      <c r="T186" s="26">
        <v>0</v>
      </c>
      <c r="U186" s="26">
        <v>0</v>
      </c>
      <c r="V186" s="27">
        <v>0</v>
      </c>
      <c r="W186" s="68">
        <v>0</v>
      </c>
      <c r="X186" s="30">
        <v>0</v>
      </c>
      <c r="Y186" s="30">
        <v>0</v>
      </c>
      <c r="Z186" s="1">
        <v>3.4306277622766865E-3</v>
      </c>
      <c r="AA186" s="30">
        <v>0</v>
      </c>
      <c r="AB186" s="30">
        <v>0</v>
      </c>
      <c r="AC186" s="30">
        <v>0</v>
      </c>
      <c r="AD186" s="30">
        <v>0</v>
      </c>
      <c r="AE186" s="25">
        <v>0</v>
      </c>
      <c r="AG186" s="30">
        <f t="shared" si="7"/>
        <v>5.8598995098592009E-4</v>
      </c>
      <c r="AH186" s="30">
        <f t="shared" si="8"/>
        <v>0</v>
      </c>
      <c r="AI186" s="30">
        <f t="shared" si="9"/>
        <v>3.4306277622766865E-3</v>
      </c>
    </row>
    <row r="187" spans="2:35" ht="15.75" thickBot="1" x14ac:dyDescent="0.2">
      <c r="B187" t="s">
        <v>201</v>
      </c>
      <c r="C187" s="22">
        <f>VLOOKUP(B187,[1]SYS!$F$5:$G$360,2,FALSE)</f>
        <v>182</v>
      </c>
      <c r="D187" s="34" t="str">
        <f>VLOOKUP(C187,[1]SYS!$G$5:$H$360,2,FALSE)</f>
        <v>佐久間FC</v>
      </c>
      <c r="E187" s="37">
        <v>0</v>
      </c>
      <c r="F187" s="26">
        <v>0</v>
      </c>
      <c r="G187" s="26">
        <v>0</v>
      </c>
      <c r="H187" s="35">
        <v>0</v>
      </c>
      <c r="I187" s="26">
        <v>0</v>
      </c>
      <c r="J187" s="26">
        <v>0</v>
      </c>
      <c r="K187" s="26">
        <v>0</v>
      </c>
      <c r="L187" s="26">
        <v>0</v>
      </c>
      <c r="M187" s="63">
        <v>0</v>
      </c>
      <c r="N187" s="37">
        <v>0</v>
      </c>
      <c r="O187" s="26">
        <v>0</v>
      </c>
      <c r="P187" s="26">
        <v>0</v>
      </c>
      <c r="Q187" s="26">
        <v>0</v>
      </c>
      <c r="R187" s="26">
        <v>0</v>
      </c>
      <c r="S187" s="26">
        <v>0</v>
      </c>
      <c r="T187" s="26">
        <v>0</v>
      </c>
      <c r="U187" s="26">
        <v>0</v>
      </c>
      <c r="V187" s="27">
        <v>0</v>
      </c>
      <c r="W187" s="68">
        <v>0</v>
      </c>
      <c r="X187" s="30">
        <v>0</v>
      </c>
      <c r="Y187" s="30">
        <v>0</v>
      </c>
      <c r="Z187" s="1">
        <v>1.9500549029966726E-2</v>
      </c>
      <c r="AA187" s="30">
        <v>0</v>
      </c>
      <c r="AB187" s="30">
        <v>0</v>
      </c>
      <c r="AC187" s="30">
        <v>0</v>
      </c>
      <c r="AD187" s="30">
        <v>0</v>
      </c>
      <c r="AE187" s="25">
        <v>0</v>
      </c>
      <c r="AG187" s="30">
        <f t="shared" si="7"/>
        <v>0</v>
      </c>
      <c r="AH187" s="30">
        <f t="shared" si="8"/>
        <v>0</v>
      </c>
      <c r="AI187" s="30">
        <f t="shared" si="9"/>
        <v>1.9500549029966726E-2</v>
      </c>
    </row>
    <row r="188" spans="2:35" ht="15.75" thickBot="1" x14ac:dyDescent="0.2">
      <c r="B188" t="s">
        <v>202</v>
      </c>
      <c r="C188" s="22">
        <f>VLOOKUP(B188,[1]SYS!$F$5:$G$360,2,FALSE)</f>
        <v>183</v>
      </c>
      <c r="D188" s="34" t="str">
        <f>VLOOKUP(C188,[1]SYS!$G$5:$H$360,2,FALSE)</f>
        <v>川根変電所</v>
      </c>
      <c r="E188" s="37">
        <v>0</v>
      </c>
      <c r="F188" s="26">
        <v>0</v>
      </c>
      <c r="G188" s="26">
        <v>0</v>
      </c>
      <c r="H188" s="35">
        <v>0</v>
      </c>
      <c r="I188" s="26">
        <v>0</v>
      </c>
      <c r="J188" s="26">
        <v>0</v>
      </c>
      <c r="K188" s="26">
        <v>0</v>
      </c>
      <c r="L188" s="26">
        <v>0</v>
      </c>
      <c r="M188" s="63">
        <v>0</v>
      </c>
      <c r="N188" s="37">
        <v>0</v>
      </c>
      <c r="O188" s="26">
        <v>0</v>
      </c>
      <c r="P188" s="26">
        <v>0</v>
      </c>
      <c r="Q188" s="26">
        <v>0</v>
      </c>
      <c r="R188" s="26">
        <v>0</v>
      </c>
      <c r="S188" s="26">
        <v>0</v>
      </c>
      <c r="T188" s="26">
        <v>0</v>
      </c>
      <c r="U188" s="26">
        <v>0</v>
      </c>
      <c r="V188" s="27">
        <v>0</v>
      </c>
      <c r="W188" s="68">
        <v>0</v>
      </c>
      <c r="X188" s="30">
        <v>0</v>
      </c>
      <c r="Y188" s="30">
        <v>0</v>
      </c>
      <c r="Z188" s="1">
        <v>1.8284187653597891E-2</v>
      </c>
      <c r="AA188" s="30">
        <v>0</v>
      </c>
      <c r="AB188" s="30">
        <v>0</v>
      </c>
      <c r="AC188" s="30">
        <v>0</v>
      </c>
      <c r="AD188" s="30">
        <v>0</v>
      </c>
      <c r="AE188" s="25">
        <v>0</v>
      </c>
      <c r="AG188" s="30">
        <f t="shared" si="7"/>
        <v>0</v>
      </c>
      <c r="AH188" s="30">
        <f t="shared" si="8"/>
        <v>0</v>
      </c>
      <c r="AI188" s="30">
        <f t="shared" si="9"/>
        <v>1.8284187653597891E-2</v>
      </c>
    </row>
    <row r="189" spans="2:35" ht="15.75" thickBot="1" x14ac:dyDescent="0.2">
      <c r="B189" t="s">
        <v>203</v>
      </c>
      <c r="C189" s="22">
        <f>VLOOKUP(B189,[1]SYS!$F$5:$G$360,2,FALSE)</f>
        <v>184</v>
      </c>
      <c r="D189" s="34" t="str">
        <f>VLOOKUP(C189,[1]SYS!$G$5:$H$360,2,FALSE)</f>
        <v>東名古屋変電所</v>
      </c>
      <c r="E189" s="37">
        <v>0</v>
      </c>
      <c r="F189" s="26">
        <v>0</v>
      </c>
      <c r="G189" s="26">
        <v>0</v>
      </c>
      <c r="H189" s="35">
        <v>4.6541253302251494E-7</v>
      </c>
      <c r="I189" s="26">
        <v>0</v>
      </c>
      <c r="J189" s="26">
        <v>0</v>
      </c>
      <c r="K189" s="26">
        <v>0</v>
      </c>
      <c r="L189" s="26">
        <v>0</v>
      </c>
      <c r="M189" s="63">
        <v>0</v>
      </c>
      <c r="N189" s="37">
        <v>0</v>
      </c>
      <c r="O189" s="26">
        <v>0</v>
      </c>
      <c r="P189" s="26">
        <v>0</v>
      </c>
      <c r="Q189" s="26">
        <v>0</v>
      </c>
      <c r="R189" s="26">
        <v>0</v>
      </c>
      <c r="S189" s="26">
        <v>0</v>
      </c>
      <c r="T189" s="26">
        <v>0</v>
      </c>
      <c r="U189" s="26">
        <v>0</v>
      </c>
      <c r="V189" s="27">
        <v>0</v>
      </c>
      <c r="W189" s="68">
        <v>0</v>
      </c>
      <c r="X189" s="30">
        <v>0</v>
      </c>
      <c r="Y189" s="30">
        <v>0</v>
      </c>
      <c r="Z189" s="1">
        <v>1.5534641340291653E-2</v>
      </c>
      <c r="AA189" s="30">
        <v>0</v>
      </c>
      <c r="AB189" s="30">
        <v>0</v>
      </c>
      <c r="AC189" s="30">
        <v>0</v>
      </c>
      <c r="AD189" s="30">
        <v>0</v>
      </c>
      <c r="AE189" s="25">
        <v>0</v>
      </c>
      <c r="AG189" s="30">
        <f t="shared" si="7"/>
        <v>4.6541253302251494E-7</v>
      </c>
      <c r="AH189" s="30">
        <f t="shared" si="8"/>
        <v>0</v>
      </c>
      <c r="AI189" s="30">
        <f t="shared" si="9"/>
        <v>1.5534641340291653E-2</v>
      </c>
    </row>
    <row r="190" spans="2:35" ht="15.75" thickBot="1" x14ac:dyDescent="0.2">
      <c r="B190" t="s">
        <v>204</v>
      </c>
      <c r="C190" s="22">
        <f>VLOOKUP(B190,[1]SYS!$F$5:$G$360,2,FALSE)</f>
        <v>185</v>
      </c>
      <c r="D190" s="34" t="str">
        <f>VLOOKUP(C190,[1]SYS!$G$5:$H$360,2,FALSE)</f>
        <v>三河変電所</v>
      </c>
      <c r="E190" s="37">
        <v>0</v>
      </c>
      <c r="F190" s="26">
        <v>0</v>
      </c>
      <c r="G190" s="26">
        <v>0</v>
      </c>
      <c r="H190" s="35">
        <v>0</v>
      </c>
      <c r="I190" s="26">
        <v>0</v>
      </c>
      <c r="J190" s="26">
        <v>0</v>
      </c>
      <c r="K190" s="26">
        <v>0</v>
      </c>
      <c r="L190" s="26">
        <v>0</v>
      </c>
      <c r="M190" s="63">
        <v>0</v>
      </c>
      <c r="N190" s="37">
        <v>0</v>
      </c>
      <c r="O190" s="26">
        <v>0</v>
      </c>
      <c r="P190" s="26">
        <v>0</v>
      </c>
      <c r="Q190" s="26">
        <v>0</v>
      </c>
      <c r="R190" s="26">
        <v>0</v>
      </c>
      <c r="S190" s="26">
        <v>0</v>
      </c>
      <c r="T190" s="26">
        <v>0</v>
      </c>
      <c r="U190" s="26">
        <v>0</v>
      </c>
      <c r="V190" s="27">
        <v>0</v>
      </c>
      <c r="W190" s="68">
        <v>0</v>
      </c>
      <c r="X190" s="30">
        <v>0</v>
      </c>
      <c r="Y190" s="30">
        <v>0</v>
      </c>
      <c r="Z190" s="1">
        <v>1.3558321299043953E-2</v>
      </c>
      <c r="AA190" s="30">
        <v>0</v>
      </c>
      <c r="AB190" s="30">
        <v>0</v>
      </c>
      <c r="AC190" s="30">
        <v>0</v>
      </c>
      <c r="AD190" s="30">
        <v>0</v>
      </c>
      <c r="AE190" s="25">
        <v>0</v>
      </c>
      <c r="AG190" s="30">
        <f t="shared" si="7"/>
        <v>0</v>
      </c>
      <c r="AH190" s="30">
        <f t="shared" si="8"/>
        <v>0</v>
      </c>
      <c r="AI190" s="30">
        <f t="shared" si="9"/>
        <v>1.3558321299043953E-2</v>
      </c>
    </row>
    <row r="191" spans="2:35" ht="15.75" thickBot="1" x14ac:dyDescent="0.2">
      <c r="B191" t="s">
        <v>205</v>
      </c>
      <c r="C191" s="22">
        <f>VLOOKUP(B191,[1]SYS!$F$5:$G$360,2,FALSE)</f>
        <v>186</v>
      </c>
      <c r="D191" s="34" t="str">
        <f>VLOOKUP(C191,[1]SYS!$G$5:$H$360,2,FALSE)</f>
        <v>額田開閉所</v>
      </c>
      <c r="E191" s="37">
        <v>0</v>
      </c>
      <c r="F191" s="26">
        <v>0</v>
      </c>
      <c r="G191" s="26">
        <v>0</v>
      </c>
      <c r="H191" s="35">
        <v>3.8060596650027325E-6</v>
      </c>
      <c r="I191" s="26">
        <v>0</v>
      </c>
      <c r="J191" s="26">
        <v>0</v>
      </c>
      <c r="K191" s="26">
        <v>0</v>
      </c>
      <c r="L191" s="26">
        <v>0</v>
      </c>
      <c r="M191" s="63">
        <v>0</v>
      </c>
      <c r="N191" s="37">
        <v>0</v>
      </c>
      <c r="O191" s="26">
        <v>0</v>
      </c>
      <c r="P191" s="26">
        <v>0</v>
      </c>
      <c r="Q191" s="26">
        <v>0</v>
      </c>
      <c r="R191" s="26">
        <v>0</v>
      </c>
      <c r="S191" s="26">
        <v>0</v>
      </c>
      <c r="T191" s="26">
        <v>0</v>
      </c>
      <c r="U191" s="26">
        <v>0</v>
      </c>
      <c r="V191" s="27">
        <v>0</v>
      </c>
      <c r="W191" s="68">
        <v>0</v>
      </c>
      <c r="X191" s="30">
        <v>0</v>
      </c>
      <c r="Y191" s="30">
        <v>0</v>
      </c>
      <c r="Z191" s="1">
        <v>1.1258561921085057E-2</v>
      </c>
      <c r="AA191" s="30">
        <v>0</v>
      </c>
      <c r="AB191" s="30">
        <v>0</v>
      </c>
      <c r="AC191" s="30">
        <v>0</v>
      </c>
      <c r="AD191" s="30">
        <v>0</v>
      </c>
      <c r="AE191" s="25">
        <v>0</v>
      </c>
      <c r="AG191" s="30">
        <f t="shared" si="7"/>
        <v>3.8060596650027325E-6</v>
      </c>
      <c r="AH191" s="30">
        <f t="shared" si="8"/>
        <v>0</v>
      </c>
      <c r="AI191" s="30">
        <f t="shared" si="9"/>
        <v>1.1258561921085057E-2</v>
      </c>
    </row>
    <row r="192" spans="2:35" ht="15.75" thickBot="1" x14ac:dyDescent="0.2">
      <c r="B192" t="s">
        <v>206</v>
      </c>
      <c r="C192" s="22">
        <f>VLOOKUP(B192,[1]SYS!$F$5:$G$360,2,FALSE)</f>
        <v>187</v>
      </c>
      <c r="D192" s="34" t="str">
        <f>VLOOKUP(C192,[1]SYS!$G$5:$H$360,2,FALSE)</f>
        <v>幸田変電所</v>
      </c>
      <c r="E192" s="37">
        <v>0</v>
      </c>
      <c r="F192" s="26">
        <v>0</v>
      </c>
      <c r="G192" s="26">
        <v>0</v>
      </c>
      <c r="H192" s="35">
        <v>4.9656068323389996E-5</v>
      </c>
      <c r="I192" s="26">
        <v>0</v>
      </c>
      <c r="J192" s="26">
        <v>0</v>
      </c>
      <c r="K192" s="26">
        <v>0</v>
      </c>
      <c r="L192" s="26">
        <v>0</v>
      </c>
      <c r="M192" s="63">
        <v>0</v>
      </c>
      <c r="N192" s="37">
        <v>0</v>
      </c>
      <c r="O192" s="26">
        <v>0</v>
      </c>
      <c r="P192" s="26">
        <v>0</v>
      </c>
      <c r="Q192" s="26">
        <v>0</v>
      </c>
      <c r="R192" s="26">
        <v>0</v>
      </c>
      <c r="S192" s="26">
        <v>0</v>
      </c>
      <c r="T192" s="26">
        <v>0</v>
      </c>
      <c r="U192" s="26">
        <v>0</v>
      </c>
      <c r="V192" s="27">
        <v>0</v>
      </c>
      <c r="W192" s="68">
        <v>0</v>
      </c>
      <c r="X192" s="30">
        <v>0</v>
      </c>
      <c r="Y192" s="30">
        <v>0</v>
      </c>
      <c r="Z192" s="1">
        <v>1.7928050551965873E-2</v>
      </c>
      <c r="AA192" s="30">
        <v>0</v>
      </c>
      <c r="AB192" s="30">
        <v>0</v>
      </c>
      <c r="AC192" s="30">
        <v>0</v>
      </c>
      <c r="AD192" s="30">
        <v>0</v>
      </c>
      <c r="AE192" s="25">
        <v>0</v>
      </c>
      <c r="AG192" s="30">
        <f t="shared" si="7"/>
        <v>4.9656068323389996E-5</v>
      </c>
      <c r="AH192" s="30">
        <f t="shared" si="8"/>
        <v>0</v>
      </c>
      <c r="AI192" s="30">
        <f t="shared" si="9"/>
        <v>1.7928050551965873E-2</v>
      </c>
    </row>
    <row r="193" spans="2:35" ht="15.75" thickBot="1" x14ac:dyDescent="0.2">
      <c r="B193" t="s">
        <v>207</v>
      </c>
      <c r="C193" s="22">
        <f>VLOOKUP(B193,[1]SYS!$F$5:$G$360,2,FALSE)</f>
        <v>188</v>
      </c>
      <c r="D193" s="34" t="str">
        <f>VLOOKUP(C193,[1]SYS!$G$5:$H$360,2,FALSE)</f>
        <v>碧南変電所</v>
      </c>
      <c r="E193" s="37">
        <v>0</v>
      </c>
      <c r="F193" s="26">
        <v>0</v>
      </c>
      <c r="G193" s="26">
        <v>0</v>
      </c>
      <c r="H193" s="35">
        <v>1.794328542574742E-2</v>
      </c>
      <c r="I193" s="26">
        <v>0</v>
      </c>
      <c r="J193" s="26">
        <v>0</v>
      </c>
      <c r="K193" s="26">
        <v>0</v>
      </c>
      <c r="L193" s="26">
        <v>0</v>
      </c>
      <c r="M193" s="63">
        <v>0</v>
      </c>
      <c r="N193" s="37">
        <v>0</v>
      </c>
      <c r="O193" s="26">
        <v>0</v>
      </c>
      <c r="P193" s="26">
        <v>0</v>
      </c>
      <c r="Q193" s="26">
        <v>0</v>
      </c>
      <c r="R193" s="26">
        <v>0</v>
      </c>
      <c r="S193" s="26">
        <v>0</v>
      </c>
      <c r="T193" s="26">
        <v>0</v>
      </c>
      <c r="U193" s="26">
        <v>0</v>
      </c>
      <c r="V193" s="27">
        <v>0</v>
      </c>
      <c r="W193" s="68">
        <v>0</v>
      </c>
      <c r="X193" s="30">
        <v>0</v>
      </c>
      <c r="Y193" s="30">
        <v>0</v>
      </c>
      <c r="Z193" s="1">
        <v>3.0876275469156087E-2</v>
      </c>
      <c r="AA193" s="30">
        <v>0</v>
      </c>
      <c r="AB193" s="30">
        <v>0</v>
      </c>
      <c r="AC193" s="30">
        <v>0</v>
      </c>
      <c r="AD193" s="30">
        <v>0</v>
      </c>
      <c r="AE193" s="25">
        <v>0</v>
      </c>
      <c r="AG193" s="30">
        <f t="shared" si="7"/>
        <v>1.794328542574742E-2</v>
      </c>
      <c r="AH193" s="30">
        <f t="shared" si="8"/>
        <v>0</v>
      </c>
      <c r="AI193" s="30">
        <f t="shared" si="9"/>
        <v>3.0876275469156087E-2</v>
      </c>
    </row>
    <row r="194" spans="2:35" ht="15.75" thickBot="1" x14ac:dyDescent="0.2">
      <c r="B194" t="s">
        <v>208</v>
      </c>
      <c r="C194" s="22">
        <f>VLOOKUP(B194,[1]SYS!$F$5:$G$360,2,FALSE)</f>
        <v>189</v>
      </c>
      <c r="D194" s="34" t="str">
        <f>VLOOKUP(C194,[1]SYS!$G$5:$H$360,2,FALSE)</f>
        <v>湖西変電所</v>
      </c>
      <c r="E194" s="37">
        <v>0</v>
      </c>
      <c r="F194" s="26">
        <v>0</v>
      </c>
      <c r="G194" s="26">
        <v>0</v>
      </c>
      <c r="H194" s="35">
        <v>1.3982229433578536E-2</v>
      </c>
      <c r="I194" s="26">
        <v>0</v>
      </c>
      <c r="J194" s="26">
        <v>0</v>
      </c>
      <c r="K194" s="26">
        <v>0</v>
      </c>
      <c r="L194" s="26">
        <v>0</v>
      </c>
      <c r="M194" s="63">
        <v>0</v>
      </c>
      <c r="N194" s="37">
        <v>0</v>
      </c>
      <c r="O194" s="26">
        <v>0</v>
      </c>
      <c r="P194" s="26">
        <v>0</v>
      </c>
      <c r="Q194" s="26">
        <v>0</v>
      </c>
      <c r="R194" s="26">
        <v>0</v>
      </c>
      <c r="S194" s="26">
        <v>0</v>
      </c>
      <c r="T194" s="26">
        <v>0</v>
      </c>
      <c r="U194" s="26">
        <v>0</v>
      </c>
      <c r="V194" s="27">
        <v>0</v>
      </c>
      <c r="W194" s="68">
        <v>0</v>
      </c>
      <c r="X194" s="30">
        <v>0</v>
      </c>
      <c r="Y194" s="30">
        <v>0</v>
      </c>
      <c r="Z194" s="1">
        <v>1.6244650051823472E-2</v>
      </c>
      <c r="AA194" s="30">
        <v>0</v>
      </c>
      <c r="AB194" s="30">
        <v>0</v>
      </c>
      <c r="AC194" s="30">
        <v>0</v>
      </c>
      <c r="AD194" s="30">
        <v>0</v>
      </c>
      <c r="AE194" s="25">
        <v>0</v>
      </c>
      <c r="AG194" s="30">
        <f t="shared" si="7"/>
        <v>1.3982229433578536E-2</v>
      </c>
      <c r="AH194" s="30">
        <f t="shared" si="8"/>
        <v>0</v>
      </c>
      <c r="AI194" s="30">
        <f t="shared" si="9"/>
        <v>1.6244650051823472E-2</v>
      </c>
    </row>
    <row r="195" spans="2:35" ht="15.75" thickBot="1" x14ac:dyDescent="0.2">
      <c r="B195" t="s">
        <v>209</v>
      </c>
      <c r="C195" s="22">
        <f>VLOOKUP(B195,[1]SYS!$F$5:$G$360,2,FALSE)</f>
        <v>190</v>
      </c>
      <c r="D195" s="34" t="str">
        <f>VLOOKUP(C195,[1]SYS!$G$5:$H$360,2,FALSE)</f>
        <v>田原変電所</v>
      </c>
      <c r="E195" s="37">
        <v>0</v>
      </c>
      <c r="F195" s="26">
        <v>0</v>
      </c>
      <c r="G195" s="26">
        <v>0</v>
      </c>
      <c r="H195" s="35">
        <v>1.2915123455943167E-3</v>
      </c>
      <c r="I195" s="26">
        <v>0</v>
      </c>
      <c r="J195" s="26">
        <v>0</v>
      </c>
      <c r="K195" s="26">
        <v>0</v>
      </c>
      <c r="L195" s="26">
        <v>0</v>
      </c>
      <c r="M195" s="63">
        <v>0</v>
      </c>
      <c r="N195" s="37">
        <v>0</v>
      </c>
      <c r="O195" s="26">
        <v>0</v>
      </c>
      <c r="P195" s="26">
        <v>0</v>
      </c>
      <c r="Q195" s="35">
        <v>0.33</v>
      </c>
      <c r="R195" s="26">
        <v>0</v>
      </c>
      <c r="S195" s="26">
        <v>0</v>
      </c>
      <c r="T195" s="26">
        <v>0</v>
      </c>
      <c r="U195" s="26">
        <v>0</v>
      </c>
      <c r="V195" s="27">
        <v>0</v>
      </c>
      <c r="W195" s="68">
        <v>0</v>
      </c>
      <c r="X195" s="30">
        <v>0</v>
      </c>
      <c r="Y195" s="30">
        <v>0</v>
      </c>
      <c r="Z195" s="1">
        <v>3.2232723611317876E-2</v>
      </c>
      <c r="AA195" s="30">
        <v>0</v>
      </c>
      <c r="AB195" s="30">
        <v>0</v>
      </c>
      <c r="AC195" s="30">
        <v>0</v>
      </c>
      <c r="AD195" s="30">
        <v>0</v>
      </c>
      <c r="AE195" s="25">
        <v>0</v>
      </c>
      <c r="AG195" s="30">
        <f t="shared" si="7"/>
        <v>1.2915123455943167E-3</v>
      </c>
      <c r="AH195" s="30">
        <f t="shared" si="8"/>
        <v>0.33</v>
      </c>
      <c r="AI195" s="30">
        <f t="shared" si="9"/>
        <v>3.2232723611317876E-2</v>
      </c>
    </row>
    <row r="196" spans="2:35" ht="15.75" thickBot="1" x14ac:dyDescent="0.2">
      <c r="B196" t="s">
        <v>210</v>
      </c>
      <c r="C196" s="22">
        <f>VLOOKUP(B196,[1]SYS!$F$5:$G$360,2,FALSE)</f>
        <v>191</v>
      </c>
      <c r="D196" s="34" t="str">
        <f>VLOOKUP(C196,[1]SYS!$G$5:$H$360,2,FALSE)</f>
        <v>遠江変電所</v>
      </c>
      <c r="E196" s="37">
        <v>0</v>
      </c>
      <c r="F196" s="26">
        <v>0</v>
      </c>
      <c r="G196" s="26">
        <v>0</v>
      </c>
      <c r="H196" s="35">
        <v>9.0298596559410024E-3</v>
      </c>
      <c r="I196" s="26">
        <v>0</v>
      </c>
      <c r="J196" s="26">
        <v>0</v>
      </c>
      <c r="K196" s="26">
        <v>0</v>
      </c>
      <c r="L196" s="26">
        <v>0</v>
      </c>
      <c r="M196" s="63">
        <v>0</v>
      </c>
      <c r="N196" s="37">
        <v>0</v>
      </c>
      <c r="O196" s="26">
        <v>0</v>
      </c>
      <c r="P196" s="26">
        <v>0</v>
      </c>
      <c r="Q196" s="35">
        <v>0.33</v>
      </c>
      <c r="R196" s="26">
        <v>0</v>
      </c>
      <c r="S196" s="26">
        <v>0</v>
      </c>
      <c r="T196" s="26">
        <v>0</v>
      </c>
      <c r="U196" s="26">
        <v>0</v>
      </c>
      <c r="V196" s="27">
        <v>0</v>
      </c>
      <c r="W196" s="68">
        <v>0</v>
      </c>
      <c r="X196" s="30">
        <v>0</v>
      </c>
      <c r="Y196" s="30">
        <v>0</v>
      </c>
      <c r="Z196" s="1">
        <v>3.0843768288801962E-2</v>
      </c>
      <c r="AA196" s="30">
        <v>0</v>
      </c>
      <c r="AB196" s="30">
        <v>0</v>
      </c>
      <c r="AC196" s="30">
        <v>0</v>
      </c>
      <c r="AD196" s="30">
        <v>0</v>
      </c>
      <c r="AE196" s="25">
        <v>0</v>
      </c>
      <c r="AG196" s="30">
        <f t="shared" ref="AG196:AG259" si="10">SUM(E196:M196)</f>
        <v>9.0298596559410024E-3</v>
      </c>
      <c r="AH196" s="30">
        <f t="shared" si="8"/>
        <v>0.33</v>
      </c>
      <c r="AI196" s="30">
        <f t="shared" si="9"/>
        <v>3.0843768288801962E-2</v>
      </c>
    </row>
    <row r="197" spans="2:35" ht="15.75" thickBot="1" x14ac:dyDescent="0.2">
      <c r="B197" t="s">
        <v>211</v>
      </c>
      <c r="C197" s="22">
        <f>VLOOKUP(B197,[1]SYS!$F$5:$G$360,2,FALSE)</f>
        <v>192</v>
      </c>
      <c r="D197" s="34" t="str">
        <f>VLOOKUP(C197,[1]SYS!$G$5:$H$360,2,FALSE)</f>
        <v>浜岡原子力</v>
      </c>
      <c r="E197" s="37">
        <v>0</v>
      </c>
      <c r="F197" s="26">
        <v>0</v>
      </c>
      <c r="G197" s="26">
        <v>0</v>
      </c>
      <c r="H197" s="35">
        <v>1.8216182025764031E-2</v>
      </c>
      <c r="I197" s="26">
        <v>0</v>
      </c>
      <c r="J197" s="26">
        <v>0</v>
      </c>
      <c r="K197" s="26">
        <v>0</v>
      </c>
      <c r="L197" s="26">
        <v>0</v>
      </c>
      <c r="M197" s="63">
        <v>0</v>
      </c>
      <c r="N197" s="37">
        <v>0</v>
      </c>
      <c r="O197" s="26">
        <v>0</v>
      </c>
      <c r="P197" s="26">
        <v>0</v>
      </c>
      <c r="Q197" s="26">
        <v>0</v>
      </c>
      <c r="R197" s="26">
        <v>0</v>
      </c>
      <c r="S197" s="26">
        <v>0</v>
      </c>
      <c r="T197" s="26">
        <v>0</v>
      </c>
      <c r="U197" s="26">
        <v>0</v>
      </c>
      <c r="V197" s="27">
        <v>0</v>
      </c>
      <c r="W197" s="68">
        <v>0</v>
      </c>
      <c r="X197" s="30">
        <v>0</v>
      </c>
      <c r="Y197" s="30">
        <v>0</v>
      </c>
      <c r="Z197" s="1">
        <v>3.3165862788897943E-3</v>
      </c>
      <c r="AA197" s="30">
        <v>0</v>
      </c>
      <c r="AB197" s="30">
        <v>0</v>
      </c>
      <c r="AC197" s="30">
        <v>0</v>
      </c>
      <c r="AD197" s="30">
        <v>0</v>
      </c>
      <c r="AE197" s="25">
        <v>0</v>
      </c>
      <c r="AG197" s="30">
        <f t="shared" si="10"/>
        <v>1.8216182025764031E-2</v>
      </c>
      <c r="AH197" s="30">
        <f t="shared" ref="AH197:AH260" si="11">SUM(N197:V197)</f>
        <v>0</v>
      </c>
      <c r="AI197" s="30">
        <f t="shared" si="9"/>
        <v>3.3165862788897943E-3</v>
      </c>
    </row>
    <row r="198" spans="2:35" ht="15.75" thickBot="1" x14ac:dyDescent="0.2">
      <c r="B198" t="s">
        <v>212</v>
      </c>
      <c r="C198" s="22">
        <f>VLOOKUP(B198,[1]SYS!$F$5:$G$360,2,FALSE)</f>
        <v>193</v>
      </c>
      <c r="D198" s="34" t="str">
        <f>VLOOKUP(C198,[1]SYS!$G$5:$H$360,2,FALSE)</f>
        <v>新佐倉変電所</v>
      </c>
      <c r="E198" s="37">
        <v>0</v>
      </c>
      <c r="F198" s="26">
        <v>0</v>
      </c>
      <c r="G198" s="26">
        <v>0</v>
      </c>
      <c r="H198" s="35">
        <v>1.2368887452043875E-2</v>
      </c>
      <c r="I198" s="26">
        <v>0</v>
      </c>
      <c r="J198" s="26">
        <v>0</v>
      </c>
      <c r="K198" s="26">
        <v>0</v>
      </c>
      <c r="L198" s="26">
        <v>0</v>
      </c>
      <c r="M198" s="63">
        <v>0</v>
      </c>
      <c r="N198" s="37">
        <v>0</v>
      </c>
      <c r="O198" s="26">
        <v>0</v>
      </c>
      <c r="P198" s="26">
        <v>0</v>
      </c>
      <c r="Q198" s="26">
        <v>0</v>
      </c>
      <c r="R198" s="26">
        <v>0</v>
      </c>
      <c r="S198" s="26">
        <v>0</v>
      </c>
      <c r="T198" s="26">
        <v>0</v>
      </c>
      <c r="U198" s="26">
        <v>0</v>
      </c>
      <c r="V198" s="27">
        <v>0</v>
      </c>
      <c r="W198" s="68">
        <v>0</v>
      </c>
      <c r="X198" s="30">
        <v>0</v>
      </c>
      <c r="Y198" s="30">
        <v>0</v>
      </c>
      <c r="Z198" s="1">
        <v>1.3275989816880777E-2</v>
      </c>
      <c r="AA198" s="30">
        <v>0</v>
      </c>
      <c r="AB198" s="30">
        <v>0</v>
      </c>
      <c r="AC198" s="30">
        <v>0</v>
      </c>
      <c r="AD198" s="30">
        <v>0</v>
      </c>
      <c r="AE198" s="25">
        <v>0</v>
      </c>
      <c r="AG198" s="30">
        <f t="shared" si="10"/>
        <v>1.2368887452043875E-2</v>
      </c>
      <c r="AH198" s="30">
        <f t="shared" si="11"/>
        <v>0</v>
      </c>
      <c r="AI198" s="30">
        <f t="shared" si="9"/>
        <v>1.3275989816880777E-2</v>
      </c>
    </row>
    <row r="199" spans="2:35" ht="15.75" thickBot="1" x14ac:dyDescent="0.2">
      <c r="B199" t="s">
        <v>213</v>
      </c>
      <c r="C199" s="22">
        <f>VLOOKUP(B199,[1]SYS!$F$5:$G$360,2,FALSE)</f>
        <v>194</v>
      </c>
      <c r="D199" s="34" t="str">
        <f>VLOOKUP(C199,[1]SYS!$G$5:$H$360,2,FALSE)</f>
        <v>駿河変電所</v>
      </c>
      <c r="E199" s="37">
        <v>0</v>
      </c>
      <c r="F199" s="26">
        <v>0</v>
      </c>
      <c r="G199" s="26">
        <v>0</v>
      </c>
      <c r="H199" s="35">
        <v>8.0063463284727032E-3</v>
      </c>
      <c r="I199" s="26">
        <v>0</v>
      </c>
      <c r="J199" s="26">
        <v>0</v>
      </c>
      <c r="K199" s="26">
        <v>0</v>
      </c>
      <c r="L199" s="26">
        <v>0</v>
      </c>
      <c r="M199" s="63">
        <v>0</v>
      </c>
      <c r="N199" s="37">
        <v>0</v>
      </c>
      <c r="O199" s="26">
        <v>0</v>
      </c>
      <c r="P199" s="26">
        <v>0</v>
      </c>
      <c r="Q199" s="35">
        <v>0.34</v>
      </c>
      <c r="R199" s="26">
        <v>0</v>
      </c>
      <c r="S199" s="26">
        <v>0</v>
      </c>
      <c r="T199" s="26">
        <v>0</v>
      </c>
      <c r="U199" s="26">
        <v>0</v>
      </c>
      <c r="V199" s="27">
        <v>0</v>
      </c>
      <c r="W199" s="68">
        <v>0</v>
      </c>
      <c r="X199" s="30">
        <v>0</v>
      </c>
      <c r="Y199" s="30">
        <v>0</v>
      </c>
      <c r="Z199" s="1">
        <v>1.5205690283287006E-2</v>
      </c>
      <c r="AA199" s="30">
        <v>0</v>
      </c>
      <c r="AB199" s="30">
        <v>0</v>
      </c>
      <c r="AC199" s="30">
        <v>0</v>
      </c>
      <c r="AD199" s="30">
        <v>0</v>
      </c>
      <c r="AE199" s="25">
        <v>0</v>
      </c>
      <c r="AG199" s="30">
        <f t="shared" si="10"/>
        <v>8.0063463284727032E-3</v>
      </c>
      <c r="AH199" s="30">
        <f t="shared" si="11"/>
        <v>0.34</v>
      </c>
      <c r="AI199" s="30">
        <f t="shared" si="9"/>
        <v>1.5205690283287006E-2</v>
      </c>
    </row>
    <row r="200" spans="2:35" ht="15.75" thickBot="1" x14ac:dyDescent="0.2">
      <c r="B200" t="s">
        <v>214</v>
      </c>
      <c r="C200" s="22">
        <f>VLOOKUP(B200,[1]SYS!$F$5:$G$360,2,FALSE)</f>
        <v>195</v>
      </c>
      <c r="D200" s="34" t="str">
        <f>VLOOKUP(C200,[1]SYS!$G$5:$H$360,2,FALSE)</f>
        <v>東清水変電所</v>
      </c>
      <c r="E200" s="37">
        <v>0</v>
      </c>
      <c r="F200" s="26">
        <v>0</v>
      </c>
      <c r="G200" s="26">
        <v>0</v>
      </c>
      <c r="H200" s="35">
        <v>5.3363866173959662E-3</v>
      </c>
      <c r="I200" s="26">
        <v>0</v>
      </c>
      <c r="J200" s="26">
        <v>0</v>
      </c>
      <c r="K200" s="26">
        <v>0</v>
      </c>
      <c r="L200" s="26">
        <v>0</v>
      </c>
      <c r="M200" s="63">
        <v>0</v>
      </c>
      <c r="N200" s="37">
        <v>0</v>
      </c>
      <c r="O200" s="26">
        <v>0</v>
      </c>
      <c r="P200" s="26">
        <v>0</v>
      </c>
      <c r="Q200" s="26">
        <v>0</v>
      </c>
      <c r="R200" s="26">
        <v>0</v>
      </c>
      <c r="S200" s="26">
        <v>0</v>
      </c>
      <c r="T200" s="26">
        <v>0</v>
      </c>
      <c r="U200" s="26">
        <v>0</v>
      </c>
      <c r="V200" s="27">
        <v>0</v>
      </c>
      <c r="W200" s="68">
        <v>0</v>
      </c>
      <c r="X200" s="30">
        <v>0</v>
      </c>
      <c r="Y200" s="30">
        <v>0</v>
      </c>
      <c r="Z200" s="1">
        <v>2.8832772647765452E-2</v>
      </c>
      <c r="AA200" s="30">
        <v>0</v>
      </c>
      <c r="AB200" s="30">
        <v>0</v>
      </c>
      <c r="AC200" s="30">
        <v>0</v>
      </c>
      <c r="AD200" s="30">
        <v>0</v>
      </c>
      <c r="AE200" s="25">
        <v>0</v>
      </c>
      <c r="AG200" s="30">
        <f t="shared" si="10"/>
        <v>5.3363866173959662E-3</v>
      </c>
      <c r="AH200" s="30">
        <f t="shared" si="11"/>
        <v>0</v>
      </c>
      <c r="AI200" s="30">
        <f t="shared" ref="AI200:AI264" si="12">SUM(W200:AE200)</f>
        <v>2.8832772647765452E-2</v>
      </c>
    </row>
    <row r="201" spans="2:35" ht="15.75" thickBot="1" x14ac:dyDescent="0.2">
      <c r="B201" t="s">
        <v>215</v>
      </c>
      <c r="C201" s="22">
        <f>VLOOKUP(B201,[1]SYS!$F$5:$G$360,2,FALSE)</f>
        <v>196</v>
      </c>
      <c r="D201" s="34" t="str">
        <f>VLOOKUP(C201,[1]SYS!$G$5:$H$360,2,FALSE)</f>
        <v>静岡東分岐点</v>
      </c>
      <c r="E201" s="37">
        <v>0</v>
      </c>
      <c r="F201" s="26">
        <v>0</v>
      </c>
      <c r="G201" s="26">
        <v>0</v>
      </c>
      <c r="H201" s="35">
        <v>9.8458819370489045E-3</v>
      </c>
      <c r="I201" s="26">
        <v>0</v>
      </c>
      <c r="J201" s="26">
        <v>0</v>
      </c>
      <c r="K201" s="26">
        <v>0</v>
      </c>
      <c r="L201" s="26">
        <v>0</v>
      </c>
      <c r="M201" s="63">
        <v>0</v>
      </c>
      <c r="N201" s="37">
        <v>0</v>
      </c>
      <c r="O201" s="26">
        <v>0</v>
      </c>
      <c r="P201" s="26">
        <v>0</v>
      </c>
      <c r="Q201" s="26">
        <v>0</v>
      </c>
      <c r="R201" s="26">
        <v>0</v>
      </c>
      <c r="S201" s="26">
        <v>0</v>
      </c>
      <c r="T201" s="26">
        <v>0</v>
      </c>
      <c r="U201" s="26">
        <v>0</v>
      </c>
      <c r="V201" s="27">
        <v>0</v>
      </c>
      <c r="W201" s="68">
        <v>0</v>
      </c>
      <c r="X201" s="30">
        <v>0</v>
      </c>
      <c r="Y201" s="30">
        <v>0</v>
      </c>
      <c r="Z201" s="1">
        <v>1.7335536065994986E-2</v>
      </c>
      <c r="AA201" s="30">
        <v>0</v>
      </c>
      <c r="AB201" s="30">
        <v>0</v>
      </c>
      <c r="AC201" s="30">
        <v>0</v>
      </c>
      <c r="AD201" s="30">
        <v>0</v>
      </c>
      <c r="AE201" s="25">
        <v>0</v>
      </c>
      <c r="AG201" s="30">
        <f t="shared" si="10"/>
        <v>9.8458819370489045E-3</v>
      </c>
      <c r="AH201" s="30">
        <f t="shared" si="11"/>
        <v>0</v>
      </c>
      <c r="AI201" s="30">
        <f t="shared" si="12"/>
        <v>1.7335536065994986E-2</v>
      </c>
    </row>
    <row r="202" spans="2:35" ht="15.75" thickBot="1" x14ac:dyDescent="0.2">
      <c r="B202" t="s">
        <v>216</v>
      </c>
      <c r="C202" s="22">
        <f>VLOOKUP(B202,[1]SYS!$F$5:$G$360,2,FALSE)</f>
        <v>197</v>
      </c>
      <c r="D202" s="34" t="str">
        <f>VLOOKUP(C202,[1]SYS!$G$5:$H$360,2,FALSE)</f>
        <v>静岡西分岐点</v>
      </c>
      <c r="E202" s="37">
        <v>0</v>
      </c>
      <c r="F202" s="26">
        <v>0</v>
      </c>
      <c r="G202" s="26">
        <v>0</v>
      </c>
      <c r="H202" s="35">
        <v>1.9468490185593358E-2</v>
      </c>
      <c r="I202" s="26">
        <v>0</v>
      </c>
      <c r="J202" s="26">
        <v>0</v>
      </c>
      <c r="K202" s="26">
        <v>0</v>
      </c>
      <c r="L202" s="26">
        <v>0</v>
      </c>
      <c r="M202" s="63">
        <v>0</v>
      </c>
      <c r="N202" s="37">
        <v>0</v>
      </c>
      <c r="O202" s="26">
        <v>0</v>
      </c>
      <c r="P202" s="26">
        <v>0</v>
      </c>
      <c r="Q202" s="26">
        <v>0</v>
      </c>
      <c r="R202" s="26">
        <v>0</v>
      </c>
      <c r="S202" s="26">
        <v>0</v>
      </c>
      <c r="T202" s="26">
        <v>0</v>
      </c>
      <c r="U202" s="26">
        <v>0</v>
      </c>
      <c r="V202" s="27">
        <v>0</v>
      </c>
      <c r="W202" s="68">
        <v>0</v>
      </c>
      <c r="X202" s="30">
        <v>0</v>
      </c>
      <c r="Y202" s="30">
        <v>0</v>
      </c>
      <c r="Z202" s="1">
        <v>1.8654219078157917E-2</v>
      </c>
      <c r="AA202" s="30">
        <v>0</v>
      </c>
      <c r="AB202" s="30">
        <v>0</v>
      </c>
      <c r="AC202" s="30">
        <v>0</v>
      </c>
      <c r="AD202" s="30">
        <v>0</v>
      </c>
      <c r="AE202" s="25">
        <v>0</v>
      </c>
      <c r="AG202" s="30">
        <f t="shared" si="10"/>
        <v>1.9468490185593358E-2</v>
      </c>
      <c r="AH202" s="30">
        <f t="shared" si="11"/>
        <v>0</v>
      </c>
      <c r="AI202" s="30">
        <f t="shared" si="12"/>
        <v>1.8654219078157917E-2</v>
      </c>
    </row>
    <row r="203" spans="2:35" ht="15.75" thickBot="1" x14ac:dyDescent="0.2">
      <c r="B203" t="s">
        <v>217</v>
      </c>
      <c r="C203" s="22">
        <f>VLOOKUP(B203,[1]SYS!$F$5:$G$360,2,FALSE)</f>
        <v>198</v>
      </c>
      <c r="D203" s="34" t="str">
        <f>VLOOKUP(C203,[1]SYS!$G$5:$H$360,2,FALSE)</f>
        <v>飛騨変換所</v>
      </c>
      <c r="E203" s="37">
        <v>0</v>
      </c>
      <c r="F203" s="26">
        <v>0</v>
      </c>
      <c r="G203" s="26">
        <v>0</v>
      </c>
      <c r="H203" s="35">
        <v>1.2358944686973994E-3</v>
      </c>
      <c r="I203" s="26">
        <v>0</v>
      </c>
      <c r="J203" s="26">
        <v>0</v>
      </c>
      <c r="K203" s="26">
        <v>0</v>
      </c>
      <c r="L203" s="26">
        <v>0</v>
      </c>
      <c r="M203" s="63">
        <v>0</v>
      </c>
      <c r="N203" s="37">
        <v>0</v>
      </c>
      <c r="O203" s="26">
        <v>0</v>
      </c>
      <c r="P203" s="26">
        <v>0</v>
      </c>
      <c r="Q203" s="26">
        <v>0</v>
      </c>
      <c r="R203" s="26">
        <v>0</v>
      </c>
      <c r="S203" s="26">
        <v>0</v>
      </c>
      <c r="T203" s="26">
        <v>0</v>
      </c>
      <c r="U203" s="26">
        <v>0</v>
      </c>
      <c r="V203" s="27">
        <v>0</v>
      </c>
      <c r="W203" s="68">
        <v>0</v>
      </c>
      <c r="X203" s="30">
        <v>0</v>
      </c>
      <c r="Y203" s="30">
        <v>0</v>
      </c>
      <c r="Z203" s="1">
        <v>5.1646334967984115E-3</v>
      </c>
      <c r="AA203" s="30">
        <v>0</v>
      </c>
      <c r="AB203" s="30">
        <v>0</v>
      </c>
      <c r="AC203" s="30">
        <v>0</v>
      </c>
      <c r="AD203" s="30">
        <v>0</v>
      </c>
      <c r="AE203" s="25">
        <v>0</v>
      </c>
      <c r="AG203" s="30">
        <f t="shared" si="10"/>
        <v>1.2358944686973994E-3</v>
      </c>
      <c r="AH203" s="30">
        <f t="shared" si="11"/>
        <v>0</v>
      </c>
      <c r="AI203" s="30">
        <f t="shared" si="12"/>
        <v>5.1646334967984115E-3</v>
      </c>
    </row>
    <row r="204" spans="2:35" ht="15.75" thickBot="1" x14ac:dyDescent="0.2">
      <c r="B204" t="s">
        <v>218</v>
      </c>
      <c r="C204" s="22">
        <f>VLOOKUP(B204,[1]SYS!$F$5:$G$360,2,FALSE)</f>
        <v>199</v>
      </c>
      <c r="D204" s="34" t="str">
        <f>VLOOKUP(C204,[1]SYS!$G$5:$H$360,2,FALSE)</f>
        <v>越前変電所</v>
      </c>
      <c r="E204" s="37">
        <v>0</v>
      </c>
      <c r="F204" s="26">
        <v>0</v>
      </c>
      <c r="G204" s="26">
        <v>0</v>
      </c>
      <c r="H204" s="26">
        <v>0</v>
      </c>
      <c r="I204" s="35">
        <v>1.6537789160176359E-2</v>
      </c>
      <c r="J204" s="26">
        <v>0</v>
      </c>
      <c r="K204" s="26">
        <v>0</v>
      </c>
      <c r="L204" s="26">
        <v>0</v>
      </c>
      <c r="M204" s="63">
        <v>0</v>
      </c>
      <c r="N204" s="37">
        <v>0</v>
      </c>
      <c r="O204" s="26">
        <v>0</v>
      </c>
      <c r="P204" s="26">
        <v>0</v>
      </c>
      <c r="Q204" s="26">
        <v>0</v>
      </c>
      <c r="R204" s="35">
        <v>1.6537789160176359E-2</v>
      </c>
      <c r="S204" s="26">
        <v>0</v>
      </c>
      <c r="T204" s="26">
        <v>0</v>
      </c>
      <c r="U204" s="26">
        <v>0</v>
      </c>
      <c r="V204" s="27">
        <v>0</v>
      </c>
      <c r="W204" s="68">
        <v>0</v>
      </c>
      <c r="X204" s="30">
        <v>0</v>
      </c>
      <c r="Y204" s="30">
        <v>0</v>
      </c>
      <c r="Z204" s="30">
        <v>0</v>
      </c>
      <c r="AA204" s="1">
        <v>7.1773037290477987E-2</v>
      </c>
      <c r="AB204" s="30">
        <v>0</v>
      </c>
      <c r="AC204" s="30">
        <v>0</v>
      </c>
      <c r="AD204" s="30">
        <v>0</v>
      </c>
      <c r="AE204" s="25">
        <v>0</v>
      </c>
      <c r="AG204" s="30">
        <f t="shared" si="10"/>
        <v>1.6537789160176359E-2</v>
      </c>
      <c r="AH204" s="30">
        <f t="shared" si="11"/>
        <v>1.6537789160176359E-2</v>
      </c>
      <c r="AI204" s="30">
        <f t="shared" si="12"/>
        <v>7.1773037290477987E-2</v>
      </c>
    </row>
    <row r="205" spans="2:35" ht="15.75" thickBot="1" x14ac:dyDescent="0.2">
      <c r="B205" t="s">
        <v>219</v>
      </c>
      <c r="C205" s="22">
        <f>VLOOKUP(B205,[1]SYS!$F$5:$G$360,2,FALSE)</f>
        <v>200</v>
      </c>
      <c r="D205" s="34" t="str">
        <f>VLOOKUP(C205,[1]SYS!$G$5:$H$360,2,FALSE)</f>
        <v>加賀変電所</v>
      </c>
      <c r="E205" s="37">
        <v>0</v>
      </c>
      <c r="F205" s="26">
        <v>0</v>
      </c>
      <c r="G205" s="26">
        <v>0</v>
      </c>
      <c r="H205" s="26">
        <v>0</v>
      </c>
      <c r="I205" s="35">
        <v>6.5363336403721824E-3</v>
      </c>
      <c r="J205" s="26">
        <v>0</v>
      </c>
      <c r="K205" s="26">
        <v>0</v>
      </c>
      <c r="L205" s="26">
        <v>0</v>
      </c>
      <c r="M205" s="63">
        <v>0</v>
      </c>
      <c r="N205" s="37">
        <v>0</v>
      </c>
      <c r="O205" s="26">
        <v>0</v>
      </c>
      <c r="P205" s="26">
        <v>0</v>
      </c>
      <c r="Q205" s="26">
        <v>0</v>
      </c>
      <c r="R205" s="35">
        <f>0.00653633364037218+I207+I212</f>
        <v>0.5815953010885867</v>
      </c>
      <c r="S205" s="26">
        <v>0</v>
      </c>
      <c r="T205" s="26">
        <v>0</v>
      </c>
      <c r="U205" s="26">
        <v>0</v>
      </c>
      <c r="V205" s="27">
        <v>0</v>
      </c>
      <c r="W205" s="68">
        <v>0</v>
      </c>
      <c r="X205" s="30">
        <v>0</v>
      </c>
      <c r="Y205" s="30">
        <v>0</v>
      </c>
      <c r="Z205" s="30">
        <v>0</v>
      </c>
      <c r="AA205" s="1">
        <v>0.14473648901849698</v>
      </c>
      <c r="AB205" s="30">
        <v>0</v>
      </c>
      <c r="AC205" s="30">
        <v>0</v>
      </c>
      <c r="AD205" s="30">
        <v>0</v>
      </c>
      <c r="AE205" s="25">
        <v>0</v>
      </c>
      <c r="AG205" s="30">
        <f t="shared" si="10"/>
        <v>6.5363336403721824E-3</v>
      </c>
      <c r="AH205" s="30">
        <f t="shared" si="11"/>
        <v>0.5815953010885867</v>
      </c>
      <c r="AI205" s="30">
        <f t="shared" si="12"/>
        <v>0.14473648901849698</v>
      </c>
    </row>
    <row r="206" spans="2:35" ht="15.75" thickBot="1" x14ac:dyDescent="0.2">
      <c r="B206" t="s">
        <v>220</v>
      </c>
      <c r="C206" s="22">
        <f>VLOOKUP(B206,[1]SYS!$F$5:$G$360,2,FALSE)</f>
        <v>201</v>
      </c>
      <c r="D206" s="34" t="str">
        <f>VLOOKUP(C206,[1]SYS!$G$5:$H$360,2,FALSE)</f>
        <v>中能登変電所</v>
      </c>
      <c r="E206" s="37">
        <v>0</v>
      </c>
      <c r="F206" s="26">
        <v>0</v>
      </c>
      <c r="G206" s="26">
        <v>0</v>
      </c>
      <c r="H206" s="26">
        <v>0</v>
      </c>
      <c r="I206" s="35">
        <v>0.14077202063537755</v>
      </c>
      <c r="J206" s="26">
        <v>0</v>
      </c>
      <c r="K206" s="26">
        <v>0</v>
      </c>
      <c r="L206" s="26">
        <v>0</v>
      </c>
      <c r="M206" s="63">
        <v>0</v>
      </c>
      <c r="N206" s="37">
        <v>0</v>
      </c>
      <c r="O206" s="26">
        <v>0</v>
      </c>
      <c r="P206" s="26">
        <v>0</v>
      </c>
      <c r="Q206" s="26">
        <v>0</v>
      </c>
      <c r="R206" s="35">
        <v>0.14077202063537755</v>
      </c>
      <c r="S206" s="26">
        <v>0</v>
      </c>
      <c r="T206" s="26">
        <v>0</v>
      </c>
      <c r="U206" s="26">
        <v>0</v>
      </c>
      <c r="V206" s="27">
        <v>0</v>
      </c>
      <c r="W206" s="68">
        <v>0</v>
      </c>
      <c r="X206" s="30">
        <v>0</v>
      </c>
      <c r="Y206" s="30">
        <v>0</v>
      </c>
      <c r="Z206" s="30">
        <v>0</v>
      </c>
      <c r="AA206" s="1">
        <v>0.1977675771670622</v>
      </c>
      <c r="AB206" s="30">
        <v>0</v>
      </c>
      <c r="AC206" s="30">
        <v>0</v>
      </c>
      <c r="AD206" s="30">
        <v>0</v>
      </c>
      <c r="AE206" s="25">
        <v>0</v>
      </c>
      <c r="AG206" s="30">
        <f t="shared" si="10"/>
        <v>0.14077202063537755</v>
      </c>
      <c r="AH206" s="30">
        <f t="shared" si="11"/>
        <v>0.14077202063537755</v>
      </c>
      <c r="AI206" s="30">
        <f t="shared" si="12"/>
        <v>0.1977675771670622</v>
      </c>
    </row>
    <row r="207" spans="2:35" ht="15.75" thickBot="1" x14ac:dyDescent="0.2">
      <c r="B207" t="s">
        <v>221</v>
      </c>
      <c r="C207" s="22">
        <f>VLOOKUP(B207,[1]SYS!$F$5:$G$360,2,FALSE)</f>
        <v>202</v>
      </c>
      <c r="D207" s="34" t="str">
        <f>VLOOKUP(C207,[1]SYS!$G$5:$H$360,2,FALSE)</f>
        <v>南福光変電所</v>
      </c>
      <c r="E207" s="37">
        <v>0</v>
      </c>
      <c r="F207" s="26">
        <v>0</v>
      </c>
      <c r="G207" s="26">
        <v>0</v>
      </c>
      <c r="H207" s="26">
        <v>0</v>
      </c>
      <c r="I207" s="35">
        <v>1.6323704377599252E-2</v>
      </c>
      <c r="J207" s="26">
        <v>0</v>
      </c>
      <c r="K207" s="26">
        <v>0</v>
      </c>
      <c r="L207" s="26">
        <v>0</v>
      </c>
      <c r="M207" s="63">
        <v>0</v>
      </c>
      <c r="N207" s="37">
        <v>0</v>
      </c>
      <c r="O207" s="26">
        <v>0</v>
      </c>
      <c r="P207" s="26">
        <v>0</v>
      </c>
      <c r="Q207" s="26">
        <v>0</v>
      </c>
      <c r="R207" s="35">
        <v>0</v>
      </c>
      <c r="S207" s="26">
        <v>0</v>
      </c>
      <c r="T207" s="26">
        <v>0</v>
      </c>
      <c r="U207" s="26">
        <v>0</v>
      </c>
      <c r="V207" s="27">
        <v>0</v>
      </c>
      <c r="W207" s="68">
        <v>0</v>
      </c>
      <c r="X207" s="30">
        <v>0</v>
      </c>
      <c r="Y207" s="30">
        <v>0</v>
      </c>
      <c r="Z207" s="30">
        <v>0</v>
      </c>
      <c r="AA207" s="1">
        <v>1.6613302412486763E-2</v>
      </c>
      <c r="AB207" s="30">
        <v>0</v>
      </c>
      <c r="AC207" s="30">
        <v>0</v>
      </c>
      <c r="AD207" s="30">
        <v>0</v>
      </c>
      <c r="AE207" s="25">
        <v>0</v>
      </c>
      <c r="AG207" s="30">
        <f t="shared" si="10"/>
        <v>1.6323704377599252E-2</v>
      </c>
      <c r="AH207" s="30">
        <f t="shared" si="11"/>
        <v>0</v>
      </c>
      <c r="AI207" s="30">
        <f t="shared" si="12"/>
        <v>1.6613302412486763E-2</v>
      </c>
    </row>
    <row r="208" spans="2:35" ht="15.75" thickBot="1" x14ac:dyDescent="0.2">
      <c r="B208" t="s">
        <v>222</v>
      </c>
      <c r="C208" s="22">
        <f>VLOOKUP(B208,[1]SYS!$F$5:$G$360,2,FALSE)</f>
        <v>203</v>
      </c>
      <c r="D208" s="34" t="str">
        <f>VLOOKUP(C208,[1]SYS!$G$5:$H$360,2,FALSE)</f>
        <v>東金津変電所</v>
      </c>
      <c r="E208" s="37">
        <v>0</v>
      </c>
      <c r="F208" s="26">
        <v>0</v>
      </c>
      <c r="G208" s="26">
        <v>0</v>
      </c>
      <c r="H208" s="26">
        <v>0</v>
      </c>
      <c r="I208" s="35">
        <v>1.6958797662474098E-2</v>
      </c>
      <c r="J208" s="26">
        <v>0</v>
      </c>
      <c r="K208" s="26">
        <v>0</v>
      </c>
      <c r="L208" s="26">
        <v>0</v>
      </c>
      <c r="M208" s="63">
        <v>0</v>
      </c>
      <c r="N208" s="37">
        <v>0</v>
      </c>
      <c r="O208" s="26">
        <v>0</v>
      </c>
      <c r="P208" s="26">
        <v>0</v>
      </c>
      <c r="Q208" s="26">
        <v>0</v>
      </c>
      <c r="R208" s="35">
        <f>0.0169587976624741+I209</f>
        <v>7.4229383948287264E-2</v>
      </c>
      <c r="S208" s="26">
        <v>0</v>
      </c>
      <c r="T208" s="26">
        <v>0</v>
      </c>
      <c r="U208" s="26">
        <v>0</v>
      </c>
      <c r="V208" s="27">
        <v>0</v>
      </c>
      <c r="W208" s="68">
        <v>0</v>
      </c>
      <c r="X208" s="30">
        <v>0</v>
      </c>
      <c r="Y208" s="30">
        <v>0</v>
      </c>
      <c r="Z208" s="30">
        <v>0</v>
      </c>
      <c r="AA208" s="1">
        <v>0.11373773942260453</v>
      </c>
      <c r="AB208" s="30">
        <v>0</v>
      </c>
      <c r="AC208" s="30">
        <v>0</v>
      </c>
      <c r="AD208" s="30">
        <v>0</v>
      </c>
      <c r="AE208" s="25">
        <v>0</v>
      </c>
      <c r="AG208" s="30">
        <f t="shared" si="10"/>
        <v>1.6958797662474098E-2</v>
      </c>
      <c r="AH208" s="30">
        <f t="shared" si="11"/>
        <v>7.4229383948287264E-2</v>
      </c>
      <c r="AI208" s="30">
        <f t="shared" si="12"/>
        <v>0.11373773942260453</v>
      </c>
    </row>
    <row r="209" spans="2:35" ht="15.75" thickBot="1" x14ac:dyDescent="0.2">
      <c r="B209" t="s">
        <v>223</v>
      </c>
      <c r="C209" s="22">
        <f>VLOOKUP(B209,[1]SYS!$F$5:$G$360,2,FALSE)</f>
        <v>204</v>
      </c>
      <c r="D209" s="34" t="str">
        <f>VLOOKUP(C209,[1]SYS!$G$5:$H$360,2,FALSE)</f>
        <v>新福井変電所</v>
      </c>
      <c r="E209" s="37">
        <v>0</v>
      </c>
      <c r="F209" s="26">
        <v>0</v>
      </c>
      <c r="G209" s="26">
        <v>0</v>
      </c>
      <c r="H209" s="26">
        <v>0</v>
      </c>
      <c r="I209" s="35">
        <v>5.7270586285813156E-2</v>
      </c>
      <c r="J209" s="26">
        <v>0</v>
      </c>
      <c r="K209" s="26">
        <v>0</v>
      </c>
      <c r="L209" s="26">
        <v>0</v>
      </c>
      <c r="M209" s="63">
        <v>0</v>
      </c>
      <c r="N209" s="37">
        <v>0</v>
      </c>
      <c r="O209" s="26">
        <v>0</v>
      </c>
      <c r="P209" s="26">
        <v>0</v>
      </c>
      <c r="Q209" s="26">
        <v>0</v>
      </c>
      <c r="R209" s="35">
        <v>0</v>
      </c>
      <c r="S209" s="26">
        <v>0</v>
      </c>
      <c r="T209" s="26">
        <v>0</v>
      </c>
      <c r="U209" s="26">
        <v>0</v>
      </c>
      <c r="V209" s="27">
        <v>0</v>
      </c>
      <c r="W209" s="68">
        <v>0</v>
      </c>
      <c r="X209" s="30">
        <v>0</v>
      </c>
      <c r="Y209" s="30">
        <v>0</v>
      </c>
      <c r="Z209" s="30">
        <v>0</v>
      </c>
      <c r="AA209" s="1">
        <v>0.10375406639288143</v>
      </c>
      <c r="AB209" s="30">
        <v>0</v>
      </c>
      <c r="AC209" s="30">
        <v>0</v>
      </c>
      <c r="AD209" s="30">
        <v>0</v>
      </c>
      <c r="AE209" s="25">
        <v>0</v>
      </c>
      <c r="AG209" s="30">
        <f t="shared" si="10"/>
        <v>5.7270586285813156E-2</v>
      </c>
      <c r="AH209" s="30">
        <f t="shared" si="11"/>
        <v>0</v>
      </c>
      <c r="AI209" s="30">
        <f t="shared" si="12"/>
        <v>0.10375406639288143</v>
      </c>
    </row>
    <row r="210" spans="2:35" ht="15.75" thickBot="1" x14ac:dyDescent="0.2">
      <c r="B210" t="s">
        <v>224</v>
      </c>
      <c r="C210" s="22">
        <f>VLOOKUP(B210,[1]SYS!$F$5:$G$360,2,FALSE)</f>
        <v>205</v>
      </c>
      <c r="D210" s="34" t="str">
        <f>VLOOKUP(C210,[1]SYS!$G$5:$H$360,2,FALSE)</f>
        <v>城端開閉所</v>
      </c>
      <c r="E210" s="37">
        <v>0</v>
      </c>
      <c r="F210" s="26">
        <v>0</v>
      </c>
      <c r="G210" s="26">
        <v>0</v>
      </c>
      <c r="H210" s="26">
        <v>0</v>
      </c>
      <c r="I210" s="35">
        <v>0.11474005102400349</v>
      </c>
      <c r="J210" s="26">
        <v>0</v>
      </c>
      <c r="K210" s="26">
        <v>0</v>
      </c>
      <c r="L210" s="26">
        <v>0</v>
      </c>
      <c r="M210" s="63">
        <v>0</v>
      </c>
      <c r="N210" s="37">
        <v>0</v>
      </c>
      <c r="O210" s="26">
        <v>0</v>
      </c>
      <c r="P210" s="26">
        <v>0</v>
      </c>
      <c r="Q210" s="26">
        <v>0</v>
      </c>
      <c r="R210" s="35">
        <v>0</v>
      </c>
      <c r="S210" s="26">
        <v>0</v>
      </c>
      <c r="T210" s="26">
        <v>0</v>
      </c>
      <c r="U210" s="26">
        <v>0</v>
      </c>
      <c r="V210" s="27">
        <v>0</v>
      </c>
      <c r="W210" s="68">
        <v>0</v>
      </c>
      <c r="X210" s="30">
        <v>0</v>
      </c>
      <c r="Y210" s="30">
        <v>0</v>
      </c>
      <c r="Z210" s="30">
        <v>0</v>
      </c>
      <c r="AA210" s="1">
        <v>2.5613013879218858E-2</v>
      </c>
      <c r="AB210" s="30">
        <v>0</v>
      </c>
      <c r="AC210" s="30">
        <v>0</v>
      </c>
      <c r="AD210" s="30">
        <v>0</v>
      </c>
      <c r="AE210" s="25">
        <v>0</v>
      </c>
      <c r="AG210" s="30">
        <f t="shared" si="10"/>
        <v>0.11474005102400349</v>
      </c>
      <c r="AH210" s="30">
        <f t="shared" si="11"/>
        <v>0</v>
      </c>
      <c r="AI210" s="30">
        <f t="shared" si="12"/>
        <v>2.5613013879218858E-2</v>
      </c>
    </row>
    <row r="211" spans="2:35" ht="15.75" thickBot="1" x14ac:dyDescent="0.2">
      <c r="B211" t="s">
        <v>225</v>
      </c>
      <c r="C211" s="22">
        <f>VLOOKUP(B211,[1]SYS!$F$5:$G$360,2,FALSE)</f>
        <v>206</v>
      </c>
      <c r="D211" s="34" t="str">
        <f>VLOOKUP(C211,[1]SYS!$G$5:$H$360,2,FALSE)</f>
        <v>新富山変電所</v>
      </c>
      <c r="E211" s="37">
        <v>0</v>
      </c>
      <c r="F211" s="26">
        <v>0</v>
      </c>
      <c r="G211" s="26">
        <v>0</v>
      </c>
      <c r="H211" s="26">
        <v>0</v>
      </c>
      <c r="I211" s="35">
        <v>7.2125454143568704E-2</v>
      </c>
      <c r="J211" s="26">
        <v>0</v>
      </c>
      <c r="K211" s="26">
        <v>0</v>
      </c>
      <c r="L211" s="26">
        <v>0</v>
      </c>
      <c r="M211" s="63">
        <v>0</v>
      </c>
      <c r="N211" s="37">
        <v>0</v>
      </c>
      <c r="O211" s="26">
        <v>0</v>
      </c>
      <c r="P211" s="26">
        <v>0</v>
      </c>
      <c r="Q211" s="26">
        <v>0</v>
      </c>
      <c r="R211" s="35">
        <f>0.0721254541435687+I210</f>
        <v>0.18686550516757219</v>
      </c>
      <c r="S211" s="26">
        <v>0</v>
      </c>
      <c r="T211" s="26">
        <v>0</v>
      </c>
      <c r="U211" s="26">
        <v>0</v>
      </c>
      <c r="V211" s="27">
        <v>0</v>
      </c>
      <c r="W211" s="68">
        <v>0</v>
      </c>
      <c r="X211" s="30">
        <v>0</v>
      </c>
      <c r="Y211" s="30">
        <v>0</v>
      </c>
      <c r="Z211" s="30">
        <v>0</v>
      </c>
      <c r="AA211" s="1">
        <v>0.24725337106410014</v>
      </c>
      <c r="AB211" s="30">
        <v>0</v>
      </c>
      <c r="AC211" s="30">
        <v>0</v>
      </c>
      <c r="AD211" s="30">
        <v>0</v>
      </c>
      <c r="AE211" s="25">
        <v>0</v>
      </c>
      <c r="AG211" s="30">
        <f t="shared" si="10"/>
        <v>7.2125454143568704E-2</v>
      </c>
      <c r="AH211" s="30">
        <f t="shared" si="11"/>
        <v>0.18686550516757219</v>
      </c>
      <c r="AI211" s="30">
        <f t="shared" si="12"/>
        <v>0.24725337106410014</v>
      </c>
    </row>
    <row r="212" spans="2:35" ht="15.75" thickBot="1" x14ac:dyDescent="0.2">
      <c r="B212" t="s">
        <v>226</v>
      </c>
      <c r="C212" s="22">
        <f>VLOOKUP(B212,[1]SYS!$F$5:$G$360,2,FALSE)</f>
        <v>207</v>
      </c>
      <c r="D212" s="34" t="str">
        <f>VLOOKUP(C212,[1]SYS!$G$5:$H$360,2,FALSE)</f>
        <v>南条変電所</v>
      </c>
      <c r="E212" s="37">
        <v>0</v>
      </c>
      <c r="F212" s="26">
        <v>0</v>
      </c>
      <c r="G212" s="26">
        <v>0</v>
      </c>
      <c r="H212" s="26">
        <v>0</v>
      </c>
      <c r="I212" s="35">
        <v>0.55873526307061527</v>
      </c>
      <c r="J212" s="26">
        <v>0</v>
      </c>
      <c r="K212" s="26">
        <v>0</v>
      </c>
      <c r="L212" s="26">
        <v>0</v>
      </c>
      <c r="M212" s="63">
        <v>0</v>
      </c>
      <c r="N212" s="37">
        <v>0</v>
      </c>
      <c r="O212" s="26">
        <v>0</v>
      </c>
      <c r="P212" s="26">
        <v>0</v>
      </c>
      <c r="Q212" s="26">
        <v>0</v>
      </c>
      <c r="R212" s="35">
        <v>0</v>
      </c>
      <c r="S212" s="26">
        <v>0</v>
      </c>
      <c r="T212" s="26">
        <v>0</v>
      </c>
      <c r="U212" s="26">
        <v>0</v>
      </c>
      <c r="V212" s="27">
        <v>0</v>
      </c>
      <c r="W212" s="68">
        <v>0</v>
      </c>
      <c r="X212" s="30">
        <v>0</v>
      </c>
      <c r="Y212" s="30">
        <v>0</v>
      </c>
      <c r="Z212" s="30">
        <v>0</v>
      </c>
      <c r="AA212" s="1">
        <v>7.8751403352671223E-2</v>
      </c>
      <c r="AB212" s="30">
        <v>0</v>
      </c>
      <c r="AC212" s="30">
        <v>0</v>
      </c>
      <c r="AD212" s="30">
        <v>0</v>
      </c>
      <c r="AE212" s="25">
        <v>0</v>
      </c>
      <c r="AG212" s="30">
        <f t="shared" si="10"/>
        <v>0.55873526307061527</v>
      </c>
      <c r="AH212" s="30">
        <f t="shared" si="11"/>
        <v>0</v>
      </c>
      <c r="AI212" s="30">
        <f t="shared" si="12"/>
        <v>7.8751403352671223E-2</v>
      </c>
    </row>
    <row r="213" spans="2:35" ht="15.75" thickBot="1" x14ac:dyDescent="0.2">
      <c r="B213" t="s">
        <v>227</v>
      </c>
      <c r="C213" s="22">
        <f>VLOOKUP(B213,[1]SYS!$F$5:$G$360,2,FALSE)</f>
        <v>208</v>
      </c>
      <c r="D213" s="34" t="str">
        <f>VLOOKUP(C213,[1]SYS!$G$5:$H$360,2,FALSE)</f>
        <v>北摂変電所</v>
      </c>
      <c r="E213" s="37">
        <v>0</v>
      </c>
      <c r="F213" s="26">
        <v>0</v>
      </c>
      <c r="G213" s="26">
        <v>0</v>
      </c>
      <c r="H213" s="26">
        <v>0</v>
      </c>
      <c r="I213" s="26">
        <v>0</v>
      </c>
      <c r="J213" s="35">
        <v>5.6416399668833012E-3</v>
      </c>
      <c r="K213" s="26">
        <v>0</v>
      </c>
      <c r="L213" s="26">
        <v>0</v>
      </c>
      <c r="M213" s="63">
        <v>0</v>
      </c>
      <c r="N213" s="37">
        <v>0</v>
      </c>
      <c r="O213" s="26">
        <v>0</v>
      </c>
      <c r="P213" s="26">
        <v>0</v>
      </c>
      <c r="Q213" s="26">
        <v>0</v>
      </c>
      <c r="R213" s="26">
        <v>0</v>
      </c>
      <c r="S213" s="26">
        <v>0</v>
      </c>
      <c r="T213" s="26">
        <v>0</v>
      </c>
      <c r="U213" s="26">
        <v>0</v>
      </c>
      <c r="V213" s="27">
        <v>0</v>
      </c>
      <c r="W213" s="68">
        <v>0</v>
      </c>
      <c r="X213" s="30">
        <v>0</v>
      </c>
      <c r="Y213" s="30">
        <v>0</v>
      </c>
      <c r="Z213" s="30">
        <v>0</v>
      </c>
      <c r="AA213" s="30">
        <v>0</v>
      </c>
      <c r="AB213" s="1">
        <v>3.9604648929144649E-2</v>
      </c>
      <c r="AC213" s="30">
        <v>0</v>
      </c>
      <c r="AD213" s="30">
        <v>0</v>
      </c>
      <c r="AE213" s="25">
        <v>0</v>
      </c>
      <c r="AG213" s="30">
        <f t="shared" si="10"/>
        <v>5.6416399668833012E-3</v>
      </c>
      <c r="AH213" s="30">
        <f t="shared" si="11"/>
        <v>0</v>
      </c>
      <c r="AI213" s="30">
        <f t="shared" si="12"/>
        <v>3.9604648929144649E-2</v>
      </c>
    </row>
    <row r="214" spans="2:35" ht="15.75" thickBot="1" x14ac:dyDescent="0.2">
      <c r="B214" t="s">
        <v>228</v>
      </c>
      <c r="C214" s="22">
        <f>VLOOKUP(B214,[1]SYS!$F$5:$G$360,2,FALSE)</f>
        <v>209</v>
      </c>
      <c r="D214" s="34" t="str">
        <f>VLOOKUP(C214,[1]SYS!$G$5:$H$360,2,FALSE)</f>
        <v>西播変電所</v>
      </c>
      <c r="E214" s="37">
        <v>0</v>
      </c>
      <c r="F214" s="26">
        <v>0</v>
      </c>
      <c r="G214" s="26">
        <v>0</v>
      </c>
      <c r="H214" s="26">
        <v>0</v>
      </c>
      <c r="I214" s="26">
        <v>0</v>
      </c>
      <c r="J214" s="35">
        <v>2.9253788317251724E-2</v>
      </c>
      <c r="K214" s="26">
        <v>0</v>
      </c>
      <c r="L214" s="26">
        <v>0</v>
      </c>
      <c r="M214" s="63">
        <v>0</v>
      </c>
      <c r="N214" s="37">
        <v>0</v>
      </c>
      <c r="O214" s="26">
        <v>0</v>
      </c>
      <c r="P214" s="26">
        <v>0</v>
      </c>
      <c r="Q214" s="26">
        <v>0</v>
      </c>
      <c r="R214" s="26">
        <v>0</v>
      </c>
      <c r="S214" s="81">
        <v>0.2</v>
      </c>
      <c r="T214" s="26">
        <v>0</v>
      </c>
      <c r="U214" s="26">
        <v>0</v>
      </c>
      <c r="V214" s="27">
        <v>0</v>
      </c>
      <c r="W214" s="68">
        <v>0</v>
      </c>
      <c r="X214" s="30">
        <v>0</v>
      </c>
      <c r="Y214" s="30">
        <v>0</v>
      </c>
      <c r="Z214" s="30">
        <v>0</v>
      </c>
      <c r="AA214" s="30">
        <v>0</v>
      </c>
      <c r="AB214" s="1">
        <v>2.8980533190242644E-2</v>
      </c>
      <c r="AC214" s="30">
        <v>0</v>
      </c>
      <c r="AD214" s="30">
        <v>0</v>
      </c>
      <c r="AE214" s="25">
        <v>0</v>
      </c>
      <c r="AG214" s="30">
        <f t="shared" si="10"/>
        <v>2.9253788317251724E-2</v>
      </c>
      <c r="AH214" s="30">
        <f t="shared" si="11"/>
        <v>0.2</v>
      </c>
      <c r="AI214" s="30">
        <f t="shared" si="12"/>
        <v>2.8980533190242644E-2</v>
      </c>
    </row>
    <row r="215" spans="2:35" ht="15.75" thickBot="1" x14ac:dyDescent="0.2">
      <c r="B215" t="s">
        <v>229</v>
      </c>
      <c r="C215" s="22">
        <f>VLOOKUP(B215,[1]SYS!$F$5:$G$360,2,FALSE)</f>
        <v>210</v>
      </c>
      <c r="D215" s="34" t="str">
        <f>VLOOKUP(C215,[1]SYS!$G$5:$H$360,2,FALSE)</f>
        <v>猪名川変電所</v>
      </c>
      <c r="E215" s="37">
        <v>0</v>
      </c>
      <c r="F215" s="26">
        <v>0</v>
      </c>
      <c r="G215" s="26">
        <v>0</v>
      </c>
      <c r="H215" s="26">
        <v>0</v>
      </c>
      <c r="I215" s="26">
        <v>0</v>
      </c>
      <c r="J215" s="35">
        <v>2.7595332044281266E-2</v>
      </c>
      <c r="K215" s="26">
        <v>0</v>
      </c>
      <c r="L215" s="26">
        <v>0</v>
      </c>
      <c r="M215" s="63">
        <v>0</v>
      </c>
      <c r="N215" s="37">
        <v>0</v>
      </c>
      <c r="O215" s="26">
        <v>0</v>
      </c>
      <c r="P215" s="26">
        <v>0</v>
      </c>
      <c r="Q215" s="26">
        <v>0</v>
      </c>
      <c r="R215" s="26">
        <v>0</v>
      </c>
      <c r="S215" s="35">
        <v>0</v>
      </c>
      <c r="T215" s="26">
        <v>0</v>
      </c>
      <c r="U215" s="26">
        <v>0</v>
      </c>
      <c r="V215" s="27">
        <v>0</v>
      </c>
      <c r="W215" s="68">
        <v>0</v>
      </c>
      <c r="X215" s="30">
        <v>0</v>
      </c>
      <c r="Y215" s="30">
        <v>0</v>
      </c>
      <c r="Z215" s="30">
        <v>0</v>
      </c>
      <c r="AA215" s="30">
        <v>0</v>
      </c>
      <c r="AB215" s="1">
        <v>1.0877300344676459E-2</v>
      </c>
      <c r="AC215" s="30">
        <v>0</v>
      </c>
      <c r="AD215" s="30">
        <v>0</v>
      </c>
      <c r="AE215" s="25">
        <v>0</v>
      </c>
      <c r="AG215" s="30">
        <f t="shared" si="10"/>
        <v>2.7595332044281266E-2</v>
      </c>
      <c r="AH215" s="30">
        <f t="shared" si="11"/>
        <v>0</v>
      </c>
      <c r="AI215" s="30">
        <f t="shared" si="12"/>
        <v>1.0877300344676459E-2</v>
      </c>
    </row>
    <row r="216" spans="2:35" ht="15.75" thickBot="1" x14ac:dyDescent="0.2">
      <c r="B216" t="s">
        <v>230</v>
      </c>
      <c r="C216" s="22">
        <f>VLOOKUP(B216,[1]SYS!$F$5:$G$360,2,FALSE)</f>
        <v>211</v>
      </c>
      <c r="D216" s="34" t="str">
        <f>VLOOKUP(C216,[1]SYS!$G$5:$H$360,2,FALSE)</f>
        <v>京北開閉所</v>
      </c>
      <c r="E216" s="37">
        <v>0</v>
      </c>
      <c r="F216" s="26">
        <v>0</v>
      </c>
      <c r="G216" s="26">
        <v>0</v>
      </c>
      <c r="H216" s="26">
        <v>0</v>
      </c>
      <c r="I216" s="26">
        <v>0</v>
      </c>
      <c r="J216" s="35">
        <v>3.8427709301351609E-3</v>
      </c>
      <c r="K216" s="26">
        <v>0</v>
      </c>
      <c r="L216" s="26">
        <v>0</v>
      </c>
      <c r="M216" s="63">
        <v>0</v>
      </c>
      <c r="N216" s="37">
        <v>0</v>
      </c>
      <c r="O216" s="26">
        <v>0</v>
      </c>
      <c r="P216" s="26">
        <v>0</v>
      </c>
      <c r="Q216" s="26">
        <v>0</v>
      </c>
      <c r="R216" s="26">
        <v>0</v>
      </c>
      <c r="S216" s="35">
        <v>0</v>
      </c>
      <c r="T216" s="26">
        <v>0</v>
      </c>
      <c r="U216" s="26">
        <v>0</v>
      </c>
      <c r="V216" s="27">
        <v>0</v>
      </c>
      <c r="W216" s="68">
        <v>0</v>
      </c>
      <c r="X216" s="30">
        <v>0</v>
      </c>
      <c r="Y216" s="30">
        <v>0</v>
      </c>
      <c r="Z216" s="30">
        <v>0</v>
      </c>
      <c r="AA216" s="30">
        <v>0</v>
      </c>
      <c r="AB216" s="1">
        <v>2.2974846601824743E-2</v>
      </c>
      <c r="AC216" s="30">
        <v>0</v>
      </c>
      <c r="AD216" s="30">
        <v>0</v>
      </c>
      <c r="AE216" s="25">
        <v>0</v>
      </c>
      <c r="AG216" s="30">
        <f t="shared" si="10"/>
        <v>3.8427709301351609E-3</v>
      </c>
      <c r="AH216" s="30">
        <f t="shared" si="11"/>
        <v>0</v>
      </c>
      <c r="AI216" s="30">
        <f t="shared" si="12"/>
        <v>2.2974846601824743E-2</v>
      </c>
    </row>
    <row r="217" spans="2:35" ht="15.75" thickBot="1" x14ac:dyDescent="0.2">
      <c r="B217" t="s">
        <v>231</v>
      </c>
      <c r="C217" s="22">
        <f>VLOOKUP(B217,[1]SYS!$F$5:$G$360,2,FALSE)</f>
        <v>212</v>
      </c>
      <c r="D217" s="34" t="str">
        <f>VLOOKUP(C217,[1]SYS!$G$5:$H$360,2,FALSE)</f>
        <v>西京都変電所</v>
      </c>
      <c r="E217" s="37">
        <v>0</v>
      </c>
      <c r="F217" s="26">
        <v>0</v>
      </c>
      <c r="G217" s="26">
        <v>0</v>
      </c>
      <c r="H217" s="26">
        <v>0</v>
      </c>
      <c r="I217" s="26">
        <v>0</v>
      </c>
      <c r="J217" s="35">
        <v>7.7516716499578895E-3</v>
      </c>
      <c r="K217" s="26">
        <v>0</v>
      </c>
      <c r="L217" s="26">
        <v>0</v>
      </c>
      <c r="M217" s="63">
        <v>0</v>
      </c>
      <c r="N217" s="37">
        <v>0</v>
      </c>
      <c r="O217" s="26">
        <v>0</v>
      </c>
      <c r="P217" s="26">
        <v>0</v>
      </c>
      <c r="Q217" s="26">
        <v>0</v>
      </c>
      <c r="R217" s="26">
        <v>0</v>
      </c>
      <c r="S217" s="35">
        <v>0</v>
      </c>
      <c r="T217" s="26">
        <v>0</v>
      </c>
      <c r="U217" s="26">
        <v>0</v>
      </c>
      <c r="V217" s="27">
        <v>0</v>
      </c>
      <c r="W217" s="68">
        <v>0</v>
      </c>
      <c r="X217" s="30">
        <v>0</v>
      </c>
      <c r="Y217" s="30">
        <v>0</v>
      </c>
      <c r="Z217" s="30">
        <v>0</v>
      </c>
      <c r="AA217" s="30">
        <v>0</v>
      </c>
      <c r="AB217" s="1">
        <v>8.4763391761503108E-3</v>
      </c>
      <c r="AC217" s="30">
        <v>0</v>
      </c>
      <c r="AD217" s="30">
        <v>0</v>
      </c>
      <c r="AE217" s="25">
        <v>0</v>
      </c>
      <c r="AG217" s="30">
        <f t="shared" si="10"/>
        <v>7.7516716499578895E-3</v>
      </c>
      <c r="AH217" s="30">
        <f t="shared" si="11"/>
        <v>0</v>
      </c>
      <c r="AI217" s="30">
        <f t="shared" si="12"/>
        <v>8.4763391761503108E-3</v>
      </c>
    </row>
    <row r="218" spans="2:35" ht="15.75" thickBot="1" x14ac:dyDescent="0.2">
      <c r="B218" t="s">
        <v>232</v>
      </c>
      <c r="C218" s="22">
        <f>VLOOKUP(B218,[1]SYS!$F$5:$G$360,2,FALSE)</f>
        <v>213</v>
      </c>
      <c r="D218" s="34" t="str">
        <f>VLOOKUP(C218,[1]SYS!$G$5:$H$360,2,FALSE)</f>
        <v>能勢変電所</v>
      </c>
      <c r="E218" s="37">
        <v>0</v>
      </c>
      <c r="F218" s="26">
        <v>0</v>
      </c>
      <c r="G218" s="26">
        <v>0</v>
      </c>
      <c r="H218" s="26">
        <v>0</v>
      </c>
      <c r="I218" s="26">
        <v>0</v>
      </c>
      <c r="J218" s="35">
        <v>5.7885946085028527E-2</v>
      </c>
      <c r="K218" s="26">
        <v>0</v>
      </c>
      <c r="L218" s="26">
        <v>0</v>
      </c>
      <c r="M218" s="63">
        <v>0</v>
      </c>
      <c r="N218" s="37">
        <v>0</v>
      </c>
      <c r="O218" s="26">
        <v>0</v>
      </c>
      <c r="P218" s="26">
        <v>0</v>
      </c>
      <c r="Q218" s="26">
        <v>0</v>
      </c>
      <c r="R218" s="26">
        <v>0</v>
      </c>
      <c r="S218" s="35">
        <v>0</v>
      </c>
      <c r="T218" s="26">
        <v>0</v>
      </c>
      <c r="U218" s="26">
        <v>0</v>
      </c>
      <c r="V218" s="27">
        <v>0</v>
      </c>
      <c r="W218" s="68">
        <v>0</v>
      </c>
      <c r="X218" s="30">
        <v>0</v>
      </c>
      <c r="Y218" s="30">
        <v>0</v>
      </c>
      <c r="Z218" s="30">
        <v>0</v>
      </c>
      <c r="AA218" s="30">
        <v>0</v>
      </c>
      <c r="AB218" s="1">
        <v>6.2180285795261324E-3</v>
      </c>
      <c r="AC218" s="30">
        <v>0</v>
      </c>
      <c r="AD218" s="30">
        <v>0</v>
      </c>
      <c r="AE218" s="25">
        <v>0</v>
      </c>
      <c r="AG218" s="30">
        <f t="shared" si="10"/>
        <v>5.7885946085028527E-2</v>
      </c>
      <c r="AH218" s="30">
        <f t="shared" si="11"/>
        <v>0</v>
      </c>
      <c r="AI218" s="30">
        <f t="shared" si="12"/>
        <v>6.2180285795261324E-3</v>
      </c>
    </row>
    <row r="219" spans="2:35" ht="15.75" thickBot="1" x14ac:dyDescent="0.2">
      <c r="B219" t="s">
        <v>233</v>
      </c>
      <c r="C219" s="22">
        <f>VLOOKUP(B219,[1]SYS!$F$5:$G$360,2,FALSE)</f>
        <v>214</v>
      </c>
      <c r="D219" s="34" t="str">
        <f>VLOOKUP(C219,[1]SYS!$G$5:$H$360,2,FALSE)</f>
        <v>新生駒変電所</v>
      </c>
      <c r="E219" s="37">
        <v>0</v>
      </c>
      <c r="F219" s="26">
        <v>0</v>
      </c>
      <c r="G219" s="26">
        <v>0</v>
      </c>
      <c r="H219" s="26">
        <v>0</v>
      </c>
      <c r="I219" s="26">
        <v>0</v>
      </c>
      <c r="J219" s="35">
        <v>1.830878228184309E-2</v>
      </c>
      <c r="K219" s="26">
        <v>0</v>
      </c>
      <c r="L219" s="26">
        <v>0</v>
      </c>
      <c r="M219" s="63">
        <v>0</v>
      </c>
      <c r="N219" s="37">
        <v>0</v>
      </c>
      <c r="O219" s="26">
        <v>0</v>
      </c>
      <c r="P219" s="26">
        <v>0</v>
      </c>
      <c r="Q219" s="26">
        <v>0</v>
      </c>
      <c r="R219" s="26">
        <v>0</v>
      </c>
      <c r="S219" s="35">
        <v>0</v>
      </c>
      <c r="T219" s="26">
        <v>0</v>
      </c>
      <c r="U219" s="26">
        <v>0</v>
      </c>
      <c r="V219" s="27">
        <v>0</v>
      </c>
      <c r="W219" s="68">
        <v>0</v>
      </c>
      <c r="X219" s="30">
        <v>0</v>
      </c>
      <c r="Y219" s="30">
        <v>0</v>
      </c>
      <c r="Z219" s="30">
        <v>0</v>
      </c>
      <c r="AA219" s="30">
        <v>0</v>
      </c>
      <c r="AB219" s="1">
        <v>1.6359032731755461E-2</v>
      </c>
      <c r="AC219" s="30">
        <v>0</v>
      </c>
      <c r="AD219" s="30">
        <v>0</v>
      </c>
      <c r="AE219" s="25">
        <v>0</v>
      </c>
      <c r="AG219" s="30">
        <f t="shared" si="10"/>
        <v>1.830878228184309E-2</v>
      </c>
      <c r="AH219" s="30">
        <f t="shared" si="11"/>
        <v>0</v>
      </c>
      <c r="AI219" s="30">
        <f t="shared" si="12"/>
        <v>1.6359032731755461E-2</v>
      </c>
    </row>
    <row r="220" spans="2:35" ht="15.75" thickBot="1" x14ac:dyDescent="0.2">
      <c r="B220" t="s">
        <v>234</v>
      </c>
      <c r="C220" s="22">
        <f>VLOOKUP(B220,[1]SYS!$F$5:$G$360,2,FALSE)</f>
        <v>215</v>
      </c>
      <c r="D220" s="34" t="str">
        <f>VLOOKUP(C220,[1]SYS!$G$5:$H$360,2,FALSE)</f>
        <v>東近江開閉所</v>
      </c>
      <c r="E220" s="37">
        <v>0</v>
      </c>
      <c r="F220" s="26">
        <v>0</v>
      </c>
      <c r="G220" s="26">
        <v>0</v>
      </c>
      <c r="H220" s="26">
        <v>0</v>
      </c>
      <c r="I220" s="26">
        <v>0</v>
      </c>
      <c r="J220" s="35">
        <v>1.1660486244593267E-2</v>
      </c>
      <c r="K220" s="26">
        <v>0</v>
      </c>
      <c r="L220" s="26">
        <v>0</v>
      </c>
      <c r="M220" s="63">
        <v>0</v>
      </c>
      <c r="N220" s="37">
        <v>0</v>
      </c>
      <c r="O220" s="26">
        <v>0</v>
      </c>
      <c r="P220" s="26">
        <v>0</v>
      </c>
      <c r="Q220" s="26">
        <v>0</v>
      </c>
      <c r="R220" s="26">
        <v>0</v>
      </c>
      <c r="S220" s="35">
        <v>0</v>
      </c>
      <c r="T220" s="26">
        <v>0</v>
      </c>
      <c r="U220" s="26">
        <v>0</v>
      </c>
      <c r="V220" s="27">
        <v>0</v>
      </c>
      <c r="W220" s="68">
        <v>0</v>
      </c>
      <c r="X220" s="30">
        <v>0</v>
      </c>
      <c r="Y220" s="30">
        <v>0</v>
      </c>
      <c r="Z220" s="30">
        <v>0</v>
      </c>
      <c r="AA220" s="30">
        <v>0</v>
      </c>
      <c r="AB220" s="1">
        <v>3.3773899138051164E-2</v>
      </c>
      <c r="AC220" s="30">
        <v>0</v>
      </c>
      <c r="AD220" s="30">
        <v>0</v>
      </c>
      <c r="AE220" s="25">
        <v>0</v>
      </c>
      <c r="AG220" s="30">
        <f t="shared" si="10"/>
        <v>1.1660486244593267E-2</v>
      </c>
      <c r="AH220" s="30">
        <f t="shared" si="11"/>
        <v>0</v>
      </c>
      <c r="AI220" s="30">
        <f t="shared" si="12"/>
        <v>3.3773899138051164E-2</v>
      </c>
    </row>
    <row r="221" spans="2:35" ht="15.75" thickBot="1" x14ac:dyDescent="0.2">
      <c r="B221" t="s">
        <v>235</v>
      </c>
      <c r="C221" s="22">
        <f>VLOOKUP(B221,[1]SYS!$F$5:$G$360,2,FALSE)</f>
        <v>216</v>
      </c>
      <c r="D221" s="34" t="str">
        <f>VLOOKUP(C221,[1]SYS!$G$5:$H$360,2,FALSE)</f>
        <v>南京都変電所</v>
      </c>
      <c r="E221" s="37">
        <v>0</v>
      </c>
      <c r="F221" s="26">
        <v>0</v>
      </c>
      <c r="G221" s="26">
        <v>0</v>
      </c>
      <c r="H221" s="26">
        <v>0</v>
      </c>
      <c r="I221" s="26">
        <v>0</v>
      </c>
      <c r="J221" s="35">
        <v>1.8992473684376524E-2</v>
      </c>
      <c r="K221" s="26">
        <v>0</v>
      </c>
      <c r="L221" s="26">
        <v>0</v>
      </c>
      <c r="M221" s="63">
        <v>0</v>
      </c>
      <c r="N221" s="37">
        <v>0</v>
      </c>
      <c r="O221" s="26">
        <v>0</v>
      </c>
      <c r="P221" s="26">
        <v>0</v>
      </c>
      <c r="Q221" s="26">
        <v>0</v>
      </c>
      <c r="R221" s="26">
        <v>0</v>
      </c>
      <c r="S221" s="35">
        <v>0</v>
      </c>
      <c r="T221" s="26">
        <v>0</v>
      </c>
      <c r="U221" s="26">
        <v>0</v>
      </c>
      <c r="V221" s="27">
        <v>0</v>
      </c>
      <c r="W221" s="68">
        <v>0</v>
      </c>
      <c r="X221" s="30">
        <v>0</v>
      </c>
      <c r="Y221" s="30">
        <v>0</v>
      </c>
      <c r="Z221" s="30">
        <v>0</v>
      </c>
      <c r="AA221" s="30">
        <v>0</v>
      </c>
      <c r="AB221" s="1">
        <v>2.7343346469383251E-3</v>
      </c>
      <c r="AC221" s="30">
        <v>0</v>
      </c>
      <c r="AD221" s="30">
        <v>0</v>
      </c>
      <c r="AE221" s="25">
        <v>0</v>
      </c>
      <c r="AG221" s="30">
        <f t="shared" si="10"/>
        <v>1.8992473684376524E-2</v>
      </c>
      <c r="AH221" s="30">
        <f t="shared" si="11"/>
        <v>0</v>
      </c>
      <c r="AI221" s="30">
        <f t="shared" si="12"/>
        <v>2.7343346469383251E-3</v>
      </c>
    </row>
    <row r="222" spans="2:35" ht="15.75" thickBot="1" x14ac:dyDescent="0.2">
      <c r="B222" t="s">
        <v>236</v>
      </c>
      <c r="C222" s="22">
        <f>VLOOKUP(B222,[1]SYS!$F$5:$G$360,2,FALSE)</f>
        <v>217</v>
      </c>
      <c r="D222" s="34" t="str">
        <f>VLOOKUP(C222,[1]SYS!$G$5:$H$360,2,FALSE)</f>
        <v>山崎開閉所</v>
      </c>
      <c r="E222" s="37">
        <v>0</v>
      </c>
      <c r="F222" s="26">
        <v>0</v>
      </c>
      <c r="G222" s="26">
        <v>0</v>
      </c>
      <c r="H222" s="26">
        <v>0</v>
      </c>
      <c r="I222" s="26">
        <v>0</v>
      </c>
      <c r="J222" s="35">
        <v>4.3819812064297581E-2</v>
      </c>
      <c r="K222" s="26">
        <v>0</v>
      </c>
      <c r="L222" s="26">
        <v>0</v>
      </c>
      <c r="M222" s="63">
        <v>0</v>
      </c>
      <c r="N222" s="37">
        <v>0</v>
      </c>
      <c r="O222" s="26">
        <v>0</v>
      </c>
      <c r="P222" s="26">
        <v>0</v>
      </c>
      <c r="Q222" s="26">
        <v>0</v>
      </c>
      <c r="R222" s="26">
        <v>0</v>
      </c>
      <c r="S222" s="35">
        <v>0</v>
      </c>
      <c r="T222" s="26">
        <v>0</v>
      </c>
      <c r="U222" s="26">
        <v>0</v>
      </c>
      <c r="V222" s="27">
        <v>0</v>
      </c>
      <c r="W222" s="68">
        <v>0</v>
      </c>
      <c r="X222" s="30">
        <v>0</v>
      </c>
      <c r="Y222" s="30">
        <v>0</v>
      </c>
      <c r="Z222" s="30">
        <v>0</v>
      </c>
      <c r="AA222" s="30">
        <v>0</v>
      </c>
      <c r="AB222" s="1">
        <v>1.585355428362091E-2</v>
      </c>
      <c r="AC222" s="30">
        <v>0</v>
      </c>
      <c r="AD222" s="30">
        <v>0</v>
      </c>
      <c r="AE222" s="25">
        <v>0</v>
      </c>
      <c r="AG222" s="30">
        <f t="shared" si="10"/>
        <v>4.3819812064297581E-2</v>
      </c>
      <c r="AH222" s="30">
        <f t="shared" si="11"/>
        <v>0</v>
      </c>
      <c r="AI222" s="30">
        <f t="shared" si="12"/>
        <v>1.585355428362091E-2</v>
      </c>
    </row>
    <row r="223" spans="2:35" ht="15.75" thickBot="1" x14ac:dyDescent="0.2">
      <c r="B223" t="s">
        <v>237</v>
      </c>
      <c r="C223" s="22">
        <f>VLOOKUP(B223,[1]SYS!$F$5:$G$360,2,FALSE)</f>
        <v>218</v>
      </c>
      <c r="D223" s="34" t="str">
        <f>VLOOKUP(C223,[1]SYS!$G$5:$H$360,2,FALSE)</f>
        <v>大河内発電所</v>
      </c>
      <c r="E223" s="37">
        <v>0</v>
      </c>
      <c r="F223" s="26">
        <v>0</v>
      </c>
      <c r="G223" s="26">
        <v>0</v>
      </c>
      <c r="H223" s="26">
        <v>0</v>
      </c>
      <c r="I223" s="26">
        <v>0</v>
      </c>
      <c r="J223" s="35">
        <v>5.0255644919925038E-3</v>
      </c>
      <c r="K223" s="26">
        <v>0</v>
      </c>
      <c r="L223" s="26">
        <v>0</v>
      </c>
      <c r="M223" s="63">
        <v>0</v>
      </c>
      <c r="N223" s="37">
        <v>0</v>
      </c>
      <c r="O223" s="26">
        <v>0</v>
      </c>
      <c r="P223" s="26">
        <v>0</v>
      </c>
      <c r="Q223" s="26">
        <v>0</v>
      </c>
      <c r="R223" s="26">
        <v>0</v>
      </c>
      <c r="S223" s="35">
        <v>0</v>
      </c>
      <c r="T223" s="26">
        <v>0</v>
      </c>
      <c r="U223" s="26">
        <v>0</v>
      </c>
      <c r="V223" s="27">
        <v>0</v>
      </c>
      <c r="W223" s="68">
        <v>0</v>
      </c>
      <c r="X223" s="30">
        <v>0</v>
      </c>
      <c r="Y223" s="30">
        <v>0</v>
      </c>
      <c r="Z223" s="30">
        <v>0</v>
      </c>
      <c r="AA223" s="30">
        <v>0</v>
      </c>
      <c r="AB223" s="1">
        <v>3.2614074160634131E-2</v>
      </c>
      <c r="AC223" s="30">
        <v>0</v>
      </c>
      <c r="AD223" s="30">
        <v>0</v>
      </c>
      <c r="AE223" s="25">
        <v>0</v>
      </c>
      <c r="AG223" s="30">
        <f t="shared" si="10"/>
        <v>5.0255644919925038E-3</v>
      </c>
      <c r="AH223" s="30">
        <f t="shared" si="11"/>
        <v>0</v>
      </c>
      <c r="AI223" s="30">
        <f t="shared" si="12"/>
        <v>3.2614074160634131E-2</v>
      </c>
    </row>
    <row r="224" spans="2:35" ht="15.75" thickBot="1" x14ac:dyDescent="0.2">
      <c r="B224" t="s">
        <v>376</v>
      </c>
      <c r="C224" s="22">
        <f>VLOOKUP(B224,[1]SYS!$F$5:$G$360,2,FALSE)</f>
        <v>219</v>
      </c>
      <c r="D224" s="34" t="str">
        <f>VLOOKUP(C224,[1]SYS!$G$5:$H$360,2,FALSE)</f>
        <v>舞鶴火力</v>
      </c>
      <c r="E224" s="37">
        <v>0</v>
      </c>
      <c r="F224" s="26">
        <v>0</v>
      </c>
      <c r="G224" s="26">
        <v>0</v>
      </c>
      <c r="H224" s="26">
        <v>0</v>
      </c>
      <c r="I224" s="26">
        <v>0</v>
      </c>
      <c r="J224" s="35">
        <v>0</v>
      </c>
      <c r="K224" s="26">
        <v>0</v>
      </c>
      <c r="L224" s="26">
        <v>0</v>
      </c>
      <c r="M224" s="63">
        <v>0</v>
      </c>
      <c r="N224" s="37">
        <v>0</v>
      </c>
      <c r="O224" s="26">
        <v>0</v>
      </c>
      <c r="P224" s="26">
        <v>0</v>
      </c>
      <c r="Q224" s="26">
        <v>0</v>
      </c>
      <c r="R224" s="26">
        <v>0</v>
      </c>
      <c r="S224" s="35">
        <v>0</v>
      </c>
      <c r="T224" s="26">
        <v>0</v>
      </c>
      <c r="U224" s="26">
        <v>0</v>
      </c>
      <c r="V224" s="27">
        <v>0</v>
      </c>
      <c r="W224" s="68">
        <v>0</v>
      </c>
      <c r="X224" s="30">
        <v>0</v>
      </c>
      <c r="Y224" s="30">
        <v>0</v>
      </c>
      <c r="Z224" s="30">
        <v>0</v>
      </c>
      <c r="AA224" s="30">
        <v>0</v>
      </c>
      <c r="AB224" s="1">
        <v>0</v>
      </c>
      <c r="AC224" s="30">
        <v>0</v>
      </c>
      <c r="AD224" s="30">
        <v>0</v>
      </c>
      <c r="AE224" s="25">
        <v>0</v>
      </c>
      <c r="AG224" s="30">
        <f t="shared" si="10"/>
        <v>0</v>
      </c>
      <c r="AH224" s="30">
        <f t="shared" si="11"/>
        <v>0</v>
      </c>
      <c r="AI224" s="30">
        <f t="shared" si="12"/>
        <v>0</v>
      </c>
    </row>
    <row r="225" spans="2:35" ht="15.75" thickBot="1" x14ac:dyDescent="0.2">
      <c r="B225" t="s">
        <v>238</v>
      </c>
      <c r="C225" s="22">
        <f>VLOOKUP(B225,[1]SYS!$F$5:$G$360,2,FALSE)</f>
        <v>220</v>
      </c>
      <c r="D225" s="34" t="str">
        <f>VLOOKUP(C225,[1]SYS!$G$5:$H$360,2,FALSE)</f>
        <v>新綾部変電所</v>
      </c>
      <c r="E225" s="37">
        <v>0</v>
      </c>
      <c r="F225" s="26">
        <v>0</v>
      </c>
      <c r="G225" s="26">
        <v>0</v>
      </c>
      <c r="H225" s="26">
        <v>0</v>
      </c>
      <c r="I225" s="26">
        <v>0</v>
      </c>
      <c r="J225" s="35">
        <v>1.3313947256697373E-2</v>
      </c>
      <c r="K225" s="26">
        <v>0</v>
      </c>
      <c r="L225" s="26">
        <v>0</v>
      </c>
      <c r="M225" s="63">
        <v>0</v>
      </c>
      <c r="N225" s="37">
        <v>0</v>
      </c>
      <c r="O225" s="26">
        <v>0</v>
      </c>
      <c r="P225" s="26">
        <v>0</v>
      </c>
      <c r="Q225" s="26">
        <v>0</v>
      </c>
      <c r="R225" s="26">
        <v>0</v>
      </c>
      <c r="S225" s="79">
        <v>0.15</v>
      </c>
      <c r="T225" s="26">
        <v>0</v>
      </c>
      <c r="U225" s="26">
        <v>0</v>
      </c>
      <c r="V225" s="27">
        <v>0</v>
      </c>
      <c r="W225" s="68">
        <v>0</v>
      </c>
      <c r="X225" s="30">
        <v>0</v>
      </c>
      <c r="Y225" s="30">
        <v>0</v>
      </c>
      <c r="Z225" s="30">
        <v>0</v>
      </c>
      <c r="AA225" s="30">
        <v>0</v>
      </c>
      <c r="AB225" s="1">
        <v>3.2643851348109001E-2</v>
      </c>
      <c r="AC225" s="30">
        <v>0</v>
      </c>
      <c r="AD225" s="30">
        <v>0</v>
      </c>
      <c r="AE225" s="25">
        <v>0</v>
      </c>
      <c r="AG225" s="30">
        <f t="shared" si="10"/>
        <v>1.3313947256697373E-2</v>
      </c>
      <c r="AH225" s="30">
        <f t="shared" si="11"/>
        <v>0.15</v>
      </c>
      <c r="AI225" s="30">
        <f t="shared" si="12"/>
        <v>3.2643851348109001E-2</v>
      </c>
    </row>
    <row r="226" spans="2:35" ht="15.75" thickBot="1" x14ac:dyDescent="0.2">
      <c r="B226" t="s">
        <v>239</v>
      </c>
      <c r="C226" s="22">
        <f>VLOOKUP(B226,[1]SYS!$F$5:$G$360,2,FALSE)</f>
        <v>221</v>
      </c>
      <c r="D226" s="34" t="str">
        <f>VLOOKUP(C226,[1]SYS!$G$5:$H$360,2,FALSE)</f>
        <v>嶺南変電所</v>
      </c>
      <c r="E226" s="37">
        <v>0</v>
      </c>
      <c r="F226" s="26">
        <v>0</v>
      </c>
      <c r="G226" s="26">
        <v>0</v>
      </c>
      <c r="H226" s="26">
        <v>0</v>
      </c>
      <c r="I226" s="26">
        <v>0</v>
      </c>
      <c r="J226" s="35">
        <v>1.2638210950635584E-3</v>
      </c>
      <c r="K226" s="26">
        <v>0</v>
      </c>
      <c r="L226" s="26">
        <v>0</v>
      </c>
      <c r="M226" s="63">
        <v>0</v>
      </c>
      <c r="N226" s="37">
        <v>0</v>
      </c>
      <c r="O226" s="26">
        <v>0</v>
      </c>
      <c r="P226" s="26">
        <v>0</v>
      </c>
      <c r="Q226" s="26">
        <v>0</v>
      </c>
      <c r="R226" s="26">
        <v>0</v>
      </c>
      <c r="S226" s="79">
        <v>0.15</v>
      </c>
      <c r="T226" s="26">
        <v>0</v>
      </c>
      <c r="U226" s="26">
        <v>0</v>
      </c>
      <c r="V226" s="27">
        <v>0</v>
      </c>
      <c r="W226" s="68">
        <v>0</v>
      </c>
      <c r="X226" s="30">
        <v>0</v>
      </c>
      <c r="Y226" s="30">
        <v>0</v>
      </c>
      <c r="Z226" s="30">
        <v>0</v>
      </c>
      <c r="AA226" s="30">
        <v>0</v>
      </c>
      <c r="AB226" s="1">
        <v>1.0820370337507027E-2</v>
      </c>
      <c r="AC226" s="30">
        <v>0</v>
      </c>
      <c r="AD226" s="30">
        <v>0</v>
      </c>
      <c r="AE226" s="25">
        <v>0</v>
      </c>
      <c r="AG226" s="30">
        <f t="shared" si="10"/>
        <v>1.2638210950635584E-3</v>
      </c>
      <c r="AH226" s="30">
        <f t="shared" si="11"/>
        <v>0.15</v>
      </c>
      <c r="AI226" s="30">
        <f t="shared" si="12"/>
        <v>1.0820370337507027E-2</v>
      </c>
    </row>
    <row r="227" spans="2:35" ht="15.75" thickBot="1" x14ac:dyDescent="0.2">
      <c r="B227" t="s">
        <v>240</v>
      </c>
      <c r="C227" s="22">
        <f>VLOOKUP(B227,[1]SYS!$F$5:$G$360,2,FALSE)</f>
        <v>222</v>
      </c>
      <c r="D227" s="34" t="str">
        <f>VLOOKUP(C227,[1]SYS!$G$5:$H$360,2,FALSE)</f>
        <v>東大和開閉所</v>
      </c>
      <c r="E227" s="37">
        <v>0</v>
      </c>
      <c r="F227" s="26">
        <v>0</v>
      </c>
      <c r="G227" s="26">
        <v>0</v>
      </c>
      <c r="H227" s="26">
        <v>0</v>
      </c>
      <c r="I227" s="26">
        <v>0</v>
      </c>
      <c r="J227" s="35">
        <v>2.7677335662944124E-2</v>
      </c>
      <c r="K227" s="26">
        <v>0</v>
      </c>
      <c r="L227" s="26">
        <v>0</v>
      </c>
      <c r="M227" s="63">
        <v>0</v>
      </c>
      <c r="N227" s="37">
        <v>0</v>
      </c>
      <c r="O227" s="26">
        <v>0</v>
      </c>
      <c r="P227" s="26">
        <v>0</v>
      </c>
      <c r="Q227" s="26">
        <v>0</v>
      </c>
      <c r="R227" s="26">
        <v>0</v>
      </c>
      <c r="S227" s="35">
        <v>0</v>
      </c>
      <c r="T227" s="26">
        <v>0</v>
      </c>
      <c r="U227" s="26">
        <v>0</v>
      </c>
      <c r="V227" s="27">
        <v>0</v>
      </c>
      <c r="W227" s="68">
        <v>0</v>
      </c>
      <c r="X227" s="30">
        <v>0</v>
      </c>
      <c r="Y227" s="30">
        <v>0</v>
      </c>
      <c r="Z227" s="30">
        <v>0</v>
      </c>
      <c r="AA227" s="30">
        <v>0</v>
      </c>
      <c r="AB227" s="1">
        <v>2.5659597322707995E-2</v>
      </c>
      <c r="AC227" s="30">
        <v>0</v>
      </c>
      <c r="AD227" s="30">
        <v>0</v>
      </c>
      <c r="AE227" s="25">
        <v>0</v>
      </c>
      <c r="AG227" s="30">
        <f t="shared" si="10"/>
        <v>2.7677335662944124E-2</v>
      </c>
      <c r="AH227" s="30">
        <f t="shared" si="11"/>
        <v>0</v>
      </c>
      <c r="AI227" s="30">
        <f t="shared" si="12"/>
        <v>2.5659597322707995E-2</v>
      </c>
    </row>
    <row r="228" spans="2:35" ht="15.75" thickBot="1" x14ac:dyDescent="0.2">
      <c r="B228" t="s">
        <v>241</v>
      </c>
      <c r="C228" s="22">
        <f>VLOOKUP(B228,[1]SYS!$F$5:$G$360,2,FALSE)</f>
        <v>223</v>
      </c>
      <c r="D228" s="34" t="str">
        <f>VLOOKUP(C228,[1]SYS!$G$5:$H$360,2,FALSE)</f>
        <v>紀北変換所</v>
      </c>
      <c r="E228" s="37">
        <v>0</v>
      </c>
      <c r="F228" s="26">
        <v>0</v>
      </c>
      <c r="G228" s="26">
        <v>0</v>
      </c>
      <c r="H228" s="26">
        <v>0</v>
      </c>
      <c r="I228" s="26">
        <v>0</v>
      </c>
      <c r="J228" s="35">
        <v>4.7751851751121899E-3</v>
      </c>
      <c r="K228" s="26">
        <v>0</v>
      </c>
      <c r="L228" s="26">
        <v>0</v>
      </c>
      <c r="M228" s="63">
        <v>0</v>
      </c>
      <c r="N228" s="37">
        <v>0</v>
      </c>
      <c r="O228" s="26">
        <v>0</v>
      </c>
      <c r="P228" s="26">
        <v>0</v>
      </c>
      <c r="Q228" s="26">
        <v>0</v>
      </c>
      <c r="R228" s="26">
        <v>0</v>
      </c>
      <c r="S228" s="35">
        <v>0</v>
      </c>
      <c r="T228" s="26">
        <v>0</v>
      </c>
      <c r="U228" s="26">
        <v>0</v>
      </c>
      <c r="V228" s="27">
        <v>0</v>
      </c>
      <c r="W228" s="68">
        <v>0</v>
      </c>
      <c r="X228" s="30">
        <v>0</v>
      </c>
      <c r="Y228" s="30">
        <v>0</v>
      </c>
      <c r="Z228" s="30">
        <v>0</v>
      </c>
      <c r="AA228" s="30">
        <v>0</v>
      </c>
      <c r="AB228" s="1">
        <v>1.8915889280747437E-2</v>
      </c>
      <c r="AC228" s="30">
        <v>0</v>
      </c>
      <c r="AD228" s="30">
        <v>0</v>
      </c>
      <c r="AE228" s="25">
        <v>0</v>
      </c>
      <c r="AG228" s="30">
        <f t="shared" si="10"/>
        <v>4.7751851751121899E-3</v>
      </c>
      <c r="AH228" s="30">
        <f t="shared" si="11"/>
        <v>0</v>
      </c>
      <c r="AI228" s="30">
        <f t="shared" si="12"/>
        <v>1.8915889280747437E-2</v>
      </c>
    </row>
    <row r="229" spans="2:35" ht="15.75" thickBot="1" x14ac:dyDescent="0.2">
      <c r="B229" t="s">
        <v>242</v>
      </c>
      <c r="C229" s="22">
        <f>VLOOKUP(B229,[1]SYS!$F$5:$G$360,2,FALSE)</f>
        <v>224</v>
      </c>
      <c r="D229" s="34" t="str">
        <f>VLOOKUP(C229,[1]SYS!$G$5:$H$360,2,FALSE)</f>
        <v>１３４Ｔ（北大和線）</v>
      </c>
      <c r="E229" s="37">
        <v>0</v>
      </c>
      <c r="F229" s="26">
        <v>0</v>
      </c>
      <c r="G229" s="26">
        <v>0</v>
      </c>
      <c r="H229" s="26">
        <v>0</v>
      </c>
      <c r="I229" s="26">
        <v>0</v>
      </c>
      <c r="J229" s="35">
        <v>8.2643509665944019E-3</v>
      </c>
      <c r="K229" s="26">
        <v>0</v>
      </c>
      <c r="L229" s="26">
        <v>0</v>
      </c>
      <c r="M229" s="63">
        <v>0</v>
      </c>
      <c r="N229" s="37">
        <v>0</v>
      </c>
      <c r="O229" s="26">
        <v>0</v>
      </c>
      <c r="P229" s="26">
        <v>0</v>
      </c>
      <c r="Q229" s="26">
        <v>0</v>
      </c>
      <c r="R229" s="26">
        <v>0</v>
      </c>
      <c r="S229" s="35">
        <v>0</v>
      </c>
      <c r="T229" s="26">
        <v>0</v>
      </c>
      <c r="U229" s="26">
        <v>0</v>
      </c>
      <c r="V229" s="27">
        <v>0</v>
      </c>
      <c r="W229" s="68">
        <v>0</v>
      </c>
      <c r="X229" s="30">
        <v>0</v>
      </c>
      <c r="Y229" s="30">
        <v>0</v>
      </c>
      <c r="Z229" s="30">
        <v>0</v>
      </c>
      <c r="AA229" s="30">
        <v>0</v>
      </c>
      <c r="AB229" s="1">
        <v>1.8876795649790751E-2</v>
      </c>
      <c r="AC229" s="30">
        <v>0</v>
      </c>
      <c r="AD229" s="30">
        <v>0</v>
      </c>
      <c r="AE229" s="25">
        <v>0</v>
      </c>
      <c r="AG229" s="30">
        <f t="shared" si="10"/>
        <v>8.2643509665944019E-3</v>
      </c>
      <c r="AH229" s="30">
        <f t="shared" si="11"/>
        <v>0</v>
      </c>
      <c r="AI229" s="30">
        <f t="shared" si="12"/>
        <v>1.8876795649790751E-2</v>
      </c>
    </row>
    <row r="230" spans="2:35" ht="15.75" thickBot="1" x14ac:dyDescent="0.2">
      <c r="B230" t="s">
        <v>243</v>
      </c>
      <c r="C230" s="22">
        <f>VLOOKUP(B230,[1]SYS!$F$5:$G$360,2,FALSE)</f>
        <v>225</v>
      </c>
      <c r="D230" s="34" t="str">
        <f>VLOOKUP(C230,[1]SYS!$G$5:$H$360,2,FALSE)</f>
        <v>信貴変電所</v>
      </c>
      <c r="E230" s="37">
        <v>0</v>
      </c>
      <c r="F230" s="26">
        <v>0</v>
      </c>
      <c r="G230" s="26">
        <v>0</v>
      </c>
      <c r="H230" s="26">
        <v>0</v>
      </c>
      <c r="I230" s="26">
        <v>0</v>
      </c>
      <c r="J230" s="35">
        <v>9.4860445961278544E-2</v>
      </c>
      <c r="K230" s="26">
        <v>0</v>
      </c>
      <c r="L230" s="26">
        <v>0</v>
      </c>
      <c r="M230" s="63">
        <v>0</v>
      </c>
      <c r="N230" s="37">
        <v>0</v>
      </c>
      <c r="O230" s="26">
        <v>0</v>
      </c>
      <c r="P230" s="26">
        <v>0</v>
      </c>
      <c r="Q230" s="26">
        <v>0</v>
      </c>
      <c r="R230" s="26">
        <v>0</v>
      </c>
      <c r="S230" s="79">
        <v>0.15</v>
      </c>
      <c r="T230" s="26">
        <v>0</v>
      </c>
      <c r="U230" s="26">
        <v>0</v>
      </c>
      <c r="V230" s="27">
        <v>0</v>
      </c>
      <c r="W230" s="68">
        <v>0</v>
      </c>
      <c r="X230" s="30">
        <v>0</v>
      </c>
      <c r="Y230" s="30">
        <v>0</v>
      </c>
      <c r="Z230" s="30">
        <v>0</v>
      </c>
      <c r="AA230" s="30">
        <v>0</v>
      </c>
      <c r="AB230" s="1">
        <v>2.485512886548694E-2</v>
      </c>
      <c r="AC230" s="30">
        <v>0</v>
      </c>
      <c r="AD230" s="30">
        <v>0</v>
      </c>
      <c r="AE230" s="25">
        <v>0</v>
      </c>
      <c r="AG230" s="30">
        <f t="shared" si="10"/>
        <v>9.4860445961278544E-2</v>
      </c>
      <c r="AH230" s="30">
        <f t="shared" si="11"/>
        <v>0.15</v>
      </c>
      <c r="AI230" s="30">
        <f t="shared" si="12"/>
        <v>2.485512886548694E-2</v>
      </c>
    </row>
    <row r="231" spans="2:35" ht="15.75" thickBot="1" x14ac:dyDescent="0.2">
      <c r="B231" t="s">
        <v>244</v>
      </c>
      <c r="C231" s="22">
        <f>VLOOKUP(B231,[1]SYS!$F$5:$G$360,2,FALSE)</f>
        <v>226</v>
      </c>
      <c r="D231" s="34" t="str">
        <f>VLOOKUP(C231,[1]SYS!$G$5:$H$360,2,FALSE)</f>
        <v>姫路変電所</v>
      </c>
      <c r="E231" s="37">
        <v>0</v>
      </c>
      <c r="F231" s="26">
        <v>0</v>
      </c>
      <c r="G231" s="26">
        <v>0</v>
      </c>
      <c r="H231" s="26">
        <v>0</v>
      </c>
      <c r="I231" s="26">
        <v>0</v>
      </c>
      <c r="J231" s="35">
        <v>0.15545108752575051</v>
      </c>
      <c r="K231" s="26">
        <v>0</v>
      </c>
      <c r="L231" s="26">
        <v>0</v>
      </c>
      <c r="M231" s="63">
        <v>0</v>
      </c>
      <c r="N231" s="37">
        <v>0</v>
      </c>
      <c r="O231" s="26">
        <v>0</v>
      </c>
      <c r="P231" s="26">
        <v>0</v>
      </c>
      <c r="Q231" s="26">
        <v>0</v>
      </c>
      <c r="R231" s="26">
        <v>0</v>
      </c>
      <c r="S231" s="79">
        <v>0.15</v>
      </c>
      <c r="T231" s="26">
        <v>0</v>
      </c>
      <c r="U231" s="26">
        <v>0</v>
      </c>
      <c r="V231" s="27">
        <v>0</v>
      </c>
      <c r="W231" s="68">
        <v>0</v>
      </c>
      <c r="X231" s="30">
        <v>0</v>
      </c>
      <c r="Y231" s="30">
        <v>0</v>
      </c>
      <c r="Z231" s="30">
        <v>0</v>
      </c>
      <c r="AA231" s="30">
        <v>0</v>
      </c>
      <c r="AB231" s="1">
        <v>4.5513859699488457E-2</v>
      </c>
      <c r="AC231" s="30">
        <v>0</v>
      </c>
      <c r="AD231" s="30">
        <v>0</v>
      </c>
      <c r="AE231" s="25">
        <v>0</v>
      </c>
      <c r="AG231" s="30">
        <f t="shared" si="10"/>
        <v>0.15545108752575051</v>
      </c>
      <c r="AH231" s="30">
        <f t="shared" si="11"/>
        <v>0.15</v>
      </c>
      <c r="AI231" s="30">
        <f t="shared" si="12"/>
        <v>4.5513859699488457E-2</v>
      </c>
    </row>
    <row r="232" spans="2:35" ht="15.75" thickBot="1" x14ac:dyDescent="0.2">
      <c r="B232" t="s">
        <v>245</v>
      </c>
      <c r="C232" s="22">
        <f>VLOOKUP(B232,[1]SYS!$F$5:$G$360,2,FALSE)</f>
        <v>227</v>
      </c>
      <c r="D232" s="34" t="str">
        <f>VLOOKUP(C232,[1]SYS!$G$5:$H$360,2,FALSE)</f>
        <v>神戸変電所</v>
      </c>
      <c r="E232" s="37">
        <v>0</v>
      </c>
      <c r="F232" s="26">
        <v>0</v>
      </c>
      <c r="G232" s="26">
        <v>0</v>
      </c>
      <c r="H232" s="26">
        <v>0</v>
      </c>
      <c r="I232" s="26">
        <v>0</v>
      </c>
      <c r="J232" s="35">
        <v>7.3630446608152392E-2</v>
      </c>
      <c r="K232" s="26">
        <v>0</v>
      </c>
      <c r="L232" s="26">
        <v>0</v>
      </c>
      <c r="M232" s="63">
        <v>0</v>
      </c>
      <c r="N232" s="37">
        <v>0</v>
      </c>
      <c r="O232" s="26">
        <v>0</v>
      </c>
      <c r="P232" s="26">
        <v>0</v>
      </c>
      <c r="Q232" s="26">
        <v>0</v>
      </c>
      <c r="R232" s="26">
        <v>0</v>
      </c>
      <c r="S232" s="35">
        <v>0</v>
      </c>
      <c r="T232" s="26">
        <v>0</v>
      </c>
      <c r="U232" s="26">
        <v>0</v>
      </c>
      <c r="V232" s="27">
        <v>0</v>
      </c>
      <c r="W232" s="68">
        <v>0</v>
      </c>
      <c r="X232" s="30">
        <v>0</v>
      </c>
      <c r="Y232" s="30">
        <v>0</v>
      </c>
      <c r="Z232" s="30">
        <v>0</v>
      </c>
      <c r="AA232" s="30">
        <v>0</v>
      </c>
      <c r="AB232" s="1">
        <v>7.0319996312520495E-3</v>
      </c>
      <c r="AC232" s="30">
        <v>0</v>
      </c>
      <c r="AD232" s="30">
        <v>0</v>
      </c>
      <c r="AE232" s="25">
        <v>0</v>
      </c>
      <c r="AG232" s="30">
        <f t="shared" si="10"/>
        <v>7.3630446608152392E-2</v>
      </c>
      <c r="AH232" s="30">
        <f t="shared" si="11"/>
        <v>0</v>
      </c>
      <c r="AI232" s="30">
        <f t="shared" si="12"/>
        <v>7.0319996312520495E-3</v>
      </c>
    </row>
    <row r="233" spans="2:35" ht="15.75" thickBot="1" x14ac:dyDescent="0.2">
      <c r="B233" t="s">
        <v>246</v>
      </c>
      <c r="C233" s="22">
        <f>VLOOKUP(B233,[1]SYS!$F$5:$G$360,2,FALSE)</f>
        <v>228</v>
      </c>
      <c r="D233" s="34" t="str">
        <f>VLOOKUP(C233,[1]SYS!$G$5:$H$360,2,FALSE)</f>
        <v>４２Ｔ（北神線）</v>
      </c>
      <c r="E233" s="37">
        <v>0</v>
      </c>
      <c r="F233" s="26">
        <v>0</v>
      </c>
      <c r="G233" s="26">
        <v>0</v>
      </c>
      <c r="H233" s="26">
        <v>0</v>
      </c>
      <c r="I233" s="26">
        <v>0</v>
      </c>
      <c r="J233" s="35">
        <v>7.5761374175571342E-2</v>
      </c>
      <c r="K233" s="26">
        <v>0</v>
      </c>
      <c r="L233" s="26">
        <v>0</v>
      </c>
      <c r="M233" s="63">
        <v>0</v>
      </c>
      <c r="N233" s="37">
        <v>0</v>
      </c>
      <c r="O233" s="26">
        <v>0</v>
      </c>
      <c r="P233" s="26">
        <v>0</v>
      </c>
      <c r="Q233" s="26">
        <v>0</v>
      </c>
      <c r="R233" s="26">
        <v>0</v>
      </c>
      <c r="S233" s="35">
        <v>0</v>
      </c>
      <c r="T233" s="26">
        <v>0</v>
      </c>
      <c r="U233" s="26">
        <v>0</v>
      </c>
      <c r="V233" s="27">
        <v>0</v>
      </c>
      <c r="W233" s="68">
        <v>0</v>
      </c>
      <c r="X233" s="30">
        <v>0</v>
      </c>
      <c r="Y233" s="30">
        <v>0</v>
      </c>
      <c r="Z233" s="30">
        <v>0</v>
      </c>
      <c r="AA233" s="30">
        <v>0</v>
      </c>
      <c r="AB233" s="1">
        <v>1.406211403351108E-2</v>
      </c>
      <c r="AC233" s="30">
        <v>0</v>
      </c>
      <c r="AD233" s="30">
        <v>0</v>
      </c>
      <c r="AE233" s="25">
        <v>0</v>
      </c>
      <c r="AG233" s="30">
        <f t="shared" si="10"/>
        <v>7.5761374175571342E-2</v>
      </c>
      <c r="AH233" s="30">
        <f t="shared" si="11"/>
        <v>0</v>
      </c>
      <c r="AI233" s="30">
        <f t="shared" si="12"/>
        <v>1.406211403351108E-2</v>
      </c>
    </row>
    <row r="234" spans="2:35" ht="15.75" thickBot="1" x14ac:dyDescent="0.2">
      <c r="B234" t="s">
        <v>247</v>
      </c>
      <c r="C234" s="22">
        <f>VLOOKUP(B234,[1]SYS!$F$5:$G$360,2,FALSE)</f>
        <v>229</v>
      </c>
      <c r="D234" s="34" t="str">
        <f>VLOOKUP(C234,[1]SYS!$G$5:$H$360,2,FALSE)</f>
        <v>西神戸変電所</v>
      </c>
      <c r="E234" s="37">
        <v>0</v>
      </c>
      <c r="F234" s="26">
        <v>0</v>
      </c>
      <c r="G234" s="26">
        <v>0</v>
      </c>
      <c r="H234" s="26">
        <v>0</v>
      </c>
      <c r="I234" s="26">
        <v>0</v>
      </c>
      <c r="J234" s="35">
        <v>0.13957817434828651</v>
      </c>
      <c r="K234" s="26">
        <v>0</v>
      </c>
      <c r="L234" s="26">
        <v>0</v>
      </c>
      <c r="M234" s="63">
        <v>0</v>
      </c>
      <c r="N234" s="37">
        <v>0</v>
      </c>
      <c r="O234" s="26">
        <v>0</v>
      </c>
      <c r="P234" s="26">
        <v>0</v>
      </c>
      <c r="Q234" s="26">
        <v>0</v>
      </c>
      <c r="R234" s="26">
        <v>0</v>
      </c>
      <c r="S234" s="35">
        <v>0</v>
      </c>
      <c r="T234" s="26">
        <v>0</v>
      </c>
      <c r="U234" s="26">
        <v>0</v>
      </c>
      <c r="V234" s="27">
        <v>0</v>
      </c>
      <c r="W234" s="68">
        <v>0</v>
      </c>
      <c r="X234" s="30">
        <v>0</v>
      </c>
      <c r="Y234" s="30">
        <v>0</v>
      </c>
      <c r="Z234" s="30">
        <v>0</v>
      </c>
      <c r="AA234" s="30">
        <v>0</v>
      </c>
      <c r="AB234" s="1">
        <v>5.5934196378874007E-2</v>
      </c>
      <c r="AC234" s="30">
        <v>0</v>
      </c>
      <c r="AD234" s="30">
        <v>0</v>
      </c>
      <c r="AE234" s="25">
        <v>0</v>
      </c>
      <c r="AG234" s="30">
        <f t="shared" si="10"/>
        <v>0.13957817434828651</v>
      </c>
      <c r="AH234" s="30">
        <f t="shared" si="11"/>
        <v>0</v>
      </c>
      <c r="AI234" s="30">
        <f t="shared" si="12"/>
        <v>5.5934196378874007E-2</v>
      </c>
    </row>
    <row r="235" spans="2:35" ht="15.75" thickBot="1" x14ac:dyDescent="0.2">
      <c r="B235" t="s">
        <v>248</v>
      </c>
      <c r="C235" s="22">
        <f>VLOOKUP(B235,[1]SYS!$F$5:$G$360,2,FALSE)</f>
        <v>230</v>
      </c>
      <c r="D235" s="34" t="str">
        <f>VLOOKUP(C235,[1]SYS!$G$5:$H$360,2,FALSE)</f>
        <v>新加古川変電所</v>
      </c>
      <c r="E235" s="37">
        <v>0</v>
      </c>
      <c r="F235" s="26">
        <v>0</v>
      </c>
      <c r="G235" s="26">
        <v>0</v>
      </c>
      <c r="H235" s="26">
        <v>0</v>
      </c>
      <c r="I235" s="26">
        <v>0</v>
      </c>
      <c r="J235" s="35">
        <v>2.4042986729251519E-2</v>
      </c>
      <c r="K235" s="26">
        <v>0</v>
      </c>
      <c r="L235" s="26">
        <v>0</v>
      </c>
      <c r="M235" s="63">
        <v>0</v>
      </c>
      <c r="N235" s="37">
        <v>0</v>
      </c>
      <c r="O235" s="26">
        <v>0</v>
      </c>
      <c r="P235" s="26">
        <v>0</v>
      </c>
      <c r="Q235" s="26">
        <v>0</v>
      </c>
      <c r="R235" s="26">
        <v>0</v>
      </c>
      <c r="S235" s="35">
        <v>0</v>
      </c>
      <c r="T235" s="26">
        <v>0</v>
      </c>
      <c r="U235" s="26">
        <v>0</v>
      </c>
      <c r="V235" s="27">
        <v>0</v>
      </c>
      <c r="W235" s="68">
        <v>0</v>
      </c>
      <c r="X235" s="30">
        <v>0</v>
      </c>
      <c r="Y235" s="30">
        <v>0</v>
      </c>
      <c r="Z235" s="30">
        <v>0</v>
      </c>
      <c r="AA235" s="30">
        <v>0</v>
      </c>
      <c r="AB235" s="1">
        <v>7.541231460701496E-2</v>
      </c>
      <c r="AC235" s="30">
        <v>0</v>
      </c>
      <c r="AD235" s="30">
        <v>0</v>
      </c>
      <c r="AE235" s="25">
        <v>0</v>
      </c>
      <c r="AG235" s="30">
        <f t="shared" si="10"/>
        <v>2.4042986729251519E-2</v>
      </c>
      <c r="AH235" s="30">
        <f t="shared" si="11"/>
        <v>0</v>
      </c>
      <c r="AI235" s="30">
        <f t="shared" si="12"/>
        <v>7.541231460701496E-2</v>
      </c>
    </row>
    <row r="236" spans="2:35" ht="15.75" thickBot="1" x14ac:dyDescent="0.2">
      <c r="B236" t="s">
        <v>249</v>
      </c>
      <c r="C236" s="22">
        <f>VLOOKUP(B236,[1]SYS!$F$5:$G$360,2,FALSE)</f>
        <v>231</v>
      </c>
      <c r="D236" s="34" t="str">
        <f>VLOOKUP(C236,[1]SYS!$G$5:$H$360,2,FALSE)</f>
        <v>伊丹変電所</v>
      </c>
      <c r="E236" s="37">
        <v>0</v>
      </c>
      <c r="F236" s="26">
        <v>0</v>
      </c>
      <c r="G236" s="26">
        <v>0</v>
      </c>
      <c r="H236" s="26">
        <v>0</v>
      </c>
      <c r="I236" s="26">
        <v>0</v>
      </c>
      <c r="J236" s="35">
        <v>1.4185325538345376E-3</v>
      </c>
      <c r="K236" s="26">
        <v>0</v>
      </c>
      <c r="L236" s="26">
        <v>0</v>
      </c>
      <c r="M236" s="63">
        <v>0</v>
      </c>
      <c r="N236" s="37">
        <v>0</v>
      </c>
      <c r="O236" s="26">
        <v>0</v>
      </c>
      <c r="P236" s="26">
        <v>0</v>
      </c>
      <c r="Q236" s="26">
        <v>0</v>
      </c>
      <c r="R236" s="26">
        <v>0</v>
      </c>
      <c r="S236" s="35">
        <v>0</v>
      </c>
      <c r="T236" s="26">
        <v>0</v>
      </c>
      <c r="U236" s="26">
        <v>0</v>
      </c>
      <c r="V236" s="27">
        <v>0</v>
      </c>
      <c r="W236" s="68">
        <v>0</v>
      </c>
      <c r="X236" s="30">
        <v>0</v>
      </c>
      <c r="Y236" s="30">
        <v>0</v>
      </c>
      <c r="Z236" s="30">
        <v>0</v>
      </c>
      <c r="AA236" s="30">
        <v>0</v>
      </c>
      <c r="AB236" s="1">
        <v>1.4881325498507169E-2</v>
      </c>
      <c r="AC236" s="30">
        <v>0</v>
      </c>
      <c r="AD236" s="30">
        <v>0</v>
      </c>
      <c r="AE236" s="25">
        <v>0</v>
      </c>
      <c r="AG236" s="30">
        <f t="shared" si="10"/>
        <v>1.4185325538345376E-3</v>
      </c>
      <c r="AH236" s="30">
        <f t="shared" si="11"/>
        <v>0</v>
      </c>
      <c r="AI236" s="30">
        <f t="shared" si="12"/>
        <v>1.4881325498507169E-2</v>
      </c>
    </row>
    <row r="237" spans="2:35" ht="15.75" thickBot="1" x14ac:dyDescent="0.2">
      <c r="B237" t="s">
        <v>250</v>
      </c>
      <c r="C237" s="22">
        <f>VLOOKUP(B237,[1]SYS!$F$5:$G$360,2,FALSE)</f>
        <v>232</v>
      </c>
      <c r="D237" s="34" t="str">
        <f>VLOOKUP(C237,[1]SYS!$G$5:$H$360,2,FALSE)</f>
        <v>新神戸変電所</v>
      </c>
      <c r="E237" s="37">
        <v>0</v>
      </c>
      <c r="F237" s="26">
        <v>0</v>
      </c>
      <c r="G237" s="26">
        <v>0</v>
      </c>
      <c r="H237" s="26">
        <v>0</v>
      </c>
      <c r="I237" s="26">
        <v>0</v>
      </c>
      <c r="J237" s="35">
        <v>3.7566084218697824E-3</v>
      </c>
      <c r="K237" s="26">
        <v>0</v>
      </c>
      <c r="L237" s="26">
        <v>0</v>
      </c>
      <c r="M237" s="63">
        <v>0</v>
      </c>
      <c r="N237" s="37">
        <v>0</v>
      </c>
      <c r="O237" s="26">
        <v>0</v>
      </c>
      <c r="P237" s="26">
        <v>0</v>
      </c>
      <c r="Q237" s="26">
        <v>0</v>
      </c>
      <c r="R237" s="26">
        <v>0</v>
      </c>
      <c r="S237" s="35">
        <v>0</v>
      </c>
      <c r="T237" s="26">
        <v>0</v>
      </c>
      <c r="U237" s="26">
        <v>0</v>
      </c>
      <c r="V237" s="27">
        <v>0</v>
      </c>
      <c r="W237" s="68">
        <v>0</v>
      </c>
      <c r="X237" s="30">
        <v>0</v>
      </c>
      <c r="Y237" s="30">
        <v>0</v>
      </c>
      <c r="Z237" s="30">
        <v>0</v>
      </c>
      <c r="AA237" s="30">
        <v>0</v>
      </c>
      <c r="AB237" s="1">
        <v>1.0170375366106236E-2</v>
      </c>
      <c r="AC237" s="30">
        <v>0</v>
      </c>
      <c r="AD237" s="30">
        <v>0</v>
      </c>
      <c r="AE237" s="25">
        <v>0</v>
      </c>
      <c r="AG237" s="30">
        <f t="shared" si="10"/>
        <v>3.7566084218697824E-3</v>
      </c>
      <c r="AH237" s="30">
        <f t="shared" si="11"/>
        <v>0</v>
      </c>
      <c r="AI237" s="30">
        <f t="shared" si="12"/>
        <v>1.0170375366106236E-2</v>
      </c>
    </row>
    <row r="238" spans="2:35" ht="15.75" thickBot="1" x14ac:dyDescent="0.2">
      <c r="B238" t="s">
        <v>251</v>
      </c>
      <c r="C238" s="22">
        <f>VLOOKUP(B238,[1]SYS!$F$5:$G$360,2,FALSE)</f>
        <v>233</v>
      </c>
      <c r="D238" s="34" t="str">
        <f>VLOOKUP(C238,[1]SYS!$G$5:$H$360,2,FALSE)</f>
        <v>宝塚開閉所</v>
      </c>
      <c r="E238" s="37">
        <v>0</v>
      </c>
      <c r="F238" s="26">
        <v>0</v>
      </c>
      <c r="G238" s="26">
        <v>0</v>
      </c>
      <c r="H238" s="26">
        <v>0</v>
      </c>
      <c r="I238" s="26">
        <v>0</v>
      </c>
      <c r="J238" s="35">
        <v>3.4100674624726558E-3</v>
      </c>
      <c r="K238" s="26">
        <v>0</v>
      </c>
      <c r="L238" s="26">
        <v>0</v>
      </c>
      <c r="M238" s="63">
        <v>0</v>
      </c>
      <c r="N238" s="37">
        <v>0</v>
      </c>
      <c r="O238" s="26">
        <v>0</v>
      </c>
      <c r="P238" s="26">
        <v>0</v>
      </c>
      <c r="Q238" s="26">
        <v>0</v>
      </c>
      <c r="R238" s="26">
        <v>0</v>
      </c>
      <c r="S238" s="35">
        <v>0</v>
      </c>
      <c r="T238" s="26">
        <v>0</v>
      </c>
      <c r="U238" s="26">
        <v>0</v>
      </c>
      <c r="V238" s="27">
        <v>0</v>
      </c>
      <c r="W238" s="68">
        <v>0</v>
      </c>
      <c r="X238" s="30">
        <v>0</v>
      </c>
      <c r="Y238" s="30">
        <v>0</v>
      </c>
      <c r="Z238" s="30">
        <v>0</v>
      </c>
      <c r="AA238" s="30">
        <v>0</v>
      </c>
      <c r="AB238" s="1">
        <v>8.9621935964261466E-3</v>
      </c>
      <c r="AC238" s="30">
        <v>0</v>
      </c>
      <c r="AD238" s="30">
        <v>0</v>
      </c>
      <c r="AE238" s="25">
        <v>0</v>
      </c>
      <c r="AG238" s="30">
        <f t="shared" si="10"/>
        <v>3.4100674624726558E-3</v>
      </c>
      <c r="AH238" s="30">
        <f t="shared" si="11"/>
        <v>0</v>
      </c>
      <c r="AI238" s="30">
        <f t="shared" si="12"/>
        <v>8.9621935964261466E-3</v>
      </c>
    </row>
    <row r="239" spans="2:35" ht="15.75" thickBot="1" x14ac:dyDescent="0.2">
      <c r="B239" t="s">
        <v>252</v>
      </c>
      <c r="C239" s="22">
        <f>VLOOKUP(B239,[1]SYS!$F$5:$G$360,2,FALSE)</f>
        <v>234</v>
      </c>
      <c r="D239" s="34" t="str">
        <f>VLOOKUP(C239,[1]SYS!$G$5:$H$360,2,FALSE)</f>
        <v>西大阪変電所</v>
      </c>
      <c r="E239" s="37">
        <v>0</v>
      </c>
      <c r="F239" s="26">
        <v>0</v>
      </c>
      <c r="G239" s="26">
        <v>0</v>
      </c>
      <c r="H239" s="26">
        <v>0</v>
      </c>
      <c r="I239" s="26">
        <v>0</v>
      </c>
      <c r="J239" s="35">
        <v>5.5947505440499153E-3</v>
      </c>
      <c r="K239" s="26">
        <v>0</v>
      </c>
      <c r="L239" s="26">
        <v>0</v>
      </c>
      <c r="M239" s="63">
        <v>0</v>
      </c>
      <c r="N239" s="37">
        <v>0</v>
      </c>
      <c r="O239" s="26">
        <v>0</v>
      </c>
      <c r="P239" s="26">
        <v>0</v>
      </c>
      <c r="Q239" s="26">
        <v>0</v>
      </c>
      <c r="R239" s="26">
        <v>0</v>
      </c>
      <c r="S239" s="35">
        <v>0</v>
      </c>
      <c r="T239" s="26">
        <v>0</v>
      </c>
      <c r="U239" s="26">
        <v>0</v>
      </c>
      <c r="V239" s="27">
        <v>0</v>
      </c>
      <c r="W239" s="68">
        <v>0</v>
      </c>
      <c r="X239" s="30">
        <v>0</v>
      </c>
      <c r="Y239" s="30">
        <v>0</v>
      </c>
      <c r="Z239" s="30">
        <v>0</v>
      </c>
      <c r="AA239" s="30">
        <v>0</v>
      </c>
      <c r="AB239" s="1">
        <v>5.211104502512217E-3</v>
      </c>
      <c r="AC239" s="30">
        <v>0</v>
      </c>
      <c r="AD239" s="30">
        <v>0</v>
      </c>
      <c r="AE239" s="25">
        <v>0</v>
      </c>
      <c r="AG239" s="30">
        <f t="shared" si="10"/>
        <v>5.5947505440499153E-3</v>
      </c>
      <c r="AH239" s="30">
        <f t="shared" si="11"/>
        <v>0</v>
      </c>
      <c r="AI239" s="30">
        <f t="shared" si="12"/>
        <v>5.211104502512217E-3</v>
      </c>
    </row>
    <row r="240" spans="2:35" ht="15.75" thickBot="1" x14ac:dyDescent="0.2">
      <c r="B240" t="s">
        <v>253</v>
      </c>
      <c r="C240" s="22">
        <f>VLOOKUP(B240,[1]SYS!$F$5:$G$360,2,FALSE)</f>
        <v>235</v>
      </c>
      <c r="D240" s="34" t="str">
        <f>VLOOKUP(C240,[1]SYS!$G$5:$H$360,2,FALSE)</f>
        <v>北大阪変電所</v>
      </c>
      <c r="E240" s="37">
        <v>0</v>
      </c>
      <c r="F240" s="26">
        <v>0</v>
      </c>
      <c r="G240" s="26">
        <v>0</v>
      </c>
      <c r="H240" s="26">
        <v>0</v>
      </c>
      <c r="I240" s="26">
        <v>0</v>
      </c>
      <c r="J240" s="35">
        <v>9.8728536739548338E-3</v>
      </c>
      <c r="K240" s="26">
        <v>0</v>
      </c>
      <c r="L240" s="26">
        <v>0</v>
      </c>
      <c r="M240" s="63">
        <v>0</v>
      </c>
      <c r="N240" s="37">
        <v>0</v>
      </c>
      <c r="O240" s="26">
        <v>0</v>
      </c>
      <c r="P240" s="26">
        <v>0</v>
      </c>
      <c r="Q240" s="26">
        <v>0</v>
      </c>
      <c r="R240" s="26">
        <v>0</v>
      </c>
      <c r="S240" s="35">
        <v>0</v>
      </c>
      <c r="T240" s="26">
        <v>0</v>
      </c>
      <c r="U240" s="26">
        <v>0</v>
      </c>
      <c r="V240" s="27">
        <v>0</v>
      </c>
      <c r="W240" s="68">
        <v>0</v>
      </c>
      <c r="X240" s="30">
        <v>0</v>
      </c>
      <c r="Y240" s="30">
        <v>0</v>
      </c>
      <c r="Z240" s="30">
        <v>0</v>
      </c>
      <c r="AA240" s="30">
        <v>0</v>
      </c>
      <c r="AB240" s="1">
        <v>6.9608582307470737E-3</v>
      </c>
      <c r="AC240" s="30">
        <v>0</v>
      </c>
      <c r="AD240" s="30">
        <v>0</v>
      </c>
      <c r="AE240" s="25">
        <v>0</v>
      </c>
      <c r="AG240" s="30">
        <f t="shared" si="10"/>
        <v>9.8728536739548338E-3</v>
      </c>
      <c r="AH240" s="30">
        <f t="shared" si="11"/>
        <v>0</v>
      </c>
      <c r="AI240" s="30">
        <f t="shared" si="12"/>
        <v>6.9608582307470737E-3</v>
      </c>
    </row>
    <row r="241" spans="2:35" ht="15.75" thickBot="1" x14ac:dyDescent="0.2">
      <c r="B241" t="s">
        <v>254</v>
      </c>
      <c r="C241" s="22">
        <f>VLOOKUP(B241,[1]SYS!$F$5:$G$360,2,FALSE)</f>
        <v>236</v>
      </c>
      <c r="D241" s="34" t="str">
        <f>VLOOKUP(C241,[1]SYS!$G$5:$H$360,2,FALSE)</f>
        <v>１７Ｔ（北大阪線）</v>
      </c>
      <c r="E241" s="37">
        <v>0</v>
      </c>
      <c r="F241" s="26">
        <v>0</v>
      </c>
      <c r="G241" s="26">
        <v>0</v>
      </c>
      <c r="H241" s="26">
        <v>0</v>
      </c>
      <c r="I241" s="26">
        <v>0</v>
      </c>
      <c r="J241" s="35">
        <v>1.607696958385439E-3</v>
      </c>
      <c r="K241" s="26">
        <v>0</v>
      </c>
      <c r="L241" s="26">
        <v>0</v>
      </c>
      <c r="M241" s="63">
        <v>0</v>
      </c>
      <c r="N241" s="37">
        <v>0</v>
      </c>
      <c r="O241" s="26">
        <v>0</v>
      </c>
      <c r="P241" s="26">
        <v>0</v>
      </c>
      <c r="Q241" s="26">
        <v>0</v>
      </c>
      <c r="R241" s="26">
        <v>0</v>
      </c>
      <c r="S241" s="35">
        <v>0</v>
      </c>
      <c r="T241" s="26">
        <v>0</v>
      </c>
      <c r="U241" s="26">
        <v>0</v>
      </c>
      <c r="V241" s="27">
        <v>0</v>
      </c>
      <c r="W241" s="68">
        <v>0</v>
      </c>
      <c r="X241" s="30">
        <v>0</v>
      </c>
      <c r="Y241" s="30">
        <v>0</v>
      </c>
      <c r="Z241" s="30">
        <v>0</v>
      </c>
      <c r="AA241" s="30">
        <v>0</v>
      </c>
      <c r="AB241" s="1">
        <v>6.4378025816441082E-3</v>
      </c>
      <c r="AC241" s="30">
        <v>0</v>
      </c>
      <c r="AD241" s="30">
        <v>0</v>
      </c>
      <c r="AE241" s="25">
        <v>0</v>
      </c>
      <c r="AG241" s="30">
        <f t="shared" si="10"/>
        <v>1.607696958385439E-3</v>
      </c>
      <c r="AH241" s="30">
        <f t="shared" si="11"/>
        <v>0</v>
      </c>
      <c r="AI241" s="30">
        <f t="shared" si="12"/>
        <v>6.4378025816441082E-3</v>
      </c>
    </row>
    <row r="242" spans="2:35" ht="15.75" thickBot="1" x14ac:dyDescent="0.2">
      <c r="B242" t="s">
        <v>255</v>
      </c>
      <c r="C242" s="22">
        <f>VLOOKUP(B242,[1]SYS!$F$5:$G$360,2,FALSE)</f>
        <v>237</v>
      </c>
      <c r="D242" s="34" t="str">
        <f>VLOOKUP(C242,[1]SYS!$G$5:$H$360,2,FALSE)</f>
        <v>淀川変電所</v>
      </c>
      <c r="E242" s="37">
        <v>0</v>
      </c>
      <c r="F242" s="26">
        <v>0</v>
      </c>
      <c r="G242" s="26">
        <v>0</v>
      </c>
      <c r="H242" s="26">
        <v>0</v>
      </c>
      <c r="I242" s="26">
        <v>0</v>
      </c>
      <c r="J242" s="1">
        <v>1.4076262342763404E-3</v>
      </c>
      <c r="K242" s="26">
        <v>0</v>
      </c>
      <c r="L242" s="26">
        <v>0</v>
      </c>
      <c r="M242" s="63">
        <v>0</v>
      </c>
      <c r="N242" s="37">
        <v>0</v>
      </c>
      <c r="O242" s="26">
        <v>0</v>
      </c>
      <c r="P242" s="26">
        <v>0</v>
      </c>
      <c r="Q242" s="26">
        <v>0</v>
      </c>
      <c r="R242" s="26">
        <v>0</v>
      </c>
      <c r="S242" s="35">
        <v>0</v>
      </c>
      <c r="T242" s="26">
        <v>0</v>
      </c>
      <c r="U242" s="26">
        <v>0</v>
      </c>
      <c r="V242" s="27">
        <v>0</v>
      </c>
      <c r="W242" s="68">
        <v>0</v>
      </c>
      <c r="X242" s="30">
        <v>0</v>
      </c>
      <c r="Y242" s="30">
        <v>0</v>
      </c>
      <c r="Z242" s="30">
        <v>0</v>
      </c>
      <c r="AA242" s="30">
        <v>0</v>
      </c>
      <c r="AB242" s="1">
        <v>9.0237195692176239E-3</v>
      </c>
      <c r="AC242" s="30">
        <v>0</v>
      </c>
      <c r="AD242" s="30">
        <v>0</v>
      </c>
      <c r="AE242" s="25">
        <v>0</v>
      </c>
      <c r="AG242" s="30">
        <f t="shared" si="10"/>
        <v>1.4076262342763404E-3</v>
      </c>
      <c r="AH242" s="30">
        <f t="shared" si="11"/>
        <v>0</v>
      </c>
      <c r="AI242" s="30">
        <f t="shared" si="12"/>
        <v>9.0237195692176239E-3</v>
      </c>
    </row>
    <row r="243" spans="2:35" ht="15.75" thickBot="1" x14ac:dyDescent="0.2">
      <c r="B243" t="s">
        <v>256</v>
      </c>
      <c r="C243" s="22">
        <f>VLOOKUP(B243,[1]SYS!$F$5:$G$360,2,FALSE)</f>
        <v>238</v>
      </c>
      <c r="D243" s="34" t="str">
        <f>VLOOKUP(C243,[1]SYS!$G$5:$H$360,2,FALSE)</f>
        <v>喜線山発電所</v>
      </c>
      <c r="E243" s="37">
        <v>0</v>
      </c>
      <c r="F243" s="26">
        <v>0</v>
      </c>
      <c r="G243" s="26">
        <v>0</v>
      </c>
      <c r="H243" s="26">
        <v>0</v>
      </c>
      <c r="I243" s="26">
        <v>0</v>
      </c>
      <c r="J243" s="1">
        <v>3.7904307398889908E-3</v>
      </c>
      <c r="K243" s="26">
        <v>0</v>
      </c>
      <c r="L243" s="26">
        <v>0</v>
      </c>
      <c r="M243" s="63">
        <v>0</v>
      </c>
      <c r="N243" s="37">
        <v>0</v>
      </c>
      <c r="O243" s="26">
        <v>0</v>
      </c>
      <c r="P243" s="26">
        <v>0</v>
      </c>
      <c r="Q243" s="26">
        <v>0</v>
      </c>
      <c r="R243" s="26">
        <v>0</v>
      </c>
      <c r="S243" s="35">
        <v>0</v>
      </c>
      <c r="T243" s="26">
        <v>0</v>
      </c>
      <c r="U243" s="26">
        <v>0</v>
      </c>
      <c r="V243" s="27">
        <v>0</v>
      </c>
      <c r="W243" s="68">
        <v>0</v>
      </c>
      <c r="X243" s="30">
        <v>0</v>
      </c>
      <c r="Y243" s="30">
        <v>0</v>
      </c>
      <c r="Z243" s="30">
        <v>0</v>
      </c>
      <c r="AA243" s="30">
        <v>0</v>
      </c>
      <c r="AB243" s="1">
        <v>6.3894683634793774E-3</v>
      </c>
      <c r="AC243" s="30">
        <v>0</v>
      </c>
      <c r="AD243" s="30">
        <v>0</v>
      </c>
      <c r="AE243" s="25">
        <v>0</v>
      </c>
      <c r="AG243" s="30">
        <f t="shared" si="10"/>
        <v>3.7904307398889908E-3</v>
      </c>
      <c r="AH243" s="30">
        <f t="shared" si="11"/>
        <v>0</v>
      </c>
      <c r="AI243" s="30">
        <f t="shared" si="12"/>
        <v>6.3894683634793774E-3</v>
      </c>
    </row>
    <row r="244" spans="2:35" ht="15.75" thickBot="1" x14ac:dyDescent="0.2">
      <c r="B244" t="s">
        <v>257</v>
      </c>
      <c r="C244" s="22">
        <f>VLOOKUP(B244,[1]SYS!$F$5:$G$360,2,FALSE)</f>
        <v>239</v>
      </c>
      <c r="D244" s="34" t="str">
        <f>VLOOKUP(C244,[1]SYS!$G$5:$H$360,2,FALSE)</f>
        <v>湖南変電所</v>
      </c>
      <c r="E244" s="37">
        <v>0</v>
      </c>
      <c r="F244" s="26">
        <v>0</v>
      </c>
      <c r="G244" s="26">
        <v>0</v>
      </c>
      <c r="H244" s="26">
        <v>0</v>
      </c>
      <c r="I244" s="26">
        <v>0</v>
      </c>
      <c r="J244" s="1">
        <v>3.7715147779071633E-3</v>
      </c>
      <c r="K244" s="26">
        <v>0</v>
      </c>
      <c r="L244" s="26">
        <v>0</v>
      </c>
      <c r="M244" s="63">
        <v>0</v>
      </c>
      <c r="N244" s="37">
        <v>0</v>
      </c>
      <c r="O244" s="26">
        <v>0</v>
      </c>
      <c r="P244" s="26">
        <v>0</v>
      </c>
      <c r="Q244" s="26">
        <v>0</v>
      </c>
      <c r="R244" s="26">
        <v>0</v>
      </c>
      <c r="S244" s="35">
        <v>0</v>
      </c>
      <c r="T244" s="26">
        <v>0</v>
      </c>
      <c r="U244" s="26">
        <v>0</v>
      </c>
      <c r="V244" s="27">
        <v>0</v>
      </c>
      <c r="W244" s="68">
        <v>0</v>
      </c>
      <c r="X244" s="30">
        <v>0</v>
      </c>
      <c r="Y244" s="30">
        <v>0</v>
      </c>
      <c r="Z244" s="30">
        <v>0</v>
      </c>
      <c r="AA244" s="30">
        <v>0</v>
      </c>
      <c r="AB244" s="1">
        <v>9.0662711182032396E-3</v>
      </c>
      <c r="AC244" s="30">
        <v>0</v>
      </c>
      <c r="AD244" s="30">
        <v>0</v>
      </c>
      <c r="AE244" s="25">
        <v>0</v>
      </c>
      <c r="AG244" s="30">
        <f t="shared" si="10"/>
        <v>3.7715147779071633E-3</v>
      </c>
      <c r="AH244" s="30">
        <f t="shared" si="11"/>
        <v>0</v>
      </c>
      <c r="AI244" s="30">
        <f t="shared" si="12"/>
        <v>9.0662711182032396E-3</v>
      </c>
    </row>
    <row r="245" spans="2:35" ht="15.75" thickBot="1" x14ac:dyDescent="0.2">
      <c r="B245" t="s">
        <v>258</v>
      </c>
      <c r="C245" s="22">
        <f>VLOOKUP(B245,[1]SYS!$F$5:$G$360,2,FALSE)</f>
        <v>240</v>
      </c>
      <c r="D245" s="34" t="str">
        <f>VLOOKUP(C245,[1]SYS!$G$5:$H$360,2,FALSE)</f>
        <v>栗東変電所</v>
      </c>
      <c r="E245" s="37">
        <v>0</v>
      </c>
      <c r="F245" s="26">
        <v>0</v>
      </c>
      <c r="G245" s="26">
        <v>0</v>
      </c>
      <c r="H245" s="26">
        <v>0</v>
      </c>
      <c r="I245" s="26">
        <v>0</v>
      </c>
      <c r="J245" s="1">
        <v>1.0402621184708283E-3</v>
      </c>
      <c r="K245" s="26">
        <v>0</v>
      </c>
      <c r="L245" s="26">
        <v>0</v>
      </c>
      <c r="M245" s="63">
        <v>0</v>
      </c>
      <c r="N245" s="37">
        <v>0</v>
      </c>
      <c r="O245" s="26">
        <v>0</v>
      </c>
      <c r="P245" s="26">
        <v>0</v>
      </c>
      <c r="Q245" s="26">
        <v>0</v>
      </c>
      <c r="R245" s="26">
        <v>0</v>
      </c>
      <c r="S245" s="35">
        <v>0</v>
      </c>
      <c r="T245" s="26">
        <v>0</v>
      </c>
      <c r="U245" s="26">
        <v>0</v>
      </c>
      <c r="V245" s="27">
        <v>0</v>
      </c>
      <c r="W245" s="68">
        <v>0</v>
      </c>
      <c r="X245" s="30">
        <v>0</v>
      </c>
      <c r="Y245" s="30">
        <v>0</v>
      </c>
      <c r="Z245" s="30">
        <v>0</v>
      </c>
      <c r="AA245" s="30">
        <v>0</v>
      </c>
      <c r="AB245" s="1">
        <v>4.2263173824411818E-2</v>
      </c>
      <c r="AC245" s="30">
        <v>0</v>
      </c>
      <c r="AD245" s="30">
        <v>0</v>
      </c>
      <c r="AE245" s="25">
        <v>0</v>
      </c>
      <c r="AG245" s="30">
        <f t="shared" si="10"/>
        <v>1.0402621184708283E-3</v>
      </c>
      <c r="AH245" s="30">
        <f t="shared" si="11"/>
        <v>0</v>
      </c>
      <c r="AI245" s="30">
        <f t="shared" si="12"/>
        <v>4.2263173824411818E-2</v>
      </c>
    </row>
    <row r="246" spans="2:35" ht="15.75" thickBot="1" x14ac:dyDescent="0.2">
      <c r="B246" t="s">
        <v>259</v>
      </c>
      <c r="C246" s="22">
        <f>VLOOKUP(B246,[1]SYS!$F$5:$G$360,2,FALSE)</f>
        <v>241</v>
      </c>
      <c r="D246" s="34" t="str">
        <f>VLOOKUP(C246,[1]SYS!$G$5:$H$360,2,FALSE)</f>
        <v>甲賀変電所</v>
      </c>
      <c r="E246" s="37">
        <v>0</v>
      </c>
      <c r="F246" s="26">
        <v>0</v>
      </c>
      <c r="G246" s="26">
        <v>0</v>
      </c>
      <c r="H246" s="26">
        <v>0</v>
      </c>
      <c r="I246" s="26">
        <v>0</v>
      </c>
      <c r="J246" s="1">
        <v>2.3450376540127727E-3</v>
      </c>
      <c r="K246" s="26">
        <v>0</v>
      </c>
      <c r="L246" s="26">
        <v>0</v>
      </c>
      <c r="M246" s="63">
        <v>0</v>
      </c>
      <c r="N246" s="37">
        <v>0</v>
      </c>
      <c r="O246" s="26">
        <v>0</v>
      </c>
      <c r="P246" s="26">
        <v>0</v>
      </c>
      <c r="Q246" s="26">
        <v>0</v>
      </c>
      <c r="R246" s="26">
        <v>0</v>
      </c>
      <c r="S246" s="35">
        <v>0</v>
      </c>
      <c r="T246" s="26">
        <v>0</v>
      </c>
      <c r="U246" s="26">
        <v>0</v>
      </c>
      <c r="V246" s="27">
        <v>0</v>
      </c>
      <c r="W246" s="68">
        <v>0</v>
      </c>
      <c r="X246" s="30">
        <v>0</v>
      </c>
      <c r="Y246" s="30">
        <v>0</v>
      </c>
      <c r="Z246" s="30">
        <v>0</v>
      </c>
      <c r="AA246" s="30">
        <v>0</v>
      </c>
      <c r="AB246" s="1">
        <v>3.1079602226518253E-2</v>
      </c>
      <c r="AC246" s="30">
        <v>0</v>
      </c>
      <c r="AD246" s="30">
        <v>0</v>
      </c>
      <c r="AE246" s="25">
        <v>0</v>
      </c>
      <c r="AG246" s="30">
        <f t="shared" si="10"/>
        <v>2.3450376540127727E-3</v>
      </c>
      <c r="AH246" s="30">
        <f t="shared" si="11"/>
        <v>0</v>
      </c>
      <c r="AI246" s="30">
        <f t="shared" si="12"/>
        <v>3.1079602226518253E-2</v>
      </c>
    </row>
    <row r="247" spans="2:35" ht="15.75" thickBot="1" x14ac:dyDescent="0.2">
      <c r="B247" t="s">
        <v>260</v>
      </c>
      <c r="C247" s="22">
        <f>VLOOKUP(B247,[1]SYS!$F$5:$G$360,2,FALSE)</f>
        <v>242</v>
      </c>
      <c r="D247" s="34" t="str">
        <f>VLOOKUP(C247,[1]SYS!$G$5:$H$360,2,FALSE)</f>
        <v>枚方変電所（洛南）</v>
      </c>
      <c r="E247" s="37">
        <v>0</v>
      </c>
      <c r="F247" s="26">
        <v>0</v>
      </c>
      <c r="G247" s="26">
        <v>0</v>
      </c>
      <c r="H247" s="26">
        <v>0</v>
      </c>
      <c r="I247" s="26">
        <v>0</v>
      </c>
      <c r="J247" s="1">
        <v>2.7051892638509131E-3</v>
      </c>
      <c r="K247" s="26">
        <v>0</v>
      </c>
      <c r="L247" s="26">
        <v>0</v>
      </c>
      <c r="M247" s="63">
        <v>0</v>
      </c>
      <c r="N247" s="37">
        <v>0</v>
      </c>
      <c r="O247" s="26">
        <v>0</v>
      </c>
      <c r="P247" s="26">
        <v>0</v>
      </c>
      <c r="Q247" s="26">
        <v>0</v>
      </c>
      <c r="R247" s="26">
        <v>0</v>
      </c>
      <c r="S247" s="35">
        <v>0</v>
      </c>
      <c r="T247" s="26">
        <v>0</v>
      </c>
      <c r="U247" s="26">
        <v>0</v>
      </c>
      <c r="V247" s="27">
        <v>0</v>
      </c>
      <c r="W247" s="68">
        <v>0</v>
      </c>
      <c r="X247" s="30">
        <v>0</v>
      </c>
      <c r="Y247" s="30">
        <v>0</v>
      </c>
      <c r="Z247" s="30">
        <v>0</v>
      </c>
      <c r="AA247" s="30">
        <v>0</v>
      </c>
      <c r="AB247" s="1">
        <v>1.3123937325478559E-2</v>
      </c>
      <c r="AC247" s="30">
        <v>0</v>
      </c>
      <c r="AD247" s="30">
        <v>0</v>
      </c>
      <c r="AE247" s="25">
        <v>0</v>
      </c>
      <c r="AG247" s="30">
        <f t="shared" si="10"/>
        <v>2.7051892638509131E-3</v>
      </c>
      <c r="AH247" s="30">
        <f t="shared" si="11"/>
        <v>0</v>
      </c>
      <c r="AI247" s="30">
        <f t="shared" si="12"/>
        <v>1.3123937325478559E-2</v>
      </c>
    </row>
    <row r="248" spans="2:35" ht="15.75" thickBot="1" x14ac:dyDescent="0.2">
      <c r="B248" t="s">
        <v>261</v>
      </c>
      <c r="C248" s="22">
        <f>VLOOKUP(B248,[1]SYS!$F$5:$G$360,2,FALSE)</f>
        <v>243</v>
      </c>
      <c r="D248" s="34" t="str">
        <f>VLOOKUP(C248,[1]SYS!$G$5:$H$360,2,FALSE)</f>
        <v>枚方変電所</v>
      </c>
      <c r="E248" s="37">
        <v>0</v>
      </c>
      <c r="F248" s="26">
        <v>0</v>
      </c>
      <c r="G248" s="26">
        <v>0</v>
      </c>
      <c r="H248" s="26">
        <v>0</v>
      </c>
      <c r="I248" s="26">
        <v>0</v>
      </c>
      <c r="J248" s="1">
        <v>2.0464559836652347E-3</v>
      </c>
      <c r="K248" s="26">
        <v>0</v>
      </c>
      <c r="L248" s="26">
        <v>0</v>
      </c>
      <c r="M248" s="63">
        <v>0</v>
      </c>
      <c r="N248" s="37">
        <v>0</v>
      </c>
      <c r="O248" s="26">
        <v>0</v>
      </c>
      <c r="P248" s="26">
        <v>0</v>
      </c>
      <c r="Q248" s="26">
        <v>0</v>
      </c>
      <c r="R248" s="26">
        <v>0</v>
      </c>
      <c r="S248" s="35">
        <v>0</v>
      </c>
      <c r="T248" s="26">
        <v>0</v>
      </c>
      <c r="U248" s="26">
        <v>0</v>
      </c>
      <c r="V248" s="27">
        <v>0</v>
      </c>
      <c r="W248" s="68">
        <v>0</v>
      </c>
      <c r="X248" s="30">
        <v>0</v>
      </c>
      <c r="Y248" s="30">
        <v>0</v>
      </c>
      <c r="Z248" s="30">
        <v>0</v>
      </c>
      <c r="AA248" s="30">
        <v>0</v>
      </c>
      <c r="AB248" s="1">
        <v>5.3880978570563986E-3</v>
      </c>
      <c r="AC248" s="30">
        <v>0</v>
      </c>
      <c r="AD248" s="30">
        <v>0</v>
      </c>
      <c r="AE248" s="25">
        <v>0</v>
      </c>
      <c r="AG248" s="30">
        <f t="shared" si="10"/>
        <v>2.0464559836652347E-3</v>
      </c>
      <c r="AH248" s="30">
        <f t="shared" si="11"/>
        <v>0</v>
      </c>
      <c r="AI248" s="30">
        <f t="shared" si="12"/>
        <v>5.3880978570563986E-3</v>
      </c>
    </row>
    <row r="249" spans="2:35" ht="15.75" thickBot="1" x14ac:dyDescent="0.2">
      <c r="B249" t="s">
        <v>262</v>
      </c>
      <c r="C249" s="22">
        <f>VLOOKUP(B249,[1]SYS!$F$5:$G$360,2,FALSE)</f>
        <v>244</v>
      </c>
      <c r="D249" s="34" t="str">
        <f>VLOOKUP(C249,[1]SYS!$G$5:$H$360,2,FALSE)</f>
        <v>新寝屋川変電所</v>
      </c>
      <c r="E249" s="37">
        <v>0</v>
      </c>
      <c r="F249" s="26">
        <v>0</v>
      </c>
      <c r="G249" s="26">
        <v>0</v>
      </c>
      <c r="H249" s="26">
        <v>0</v>
      </c>
      <c r="I249" s="26">
        <v>0</v>
      </c>
      <c r="J249" s="1">
        <v>2.8609906847151443E-3</v>
      </c>
      <c r="K249" s="26">
        <v>0</v>
      </c>
      <c r="L249" s="26">
        <v>0</v>
      </c>
      <c r="M249" s="63">
        <v>0</v>
      </c>
      <c r="N249" s="37">
        <v>0</v>
      </c>
      <c r="O249" s="26">
        <v>0</v>
      </c>
      <c r="P249" s="26">
        <v>0</v>
      </c>
      <c r="Q249" s="26">
        <v>0</v>
      </c>
      <c r="R249" s="26">
        <v>0</v>
      </c>
      <c r="S249" s="35">
        <v>0</v>
      </c>
      <c r="T249" s="26">
        <v>0</v>
      </c>
      <c r="U249" s="26">
        <v>0</v>
      </c>
      <c r="V249" s="27">
        <v>0</v>
      </c>
      <c r="W249" s="68">
        <v>0</v>
      </c>
      <c r="X249" s="30">
        <v>0</v>
      </c>
      <c r="Y249" s="30">
        <v>0</v>
      </c>
      <c r="Z249" s="30">
        <v>0</v>
      </c>
      <c r="AA249" s="30">
        <v>0</v>
      </c>
      <c r="AB249" s="1">
        <v>8.1877124458402187E-3</v>
      </c>
      <c r="AC249" s="30">
        <v>0</v>
      </c>
      <c r="AD249" s="30">
        <v>0</v>
      </c>
      <c r="AE249" s="25">
        <v>0</v>
      </c>
      <c r="AG249" s="30">
        <f t="shared" si="10"/>
        <v>2.8609906847151443E-3</v>
      </c>
      <c r="AH249" s="30">
        <f t="shared" si="11"/>
        <v>0</v>
      </c>
      <c r="AI249" s="30">
        <f t="shared" si="12"/>
        <v>8.1877124458402187E-3</v>
      </c>
    </row>
    <row r="250" spans="2:35" ht="15.75" thickBot="1" x14ac:dyDescent="0.2">
      <c r="B250" t="s">
        <v>263</v>
      </c>
      <c r="C250" s="22">
        <f>VLOOKUP(B250,[1]SYS!$F$5:$G$360,2,FALSE)</f>
        <v>245</v>
      </c>
      <c r="D250" s="34" t="str">
        <f>VLOOKUP(C250,[1]SYS!$G$5:$H$360,2,FALSE)</f>
        <v>東大阪変電所</v>
      </c>
      <c r="E250" s="37">
        <v>0</v>
      </c>
      <c r="F250" s="26">
        <v>0</v>
      </c>
      <c r="G250" s="26">
        <v>0</v>
      </c>
      <c r="H250" s="26">
        <v>0</v>
      </c>
      <c r="I250" s="26">
        <v>0</v>
      </c>
      <c r="J250" s="1">
        <v>6.4467477877043966E-3</v>
      </c>
      <c r="K250" s="26">
        <v>0</v>
      </c>
      <c r="L250" s="26">
        <v>0</v>
      </c>
      <c r="M250" s="63">
        <v>0</v>
      </c>
      <c r="N250" s="37">
        <v>0</v>
      </c>
      <c r="O250" s="26">
        <v>0</v>
      </c>
      <c r="P250" s="26">
        <v>0</v>
      </c>
      <c r="Q250" s="26">
        <v>0</v>
      </c>
      <c r="R250" s="26">
        <v>0</v>
      </c>
      <c r="S250" s="35">
        <v>0</v>
      </c>
      <c r="T250" s="26">
        <v>0</v>
      </c>
      <c r="U250" s="26">
        <v>0</v>
      </c>
      <c r="V250" s="27">
        <v>0</v>
      </c>
      <c r="W250" s="68">
        <v>0</v>
      </c>
      <c r="X250" s="30">
        <v>0</v>
      </c>
      <c r="Y250" s="30">
        <v>0</v>
      </c>
      <c r="Z250" s="30">
        <v>0</v>
      </c>
      <c r="AA250" s="30">
        <v>0</v>
      </c>
      <c r="AB250" s="1">
        <v>1.6769639676825689E-2</v>
      </c>
      <c r="AC250" s="30">
        <v>0</v>
      </c>
      <c r="AD250" s="30">
        <v>0</v>
      </c>
      <c r="AE250" s="25">
        <v>0</v>
      </c>
      <c r="AG250" s="30">
        <f t="shared" si="10"/>
        <v>6.4467477877043966E-3</v>
      </c>
      <c r="AH250" s="30">
        <f t="shared" si="11"/>
        <v>0</v>
      </c>
      <c r="AI250" s="30">
        <f t="shared" si="12"/>
        <v>1.6769639676825689E-2</v>
      </c>
    </row>
    <row r="251" spans="2:35" ht="15.75" thickBot="1" x14ac:dyDescent="0.2">
      <c r="B251" t="s">
        <v>264</v>
      </c>
      <c r="C251" s="22">
        <f>VLOOKUP(B251,[1]SYS!$F$5:$G$360,2,FALSE)</f>
        <v>246</v>
      </c>
      <c r="D251" s="34" t="str">
        <f>VLOOKUP(C251,[1]SYS!$G$5:$H$360,2,FALSE)</f>
        <v>南河内変電所</v>
      </c>
      <c r="E251" s="37">
        <v>0</v>
      </c>
      <c r="F251" s="26">
        <v>0</v>
      </c>
      <c r="G251" s="26">
        <v>0</v>
      </c>
      <c r="H251" s="26">
        <v>0</v>
      </c>
      <c r="I251" s="26">
        <v>0</v>
      </c>
      <c r="J251" s="1">
        <v>1.5817288746740182E-2</v>
      </c>
      <c r="K251" s="26">
        <v>0</v>
      </c>
      <c r="L251" s="26">
        <v>0</v>
      </c>
      <c r="M251" s="63">
        <v>0</v>
      </c>
      <c r="N251" s="37">
        <v>0</v>
      </c>
      <c r="O251" s="26">
        <v>0</v>
      </c>
      <c r="P251" s="26">
        <v>0</v>
      </c>
      <c r="Q251" s="26">
        <v>0</v>
      </c>
      <c r="R251" s="26">
        <v>0</v>
      </c>
      <c r="S251" s="35">
        <v>0</v>
      </c>
      <c r="T251" s="26">
        <v>0</v>
      </c>
      <c r="U251" s="26">
        <v>0</v>
      </c>
      <c r="V251" s="27">
        <v>0</v>
      </c>
      <c r="W251" s="68">
        <v>0</v>
      </c>
      <c r="X251" s="30">
        <v>0</v>
      </c>
      <c r="Y251" s="30">
        <v>0</v>
      </c>
      <c r="Z251" s="30">
        <v>0</v>
      </c>
      <c r="AA251" s="30">
        <v>0</v>
      </c>
      <c r="AB251" s="1">
        <v>1.3545532549891192E-2</v>
      </c>
      <c r="AC251" s="30">
        <v>0</v>
      </c>
      <c r="AD251" s="30">
        <v>0</v>
      </c>
      <c r="AE251" s="25">
        <v>0</v>
      </c>
      <c r="AG251" s="30">
        <f t="shared" si="10"/>
        <v>1.5817288746740182E-2</v>
      </c>
      <c r="AH251" s="30">
        <f t="shared" si="11"/>
        <v>0</v>
      </c>
      <c r="AI251" s="30">
        <f t="shared" si="12"/>
        <v>1.3545532549891192E-2</v>
      </c>
    </row>
    <row r="252" spans="2:35" ht="15.75" thickBot="1" x14ac:dyDescent="0.2">
      <c r="B252" t="s">
        <v>265</v>
      </c>
      <c r="C252" s="22">
        <f>VLOOKUP(B252,[1]SYS!$F$5:$G$360,2,FALSE)</f>
        <v>247</v>
      </c>
      <c r="D252" s="34" t="str">
        <f>VLOOKUP(C252,[1]SYS!$G$5:$H$360,2,FALSE)</f>
        <v>泉南変電所</v>
      </c>
      <c r="E252" s="37">
        <v>0</v>
      </c>
      <c r="F252" s="26">
        <v>0</v>
      </c>
      <c r="G252" s="26">
        <v>0</v>
      </c>
      <c r="H252" s="26">
        <v>0</v>
      </c>
      <c r="I252" s="26">
        <v>0</v>
      </c>
      <c r="J252" s="1">
        <v>6.0609003454415153E-2</v>
      </c>
      <c r="K252" s="26">
        <v>0</v>
      </c>
      <c r="L252" s="26">
        <v>0</v>
      </c>
      <c r="M252" s="63">
        <v>0</v>
      </c>
      <c r="N252" s="37">
        <v>0</v>
      </c>
      <c r="O252" s="26">
        <v>0</v>
      </c>
      <c r="P252" s="26">
        <v>0</v>
      </c>
      <c r="Q252" s="26">
        <v>0</v>
      </c>
      <c r="R252" s="26">
        <v>0</v>
      </c>
      <c r="S252" s="35">
        <v>0</v>
      </c>
      <c r="T252" s="26">
        <v>0</v>
      </c>
      <c r="U252" s="26">
        <v>0</v>
      </c>
      <c r="V252" s="27">
        <v>0</v>
      </c>
      <c r="W252" s="68">
        <v>0</v>
      </c>
      <c r="X252" s="30">
        <v>0</v>
      </c>
      <c r="Y252" s="30">
        <v>0</v>
      </c>
      <c r="Z252" s="30">
        <v>0</v>
      </c>
      <c r="AA252" s="30">
        <v>0</v>
      </c>
      <c r="AB252" s="1">
        <v>2.9035631815679131E-2</v>
      </c>
      <c r="AC252" s="30">
        <v>0</v>
      </c>
      <c r="AD252" s="30">
        <v>0</v>
      </c>
      <c r="AE252" s="25">
        <v>0</v>
      </c>
      <c r="AG252" s="30">
        <f t="shared" si="10"/>
        <v>6.0609003454415153E-2</v>
      </c>
      <c r="AH252" s="30">
        <f t="shared" si="11"/>
        <v>0</v>
      </c>
      <c r="AI252" s="30">
        <f t="shared" si="12"/>
        <v>2.9035631815679131E-2</v>
      </c>
    </row>
    <row r="253" spans="2:35" ht="15.75" thickBot="1" x14ac:dyDescent="0.2">
      <c r="B253" t="s">
        <v>266</v>
      </c>
      <c r="C253" s="22">
        <f>VLOOKUP(B253,[1]SYS!$F$5:$G$360,2,FALSE)</f>
        <v>248</v>
      </c>
      <c r="D253" s="34" t="str">
        <f>VLOOKUP(C253,[1]SYS!$G$5:$H$360,2,FALSE)</f>
        <v>金剛開閉所</v>
      </c>
      <c r="E253" s="37">
        <v>0</v>
      </c>
      <c r="F253" s="26">
        <v>0</v>
      </c>
      <c r="G253" s="26">
        <v>0</v>
      </c>
      <c r="H253" s="26">
        <v>0</v>
      </c>
      <c r="I253" s="26">
        <v>0</v>
      </c>
      <c r="J253" s="1">
        <v>2.2597919005194183E-3</v>
      </c>
      <c r="K253" s="26">
        <v>0</v>
      </c>
      <c r="L253" s="26">
        <v>0</v>
      </c>
      <c r="M253" s="63">
        <v>0</v>
      </c>
      <c r="N253" s="37">
        <v>0</v>
      </c>
      <c r="O253" s="26">
        <v>0</v>
      </c>
      <c r="P253" s="26">
        <v>0</v>
      </c>
      <c r="Q253" s="26">
        <v>0</v>
      </c>
      <c r="R253" s="26">
        <v>0</v>
      </c>
      <c r="S253" s="35">
        <v>0</v>
      </c>
      <c r="T253" s="26">
        <v>0</v>
      </c>
      <c r="U253" s="26">
        <v>0</v>
      </c>
      <c r="V253" s="27">
        <v>0</v>
      </c>
      <c r="W253" s="68">
        <v>0</v>
      </c>
      <c r="X253" s="30">
        <v>0</v>
      </c>
      <c r="Y253" s="30">
        <v>0</v>
      </c>
      <c r="Z253" s="30">
        <v>0</v>
      </c>
      <c r="AA253" s="30">
        <v>0</v>
      </c>
      <c r="AB253" s="1">
        <v>1.0943891507621886E-2</v>
      </c>
      <c r="AC253" s="30">
        <v>0</v>
      </c>
      <c r="AD253" s="30">
        <v>0</v>
      </c>
      <c r="AE253" s="25">
        <v>0</v>
      </c>
      <c r="AG253" s="30">
        <f t="shared" si="10"/>
        <v>2.2597919005194183E-3</v>
      </c>
      <c r="AH253" s="30">
        <f t="shared" si="11"/>
        <v>0</v>
      </c>
      <c r="AI253" s="30">
        <f t="shared" si="12"/>
        <v>1.0943891507621886E-2</v>
      </c>
    </row>
    <row r="254" spans="2:35" ht="15.75" thickBot="1" x14ac:dyDescent="0.2">
      <c r="B254" t="s">
        <v>267</v>
      </c>
      <c r="C254" s="22">
        <f>VLOOKUP(B254,[1]SYS!$F$5:$G$360,2,FALSE)</f>
        <v>249</v>
      </c>
      <c r="D254" s="34" t="str">
        <f>VLOOKUP(C254,[1]SYS!$G$5:$H$360,2,FALSE)</f>
        <v>南大阪変電所</v>
      </c>
      <c r="E254" s="37">
        <v>0</v>
      </c>
      <c r="F254" s="26">
        <v>0</v>
      </c>
      <c r="G254" s="26">
        <v>0</v>
      </c>
      <c r="H254" s="26">
        <v>0</v>
      </c>
      <c r="I254" s="26">
        <v>0</v>
      </c>
      <c r="J254" s="1">
        <v>5.2347750123725808E-5</v>
      </c>
      <c r="K254" s="26">
        <v>0</v>
      </c>
      <c r="L254" s="26">
        <v>0</v>
      </c>
      <c r="M254" s="63">
        <v>0</v>
      </c>
      <c r="N254" s="37">
        <v>0</v>
      </c>
      <c r="O254" s="26">
        <v>0</v>
      </c>
      <c r="P254" s="26">
        <v>0</v>
      </c>
      <c r="Q254" s="26">
        <v>0</v>
      </c>
      <c r="R254" s="26">
        <v>0</v>
      </c>
      <c r="S254" s="35">
        <v>0</v>
      </c>
      <c r="T254" s="26">
        <v>0</v>
      </c>
      <c r="U254" s="26">
        <v>0</v>
      </c>
      <c r="V254" s="27">
        <v>0</v>
      </c>
      <c r="W254" s="68">
        <v>0</v>
      </c>
      <c r="X254" s="30">
        <v>0</v>
      </c>
      <c r="Y254" s="30">
        <v>0</v>
      </c>
      <c r="Z254" s="30">
        <v>0</v>
      </c>
      <c r="AA254" s="30">
        <v>0</v>
      </c>
      <c r="AB254" s="1">
        <v>4.5191595011725864E-2</v>
      </c>
      <c r="AC254" s="30">
        <v>0</v>
      </c>
      <c r="AD254" s="30">
        <v>0</v>
      </c>
      <c r="AE254" s="25">
        <v>0</v>
      </c>
      <c r="AG254" s="30">
        <f t="shared" si="10"/>
        <v>5.2347750123725808E-5</v>
      </c>
      <c r="AH254" s="30">
        <f t="shared" si="11"/>
        <v>0</v>
      </c>
      <c r="AI254" s="30">
        <f t="shared" si="12"/>
        <v>4.5191595011725864E-2</v>
      </c>
    </row>
    <row r="255" spans="2:35" ht="15.75" thickBot="1" x14ac:dyDescent="0.2">
      <c r="B255" t="s">
        <v>268</v>
      </c>
      <c r="C255" s="22">
        <f>VLOOKUP(B255,[1]SYS!$F$5:$G$360,2,FALSE)</f>
        <v>250</v>
      </c>
      <c r="D255" s="34" t="str">
        <f>VLOOKUP(C255,[1]SYS!$G$5:$H$360,2,FALSE)</f>
        <v>湖東変電所</v>
      </c>
      <c r="E255" s="37">
        <v>0</v>
      </c>
      <c r="F255" s="26">
        <v>0</v>
      </c>
      <c r="G255" s="26">
        <v>0</v>
      </c>
      <c r="H255" s="26">
        <v>0</v>
      </c>
      <c r="I255" s="26">
        <v>0</v>
      </c>
      <c r="J255" s="1">
        <v>2.0359611511132697E-4</v>
      </c>
      <c r="K255" s="26">
        <v>0</v>
      </c>
      <c r="L255" s="26">
        <v>0</v>
      </c>
      <c r="M255" s="63">
        <v>0</v>
      </c>
      <c r="N255" s="37">
        <v>0</v>
      </c>
      <c r="O255" s="26">
        <v>0</v>
      </c>
      <c r="P255" s="26">
        <v>0</v>
      </c>
      <c r="Q255" s="26">
        <v>0</v>
      </c>
      <c r="R255" s="26">
        <v>0</v>
      </c>
      <c r="S255" s="35">
        <v>0</v>
      </c>
      <c r="T255" s="26">
        <v>0</v>
      </c>
      <c r="U255" s="26">
        <v>0</v>
      </c>
      <c r="V255" s="27">
        <v>0</v>
      </c>
      <c r="W255" s="68">
        <v>0</v>
      </c>
      <c r="X255" s="30">
        <v>0</v>
      </c>
      <c r="Y255" s="30">
        <v>0</v>
      </c>
      <c r="Z255" s="30">
        <v>0</v>
      </c>
      <c r="AA255" s="30">
        <v>0</v>
      </c>
      <c r="AB255" s="1">
        <v>1.9990757612591795E-2</v>
      </c>
      <c r="AC255" s="30">
        <v>0</v>
      </c>
      <c r="AD255" s="30">
        <v>0</v>
      </c>
      <c r="AE255" s="25">
        <v>0</v>
      </c>
      <c r="AG255" s="30">
        <f t="shared" si="10"/>
        <v>2.0359611511132697E-4</v>
      </c>
      <c r="AH255" s="30">
        <f t="shared" si="11"/>
        <v>0</v>
      </c>
      <c r="AI255" s="30">
        <f t="shared" si="12"/>
        <v>1.9990757612591795E-2</v>
      </c>
    </row>
    <row r="256" spans="2:35" ht="15.75" thickBot="1" x14ac:dyDescent="0.2">
      <c r="B256" t="s">
        <v>269</v>
      </c>
      <c r="C256" s="22">
        <f>VLOOKUP(B256,[1]SYS!$F$5:$G$360,2,FALSE)</f>
        <v>251</v>
      </c>
      <c r="D256" s="34" t="str">
        <f>VLOOKUP(C256,[1]SYS!$G$5:$H$360,2,FALSE)</f>
        <v>北葛城変電所</v>
      </c>
      <c r="E256" s="37">
        <v>0</v>
      </c>
      <c r="F256" s="26">
        <v>0</v>
      </c>
      <c r="G256" s="26">
        <v>0</v>
      </c>
      <c r="H256" s="26">
        <v>0</v>
      </c>
      <c r="I256" s="26">
        <v>0</v>
      </c>
      <c r="J256" s="1">
        <v>5.7901867761330113E-4</v>
      </c>
      <c r="K256" s="26">
        <v>0</v>
      </c>
      <c r="L256" s="26">
        <v>0</v>
      </c>
      <c r="M256" s="63">
        <v>0</v>
      </c>
      <c r="N256" s="37">
        <v>0</v>
      </c>
      <c r="O256" s="26">
        <v>0</v>
      </c>
      <c r="P256" s="26">
        <v>0</v>
      </c>
      <c r="Q256" s="26">
        <v>0</v>
      </c>
      <c r="R256" s="26">
        <v>0</v>
      </c>
      <c r="S256" s="35">
        <v>0</v>
      </c>
      <c r="T256" s="26">
        <v>0</v>
      </c>
      <c r="U256" s="26">
        <v>0</v>
      </c>
      <c r="V256" s="27">
        <v>0</v>
      </c>
      <c r="W256" s="68">
        <v>0</v>
      </c>
      <c r="X256" s="30">
        <v>0</v>
      </c>
      <c r="Y256" s="30">
        <v>0</v>
      </c>
      <c r="Z256" s="30">
        <v>0</v>
      </c>
      <c r="AA256" s="30">
        <v>0</v>
      </c>
      <c r="AB256" s="1">
        <v>3.1905639834986926E-2</v>
      </c>
      <c r="AC256" s="30">
        <v>0</v>
      </c>
      <c r="AD256" s="30">
        <v>0</v>
      </c>
      <c r="AE256" s="25">
        <v>0</v>
      </c>
      <c r="AG256" s="30">
        <f t="shared" si="10"/>
        <v>5.7901867761330113E-4</v>
      </c>
      <c r="AH256" s="30">
        <f t="shared" si="11"/>
        <v>0</v>
      </c>
      <c r="AI256" s="30">
        <f t="shared" si="12"/>
        <v>3.1905639834986926E-2</v>
      </c>
    </row>
    <row r="257" spans="2:35" ht="15.75" thickBot="1" x14ac:dyDescent="0.2">
      <c r="B257" t="s">
        <v>270</v>
      </c>
      <c r="C257" s="22">
        <f>VLOOKUP(B257,[1]SYS!$F$5:$G$360,2,FALSE)</f>
        <v>252</v>
      </c>
      <c r="D257" s="34" t="str">
        <f>VLOOKUP(C257,[1]SYS!$G$5:$H$360,2,FALSE)</f>
        <v>小曽根変電所</v>
      </c>
      <c r="E257" s="37">
        <v>0</v>
      </c>
      <c r="F257" s="26">
        <v>0</v>
      </c>
      <c r="G257" s="26">
        <v>0</v>
      </c>
      <c r="H257" s="26">
        <v>0</v>
      </c>
      <c r="I257" s="26">
        <v>0</v>
      </c>
      <c r="J257" s="1">
        <v>2.8575121840926955E-3</v>
      </c>
      <c r="K257" s="26">
        <v>0</v>
      </c>
      <c r="L257" s="26">
        <v>0</v>
      </c>
      <c r="M257" s="63">
        <v>0</v>
      </c>
      <c r="N257" s="37">
        <v>0</v>
      </c>
      <c r="O257" s="26">
        <v>0</v>
      </c>
      <c r="P257" s="26">
        <v>0</v>
      </c>
      <c r="Q257" s="26">
        <v>0</v>
      </c>
      <c r="R257" s="26">
        <v>0</v>
      </c>
      <c r="S257" s="35">
        <v>0</v>
      </c>
      <c r="T257" s="26">
        <v>0</v>
      </c>
      <c r="U257" s="26">
        <v>0</v>
      </c>
      <c r="V257" s="27">
        <v>0</v>
      </c>
      <c r="W257" s="68">
        <v>0</v>
      </c>
      <c r="X257" s="30">
        <v>0</v>
      </c>
      <c r="Y257" s="30">
        <v>0</v>
      </c>
      <c r="Z257" s="30">
        <v>0</v>
      </c>
      <c r="AA257" s="30">
        <v>0</v>
      </c>
      <c r="AB257" s="1">
        <v>2.9204612646896121E-2</v>
      </c>
      <c r="AC257" s="30">
        <v>0</v>
      </c>
      <c r="AD257" s="30">
        <v>0</v>
      </c>
      <c r="AE257" s="25">
        <v>0</v>
      </c>
      <c r="AG257" s="30">
        <f t="shared" si="10"/>
        <v>2.8575121840926955E-3</v>
      </c>
      <c r="AH257" s="30">
        <f t="shared" si="11"/>
        <v>0</v>
      </c>
      <c r="AI257" s="30">
        <f t="shared" si="12"/>
        <v>2.9204612646896121E-2</v>
      </c>
    </row>
    <row r="258" spans="2:35" ht="15.75" thickBot="1" x14ac:dyDescent="0.2">
      <c r="B258" t="s">
        <v>271</v>
      </c>
      <c r="C258" s="22">
        <f>VLOOKUP(B258,[1]SYS!$F$5:$G$360,2,FALSE)</f>
        <v>253</v>
      </c>
      <c r="D258" s="34" t="str">
        <f>VLOOKUP(C258,[1]SYS!$G$5:$H$360,2,FALSE)</f>
        <v>北豊中変電所</v>
      </c>
      <c r="E258" s="37">
        <v>0</v>
      </c>
      <c r="F258" s="26">
        <v>0</v>
      </c>
      <c r="G258" s="26">
        <v>0</v>
      </c>
      <c r="H258" s="26">
        <v>0</v>
      </c>
      <c r="I258" s="26">
        <v>0</v>
      </c>
      <c r="J258" s="1">
        <v>6.6701163319384284E-3</v>
      </c>
      <c r="K258" s="26">
        <v>0</v>
      </c>
      <c r="L258" s="26">
        <v>0</v>
      </c>
      <c r="M258" s="63">
        <v>0</v>
      </c>
      <c r="N258" s="37">
        <v>0</v>
      </c>
      <c r="O258" s="26">
        <v>0</v>
      </c>
      <c r="P258" s="26">
        <v>0</v>
      </c>
      <c r="Q258" s="26">
        <v>0</v>
      </c>
      <c r="R258" s="26">
        <v>0</v>
      </c>
      <c r="S258" s="35">
        <v>0</v>
      </c>
      <c r="T258" s="26">
        <v>0</v>
      </c>
      <c r="U258" s="26">
        <v>0</v>
      </c>
      <c r="V258" s="27">
        <v>0</v>
      </c>
      <c r="W258" s="68">
        <v>0</v>
      </c>
      <c r="X258" s="30">
        <v>0</v>
      </c>
      <c r="Y258" s="30">
        <v>0</v>
      </c>
      <c r="Z258" s="30">
        <v>0</v>
      </c>
      <c r="AA258" s="30">
        <v>0</v>
      </c>
      <c r="AB258" s="1">
        <v>7.8718057984999545E-3</v>
      </c>
      <c r="AC258" s="30">
        <v>0</v>
      </c>
      <c r="AD258" s="30">
        <v>0</v>
      </c>
      <c r="AE258" s="25">
        <v>0</v>
      </c>
      <c r="AG258" s="30">
        <f t="shared" si="10"/>
        <v>6.6701163319384284E-3</v>
      </c>
      <c r="AH258" s="30">
        <f t="shared" si="11"/>
        <v>0</v>
      </c>
      <c r="AI258" s="30">
        <f t="shared" si="12"/>
        <v>7.8718057984999545E-3</v>
      </c>
    </row>
    <row r="259" spans="2:35" ht="15.75" thickBot="1" x14ac:dyDescent="0.2">
      <c r="B259" t="s">
        <v>272</v>
      </c>
      <c r="C259" s="22">
        <f>VLOOKUP(B259,[1]SYS!$F$5:$G$360,2,FALSE)</f>
        <v>254</v>
      </c>
      <c r="D259" s="34" t="str">
        <f>VLOOKUP(C259,[1]SYS!$G$5:$H$360,2,FALSE)</f>
        <v>紀の川変電所</v>
      </c>
      <c r="E259" s="37">
        <v>0</v>
      </c>
      <c r="F259" s="26">
        <v>0</v>
      </c>
      <c r="G259" s="26">
        <v>0</v>
      </c>
      <c r="H259" s="26">
        <v>0</v>
      </c>
      <c r="I259" s="26">
        <v>0</v>
      </c>
      <c r="J259" s="1">
        <v>9.1672529807058714E-3</v>
      </c>
      <c r="K259" s="26">
        <v>0</v>
      </c>
      <c r="L259" s="26">
        <v>0</v>
      </c>
      <c r="M259" s="63">
        <v>0</v>
      </c>
      <c r="N259" s="37">
        <v>0</v>
      </c>
      <c r="O259" s="26">
        <v>0</v>
      </c>
      <c r="P259" s="26">
        <v>0</v>
      </c>
      <c r="Q259" s="26">
        <v>0</v>
      </c>
      <c r="R259" s="26">
        <v>0</v>
      </c>
      <c r="S259" s="80">
        <v>0.2</v>
      </c>
      <c r="T259" s="26">
        <v>0</v>
      </c>
      <c r="U259" s="26">
        <v>0</v>
      </c>
      <c r="V259" s="27">
        <v>0</v>
      </c>
      <c r="W259" s="68">
        <v>0</v>
      </c>
      <c r="X259" s="30">
        <v>0</v>
      </c>
      <c r="Y259" s="30">
        <v>0</v>
      </c>
      <c r="Z259" s="30">
        <v>0</v>
      </c>
      <c r="AA259" s="30">
        <v>0</v>
      </c>
      <c r="AB259" s="1">
        <v>6.8729390898678883E-2</v>
      </c>
      <c r="AC259" s="30">
        <v>0</v>
      </c>
      <c r="AD259" s="30">
        <v>0</v>
      </c>
      <c r="AE259" s="25">
        <v>0</v>
      </c>
      <c r="AG259" s="30">
        <f t="shared" si="10"/>
        <v>9.1672529807058714E-3</v>
      </c>
      <c r="AH259" s="30">
        <f t="shared" si="11"/>
        <v>0.2</v>
      </c>
      <c r="AI259" s="30">
        <f t="shared" si="12"/>
        <v>6.8729390898678883E-2</v>
      </c>
    </row>
    <row r="260" spans="2:35" ht="15.75" thickBot="1" x14ac:dyDescent="0.2">
      <c r="B260" t="s">
        <v>273</v>
      </c>
      <c r="C260" s="22">
        <f>VLOOKUP(B260,[1]SYS!$F$5:$G$360,2,FALSE)</f>
        <v>255</v>
      </c>
      <c r="D260" s="34" t="str">
        <f>VLOOKUP(C260,[1]SYS!$G$5:$H$360,2,FALSE)</f>
        <v>東大阪線分岐点</v>
      </c>
      <c r="E260" s="37">
        <v>0</v>
      </c>
      <c r="F260" s="26">
        <v>0</v>
      </c>
      <c r="G260" s="26">
        <v>0</v>
      </c>
      <c r="H260" s="26">
        <v>0</v>
      </c>
      <c r="I260" s="26">
        <v>0</v>
      </c>
      <c r="J260" s="1">
        <v>1.3118837343379685E-3</v>
      </c>
      <c r="K260" s="26">
        <v>0</v>
      </c>
      <c r="L260" s="26">
        <v>0</v>
      </c>
      <c r="M260" s="63">
        <v>0</v>
      </c>
      <c r="N260" s="37">
        <v>0</v>
      </c>
      <c r="O260" s="26">
        <v>0</v>
      </c>
      <c r="P260" s="26">
        <v>0</v>
      </c>
      <c r="Q260" s="26">
        <v>0</v>
      </c>
      <c r="R260" s="26">
        <v>0</v>
      </c>
      <c r="S260" s="1">
        <v>0</v>
      </c>
      <c r="T260" s="26">
        <v>0</v>
      </c>
      <c r="U260" s="26">
        <v>0</v>
      </c>
      <c r="V260" s="27">
        <v>0</v>
      </c>
      <c r="W260" s="68">
        <v>0</v>
      </c>
      <c r="X260" s="30">
        <v>0</v>
      </c>
      <c r="Y260" s="30">
        <v>0</v>
      </c>
      <c r="Z260" s="30">
        <v>0</v>
      </c>
      <c r="AA260" s="30">
        <v>0</v>
      </c>
      <c r="AB260" s="1">
        <v>1.4731512033995099E-3</v>
      </c>
      <c r="AC260" s="30">
        <v>0</v>
      </c>
      <c r="AD260" s="30">
        <v>0</v>
      </c>
      <c r="AE260" s="25">
        <v>0</v>
      </c>
      <c r="AG260" s="30">
        <f t="shared" ref="AG260:AG266" si="13">SUM(E260:M260)</f>
        <v>1.3118837343379685E-3</v>
      </c>
      <c r="AH260" s="30">
        <f t="shared" si="11"/>
        <v>0</v>
      </c>
      <c r="AI260" s="30">
        <f t="shared" si="12"/>
        <v>1.4731512033995099E-3</v>
      </c>
    </row>
    <row r="261" spans="2:35" ht="15.75" thickBot="1" x14ac:dyDescent="0.2">
      <c r="B261" t="s">
        <v>274</v>
      </c>
      <c r="C261" s="22">
        <f>VLOOKUP(B261,[1]SYS!$F$5:$G$360,2,FALSE)</f>
        <v>256</v>
      </c>
      <c r="D261" s="34" t="str">
        <f>VLOOKUP(C261,[1]SYS!$G$5:$H$360,2,FALSE)</f>
        <v>東予変電所</v>
      </c>
      <c r="E261" s="37">
        <v>0</v>
      </c>
      <c r="F261" s="26">
        <v>0</v>
      </c>
      <c r="G261" s="26">
        <v>0</v>
      </c>
      <c r="H261" s="26">
        <v>0</v>
      </c>
      <c r="I261" s="26">
        <v>0</v>
      </c>
      <c r="J261" s="26">
        <v>0</v>
      </c>
      <c r="K261" s="1">
        <v>4.2389141503388406E-2</v>
      </c>
      <c r="L261" s="26">
        <v>0</v>
      </c>
      <c r="M261" s="63">
        <v>0</v>
      </c>
      <c r="N261" s="37">
        <v>0</v>
      </c>
      <c r="O261" s="26">
        <v>0</v>
      </c>
      <c r="P261" s="26">
        <v>0</v>
      </c>
      <c r="Q261" s="26">
        <v>0</v>
      </c>
      <c r="R261" s="26">
        <v>0</v>
      </c>
      <c r="S261" s="26">
        <v>0</v>
      </c>
      <c r="T261" s="26">
        <v>0</v>
      </c>
      <c r="U261" s="26">
        <v>0</v>
      </c>
      <c r="V261" s="27">
        <v>0</v>
      </c>
      <c r="W261" s="68">
        <v>0</v>
      </c>
      <c r="X261" s="30">
        <v>0</v>
      </c>
      <c r="Y261" s="30">
        <v>0</v>
      </c>
      <c r="Z261" s="30">
        <v>0</v>
      </c>
      <c r="AA261" s="30">
        <v>0</v>
      </c>
      <c r="AB261" s="30">
        <v>0</v>
      </c>
      <c r="AC261" s="1">
        <v>1.887737274306793E-2</v>
      </c>
      <c r="AD261" s="30">
        <v>0</v>
      </c>
      <c r="AE261" s="25">
        <v>0</v>
      </c>
      <c r="AG261" s="30">
        <f t="shared" si="13"/>
        <v>4.2389141503388406E-2</v>
      </c>
      <c r="AH261" s="30">
        <f t="shared" ref="AH261:AH324" si="14">SUM(N261:V261)</f>
        <v>0</v>
      </c>
      <c r="AI261" s="30">
        <f t="shared" si="12"/>
        <v>1.887737274306793E-2</v>
      </c>
    </row>
    <row r="262" spans="2:35" ht="15.75" thickBot="1" x14ac:dyDescent="0.2">
      <c r="B262" t="s">
        <v>275</v>
      </c>
      <c r="C262" s="22">
        <f>VLOOKUP(B262,[1]SYS!$F$5:$G$360,2,FALSE)</f>
        <v>257</v>
      </c>
      <c r="D262" s="34" t="str">
        <f>VLOOKUP(C262,[1]SYS!$G$5:$H$360,2,FALSE)</f>
        <v>川内変電所</v>
      </c>
      <c r="E262" s="37">
        <v>0</v>
      </c>
      <c r="F262" s="26">
        <v>0</v>
      </c>
      <c r="G262" s="26">
        <v>0</v>
      </c>
      <c r="H262" s="26">
        <v>0</v>
      </c>
      <c r="I262" s="26">
        <v>0</v>
      </c>
      <c r="J262" s="26">
        <v>0</v>
      </c>
      <c r="K262" s="1">
        <v>3.4813499298516899E-3</v>
      </c>
      <c r="L262" s="26">
        <v>0</v>
      </c>
      <c r="M262" s="63">
        <v>0</v>
      </c>
      <c r="N262" s="37">
        <v>0</v>
      </c>
      <c r="O262" s="26">
        <v>0</v>
      </c>
      <c r="P262" s="26">
        <v>0</v>
      </c>
      <c r="Q262" s="26">
        <v>0</v>
      </c>
      <c r="R262" s="26">
        <v>0</v>
      </c>
      <c r="S262" s="26">
        <v>0</v>
      </c>
      <c r="T262" s="26">
        <v>0</v>
      </c>
      <c r="U262" s="26">
        <v>0</v>
      </c>
      <c r="V262" s="27">
        <v>0</v>
      </c>
      <c r="W262" s="68">
        <v>0</v>
      </c>
      <c r="X262" s="30">
        <v>0</v>
      </c>
      <c r="Y262" s="30">
        <v>0</v>
      </c>
      <c r="Z262" s="30">
        <v>0</v>
      </c>
      <c r="AA262" s="30">
        <v>0</v>
      </c>
      <c r="AB262" s="30">
        <v>0</v>
      </c>
      <c r="AC262" s="1">
        <v>5.2985314819650291E-2</v>
      </c>
      <c r="AD262" s="30">
        <v>0</v>
      </c>
      <c r="AE262" s="25">
        <v>0</v>
      </c>
      <c r="AG262" s="30">
        <f t="shared" si="13"/>
        <v>3.4813499298516899E-3</v>
      </c>
      <c r="AH262" s="30">
        <f t="shared" si="14"/>
        <v>0</v>
      </c>
      <c r="AI262" s="30">
        <f t="shared" si="12"/>
        <v>5.2985314819650291E-2</v>
      </c>
    </row>
    <row r="263" spans="2:35" ht="15.75" thickBot="1" x14ac:dyDescent="0.2">
      <c r="B263" t="s">
        <v>276</v>
      </c>
      <c r="C263" s="22">
        <f>VLOOKUP(B263,[1]SYS!$F$5:$G$360,2,FALSE)</f>
        <v>258</v>
      </c>
      <c r="D263" s="34" t="str">
        <f>VLOOKUP(C263,[1]SYS!$G$5:$H$360,2,FALSE)</f>
        <v>讃岐変電所</v>
      </c>
      <c r="E263" s="37">
        <v>0</v>
      </c>
      <c r="F263" s="26">
        <v>0</v>
      </c>
      <c r="G263" s="26">
        <v>0</v>
      </c>
      <c r="H263" s="26">
        <v>0</v>
      </c>
      <c r="I263" s="26">
        <v>0</v>
      </c>
      <c r="J263" s="26">
        <v>0</v>
      </c>
      <c r="K263" s="1">
        <v>7.7248565577623485E-6</v>
      </c>
      <c r="L263" s="26">
        <v>0</v>
      </c>
      <c r="M263" s="63">
        <v>0</v>
      </c>
      <c r="N263" s="37">
        <v>0</v>
      </c>
      <c r="O263" s="26">
        <v>0</v>
      </c>
      <c r="P263" s="26">
        <v>0</v>
      </c>
      <c r="Q263" s="26">
        <v>0</v>
      </c>
      <c r="R263" s="26">
        <v>0</v>
      </c>
      <c r="S263" s="26">
        <v>0</v>
      </c>
      <c r="T263" s="26">
        <v>0</v>
      </c>
      <c r="U263" s="26">
        <v>0</v>
      </c>
      <c r="V263" s="27">
        <v>0</v>
      </c>
      <c r="W263" s="68">
        <v>0</v>
      </c>
      <c r="X263" s="30">
        <v>0</v>
      </c>
      <c r="Y263" s="30">
        <v>0</v>
      </c>
      <c r="Z263" s="30">
        <v>0</v>
      </c>
      <c r="AA263" s="30">
        <v>0</v>
      </c>
      <c r="AB263" s="30">
        <v>0</v>
      </c>
      <c r="AC263" s="1">
        <v>2.2298168856439499E-2</v>
      </c>
      <c r="AD263" s="30">
        <v>0</v>
      </c>
      <c r="AE263" s="25">
        <v>0</v>
      </c>
      <c r="AG263" s="30">
        <f t="shared" si="13"/>
        <v>7.7248565577623485E-6</v>
      </c>
      <c r="AH263" s="30">
        <f t="shared" si="14"/>
        <v>0</v>
      </c>
      <c r="AI263" s="30">
        <f t="shared" si="12"/>
        <v>2.2298168856439499E-2</v>
      </c>
    </row>
    <row r="264" spans="2:35" ht="15.75" thickBot="1" x14ac:dyDescent="0.2">
      <c r="B264" t="s">
        <v>277</v>
      </c>
      <c r="C264" s="22">
        <f>VLOOKUP(B264,[1]SYS!$F$5:$G$360,2,FALSE)</f>
        <v>259</v>
      </c>
      <c r="D264" s="34" t="str">
        <f>VLOOKUP(C264,[1]SYS!$G$5:$H$360,2,FALSE)</f>
        <v>阿波変電所</v>
      </c>
      <c r="E264" s="37">
        <v>0</v>
      </c>
      <c r="F264" s="26">
        <v>0</v>
      </c>
      <c r="G264" s="26">
        <v>0</v>
      </c>
      <c r="H264" s="26">
        <v>0</v>
      </c>
      <c r="I264" s="26">
        <v>0</v>
      </c>
      <c r="J264" s="26">
        <v>0</v>
      </c>
      <c r="K264" s="1">
        <v>7.6561009431243201E-4</v>
      </c>
      <c r="L264" s="26">
        <v>0</v>
      </c>
      <c r="M264" s="63">
        <v>0</v>
      </c>
      <c r="N264" s="37">
        <v>0</v>
      </c>
      <c r="O264" s="26">
        <v>0</v>
      </c>
      <c r="P264" s="26">
        <v>0</v>
      </c>
      <c r="Q264" s="26">
        <v>0</v>
      </c>
      <c r="R264" s="26">
        <v>0</v>
      </c>
      <c r="S264" s="26">
        <v>0</v>
      </c>
      <c r="T264" s="26">
        <v>0</v>
      </c>
      <c r="U264" s="26">
        <v>0</v>
      </c>
      <c r="V264" s="27">
        <v>0</v>
      </c>
      <c r="W264" s="68">
        <v>0</v>
      </c>
      <c r="X264" s="30">
        <v>0</v>
      </c>
      <c r="Y264" s="30">
        <v>0</v>
      </c>
      <c r="Z264" s="30">
        <v>0</v>
      </c>
      <c r="AA264" s="30">
        <v>0</v>
      </c>
      <c r="AB264" s="30">
        <v>0</v>
      </c>
      <c r="AC264" s="1">
        <v>3.6698755767514815E-2</v>
      </c>
      <c r="AD264" s="30">
        <v>0</v>
      </c>
      <c r="AE264" s="25">
        <v>0</v>
      </c>
      <c r="AG264" s="30">
        <f t="shared" si="13"/>
        <v>7.6561009431243201E-4</v>
      </c>
      <c r="AH264" s="30">
        <f t="shared" si="14"/>
        <v>0</v>
      </c>
      <c r="AI264" s="30">
        <f t="shared" si="12"/>
        <v>3.6698755767514815E-2</v>
      </c>
    </row>
    <row r="265" spans="2:35" ht="15.75" thickBot="1" x14ac:dyDescent="0.2">
      <c r="B265" t="s">
        <v>278</v>
      </c>
      <c r="C265" s="22">
        <f>VLOOKUP(B265,[1]SYS!$F$5:$G$360,2,FALSE)</f>
        <v>260</v>
      </c>
      <c r="D265" s="34" t="str">
        <f>VLOOKUP(C265,[1]SYS!$G$5:$H$360,2,FALSE)</f>
        <v>阿南変換所</v>
      </c>
      <c r="E265" s="37">
        <v>0</v>
      </c>
      <c r="F265" s="26">
        <v>0</v>
      </c>
      <c r="G265" s="26">
        <v>0</v>
      </c>
      <c r="H265" s="26">
        <v>0</v>
      </c>
      <c r="I265" s="26">
        <v>0</v>
      </c>
      <c r="J265" s="26">
        <v>0</v>
      </c>
      <c r="K265" s="1">
        <v>6.8399325219682172E-2</v>
      </c>
      <c r="L265" s="26">
        <v>0</v>
      </c>
      <c r="M265" s="63">
        <v>0</v>
      </c>
      <c r="N265" s="37">
        <v>0</v>
      </c>
      <c r="O265" s="26">
        <v>0</v>
      </c>
      <c r="P265" s="26">
        <v>0</v>
      </c>
      <c r="Q265" s="26">
        <v>0</v>
      </c>
      <c r="R265" s="26">
        <v>0</v>
      </c>
      <c r="S265" s="26">
        <v>0</v>
      </c>
      <c r="T265" s="26">
        <v>0</v>
      </c>
      <c r="U265" s="26">
        <v>0</v>
      </c>
      <c r="V265" s="27">
        <v>0</v>
      </c>
      <c r="W265" s="68">
        <v>0</v>
      </c>
      <c r="X265" s="30">
        <v>0</v>
      </c>
      <c r="Y265" s="30">
        <v>0</v>
      </c>
      <c r="Z265" s="30">
        <v>0</v>
      </c>
      <c r="AA265" s="30">
        <v>0</v>
      </c>
      <c r="AB265" s="30">
        <v>0</v>
      </c>
      <c r="AC265" s="1">
        <v>4.091723097919029E-2</v>
      </c>
      <c r="AD265" s="30">
        <v>0</v>
      </c>
      <c r="AE265" s="25">
        <v>0</v>
      </c>
      <c r="AG265" s="30">
        <f t="shared" si="13"/>
        <v>6.8399325219682172E-2</v>
      </c>
      <c r="AH265" s="30">
        <f t="shared" si="14"/>
        <v>0</v>
      </c>
      <c r="AI265" s="30">
        <f t="shared" ref="AI265:AI329" si="15">SUM(W265:AE265)</f>
        <v>4.091723097919029E-2</v>
      </c>
    </row>
    <row r="266" spans="2:35" ht="15.75" thickBot="1" x14ac:dyDescent="0.2">
      <c r="B266" t="s">
        <v>279</v>
      </c>
      <c r="C266" s="22">
        <f>VLOOKUP(B266,[1]SYS!$F$5:$G$360,2,FALSE)</f>
        <v>261</v>
      </c>
      <c r="D266" s="34" t="str">
        <f>VLOOKUP(C266,[1]SYS!$G$5:$H$360,2,FALSE)</f>
        <v>広見変電所</v>
      </c>
      <c r="E266" s="37">
        <v>0</v>
      </c>
      <c r="F266" s="26">
        <v>0</v>
      </c>
      <c r="G266" s="26">
        <v>0</v>
      </c>
      <c r="H266" s="26">
        <v>0</v>
      </c>
      <c r="I266" s="26">
        <v>0</v>
      </c>
      <c r="J266" s="26">
        <v>0</v>
      </c>
      <c r="K266" s="1">
        <v>5.451369113573117E-6</v>
      </c>
      <c r="L266" s="26">
        <v>0</v>
      </c>
      <c r="M266" s="63">
        <v>0</v>
      </c>
      <c r="N266" s="37">
        <v>0</v>
      </c>
      <c r="O266" s="26">
        <v>0</v>
      </c>
      <c r="P266" s="26">
        <v>0</v>
      </c>
      <c r="Q266" s="26">
        <v>0</v>
      </c>
      <c r="R266" s="26">
        <v>0</v>
      </c>
      <c r="S266" s="26">
        <v>0</v>
      </c>
      <c r="T266" s="26">
        <v>0</v>
      </c>
      <c r="U266" s="26">
        <v>0</v>
      </c>
      <c r="V266" s="27">
        <v>0</v>
      </c>
      <c r="W266" s="68">
        <v>0</v>
      </c>
      <c r="X266" s="30">
        <v>0</v>
      </c>
      <c r="Y266" s="30">
        <v>0</v>
      </c>
      <c r="Z266" s="30">
        <v>0</v>
      </c>
      <c r="AA266" s="30">
        <v>0</v>
      </c>
      <c r="AB266" s="30">
        <v>0</v>
      </c>
      <c r="AC266" s="1">
        <v>6.5895384339383217E-2</v>
      </c>
      <c r="AD266" s="30">
        <v>0</v>
      </c>
      <c r="AE266" s="25">
        <v>0</v>
      </c>
      <c r="AG266" s="30">
        <f t="shared" si="13"/>
        <v>5.451369113573117E-6</v>
      </c>
      <c r="AH266" s="30">
        <f t="shared" si="14"/>
        <v>0</v>
      </c>
      <c r="AI266" s="30">
        <f t="shared" si="15"/>
        <v>6.5895384339383217E-2</v>
      </c>
    </row>
    <row r="267" spans="2:35" ht="15.75" thickBot="1" x14ac:dyDescent="0.2">
      <c r="B267" s="52" t="s">
        <v>375</v>
      </c>
      <c r="C267" s="22">
        <f>VLOOKUP(B267,[1]SYS!$F$5:$G$360,2,FALSE)</f>
        <v>262</v>
      </c>
      <c r="D267" s="34" t="str">
        <f>VLOOKUP(C267,[1]SYS!$G$5:$H$360,2,FALSE)</f>
        <v>伊方原子力</v>
      </c>
      <c r="E267" s="37">
        <v>0</v>
      </c>
      <c r="F267" s="26">
        <v>0</v>
      </c>
      <c r="G267" s="26">
        <v>0</v>
      </c>
      <c r="H267" s="26">
        <v>0</v>
      </c>
      <c r="I267" s="26">
        <v>0</v>
      </c>
      <c r="J267" s="26">
        <v>0</v>
      </c>
      <c r="K267" s="50">
        <v>0</v>
      </c>
      <c r="L267" s="26">
        <v>0</v>
      </c>
      <c r="M267" s="63">
        <v>0</v>
      </c>
      <c r="N267" s="37">
        <v>0</v>
      </c>
      <c r="O267" s="26">
        <v>0</v>
      </c>
      <c r="P267" s="26">
        <v>0</v>
      </c>
      <c r="Q267" s="26">
        <v>0</v>
      </c>
      <c r="R267" s="26">
        <v>0</v>
      </c>
      <c r="S267" s="26">
        <v>0</v>
      </c>
      <c r="T267" s="26">
        <v>0</v>
      </c>
      <c r="U267" s="26">
        <v>0</v>
      </c>
      <c r="V267" s="27">
        <v>0</v>
      </c>
      <c r="W267" s="68">
        <v>0</v>
      </c>
      <c r="X267" s="30">
        <v>0</v>
      </c>
      <c r="Y267" s="30">
        <v>0</v>
      </c>
      <c r="Z267" s="30">
        <v>0</v>
      </c>
      <c r="AA267" s="30">
        <v>0</v>
      </c>
      <c r="AB267" s="30">
        <v>0</v>
      </c>
      <c r="AC267" s="1">
        <v>0</v>
      </c>
      <c r="AD267" s="30">
        <v>0</v>
      </c>
      <c r="AE267" s="25">
        <v>0</v>
      </c>
      <c r="AG267" s="30">
        <f>SUM(E267:Z267)</f>
        <v>0</v>
      </c>
      <c r="AH267" s="30">
        <f t="shared" si="14"/>
        <v>0</v>
      </c>
      <c r="AI267" s="30">
        <f t="shared" si="15"/>
        <v>0</v>
      </c>
    </row>
    <row r="268" spans="2:35" ht="15.75" thickBot="1" x14ac:dyDescent="0.2">
      <c r="B268" t="s">
        <v>280</v>
      </c>
      <c r="C268" s="22">
        <f>VLOOKUP(B268,[1]SYS!$F$5:$G$360,2,FALSE)</f>
        <v>263</v>
      </c>
      <c r="D268" s="34" t="str">
        <f>VLOOKUP(C268,[1]SYS!$G$5:$H$360,2,FALSE)</f>
        <v>大洲変電所</v>
      </c>
      <c r="E268" s="37">
        <v>0</v>
      </c>
      <c r="F268" s="26">
        <v>0</v>
      </c>
      <c r="G268" s="26">
        <v>0</v>
      </c>
      <c r="H268" s="26">
        <v>0</v>
      </c>
      <c r="I268" s="26">
        <v>0</v>
      </c>
      <c r="J268" s="26">
        <v>0</v>
      </c>
      <c r="K268" s="1">
        <v>9.3900787420902743E-3</v>
      </c>
      <c r="L268" s="26">
        <v>0</v>
      </c>
      <c r="M268" s="63">
        <v>0</v>
      </c>
      <c r="N268" s="37">
        <v>0</v>
      </c>
      <c r="O268" s="26">
        <v>0</v>
      </c>
      <c r="P268" s="26">
        <v>0</v>
      </c>
      <c r="Q268" s="26">
        <v>0</v>
      </c>
      <c r="R268" s="26">
        <v>0</v>
      </c>
      <c r="S268" s="26">
        <v>0</v>
      </c>
      <c r="T268" s="26">
        <v>0</v>
      </c>
      <c r="U268" s="26">
        <v>0</v>
      </c>
      <c r="V268" s="27">
        <v>0</v>
      </c>
      <c r="W268" s="68">
        <v>0</v>
      </c>
      <c r="X268" s="30">
        <v>0</v>
      </c>
      <c r="Y268" s="30">
        <v>0</v>
      </c>
      <c r="Z268" s="30">
        <v>0</v>
      </c>
      <c r="AA268" s="30">
        <v>0</v>
      </c>
      <c r="AB268" s="30">
        <v>0</v>
      </c>
      <c r="AC268" s="1">
        <v>1.8688482855466485E-2</v>
      </c>
      <c r="AD268" s="30">
        <v>0</v>
      </c>
      <c r="AE268" s="25">
        <v>0</v>
      </c>
      <c r="AG268" s="30">
        <f t="shared" ref="AG268:AG299" si="16">SUM(E268:M268)</f>
        <v>9.3900787420902743E-3</v>
      </c>
      <c r="AH268" s="30">
        <f t="shared" si="14"/>
        <v>0</v>
      </c>
      <c r="AI268" s="30">
        <f t="shared" si="15"/>
        <v>1.8688482855466485E-2</v>
      </c>
    </row>
    <row r="269" spans="2:35" ht="15.75" thickBot="1" x14ac:dyDescent="0.2">
      <c r="B269" t="s">
        <v>281</v>
      </c>
      <c r="C269" s="22">
        <f>VLOOKUP(B269,[1]SYS!$F$5:$G$360,2,FALSE)</f>
        <v>264</v>
      </c>
      <c r="D269" s="34" t="str">
        <f>VLOOKUP(C269,[1]SYS!$G$5:$H$360,2,FALSE)</f>
        <v>松山変電所</v>
      </c>
      <c r="E269" s="37">
        <v>0</v>
      </c>
      <c r="F269" s="26">
        <v>0</v>
      </c>
      <c r="G269" s="26">
        <v>0</v>
      </c>
      <c r="H269" s="26">
        <v>0</v>
      </c>
      <c r="I269" s="26">
        <v>0</v>
      </c>
      <c r="J269" s="26">
        <v>0</v>
      </c>
      <c r="K269" s="1">
        <v>7.2703612189490938E-2</v>
      </c>
      <c r="L269" s="26">
        <v>0</v>
      </c>
      <c r="M269" s="63">
        <v>0</v>
      </c>
      <c r="N269" s="37">
        <v>0</v>
      </c>
      <c r="O269" s="26">
        <v>0</v>
      </c>
      <c r="P269" s="26">
        <v>0</v>
      </c>
      <c r="Q269" s="26">
        <v>0</v>
      </c>
      <c r="R269" s="26">
        <v>0</v>
      </c>
      <c r="S269" s="26">
        <v>0</v>
      </c>
      <c r="T269" s="26">
        <v>0</v>
      </c>
      <c r="U269" s="26">
        <v>0</v>
      </c>
      <c r="V269" s="27">
        <v>0</v>
      </c>
      <c r="W269" s="68">
        <v>0</v>
      </c>
      <c r="X269" s="30">
        <v>0</v>
      </c>
      <c r="Y269" s="30">
        <v>0</v>
      </c>
      <c r="Z269" s="30">
        <v>0</v>
      </c>
      <c r="AA269" s="30">
        <v>0</v>
      </c>
      <c r="AB269" s="30">
        <v>0</v>
      </c>
      <c r="AC269" s="1">
        <v>4.1154390640682569E-2</v>
      </c>
      <c r="AD269" s="30">
        <v>0</v>
      </c>
      <c r="AE269" s="25">
        <v>0</v>
      </c>
      <c r="AG269" s="30">
        <f t="shared" si="16"/>
        <v>7.2703612189490938E-2</v>
      </c>
      <c r="AH269" s="30">
        <f t="shared" si="14"/>
        <v>0</v>
      </c>
      <c r="AI269" s="30">
        <f t="shared" si="15"/>
        <v>4.1154390640682569E-2</v>
      </c>
    </row>
    <row r="270" spans="2:35" ht="15.75" thickBot="1" x14ac:dyDescent="0.2">
      <c r="B270" t="s">
        <v>282</v>
      </c>
      <c r="C270" s="22">
        <f>VLOOKUP(B270,[1]SYS!$F$5:$G$360,2,FALSE)</f>
        <v>265</v>
      </c>
      <c r="D270" s="34" t="str">
        <f>VLOOKUP(C270,[1]SYS!$G$5:$H$360,2,FALSE)</f>
        <v>北松山変電所</v>
      </c>
      <c r="E270" s="37">
        <v>0</v>
      </c>
      <c r="F270" s="26">
        <v>0</v>
      </c>
      <c r="G270" s="26">
        <v>0</v>
      </c>
      <c r="H270" s="26">
        <v>0</v>
      </c>
      <c r="I270" s="26">
        <v>0</v>
      </c>
      <c r="J270" s="26">
        <v>0</v>
      </c>
      <c r="K270" s="1">
        <v>4.8220427739023896E-3</v>
      </c>
      <c r="L270" s="26">
        <v>0</v>
      </c>
      <c r="M270" s="63">
        <v>0</v>
      </c>
      <c r="N270" s="37">
        <v>0</v>
      </c>
      <c r="O270" s="26">
        <v>0</v>
      </c>
      <c r="P270" s="26">
        <v>0</v>
      </c>
      <c r="Q270" s="26">
        <v>0</v>
      </c>
      <c r="R270" s="26">
        <v>0</v>
      </c>
      <c r="S270" s="26">
        <v>0</v>
      </c>
      <c r="T270" s="26">
        <v>0</v>
      </c>
      <c r="U270" s="26">
        <v>0</v>
      </c>
      <c r="V270" s="27">
        <v>0</v>
      </c>
      <c r="W270" s="68">
        <v>0</v>
      </c>
      <c r="X270" s="30">
        <v>0</v>
      </c>
      <c r="Y270" s="30">
        <v>0</v>
      </c>
      <c r="Z270" s="30">
        <v>0</v>
      </c>
      <c r="AA270" s="30">
        <v>0</v>
      </c>
      <c r="AB270" s="30">
        <v>0</v>
      </c>
      <c r="AC270" s="1">
        <v>5.4834310338734586E-2</v>
      </c>
      <c r="AD270" s="30">
        <v>0</v>
      </c>
      <c r="AE270" s="25">
        <v>0</v>
      </c>
      <c r="AG270" s="30">
        <f t="shared" si="16"/>
        <v>4.8220427739023896E-3</v>
      </c>
      <c r="AH270" s="30">
        <f t="shared" si="14"/>
        <v>0</v>
      </c>
      <c r="AI270" s="30">
        <f t="shared" si="15"/>
        <v>5.4834310338734586E-2</v>
      </c>
    </row>
    <row r="271" spans="2:35" ht="15.75" thickBot="1" x14ac:dyDescent="0.2">
      <c r="B271" t="s">
        <v>283</v>
      </c>
      <c r="C271" s="22">
        <f>VLOOKUP(B271,[1]SYS!$F$5:$G$360,2,FALSE)</f>
        <v>266</v>
      </c>
      <c r="D271" s="34" t="str">
        <f>VLOOKUP(C271,[1]SYS!$G$5:$H$360,2,FALSE)</f>
        <v>西条変電所</v>
      </c>
      <c r="E271" s="37">
        <v>0</v>
      </c>
      <c r="F271" s="26">
        <v>0</v>
      </c>
      <c r="G271" s="26">
        <v>0</v>
      </c>
      <c r="H271" s="26">
        <v>0</v>
      </c>
      <c r="I271" s="26">
        <v>0</v>
      </c>
      <c r="J271" s="26">
        <v>0</v>
      </c>
      <c r="K271" s="1">
        <v>6.6212129147648208E-2</v>
      </c>
      <c r="L271" s="26">
        <v>0</v>
      </c>
      <c r="M271" s="63">
        <v>0</v>
      </c>
      <c r="N271" s="37">
        <v>0</v>
      </c>
      <c r="O271" s="26">
        <v>0</v>
      </c>
      <c r="P271" s="26">
        <v>0</v>
      </c>
      <c r="Q271" s="26">
        <v>0</v>
      </c>
      <c r="R271" s="26">
        <v>0</v>
      </c>
      <c r="S271" s="26">
        <v>0</v>
      </c>
      <c r="T271" s="26">
        <v>0</v>
      </c>
      <c r="U271" s="26">
        <v>0</v>
      </c>
      <c r="V271" s="27">
        <v>0</v>
      </c>
      <c r="W271" s="68">
        <v>0</v>
      </c>
      <c r="X271" s="30">
        <v>0</v>
      </c>
      <c r="Y271" s="30">
        <v>0</v>
      </c>
      <c r="Z271" s="30">
        <v>0</v>
      </c>
      <c r="AA271" s="30">
        <v>0</v>
      </c>
      <c r="AB271" s="30">
        <v>0</v>
      </c>
      <c r="AC271" s="1">
        <v>6.3673335141295875E-2</v>
      </c>
      <c r="AD271" s="30">
        <v>0</v>
      </c>
      <c r="AE271" s="25">
        <v>0</v>
      </c>
      <c r="AG271" s="30">
        <f t="shared" si="16"/>
        <v>6.6212129147648208E-2</v>
      </c>
      <c r="AH271" s="30">
        <f t="shared" si="14"/>
        <v>0</v>
      </c>
      <c r="AI271" s="30">
        <f t="shared" si="15"/>
        <v>6.3673335141295875E-2</v>
      </c>
    </row>
    <row r="272" spans="2:35" ht="15.75" thickBot="1" x14ac:dyDescent="0.2">
      <c r="B272" t="s">
        <v>284</v>
      </c>
      <c r="C272" s="22">
        <f>VLOOKUP(B272,[1]SYS!$F$5:$G$360,2,FALSE)</f>
        <v>267</v>
      </c>
      <c r="D272" s="34" t="str">
        <f>VLOOKUP(C272,[1]SYS!$G$5:$H$360,2,FALSE)</f>
        <v>本川変電所</v>
      </c>
      <c r="E272" s="37">
        <v>0</v>
      </c>
      <c r="F272" s="26">
        <v>0</v>
      </c>
      <c r="G272" s="26">
        <v>0</v>
      </c>
      <c r="H272" s="26">
        <v>0</v>
      </c>
      <c r="I272" s="26">
        <v>0</v>
      </c>
      <c r="J272" s="26">
        <v>0</v>
      </c>
      <c r="K272" s="1">
        <v>3.1077380714777496E-2</v>
      </c>
      <c r="L272" s="26">
        <v>0</v>
      </c>
      <c r="M272" s="63">
        <v>0</v>
      </c>
      <c r="N272" s="37">
        <v>0</v>
      </c>
      <c r="O272" s="26">
        <v>0</v>
      </c>
      <c r="P272" s="26">
        <v>0</v>
      </c>
      <c r="Q272" s="26">
        <v>0</v>
      </c>
      <c r="R272" s="26">
        <v>0</v>
      </c>
      <c r="S272" s="26">
        <v>0</v>
      </c>
      <c r="T272" s="26">
        <v>0</v>
      </c>
      <c r="U272" s="26">
        <v>0</v>
      </c>
      <c r="V272" s="27">
        <v>0</v>
      </c>
      <c r="W272" s="68">
        <v>0</v>
      </c>
      <c r="X272" s="30">
        <v>0</v>
      </c>
      <c r="Y272" s="30">
        <v>0</v>
      </c>
      <c r="Z272" s="30">
        <v>0</v>
      </c>
      <c r="AA272" s="30">
        <v>0</v>
      </c>
      <c r="AB272" s="30">
        <v>0</v>
      </c>
      <c r="AC272" s="1">
        <v>8.4770117088803585E-3</v>
      </c>
      <c r="AD272" s="30">
        <v>0</v>
      </c>
      <c r="AE272" s="25">
        <v>0</v>
      </c>
      <c r="AG272" s="30">
        <f t="shared" si="16"/>
        <v>3.1077380714777496E-2</v>
      </c>
      <c r="AH272" s="30">
        <f t="shared" si="14"/>
        <v>0</v>
      </c>
      <c r="AI272" s="30">
        <f t="shared" si="15"/>
        <v>8.4770117088803585E-3</v>
      </c>
    </row>
    <row r="273" spans="2:35" ht="15.75" thickBot="1" x14ac:dyDescent="0.2">
      <c r="B273" t="s">
        <v>285</v>
      </c>
      <c r="C273" s="22">
        <f>VLOOKUP(B273,[1]SYS!$F$5:$G$360,2,FALSE)</f>
        <v>268</v>
      </c>
      <c r="D273" s="34" t="str">
        <f>VLOOKUP(C273,[1]SYS!$G$5:$H$360,2,FALSE)</f>
        <v>高知変電所</v>
      </c>
      <c r="E273" s="37">
        <v>0</v>
      </c>
      <c r="F273" s="26">
        <v>0</v>
      </c>
      <c r="G273" s="26">
        <v>0</v>
      </c>
      <c r="H273" s="26">
        <v>0</v>
      </c>
      <c r="I273" s="26">
        <v>0</v>
      </c>
      <c r="J273" s="26">
        <v>0</v>
      </c>
      <c r="K273" s="1">
        <v>0.33172624078293278</v>
      </c>
      <c r="L273" s="26">
        <v>0</v>
      </c>
      <c r="M273" s="63">
        <v>0</v>
      </c>
      <c r="N273" s="37">
        <v>0</v>
      </c>
      <c r="O273" s="26">
        <v>0</v>
      </c>
      <c r="P273" s="26">
        <v>0</v>
      </c>
      <c r="Q273" s="26">
        <v>0</v>
      </c>
      <c r="R273" s="26">
        <v>0</v>
      </c>
      <c r="S273" s="26">
        <v>0</v>
      </c>
      <c r="T273" s="26">
        <v>0.33</v>
      </c>
      <c r="U273" s="26">
        <v>0</v>
      </c>
      <c r="V273" s="27">
        <v>0</v>
      </c>
      <c r="W273" s="68">
        <v>0</v>
      </c>
      <c r="X273" s="30">
        <v>0</v>
      </c>
      <c r="Y273" s="30">
        <v>0</v>
      </c>
      <c r="Z273" s="30">
        <v>0</v>
      </c>
      <c r="AA273" s="30">
        <v>0</v>
      </c>
      <c r="AB273" s="30">
        <v>0</v>
      </c>
      <c r="AC273" s="1">
        <v>6.368609150812414E-2</v>
      </c>
      <c r="AD273" s="30">
        <v>0</v>
      </c>
      <c r="AE273" s="25">
        <v>0</v>
      </c>
      <c r="AG273" s="30">
        <f t="shared" si="16"/>
        <v>0.33172624078293278</v>
      </c>
      <c r="AH273" s="30">
        <f t="shared" si="14"/>
        <v>0.33</v>
      </c>
      <c r="AI273" s="30">
        <f t="shared" si="15"/>
        <v>6.368609150812414E-2</v>
      </c>
    </row>
    <row r="274" spans="2:35" ht="15.75" thickBot="1" x14ac:dyDescent="0.2">
      <c r="B274" t="s">
        <v>286</v>
      </c>
      <c r="C274" s="22">
        <f>VLOOKUP(B274,[1]SYS!$F$5:$G$360,2,FALSE)</f>
        <v>269</v>
      </c>
      <c r="D274" s="34" t="str">
        <f>VLOOKUP(C274,[1]SYS!$G$5:$H$360,2,FALSE)</f>
        <v>新改変電所</v>
      </c>
      <c r="E274" s="37">
        <v>0</v>
      </c>
      <c r="F274" s="26">
        <v>0</v>
      </c>
      <c r="G274" s="26">
        <v>0</v>
      </c>
      <c r="H274" s="26">
        <v>0</v>
      </c>
      <c r="I274" s="26">
        <v>0</v>
      </c>
      <c r="J274" s="26">
        <v>0</v>
      </c>
      <c r="K274" s="1">
        <v>8.6764804484406627E-2</v>
      </c>
      <c r="L274" s="26">
        <v>0</v>
      </c>
      <c r="M274" s="63">
        <v>0</v>
      </c>
      <c r="N274" s="37">
        <v>0</v>
      </c>
      <c r="O274" s="26">
        <v>0</v>
      </c>
      <c r="P274" s="26">
        <v>0</v>
      </c>
      <c r="Q274" s="26">
        <v>0</v>
      </c>
      <c r="R274" s="26">
        <v>0</v>
      </c>
      <c r="S274" s="26">
        <v>0</v>
      </c>
      <c r="T274" s="82">
        <v>0</v>
      </c>
      <c r="U274" s="26">
        <v>0</v>
      </c>
      <c r="V274" s="27">
        <v>0</v>
      </c>
      <c r="W274" s="68">
        <v>0</v>
      </c>
      <c r="X274" s="30">
        <v>0</v>
      </c>
      <c r="Y274" s="30">
        <v>0</v>
      </c>
      <c r="Z274" s="30">
        <v>0</v>
      </c>
      <c r="AA274" s="30">
        <v>0</v>
      </c>
      <c r="AB274" s="30">
        <v>0</v>
      </c>
      <c r="AC274" s="1">
        <v>4.0532554212093903E-2</v>
      </c>
      <c r="AD274" s="30">
        <v>0</v>
      </c>
      <c r="AE274" s="25">
        <v>0</v>
      </c>
      <c r="AG274" s="30">
        <f t="shared" si="16"/>
        <v>8.6764804484406627E-2</v>
      </c>
      <c r="AH274" s="30">
        <f t="shared" si="14"/>
        <v>0</v>
      </c>
      <c r="AI274" s="30">
        <f t="shared" si="15"/>
        <v>4.0532554212093903E-2</v>
      </c>
    </row>
    <row r="275" spans="2:35" ht="15.75" thickBot="1" x14ac:dyDescent="0.2">
      <c r="B275" t="s">
        <v>287</v>
      </c>
      <c r="C275" s="22">
        <f>VLOOKUP(B275,[1]SYS!$F$5:$G$360,2,FALSE)</f>
        <v>270</v>
      </c>
      <c r="D275" s="34" t="str">
        <f>VLOOKUP(C275,[1]SYS!$G$5:$H$360,2,FALSE)</f>
        <v>井川変電所</v>
      </c>
      <c r="E275" s="37">
        <v>0</v>
      </c>
      <c r="F275" s="26">
        <v>0</v>
      </c>
      <c r="G275" s="26">
        <v>0</v>
      </c>
      <c r="H275" s="26">
        <v>0</v>
      </c>
      <c r="I275" s="26">
        <v>0</v>
      </c>
      <c r="J275" s="26">
        <v>0</v>
      </c>
      <c r="K275" s="1">
        <v>2.0500506245205663E-2</v>
      </c>
      <c r="L275" s="26">
        <v>0</v>
      </c>
      <c r="M275" s="63">
        <v>0</v>
      </c>
      <c r="N275" s="37">
        <v>0</v>
      </c>
      <c r="O275" s="26">
        <v>0</v>
      </c>
      <c r="P275" s="26">
        <v>0</v>
      </c>
      <c r="Q275" s="26">
        <v>0</v>
      </c>
      <c r="R275" s="26">
        <v>0</v>
      </c>
      <c r="S275" s="26">
        <v>0</v>
      </c>
      <c r="T275" s="26">
        <v>0</v>
      </c>
      <c r="U275" s="26">
        <v>0</v>
      </c>
      <c r="V275" s="27">
        <v>0</v>
      </c>
      <c r="W275" s="68">
        <v>0</v>
      </c>
      <c r="X275" s="30">
        <v>0</v>
      </c>
      <c r="Y275" s="30">
        <v>0</v>
      </c>
      <c r="Z275" s="30">
        <v>0</v>
      </c>
      <c r="AA275" s="30">
        <v>0</v>
      </c>
      <c r="AB275" s="30">
        <v>0</v>
      </c>
      <c r="AC275" s="1">
        <v>1.6340647962673708E-2</v>
      </c>
      <c r="AD275" s="30">
        <v>0</v>
      </c>
      <c r="AE275" s="25">
        <v>0</v>
      </c>
      <c r="AG275" s="30">
        <f t="shared" si="16"/>
        <v>2.0500506245205663E-2</v>
      </c>
      <c r="AH275" s="30">
        <f t="shared" si="14"/>
        <v>0</v>
      </c>
      <c r="AI275" s="30">
        <f t="shared" si="15"/>
        <v>1.6340647962673708E-2</v>
      </c>
    </row>
    <row r="276" spans="2:35" ht="15.75" thickBot="1" x14ac:dyDescent="0.2">
      <c r="B276" t="s">
        <v>288</v>
      </c>
      <c r="C276" s="22">
        <f>VLOOKUP(B276,[1]SYS!$F$5:$G$360,2,FALSE)</f>
        <v>271</v>
      </c>
      <c r="D276" s="34" t="str">
        <f>VLOOKUP(C276,[1]SYS!$G$5:$H$360,2,FALSE)</f>
        <v>三島変電所</v>
      </c>
      <c r="E276" s="37">
        <v>0</v>
      </c>
      <c r="F276" s="26">
        <v>0</v>
      </c>
      <c r="G276" s="26">
        <v>0</v>
      </c>
      <c r="H276" s="26">
        <v>0</v>
      </c>
      <c r="I276" s="26">
        <v>0</v>
      </c>
      <c r="J276" s="26">
        <v>0</v>
      </c>
      <c r="K276" s="1">
        <v>1.3660203682696173E-2</v>
      </c>
      <c r="L276" s="26">
        <v>0</v>
      </c>
      <c r="M276" s="63">
        <v>0</v>
      </c>
      <c r="N276" s="37">
        <v>0</v>
      </c>
      <c r="O276" s="26">
        <v>0</v>
      </c>
      <c r="P276" s="26">
        <v>0</v>
      </c>
      <c r="Q276" s="26">
        <v>0</v>
      </c>
      <c r="R276" s="26">
        <v>0</v>
      </c>
      <c r="S276" s="26">
        <v>0</v>
      </c>
      <c r="T276" s="26">
        <v>0.33</v>
      </c>
      <c r="U276" s="26">
        <v>0</v>
      </c>
      <c r="V276" s="27">
        <v>0</v>
      </c>
      <c r="W276" s="68">
        <v>0</v>
      </c>
      <c r="X276" s="30">
        <v>0</v>
      </c>
      <c r="Y276" s="30">
        <v>0</v>
      </c>
      <c r="Z276" s="30">
        <v>0</v>
      </c>
      <c r="AA276" s="30">
        <v>0</v>
      </c>
      <c r="AB276" s="30">
        <v>0</v>
      </c>
      <c r="AC276" s="1">
        <v>2.6982852047173361E-2</v>
      </c>
      <c r="AD276" s="30">
        <v>0</v>
      </c>
      <c r="AE276" s="25">
        <v>0</v>
      </c>
      <c r="AG276" s="30">
        <f t="shared" si="16"/>
        <v>1.3660203682696173E-2</v>
      </c>
      <c r="AH276" s="30">
        <f t="shared" si="14"/>
        <v>0.33</v>
      </c>
      <c r="AI276" s="30">
        <f t="shared" si="15"/>
        <v>2.6982852047173361E-2</v>
      </c>
    </row>
    <row r="277" spans="2:35" ht="15.75" thickBot="1" x14ac:dyDescent="0.2">
      <c r="B277" t="s">
        <v>289</v>
      </c>
      <c r="C277" s="22">
        <f>VLOOKUP(B277,[1]SYS!$F$5:$G$360,2,FALSE)</f>
        <v>272</v>
      </c>
      <c r="D277" s="34" t="str">
        <f>VLOOKUP(C277,[1]SYS!$G$5:$H$360,2,FALSE)</f>
        <v>香川変電所</v>
      </c>
      <c r="E277" s="37">
        <v>0</v>
      </c>
      <c r="F277" s="26">
        <v>0</v>
      </c>
      <c r="G277" s="26">
        <v>0</v>
      </c>
      <c r="H277" s="26">
        <v>0</v>
      </c>
      <c r="I277" s="26">
        <v>0</v>
      </c>
      <c r="J277" s="26">
        <v>0</v>
      </c>
      <c r="K277" s="1">
        <v>7.4900937529845226E-3</v>
      </c>
      <c r="L277" s="26">
        <v>0</v>
      </c>
      <c r="M277" s="63">
        <v>0</v>
      </c>
      <c r="N277" s="37">
        <v>0</v>
      </c>
      <c r="O277" s="26">
        <v>0</v>
      </c>
      <c r="P277" s="26">
        <v>0</v>
      </c>
      <c r="Q277" s="26">
        <v>0</v>
      </c>
      <c r="R277" s="26">
        <v>0</v>
      </c>
      <c r="S277" s="26">
        <v>0</v>
      </c>
      <c r="T277" s="26">
        <v>0</v>
      </c>
      <c r="U277" s="26">
        <v>0</v>
      </c>
      <c r="V277" s="27">
        <v>0</v>
      </c>
      <c r="W277" s="68">
        <v>0</v>
      </c>
      <c r="X277" s="30">
        <v>0</v>
      </c>
      <c r="Y277" s="30">
        <v>0</v>
      </c>
      <c r="Z277" s="30">
        <v>0</v>
      </c>
      <c r="AA277" s="30">
        <v>0</v>
      </c>
      <c r="AB277" s="30">
        <v>0</v>
      </c>
      <c r="AC277" s="1">
        <v>3.3236683217121227E-2</v>
      </c>
      <c r="AD277" s="30">
        <v>0</v>
      </c>
      <c r="AE277" s="25">
        <v>0</v>
      </c>
      <c r="AG277" s="30">
        <f t="shared" si="16"/>
        <v>7.4900937529845226E-3</v>
      </c>
      <c r="AH277" s="30">
        <f t="shared" si="14"/>
        <v>0</v>
      </c>
      <c r="AI277" s="30">
        <f t="shared" si="15"/>
        <v>3.3236683217121227E-2</v>
      </c>
    </row>
    <row r="278" spans="2:35" ht="15.75" thickBot="1" x14ac:dyDescent="0.2">
      <c r="B278" t="s">
        <v>290</v>
      </c>
      <c r="C278" s="22">
        <f>VLOOKUP(B278,[1]SYS!$F$5:$G$360,2,FALSE)</f>
        <v>273</v>
      </c>
      <c r="D278" s="34" t="str">
        <f>VLOOKUP(C278,[1]SYS!$G$5:$H$360,2,FALSE)</f>
        <v>麻変電所</v>
      </c>
      <c r="E278" s="37">
        <v>0</v>
      </c>
      <c r="F278" s="26">
        <v>0</v>
      </c>
      <c r="G278" s="26">
        <v>0</v>
      </c>
      <c r="H278" s="26">
        <v>0</v>
      </c>
      <c r="I278" s="26">
        <v>0</v>
      </c>
      <c r="J278" s="26">
        <v>0</v>
      </c>
      <c r="K278" s="1">
        <v>4.5619885972040516E-2</v>
      </c>
      <c r="L278" s="26">
        <v>0</v>
      </c>
      <c r="M278" s="63">
        <v>0</v>
      </c>
      <c r="N278" s="37">
        <v>0</v>
      </c>
      <c r="O278" s="26">
        <v>0</v>
      </c>
      <c r="P278" s="26">
        <v>0</v>
      </c>
      <c r="Q278" s="26">
        <v>0</v>
      </c>
      <c r="R278" s="26">
        <v>0</v>
      </c>
      <c r="S278" s="26">
        <v>0</v>
      </c>
      <c r="T278" s="26">
        <v>0</v>
      </c>
      <c r="U278" s="26">
        <v>0</v>
      </c>
      <c r="V278" s="27">
        <v>0</v>
      </c>
      <c r="W278" s="68">
        <v>0</v>
      </c>
      <c r="X278" s="30">
        <v>0</v>
      </c>
      <c r="Y278" s="30">
        <v>0</v>
      </c>
      <c r="Z278" s="30">
        <v>0</v>
      </c>
      <c r="AA278" s="30">
        <v>0</v>
      </c>
      <c r="AB278" s="30">
        <v>0</v>
      </c>
      <c r="AC278" s="1">
        <v>9.659714276272538E-2</v>
      </c>
      <c r="AD278" s="30">
        <v>0</v>
      </c>
      <c r="AE278" s="25">
        <v>0</v>
      </c>
      <c r="AG278" s="30">
        <f t="shared" si="16"/>
        <v>4.5619885972040516E-2</v>
      </c>
      <c r="AH278" s="30">
        <f t="shared" si="14"/>
        <v>0</v>
      </c>
      <c r="AI278" s="30">
        <f t="shared" si="15"/>
        <v>9.659714276272538E-2</v>
      </c>
    </row>
    <row r="279" spans="2:35" ht="15.75" thickBot="1" x14ac:dyDescent="0.2">
      <c r="B279" t="s">
        <v>291</v>
      </c>
      <c r="C279" s="22">
        <f>VLOOKUP(B279,[1]SYS!$F$5:$G$360,2,FALSE)</f>
        <v>274</v>
      </c>
      <c r="D279" s="34" t="str">
        <f>VLOOKUP(C279,[1]SYS!$G$5:$H$360,2,FALSE)</f>
        <v>高松変電所</v>
      </c>
      <c r="E279" s="37">
        <v>0</v>
      </c>
      <c r="F279" s="26">
        <v>0</v>
      </c>
      <c r="G279" s="26">
        <v>0</v>
      </c>
      <c r="H279" s="26">
        <v>0</v>
      </c>
      <c r="I279" s="26">
        <v>0</v>
      </c>
      <c r="J279" s="26">
        <v>0</v>
      </c>
      <c r="K279" s="1">
        <v>3.1796828488164959E-2</v>
      </c>
      <c r="L279" s="26">
        <v>0</v>
      </c>
      <c r="M279" s="63">
        <v>0</v>
      </c>
      <c r="N279" s="37">
        <v>0</v>
      </c>
      <c r="O279" s="26">
        <v>0</v>
      </c>
      <c r="P279" s="26">
        <v>0</v>
      </c>
      <c r="Q279" s="26">
        <v>0</v>
      </c>
      <c r="R279" s="26">
        <v>0</v>
      </c>
      <c r="S279" s="26">
        <v>0</v>
      </c>
      <c r="T279" s="26">
        <v>0</v>
      </c>
      <c r="U279" s="26">
        <v>0</v>
      </c>
      <c r="V279" s="27">
        <v>0</v>
      </c>
      <c r="W279" s="68">
        <v>0</v>
      </c>
      <c r="X279" s="30">
        <v>0</v>
      </c>
      <c r="Y279" s="30">
        <v>0</v>
      </c>
      <c r="Z279" s="30">
        <v>0</v>
      </c>
      <c r="AA279" s="30">
        <v>0</v>
      </c>
      <c r="AB279" s="30">
        <v>0</v>
      </c>
      <c r="AC279" s="1">
        <v>6.4951743026104541E-2</v>
      </c>
      <c r="AD279" s="30">
        <v>0</v>
      </c>
      <c r="AE279" s="25">
        <v>0</v>
      </c>
      <c r="AG279" s="30">
        <f t="shared" si="16"/>
        <v>3.1796828488164959E-2</v>
      </c>
      <c r="AH279" s="30">
        <f t="shared" si="14"/>
        <v>0</v>
      </c>
      <c r="AI279" s="30">
        <f t="shared" si="15"/>
        <v>6.4951743026104541E-2</v>
      </c>
    </row>
    <row r="280" spans="2:35" ht="15.75" thickBot="1" x14ac:dyDescent="0.2">
      <c r="B280" t="s">
        <v>292</v>
      </c>
      <c r="C280" s="22">
        <f>VLOOKUP(B280,[1]SYS!$F$5:$G$360,2,FALSE)</f>
        <v>275</v>
      </c>
      <c r="D280" s="34" t="str">
        <f>VLOOKUP(C280,[1]SYS!$G$5:$H$360,2,FALSE)</f>
        <v>鳴門変電所</v>
      </c>
      <c r="E280" s="37">
        <v>0</v>
      </c>
      <c r="F280" s="26">
        <v>0</v>
      </c>
      <c r="G280" s="26">
        <v>0</v>
      </c>
      <c r="H280" s="26">
        <v>0</v>
      </c>
      <c r="I280" s="26">
        <v>0</v>
      </c>
      <c r="J280" s="26">
        <v>0</v>
      </c>
      <c r="K280" s="1">
        <v>9.3947707804419953E-2</v>
      </c>
      <c r="L280" s="26">
        <v>0</v>
      </c>
      <c r="M280" s="63">
        <v>0</v>
      </c>
      <c r="N280" s="37">
        <v>0</v>
      </c>
      <c r="O280" s="26">
        <v>0</v>
      </c>
      <c r="P280" s="26">
        <v>0</v>
      </c>
      <c r="Q280" s="26">
        <v>0</v>
      </c>
      <c r="R280" s="26">
        <v>0</v>
      </c>
      <c r="S280" s="26">
        <v>0</v>
      </c>
      <c r="T280" s="26">
        <v>0.34</v>
      </c>
      <c r="U280" s="26">
        <v>0</v>
      </c>
      <c r="V280" s="27">
        <v>0</v>
      </c>
      <c r="W280" s="68">
        <v>0</v>
      </c>
      <c r="X280" s="30">
        <v>0</v>
      </c>
      <c r="Y280" s="30">
        <v>0</v>
      </c>
      <c r="Z280" s="30">
        <v>0</v>
      </c>
      <c r="AA280" s="30">
        <v>0</v>
      </c>
      <c r="AB280" s="30">
        <v>0</v>
      </c>
      <c r="AC280" s="1">
        <v>9.7693458655362095E-2</v>
      </c>
      <c r="AD280" s="30">
        <v>0</v>
      </c>
      <c r="AE280" s="25">
        <v>0</v>
      </c>
      <c r="AG280" s="30">
        <f t="shared" si="16"/>
        <v>9.3947707804419953E-2</v>
      </c>
      <c r="AH280" s="30">
        <f t="shared" si="14"/>
        <v>0.34</v>
      </c>
      <c r="AI280" s="30">
        <f t="shared" si="15"/>
        <v>9.7693458655362095E-2</v>
      </c>
    </row>
    <row r="281" spans="2:35" ht="15.75" thickBot="1" x14ac:dyDescent="0.2">
      <c r="B281" t="s">
        <v>293</v>
      </c>
      <c r="C281" s="22">
        <f>VLOOKUP(B281,[1]SYS!$F$5:$G$360,2,FALSE)</f>
        <v>276</v>
      </c>
      <c r="D281" s="34" t="str">
        <f>VLOOKUP(C281,[1]SYS!$G$5:$H$360,2,FALSE)</f>
        <v>大川変電所</v>
      </c>
      <c r="E281" s="37">
        <v>0</v>
      </c>
      <c r="F281" s="26">
        <v>0</v>
      </c>
      <c r="G281" s="26">
        <v>0</v>
      </c>
      <c r="H281" s="26">
        <v>0</v>
      </c>
      <c r="I281" s="26">
        <v>0</v>
      </c>
      <c r="J281" s="26">
        <v>0</v>
      </c>
      <c r="K281" s="1">
        <v>3.8213911614121195E-2</v>
      </c>
      <c r="L281" s="26">
        <v>0</v>
      </c>
      <c r="M281" s="63">
        <v>0</v>
      </c>
      <c r="N281" s="37">
        <v>0</v>
      </c>
      <c r="O281" s="26">
        <v>0</v>
      </c>
      <c r="P281" s="26">
        <v>0</v>
      </c>
      <c r="Q281" s="26">
        <v>0</v>
      </c>
      <c r="R281" s="26">
        <v>0</v>
      </c>
      <c r="S281" s="26">
        <v>0</v>
      </c>
      <c r="T281" s="26">
        <v>0</v>
      </c>
      <c r="U281" s="26">
        <v>0</v>
      </c>
      <c r="V281" s="27">
        <v>0</v>
      </c>
      <c r="W281" s="68">
        <v>0</v>
      </c>
      <c r="X281" s="30">
        <v>0</v>
      </c>
      <c r="Y281" s="30">
        <v>0</v>
      </c>
      <c r="Z281" s="30">
        <v>0</v>
      </c>
      <c r="AA281" s="30">
        <v>0</v>
      </c>
      <c r="AB281" s="30">
        <v>0</v>
      </c>
      <c r="AC281" s="1">
        <v>6.6323175749792837E-2</v>
      </c>
      <c r="AD281" s="30">
        <v>0</v>
      </c>
      <c r="AE281" s="25">
        <v>0</v>
      </c>
      <c r="AG281" s="30">
        <f t="shared" si="16"/>
        <v>3.8213911614121195E-2</v>
      </c>
      <c r="AH281" s="30">
        <f t="shared" si="14"/>
        <v>0</v>
      </c>
      <c r="AI281" s="30">
        <f t="shared" si="15"/>
        <v>6.6323175749792837E-2</v>
      </c>
    </row>
    <row r="282" spans="2:35" ht="15.75" thickBot="1" x14ac:dyDescent="0.2">
      <c r="B282" t="s">
        <v>294</v>
      </c>
      <c r="C282" s="22">
        <f>VLOOKUP(B282,[1]SYS!$F$5:$G$360,2,FALSE)</f>
        <v>277</v>
      </c>
      <c r="D282" s="34" t="str">
        <f>VLOOKUP(C282,[1]SYS!$G$5:$H$360,2,FALSE)</f>
        <v>国府変電所</v>
      </c>
      <c r="E282" s="37">
        <v>0</v>
      </c>
      <c r="F282" s="26">
        <v>0</v>
      </c>
      <c r="G282" s="26">
        <v>0</v>
      </c>
      <c r="H282" s="26">
        <v>0</v>
      </c>
      <c r="I282" s="26">
        <v>0</v>
      </c>
      <c r="J282" s="26">
        <v>0</v>
      </c>
      <c r="K282" s="1">
        <v>3.1025970632212227E-2</v>
      </c>
      <c r="L282" s="26">
        <v>0</v>
      </c>
      <c r="M282" s="63">
        <v>0</v>
      </c>
      <c r="N282" s="37">
        <v>0</v>
      </c>
      <c r="O282" s="26">
        <v>0</v>
      </c>
      <c r="P282" s="26">
        <v>0</v>
      </c>
      <c r="Q282" s="26">
        <v>0</v>
      </c>
      <c r="R282" s="26">
        <v>0</v>
      </c>
      <c r="S282" s="26">
        <v>0</v>
      </c>
      <c r="T282" s="26">
        <v>0</v>
      </c>
      <c r="U282" s="26">
        <v>0</v>
      </c>
      <c r="V282" s="27">
        <v>0</v>
      </c>
      <c r="W282" s="68">
        <v>0</v>
      </c>
      <c r="X282" s="30">
        <v>0</v>
      </c>
      <c r="Y282" s="30">
        <v>0</v>
      </c>
      <c r="Z282" s="30">
        <v>0</v>
      </c>
      <c r="AA282" s="30">
        <v>0</v>
      </c>
      <c r="AB282" s="30">
        <v>0</v>
      </c>
      <c r="AC282" s="1">
        <v>6.9155892668522748E-2</v>
      </c>
      <c r="AD282" s="30">
        <v>0</v>
      </c>
      <c r="AE282" s="25">
        <v>0</v>
      </c>
      <c r="AG282" s="30">
        <f t="shared" si="16"/>
        <v>3.1025970632212227E-2</v>
      </c>
      <c r="AH282" s="30">
        <f t="shared" si="14"/>
        <v>0</v>
      </c>
      <c r="AI282" s="30">
        <f t="shared" si="15"/>
        <v>6.9155892668522748E-2</v>
      </c>
    </row>
    <row r="283" spans="2:35" ht="15.75" thickBot="1" x14ac:dyDescent="0.2">
      <c r="B283" t="s">
        <v>295</v>
      </c>
      <c r="C283" s="22">
        <f>VLOOKUP(B283,[1]SYS!$F$5:$G$360,2,FALSE)</f>
        <v>278</v>
      </c>
      <c r="D283" s="34" t="str">
        <f>VLOOKUP(C283,[1]SYS!$G$5:$H$360,2,FALSE)</f>
        <v>新山口（変）</v>
      </c>
      <c r="E283" s="37">
        <v>0</v>
      </c>
      <c r="F283" s="26">
        <v>0</v>
      </c>
      <c r="G283" s="26">
        <v>0</v>
      </c>
      <c r="H283" s="26">
        <v>0</v>
      </c>
      <c r="I283" s="26">
        <v>0</v>
      </c>
      <c r="J283" s="26">
        <v>0</v>
      </c>
      <c r="K283" s="26">
        <v>0</v>
      </c>
      <c r="L283" s="1">
        <v>8.4027091504978372E-4</v>
      </c>
      <c r="M283" s="63">
        <v>0</v>
      </c>
      <c r="N283" s="37">
        <v>0</v>
      </c>
      <c r="O283" s="26">
        <v>0</v>
      </c>
      <c r="P283" s="26">
        <v>0</v>
      </c>
      <c r="Q283" s="26">
        <v>0</v>
      </c>
      <c r="R283" s="26">
        <v>0</v>
      </c>
      <c r="S283" s="26">
        <v>0</v>
      </c>
      <c r="T283" s="26">
        <v>0</v>
      </c>
      <c r="U283" s="80">
        <v>0.25</v>
      </c>
      <c r="V283" s="27">
        <v>0</v>
      </c>
      <c r="W283" s="68">
        <v>0</v>
      </c>
      <c r="X283" s="30">
        <v>0</v>
      </c>
      <c r="Y283" s="30">
        <v>0</v>
      </c>
      <c r="Z283" s="30">
        <v>0</v>
      </c>
      <c r="AA283" s="30">
        <v>0</v>
      </c>
      <c r="AB283" s="30">
        <v>0</v>
      </c>
      <c r="AC283" s="30">
        <v>0</v>
      </c>
      <c r="AD283" s="1">
        <v>3.1935479292883734E-2</v>
      </c>
      <c r="AE283" s="25">
        <v>0</v>
      </c>
      <c r="AG283" s="30">
        <f t="shared" si="16"/>
        <v>8.4027091504978372E-4</v>
      </c>
      <c r="AH283" s="30">
        <f t="shared" si="14"/>
        <v>0.25</v>
      </c>
      <c r="AI283" s="30">
        <f t="shared" si="15"/>
        <v>3.1935479292883734E-2</v>
      </c>
    </row>
    <row r="284" spans="2:35" ht="15.75" thickBot="1" x14ac:dyDescent="0.2">
      <c r="B284" t="s">
        <v>296</v>
      </c>
      <c r="C284" s="22">
        <f>VLOOKUP(B284,[1]SYS!$F$5:$G$360,2,FALSE)</f>
        <v>279</v>
      </c>
      <c r="D284" s="34" t="str">
        <f>VLOOKUP(C284,[1]SYS!$G$5:$H$360,2,FALSE)</f>
        <v>西島根（変）</v>
      </c>
      <c r="E284" s="37">
        <v>0</v>
      </c>
      <c r="F284" s="26">
        <v>0</v>
      </c>
      <c r="G284" s="26">
        <v>0</v>
      </c>
      <c r="H284" s="26">
        <v>0</v>
      </c>
      <c r="I284" s="26">
        <v>0</v>
      </c>
      <c r="J284" s="26">
        <v>0</v>
      </c>
      <c r="K284" s="26">
        <v>0</v>
      </c>
      <c r="L284" s="1">
        <v>2.9591219662594716E-3</v>
      </c>
      <c r="M284" s="63">
        <v>0</v>
      </c>
      <c r="N284" s="37">
        <v>0</v>
      </c>
      <c r="O284" s="26">
        <v>0</v>
      </c>
      <c r="P284" s="26">
        <v>0</v>
      </c>
      <c r="Q284" s="26">
        <v>0</v>
      </c>
      <c r="R284" s="26">
        <v>0</v>
      </c>
      <c r="S284" s="26">
        <v>0</v>
      </c>
      <c r="T284" s="26">
        <v>0</v>
      </c>
      <c r="U284" s="80">
        <v>0.25</v>
      </c>
      <c r="V284" s="27">
        <v>0</v>
      </c>
      <c r="W284" s="68">
        <v>0</v>
      </c>
      <c r="X284" s="30">
        <v>0</v>
      </c>
      <c r="Y284" s="30">
        <v>0</v>
      </c>
      <c r="Z284" s="30">
        <v>0</v>
      </c>
      <c r="AA284" s="30">
        <v>0</v>
      </c>
      <c r="AB284" s="30">
        <v>0</v>
      </c>
      <c r="AC284" s="30">
        <v>0</v>
      </c>
      <c r="AD284" s="1">
        <v>2.871844571837703E-2</v>
      </c>
      <c r="AE284" s="25">
        <v>0</v>
      </c>
      <c r="AG284" s="30">
        <f t="shared" si="16"/>
        <v>2.9591219662594716E-3</v>
      </c>
      <c r="AH284" s="30">
        <f t="shared" si="14"/>
        <v>0.25</v>
      </c>
      <c r="AI284" s="30">
        <f t="shared" si="15"/>
        <v>2.871844571837703E-2</v>
      </c>
    </row>
    <row r="285" spans="2:35" ht="15.75" thickBot="1" x14ac:dyDescent="0.2">
      <c r="B285" t="s">
        <v>297</v>
      </c>
      <c r="C285" s="22">
        <f>VLOOKUP(B285,[1]SYS!$F$5:$G$360,2,FALSE)</f>
        <v>280</v>
      </c>
      <c r="D285" s="34" t="str">
        <f>VLOOKUP(C285,[1]SYS!$G$5:$H$360,2,FALSE)</f>
        <v>日野（変）</v>
      </c>
      <c r="E285" s="37">
        <v>0</v>
      </c>
      <c r="F285" s="26">
        <v>0</v>
      </c>
      <c r="G285" s="26">
        <v>0</v>
      </c>
      <c r="H285" s="26">
        <v>0</v>
      </c>
      <c r="I285" s="26">
        <v>0</v>
      </c>
      <c r="J285" s="26">
        <v>0</v>
      </c>
      <c r="K285" s="26">
        <v>0</v>
      </c>
      <c r="L285" s="1">
        <v>2.0754930815753687E-3</v>
      </c>
      <c r="M285" s="63">
        <v>0</v>
      </c>
      <c r="N285" s="37">
        <v>0</v>
      </c>
      <c r="O285" s="26">
        <v>0</v>
      </c>
      <c r="P285" s="26">
        <v>0</v>
      </c>
      <c r="Q285" s="26">
        <v>0</v>
      </c>
      <c r="R285" s="26">
        <v>0</v>
      </c>
      <c r="S285" s="26">
        <v>0</v>
      </c>
      <c r="T285" s="26">
        <v>0</v>
      </c>
      <c r="U285" s="1">
        <v>0</v>
      </c>
      <c r="V285" s="27">
        <v>0</v>
      </c>
      <c r="W285" s="68">
        <v>0</v>
      </c>
      <c r="X285" s="30">
        <v>0</v>
      </c>
      <c r="Y285" s="30">
        <v>0</v>
      </c>
      <c r="Z285" s="30">
        <v>0</v>
      </c>
      <c r="AA285" s="30">
        <v>0</v>
      </c>
      <c r="AB285" s="30">
        <v>0</v>
      </c>
      <c r="AC285" s="30">
        <v>0</v>
      </c>
      <c r="AD285" s="1">
        <v>3.9561650656095459E-2</v>
      </c>
      <c r="AE285" s="25">
        <v>0</v>
      </c>
      <c r="AG285" s="30">
        <f t="shared" si="16"/>
        <v>2.0754930815753687E-3</v>
      </c>
      <c r="AH285" s="30">
        <f t="shared" si="14"/>
        <v>0</v>
      </c>
      <c r="AI285" s="30">
        <f t="shared" si="15"/>
        <v>3.9561650656095459E-2</v>
      </c>
    </row>
    <row r="286" spans="2:35" ht="15.75" thickBot="1" x14ac:dyDescent="0.2">
      <c r="B286" t="s">
        <v>298</v>
      </c>
      <c r="C286" s="22">
        <f>VLOOKUP(B286,[1]SYS!$F$5:$G$360,2,FALSE)</f>
        <v>281</v>
      </c>
      <c r="D286" s="34" t="str">
        <f>VLOOKUP(C286,[1]SYS!$G$5:$H$360,2,FALSE)</f>
        <v>智頭（変）</v>
      </c>
      <c r="E286" s="37">
        <v>0</v>
      </c>
      <c r="F286" s="26">
        <v>0</v>
      </c>
      <c r="G286" s="26">
        <v>0</v>
      </c>
      <c r="H286" s="26">
        <v>0</v>
      </c>
      <c r="I286" s="26">
        <v>0</v>
      </c>
      <c r="J286" s="26">
        <v>0</v>
      </c>
      <c r="K286" s="26">
        <v>0</v>
      </c>
      <c r="L286" s="1">
        <v>4.5193920157583119E-2</v>
      </c>
      <c r="M286" s="63">
        <v>0</v>
      </c>
      <c r="N286" s="37">
        <v>0</v>
      </c>
      <c r="O286" s="26">
        <v>0</v>
      </c>
      <c r="P286" s="26">
        <v>0</v>
      </c>
      <c r="Q286" s="26">
        <v>0</v>
      </c>
      <c r="R286" s="26">
        <v>0</v>
      </c>
      <c r="S286" s="26">
        <v>0</v>
      </c>
      <c r="T286" s="26">
        <v>0</v>
      </c>
      <c r="U286" s="1">
        <v>0</v>
      </c>
      <c r="V286" s="27">
        <v>0</v>
      </c>
      <c r="W286" s="68">
        <v>0</v>
      </c>
      <c r="X286" s="30">
        <v>0</v>
      </c>
      <c r="Y286" s="30">
        <v>0</v>
      </c>
      <c r="Z286" s="30">
        <v>0</v>
      </c>
      <c r="AA286" s="30">
        <v>0</v>
      </c>
      <c r="AB286" s="30">
        <v>0</v>
      </c>
      <c r="AC286" s="30">
        <v>0</v>
      </c>
      <c r="AD286" s="1">
        <v>2.1008967477606437E-2</v>
      </c>
      <c r="AE286" s="25">
        <v>0</v>
      </c>
      <c r="AG286" s="30">
        <f t="shared" si="16"/>
        <v>4.5193920157583119E-2</v>
      </c>
      <c r="AH286" s="30">
        <f t="shared" si="14"/>
        <v>0</v>
      </c>
      <c r="AI286" s="30">
        <f t="shared" si="15"/>
        <v>2.1008967477606437E-2</v>
      </c>
    </row>
    <row r="287" spans="2:35" ht="15.75" thickBot="1" x14ac:dyDescent="0.2">
      <c r="B287" t="s">
        <v>299</v>
      </c>
      <c r="C287" s="22">
        <f>VLOOKUP(B287,[1]SYS!$F$5:$G$360,2,FALSE)</f>
        <v>282</v>
      </c>
      <c r="D287" s="34" t="str">
        <f>VLOOKUP(C287,[1]SYS!$G$5:$H$360,2,FALSE)</f>
        <v>東山口（変）</v>
      </c>
      <c r="E287" s="37">
        <v>0</v>
      </c>
      <c r="F287" s="26">
        <v>0</v>
      </c>
      <c r="G287" s="26">
        <v>0</v>
      </c>
      <c r="H287" s="26">
        <v>0</v>
      </c>
      <c r="I287" s="26">
        <v>0</v>
      </c>
      <c r="J287" s="26">
        <v>0</v>
      </c>
      <c r="K287" s="26">
        <v>0</v>
      </c>
      <c r="L287" s="1">
        <v>3.3588879560815785E-2</v>
      </c>
      <c r="M287" s="63">
        <v>0</v>
      </c>
      <c r="N287" s="37">
        <v>0</v>
      </c>
      <c r="O287" s="26">
        <v>0</v>
      </c>
      <c r="P287" s="26">
        <v>0</v>
      </c>
      <c r="Q287" s="26">
        <v>0</v>
      </c>
      <c r="R287" s="26">
        <v>0</v>
      </c>
      <c r="S287" s="26">
        <v>0</v>
      </c>
      <c r="T287" s="26">
        <v>0</v>
      </c>
      <c r="U287" s="1">
        <v>0</v>
      </c>
      <c r="V287" s="27">
        <v>0</v>
      </c>
      <c r="W287" s="68">
        <v>0</v>
      </c>
      <c r="X287" s="30">
        <v>0</v>
      </c>
      <c r="Y287" s="30">
        <v>0</v>
      </c>
      <c r="Z287" s="30">
        <v>0</v>
      </c>
      <c r="AA287" s="30">
        <v>0</v>
      </c>
      <c r="AB287" s="30">
        <v>0</v>
      </c>
      <c r="AC287" s="30">
        <v>0</v>
      </c>
      <c r="AD287" s="1">
        <v>2.354996681254445E-2</v>
      </c>
      <c r="AE287" s="25">
        <v>0</v>
      </c>
      <c r="AG287" s="30">
        <f t="shared" si="16"/>
        <v>3.3588879560815785E-2</v>
      </c>
      <c r="AH287" s="30">
        <f t="shared" si="14"/>
        <v>0</v>
      </c>
      <c r="AI287" s="30">
        <f t="shared" si="15"/>
        <v>2.354996681254445E-2</v>
      </c>
    </row>
    <row r="288" spans="2:35" ht="15.75" thickBot="1" x14ac:dyDescent="0.2">
      <c r="B288" t="s">
        <v>300</v>
      </c>
      <c r="C288" s="22">
        <f>VLOOKUP(B288,[1]SYS!$F$5:$G$360,2,FALSE)</f>
        <v>283</v>
      </c>
      <c r="D288" s="34" t="str">
        <f>VLOOKUP(C288,[1]SYS!$G$5:$H$360,2,FALSE)</f>
        <v>新西広島（変）</v>
      </c>
      <c r="E288" s="37">
        <v>0</v>
      </c>
      <c r="F288" s="26">
        <v>0</v>
      </c>
      <c r="G288" s="26">
        <v>0</v>
      </c>
      <c r="H288" s="26">
        <v>0</v>
      </c>
      <c r="I288" s="26">
        <v>0</v>
      </c>
      <c r="J288" s="26">
        <v>0</v>
      </c>
      <c r="K288" s="26">
        <v>0</v>
      </c>
      <c r="L288" s="1">
        <v>8.6599720266405649E-3</v>
      </c>
      <c r="M288" s="63">
        <v>0</v>
      </c>
      <c r="N288" s="37">
        <v>0</v>
      </c>
      <c r="O288" s="26">
        <v>0</v>
      </c>
      <c r="P288" s="26">
        <v>0</v>
      </c>
      <c r="Q288" s="26">
        <v>0</v>
      </c>
      <c r="R288" s="26">
        <v>0</v>
      </c>
      <c r="S288" s="26">
        <v>0</v>
      </c>
      <c r="T288" s="26">
        <v>0</v>
      </c>
      <c r="U288" s="1">
        <v>0</v>
      </c>
      <c r="V288" s="27">
        <v>0</v>
      </c>
      <c r="W288" s="68">
        <v>0</v>
      </c>
      <c r="X288" s="30">
        <v>0</v>
      </c>
      <c r="Y288" s="30">
        <v>0</v>
      </c>
      <c r="Z288" s="30">
        <v>0</v>
      </c>
      <c r="AA288" s="30">
        <v>0</v>
      </c>
      <c r="AB288" s="30">
        <v>0</v>
      </c>
      <c r="AC288" s="30">
        <v>0</v>
      </c>
      <c r="AD288" s="1">
        <v>3.4575994476061474E-2</v>
      </c>
      <c r="AE288" s="25">
        <v>0</v>
      </c>
      <c r="AG288" s="30">
        <f t="shared" si="16"/>
        <v>8.6599720266405649E-3</v>
      </c>
      <c r="AH288" s="30">
        <f t="shared" si="14"/>
        <v>0</v>
      </c>
      <c r="AI288" s="30">
        <f t="shared" si="15"/>
        <v>3.4575994476061474E-2</v>
      </c>
    </row>
    <row r="289" spans="2:35" ht="15.75" thickBot="1" x14ac:dyDescent="0.2">
      <c r="B289" t="s">
        <v>301</v>
      </c>
      <c r="C289" s="22">
        <f>VLOOKUP(B289,[1]SYS!$F$5:$G$360,2,FALSE)</f>
        <v>284</v>
      </c>
      <c r="D289" s="34" t="str">
        <f>VLOOKUP(C289,[1]SYS!$G$5:$H$360,2,FALSE)</f>
        <v>新広島（変）</v>
      </c>
      <c r="E289" s="37">
        <v>0</v>
      </c>
      <c r="F289" s="26">
        <v>0</v>
      </c>
      <c r="G289" s="26">
        <v>0</v>
      </c>
      <c r="H289" s="26">
        <v>0</v>
      </c>
      <c r="I289" s="26">
        <v>0</v>
      </c>
      <c r="J289" s="26">
        <v>0</v>
      </c>
      <c r="K289" s="26">
        <v>0</v>
      </c>
      <c r="L289" s="1">
        <v>8.6492344311928662E-2</v>
      </c>
      <c r="M289" s="63">
        <v>0</v>
      </c>
      <c r="N289" s="37">
        <v>0</v>
      </c>
      <c r="O289" s="26">
        <v>0</v>
      </c>
      <c r="P289" s="26">
        <v>0</v>
      </c>
      <c r="Q289" s="26">
        <v>0</v>
      </c>
      <c r="R289" s="26">
        <v>0</v>
      </c>
      <c r="S289" s="26">
        <v>0</v>
      </c>
      <c r="T289" s="26">
        <v>0</v>
      </c>
      <c r="U289" s="1">
        <v>0</v>
      </c>
      <c r="V289" s="27">
        <v>0</v>
      </c>
      <c r="W289" s="68">
        <v>0</v>
      </c>
      <c r="X289" s="30">
        <v>0</v>
      </c>
      <c r="Y289" s="30">
        <v>0</v>
      </c>
      <c r="Z289" s="30">
        <v>0</v>
      </c>
      <c r="AA289" s="30">
        <v>0</v>
      </c>
      <c r="AB289" s="30">
        <v>0</v>
      </c>
      <c r="AC289" s="30">
        <v>0</v>
      </c>
      <c r="AD289" s="1">
        <v>1.4439972641939624E-2</v>
      </c>
      <c r="AE289" s="25">
        <v>0</v>
      </c>
      <c r="AG289" s="30">
        <f t="shared" si="16"/>
        <v>8.6492344311928662E-2</v>
      </c>
      <c r="AH289" s="30">
        <f t="shared" si="14"/>
        <v>0</v>
      </c>
      <c r="AI289" s="30">
        <f t="shared" si="15"/>
        <v>1.4439972641939624E-2</v>
      </c>
    </row>
    <row r="290" spans="2:35" ht="15.75" thickBot="1" x14ac:dyDescent="0.2">
      <c r="B290" t="s">
        <v>302</v>
      </c>
      <c r="C290" s="22">
        <f>VLOOKUP(B290,[1]SYS!$F$5:$G$360,2,FALSE)</f>
        <v>285</v>
      </c>
      <c r="D290" s="34" t="str">
        <f>VLOOKUP(C290,[1]SYS!$G$5:$H$360,2,FALSE)</f>
        <v>新岡山（変）</v>
      </c>
      <c r="E290" s="37">
        <v>0</v>
      </c>
      <c r="F290" s="26">
        <v>0</v>
      </c>
      <c r="G290" s="26">
        <v>0</v>
      </c>
      <c r="H290" s="26">
        <v>0</v>
      </c>
      <c r="I290" s="26">
        <v>0</v>
      </c>
      <c r="J290" s="26">
        <v>0</v>
      </c>
      <c r="K290" s="26">
        <v>0</v>
      </c>
      <c r="L290" s="1">
        <v>8.0716925525130018E-2</v>
      </c>
      <c r="M290" s="63">
        <v>0</v>
      </c>
      <c r="N290" s="37">
        <v>0</v>
      </c>
      <c r="O290" s="26">
        <v>0</v>
      </c>
      <c r="P290" s="26">
        <v>0</v>
      </c>
      <c r="Q290" s="26">
        <v>0</v>
      </c>
      <c r="R290" s="26">
        <v>0</v>
      </c>
      <c r="S290" s="26">
        <v>0</v>
      </c>
      <c r="T290" s="26">
        <v>0</v>
      </c>
      <c r="U290" s="80">
        <v>0.25</v>
      </c>
      <c r="V290" s="27">
        <v>0</v>
      </c>
      <c r="W290" s="68">
        <v>0</v>
      </c>
      <c r="X290" s="30">
        <v>0</v>
      </c>
      <c r="Y290" s="30">
        <v>0</v>
      </c>
      <c r="Z290" s="30">
        <v>0</v>
      </c>
      <c r="AA290" s="30">
        <v>0</v>
      </c>
      <c r="AB290" s="30">
        <v>0</v>
      </c>
      <c r="AC290" s="30">
        <v>0</v>
      </c>
      <c r="AD290" s="1">
        <v>2.0535679704968699E-2</v>
      </c>
      <c r="AE290" s="25">
        <v>0</v>
      </c>
      <c r="AG290" s="30">
        <f t="shared" si="16"/>
        <v>8.0716925525130018E-2</v>
      </c>
      <c r="AH290" s="30">
        <f t="shared" si="14"/>
        <v>0.25</v>
      </c>
      <c r="AI290" s="30">
        <f t="shared" si="15"/>
        <v>2.0535679704968699E-2</v>
      </c>
    </row>
    <row r="291" spans="2:35" ht="15.75" thickBot="1" x14ac:dyDescent="0.2">
      <c r="B291" t="s">
        <v>303</v>
      </c>
      <c r="C291" s="22">
        <f>VLOOKUP(B291,[1]SYS!$F$5:$G$360,2,FALSE)</f>
        <v>286</v>
      </c>
      <c r="D291" s="34" t="str">
        <f>VLOOKUP(C291,[1]SYS!$G$5:$H$360,2,FALSE)</f>
        <v>東岡山（変）</v>
      </c>
      <c r="E291" s="37">
        <v>0</v>
      </c>
      <c r="F291" s="26">
        <v>0</v>
      </c>
      <c r="G291" s="26">
        <v>0</v>
      </c>
      <c r="H291" s="26">
        <v>0</v>
      </c>
      <c r="I291" s="26">
        <v>0</v>
      </c>
      <c r="J291" s="26">
        <v>0</v>
      </c>
      <c r="K291" s="26">
        <v>0</v>
      </c>
      <c r="L291" s="1">
        <v>8.9111253629206577E-2</v>
      </c>
      <c r="M291" s="63">
        <v>0</v>
      </c>
      <c r="N291" s="37">
        <v>0</v>
      </c>
      <c r="O291" s="26">
        <v>0</v>
      </c>
      <c r="P291" s="26">
        <v>0</v>
      </c>
      <c r="Q291" s="26">
        <v>0</v>
      </c>
      <c r="R291" s="26">
        <v>0</v>
      </c>
      <c r="S291" s="26">
        <v>0</v>
      </c>
      <c r="T291" s="26">
        <v>0</v>
      </c>
      <c r="U291" s="1">
        <v>0</v>
      </c>
      <c r="V291" s="27">
        <v>0</v>
      </c>
      <c r="W291" s="68">
        <v>0</v>
      </c>
      <c r="X291" s="30">
        <v>0</v>
      </c>
      <c r="Y291" s="30">
        <v>0</v>
      </c>
      <c r="Z291" s="30">
        <v>0</v>
      </c>
      <c r="AA291" s="30">
        <v>0</v>
      </c>
      <c r="AB291" s="30">
        <v>0</v>
      </c>
      <c r="AC291" s="30">
        <v>0</v>
      </c>
      <c r="AD291" s="1">
        <v>6.1580967885462239E-2</v>
      </c>
      <c r="AE291" s="25">
        <v>0</v>
      </c>
      <c r="AG291" s="30">
        <f t="shared" si="16"/>
        <v>8.9111253629206577E-2</v>
      </c>
      <c r="AH291" s="30">
        <f t="shared" si="14"/>
        <v>0</v>
      </c>
      <c r="AI291" s="30">
        <f t="shared" si="15"/>
        <v>6.1580967885462239E-2</v>
      </c>
    </row>
    <row r="292" spans="2:35" ht="15.75" thickBot="1" x14ac:dyDescent="0.2">
      <c r="B292" t="s">
        <v>304</v>
      </c>
      <c r="C292" s="22">
        <f>VLOOKUP(B292,[1]SYS!$F$5:$G$360,2,FALSE)</f>
        <v>287</v>
      </c>
      <c r="D292" s="34" t="str">
        <f>VLOOKUP(C292,[1]SYS!$G$5:$H$360,2,FALSE)</f>
        <v>北松江（変）</v>
      </c>
      <c r="E292" s="37">
        <v>0</v>
      </c>
      <c r="F292" s="26">
        <v>0</v>
      </c>
      <c r="G292" s="26">
        <v>0</v>
      </c>
      <c r="H292" s="26">
        <v>0</v>
      </c>
      <c r="I292" s="26">
        <v>0</v>
      </c>
      <c r="J292" s="26">
        <v>0</v>
      </c>
      <c r="K292" s="26">
        <v>0</v>
      </c>
      <c r="L292" s="1">
        <v>3.9094788158331568E-2</v>
      </c>
      <c r="M292" s="63">
        <v>0</v>
      </c>
      <c r="N292" s="37">
        <v>0</v>
      </c>
      <c r="O292" s="26">
        <v>0</v>
      </c>
      <c r="P292" s="26">
        <v>0</v>
      </c>
      <c r="Q292" s="26">
        <v>0</v>
      </c>
      <c r="R292" s="26">
        <v>0</v>
      </c>
      <c r="S292" s="26">
        <v>0</v>
      </c>
      <c r="T292" s="26">
        <v>0</v>
      </c>
      <c r="U292" s="1">
        <v>0</v>
      </c>
      <c r="V292" s="27">
        <v>0</v>
      </c>
      <c r="W292" s="68">
        <v>0</v>
      </c>
      <c r="X292" s="30">
        <v>0</v>
      </c>
      <c r="Y292" s="30">
        <v>0</v>
      </c>
      <c r="Z292" s="30">
        <v>0</v>
      </c>
      <c r="AA292" s="30">
        <v>0</v>
      </c>
      <c r="AB292" s="30">
        <v>0</v>
      </c>
      <c r="AC292" s="30">
        <v>0</v>
      </c>
      <c r="AD292" s="1">
        <v>3.6279681016749388E-2</v>
      </c>
      <c r="AE292" s="25">
        <v>0</v>
      </c>
      <c r="AG292" s="30">
        <f t="shared" si="16"/>
        <v>3.9094788158331568E-2</v>
      </c>
      <c r="AH292" s="30">
        <f t="shared" si="14"/>
        <v>0</v>
      </c>
      <c r="AI292" s="30">
        <f t="shared" si="15"/>
        <v>3.6279681016749388E-2</v>
      </c>
    </row>
    <row r="293" spans="2:35" ht="15.75" thickBot="1" x14ac:dyDescent="0.2">
      <c r="B293" t="s">
        <v>305</v>
      </c>
      <c r="C293" s="22">
        <f>VLOOKUP(B293,[1]SYS!$F$5:$G$360,2,FALSE)</f>
        <v>288</v>
      </c>
      <c r="D293" s="34" t="str">
        <f>VLOOKUP(C293,[1]SYS!$G$5:$H$360,2,FALSE)</f>
        <v>山口（変）</v>
      </c>
      <c r="E293" s="37">
        <v>0</v>
      </c>
      <c r="F293" s="26">
        <v>0</v>
      </c>
      <c r="G293" s="26">
        <v>0</v>
      </c>
      <c r="H293" s="26">
        <v>0</v>
      </c>
      <c r="I293" s="26">
        <v>0</v>
      </c>
      <c r="J293" s="26">
        <v>0</v>
      </c>
      <c r="K293" s="26">
        <v>0</v>
      </c>
      <c r="L293" s="1">
        <v>7.3841004160789162E-2</v>
      </c>
      <c r="M293" s="63">
        <v>0</v>
      </c>
      <c r="N293" s="37">
        <v>0</v>
      </c>
      <c r="O293" s="26">
        <v>0</v>
      </c>
      <c r="P293" s="26">
        <v>0</v>
      </c>
      <c r="Q293" s="26">
        <v>0</v>
      </c>
      <c r="R293" s="26">
        <v>0</v>
      </c>
      <c r="S293" s="26">
        <v>0</v>
      </c>
      <c r="T293" s="26">
        <v>0</v>
      </c>
      <c r="U293" s="1">
        <v>0</v>
      </c>
      <c r="V293" s="27">
        <v>0</v>
      </c>
      <c r="W293" s="68">
        <v>0</v>
      </c>
      <c r="X293" s="30">
        <v>0</v>
      </c>
      <c r="Y293" s="30">
        <v>0</v>
      </c>
      <c r="Z293" s="30">
        <v>0</v>
      </c>
      <c r="AA293" s="30">
        <v>0</v>
      </c>
      <c r="AB293" s="30">
        <v>0</v>
      </c>
      <c r="AC293" s="30">
        <v>0</v>
      </c>
      <c r="AD293" s="1">
        <v>5.7836976269106014E-2</v>
      </c>
      <c r="AE293" s="25">
        <v>0</v>
      </c>
      <c r="AG293" s="30">
        <f t="shared" si="16"/>
        <v>7.3841004160789162E-2</v>
      </c>
      <c r="AH293" s="30">
        <f t="shared" si="14"/>
        <v>0</v>
      </c>
      <c r="AI293" s="30">
        <f t="shared" si="15"/>
        <v>5.7836976269106014E-2</v>
      </c>
    </row>
    <row r="294" spans="2:35" ht="15.75" thickBot="1" x14ac:dyDescent="0.2">
      <c r="B294" t="s">
        <v>306</v>
      </c>
      <c r="C294" s="22">
        <f>VLOOKUP(B294,[1]SYS!$F$5:$G$360,2,FALSE)</f>
        <v>289</v>
      </c>
      <c r="D294" s="34" t="str">
        <f>VLOOKUP(C294,[1]SYS!$G$5:$H$360,2,FALSE)</f>
        <v>南山口（変）</v>
      </c>
      <c r="E294" s="37">
        <v>0</v>
      </c>
      <c r="F294" s="26">
        <v>0</v>
      </c>
      <c r="G294" s="26">
        <v>0</v>
      </c>
      <c r="H294" s="26">
        <v>0</v>
      </c>
      <c r="I294" s="26">
        <v>0</v>
      </c>
      <c r="J294" s="26">
        <v>0</v>
      </c>
      <c r="K294" s="26">
        <v>0</v>
      </c>
      <c r="L294" s="1">
        <v>5.6096099302717313E-2</v>
      </c>
      <c r="M294" s="63">
        <v>0</v>
      </c>
      <c r="N294" s="37">
        <v>0</v>
      </c>
      <c r="O294" s="26">
        <v>0</v>
      </c>
      <c r="P294" s="26">
        <v>0</v>
      </c>
      <c r="Q294" s="26">
        <v>0</v>
      </c>
      <c r="R294" s="26">
        <v>0</v>
      </c>
      <c r="S294" s="26">
        <v>0</v>
      </c>
      <c r="T294" s="26">
        <v>0</v>
      </c>
      <c r="U294" s="1">
        <v>0</v>
      </c>
      <c r="V294" s="27">
        <v>0</v>
      </c>
      <c r="W294" s="68">
        <v>0</v>
      </c>
      <c r="X294" s="30">
        <v>0</v>
      </c>
      <c r="Y294" s="30">
        <v>0</v>
      </c>
      <c r="Z294" s="30">
        <v>0</v>
      </c>
      <c r="AA294" s="30">
        <v>0</v>
      </c>
      <c r="AB294" s="30">
        <v>0</v>
      </c>
      <c r="AC294" s="30">
        <v>0</v>
      </c>
      <c r="AD294" s="1">
        <v>2.2114955418305795E-2</v>
      </c>
      <c r="AE294" s="25">
        <v>0</v>
      </c>
      <c r="AG294" s="30">
        <f t="shared" si="16"/>
        <v>5.6096099302717313E-2</v>
      </c>
      <c r="AH294" s="30">
        <f t="shared" si="14"/>
        <v>0</v>
      </c>
      <c r="AI294" s="30">
        <f t="shared" si="15"/>
        <v>2.2114955418305795E-2</v>
      </c>
    </row>
    <row r="295" spans="2:35" ht="15.75" thickBot="1" x14ac:dyDescent="0.2">
      <c r="B295" t="s">
        <v>307</v>
      </c>
      <c r="C295" s="22">
        <f>VLOOKUP(B295,[1]SYS!$F$5:$G$360,2,FALSE)</f>
        <v>290</v>
      </c>
      <c r="D295" s="34" t="str">
        <f>VLOOKUP(C295,[1]SYS!$G$5:$H$360,2,FALSE)</f>
        <v>新徳山（変）</v>
      </c>
      <c r="E295" s="37">
        <v>0</v>
      </c>
      <c r="F295" s="26">
        <v>0</v>
      </c>
      <c r="G295" s="26">
        <v>0</v>
      </c>
      <c r="H295" s="26">
        <v>0</v>
      </c>
      <c r="I295" s="26">
        <v>0</v>
      </c>
      <c r="J295" s="26">
        <v>0</v>
      </c>
      <c r="K295" s="26">
        <v>0</v>
      </c>
      <c r="L295" s="1">
        <v>3.8953745139979116E-3</v>
      </c>
      <c r="M295" s="63">
        <v>0</v>
      </c>
      <c r="N295" s="37">
        <v>0</v>
      </c>
      <c r="O295" s="26">
        <v>0</v>
      </c>
      <c r="P295" s="26">
        <v>0</v>
      </c>
      <c r="Q295" s="26">
        <v>0</v>
      </c>
      <c r="R295" s="26">
        <v>0</v>
      </c>
      <c r="S295" s="26">
        <v>0</v>
      </c>
      <c r="T295" s="26">
        <v>0</v>
      </c>
      <c r="U295" s="1">
        <v>0</v>
      </c>
      <c r="V295" s="27">
        <v>0</v>
      </c>
      <c r="W295" s="68">
        <v>0</v>
      </c>
      <c r="X295" s="30">
        <v>0</v>
      </c>
      <c r="Y295" s="30">
        <v>0</v>
      </c>
      <c r="Z295" s="30">
        <v>0</v>
      </c>
      <c r="AA295" s="30">
        <v>0</v>
      </c>
      <c r="AB295" s="30">
        <v>0</v>
      </c>
      <c r="AC295" s="30">
        <v>0</v>
      </c>
      <c r="AD295" s="1">
        <v>4.9344737906194577E-2</v>
      </c>
      <c r="AE295" s="25">
        <v>0</v>
      </c>
      <c r="AG295" s="30">
        <f t="shared" si="16"/>
        <v>3.8953745139979116E-3</v>
      </c>
      <c r="AH295" s="30">
        <f t="shared" si="14"/>
        <v>0</v>
      </c>
      <c r="AI295" s="30">
        <f t="shared" si="15"/>
        <v>4.9344737906194577E-2</v>
      </c>
    </row>
    <row r="296" spans="2:35" ht="15.75" thickBot="1" x14ac:dyDescent="0.2">
      <c r="B296" t="s">
        <v>308</v>
      </c>
      <c r="C296" s="22">
        <f>VLOOKUP(B296,[1]SYS!$F$5:$G$360,2,FALSE)</f>
        <v>291</v>
      </c>
      <c r="D296" s="34" t="str">
        <f>VLOOKUP(C296,[1]SYS!$G$5:$H$360,2,FALSE)</f>
        <v>広島中央（変）</v>
      </c>
      <c r="E296" s="37">
        <v>0</v>
      </c>
      <c r="F296" s="26">
        <v>0</v>
      </c>
      <c r="G296" s="26">
        <v>0</v>
      </c>
      <c r="H296" s="26">
        <v>0</v>
      </c>
      <c r="I296" s="26">
        <v>0</v>
      </c>
      <c r="J296" s="26">
        <v>0</v>
      </c>
      <c r="K296" s="26">
        <v>0</v>
      </c>
      <c r="L296" s="1">
        <v>5.6025270220430787E-2</v>
      </c>
      <c r="M296" s="63">
        <v>0</v>
      </c>
      <c r="N296" s="37">
        <v>0</v>
      </c>
      <c r="O296" s="26">
        <v>0</v>
      </c>
      <c r="P296" s="26">
        <v>0</v>
      </c>
      <c r="Q296" s="26">
        <v>0</v>
      </c>
      <c r="R296" s="26">
        <v>0</v>
      </c>
      <c r="S296" s="26">
        <v>0</v>
      </c>
      <c r="T296" s="26">
        <v>0</v>
      </c>
      <c r="U296" s="1">
        <v>0</v>
      </c>
      <c r="V296" s="27">
        <v>0</v>
      </c>
      <c r="W296" s="68">
        <v>0</v>
      </c>
      <c r="X296" s="30">
        <v>0</v>
      </c>
      <c r="Y296" s="30">
        <v>0</v>
      </c>
      <c r="Z296" s="30">
        <v>0</v>
      </c>
      <c r="AA296" s="30">
        <v>0</v>
      </c>
      <c r="AB296" s="30">
        <v>0</v>
      </c>
      <c r="AC296" s="30">
        <v>0</v>
      </c>
      <c r="AD296" s="1">
        <v>8.4100358754149052E-3</v>
      </c>
      <c r="AE296" s="25">
        <v>0</v>
      </c>
      <c r="AG296" s="30">
        <f t="shared" si="16"/>
        <v>5.6025270220430787E-2</v>
      </c>
      <c r="AH296" s="30">
        <f t="shared" si="14"/>
        <v>0</v>
      </c>
      <c r="AI296" s="30">
        <f t="shared" si="15"/>
        <v>8.4100358754149052E-3</v>
      </c>
    </row>
    <row r="297" spans="2:35" ht="15.75" thickBot="1" x14ac:dyDescent="0.2">
      <c r="B297" t="s">
        <v>309</v>
      </c>
      <c r="C297" s="22">
        <f>VLOOKUP(B297,[1]SYS!$F$5:$G$360,2,FALSE)</f>
        <v>292</v>
      </c>
      <c r="D297" s="34" t="str">
        <f>VLOOKUP(C297,[1]SYS!$G$5:$H$360,2,FALSE)</f>
        <v>作木（変）</v>
      </c>
      <c r="E297" s="37">
        <v>0</v>
      </c>
      <c r="F297" s="26">
        <v>0</v>
      </c>
      <c r="G297" s="26">
        <v>0</v>
      </c>
      <c r="H297" s="26">
        <v>0</v>
      </c>
      <c r="I297" s="26">
        <v>0</v>
      </c>
      <c r="J297" s="26">
        <v>0</v>
      </c>
      <c r="K297" s="26">
        <v>0</v>
      </c>
      <c r="L297" s="1">
        <v>3.3791208767234369E-2</v>
      </c>
      <c r="M297" s="63">
        <v>0</v>
      </c>
      <c r="N297" s="37">
        <v>0</v>
      </c>
      <c r="O297" s="26">
        <v>0</v>
      </c>
      <c r="P297" s="26">
        <v>0</v>
      </c>
      <c r="Q297" s="26">
        <v>0</v>
      </c>
      <c r="R297" s="26">
        <v>0</v>
      </c>
      <c r="S297" s="26">
        <v>0</v>
      </c>
      <c r="T297" s="26">
        <v>0</v>
      </c>
      <c r="U297" s="1">
        <v>0</v>
      </c>
      <c r="V297" s="27">
        <v>0</v>
      </c>
      <c r="W297" s="68">
        <v>0</v>
      </c>
      <c r="X297" s="30">
        <v>0</v>
      </c>
      <c r="Y297" s="30">
        <v>0</v>
      </c>
      <c r="Z297" s="30">
        <v>0</v>
      </c>
      <c r="AA297" s="30">
        <v>0</v>
      </c>
      <c r="AB297" s="30">
        <v>0</v>
      </c>
      <c r="AC297" s="30">
        <v>0</v>
      </c>
      <c r="AD297" s="1">
        <v>3.7810633324402085E-2</v>
      </c>
      <c r="AE297" s="25">
        <v>0</v>
      </c>
      <c r="AG297" s="30">
        <f t="shared" si="16"/>
        <v>3.3791208767234369E-2</v>
      </c>
      <c r="AH297" s="30">
        <f t="shared" si="14"/>
        <v>0</v>
      </c>
      <c r="AI297" s="30">
        <f t="shared" si="15"/>
        <v>3.7810633324402085E-2</v>
      </c>
    </row>
    <row r="298" spans="2:35" ht="15.75" thickBot="1" x14ac:dyDescent="0.2">
      <c r="B298" t="s">
        <v>310</v>
      </c>
      <c r="C298" s="22">
        <f>VLOOKUP(B298,[1]SYS!$F$5:$G$360,2,FALSE)</f>
        <v>293</v>
      </c>
      <c r="D298" s="34" t="str">
        <f>VLOOKUP(C298,[1]SYS!$G$5:$H$360,2,FALSE)</f>
        <v>広島（変）</v>
      </c>
      <c r="E298" s="37">
        <v>0</v>
      </c>
      <c r="F298" s="26">
        <v>0</v>
      </c>
      <c r="G298" s="26">
        <v>0</v>
      </c>
      <c r="H298" s="26">
        <v>0</v>
      </c>
      <c r="I298" s="26">
        <v>0</v>
      </c>
      <c r="J298" s="26">
        <v>0</v>
      </c>
      <c r="K298" s="26">
        <v>0</v>
      </c>
      <c r="L298" s="1">
        <v>0.12701518201576922</v>
      </c>
      <c r="M298" s="63">
        <v>0</v>
      </c>
      <c r="N298" s="37">
        <v>0</v>
      </c>
      <c r="O298" s="26">
        <v>0</v>
      </c>
      <c r="P298" s="26">
        <v>0</v>
      </c>
      <c r="Q298" s="26">
        <v>0</v>
      </c>
      <c r="R298" s="26">
        <v>0</v>
      </c>
      <c r="S298" s="26">
        <v>0</v>
      </c>
      <c r="T298" s="26">
        <v>0</v>
      </c>
      <c r="U298" s="1">
        <v>0</v>
      </c>
      <c r="V298" s="27">
        <v>0</v>
      </c>
      <c r="W298" s="68">
        <v>0</v>
      </c>
      <c r="X298" s="30">
        <v>0</v>
      </c>
      <c r="Y298" s="30">
        <v>0</v>
      </c>
      <c r="Z298" s="30">
        <v>0</v>
      </c>
      <c r="AA298" s="30">
        <v>0</v>
      </c>
      <c r="AB298" s="30">
        <v>0</v>
      </c>
      <c r="AC298" s="30">
        <v>0</v>
      </c>
      <c r="AD298" s="1">
        <v>2.1706518829442377E-3</v>
      </c>
      <c r="AE298" s="25">
        <v>0</v>
      </c>
      <c r="AG298" s="30">
        <f t="shared" si="16"/>
        <v>0.12701518201576922</v>
      </c>
      <c r="AH298" s="30">
        <f t="shared" si="14"/>
        <v>0</v>
      </c>
      <c r="AI298" s="30">
        <f t="shared" si="15"/>
        <v>2.1706518829442377E-3</v>
      </c>
    </row>
    <row r="299" spans="2:35" ht="15.75" thickBot="1" x14ac:dyDescent="0.2">
      <c r="B299" t="s">
        <v>311</v>
      </c>
      <c r="C299" s="22">
        <f>VLOOKUP(B299,[1]SYS!$F$5:$G$360,2,FALSE)</f>
        <v>294</v>
      </c>
      <c r="D299" s="34" t="str">
        <f>VLOOKUP(C299,[1]SYS!$G$5:$H$360,2,FALSE)</f>
        <v>黒瀬（変）</v>
      </c>
      <c r="E299" s="37">
        <v>0</v>
      </c>
      <c r="F299" s="26">
        <v>0</v>
      </c>
      <c r="G299" s="26">
        <v>0</v>
      </c>
      <c r="H299" s="26">
        <v>0</v>
      </c>
      <c r="I299" s="26">
        <v>0</v>
      </c>
      <c r="J299" s="26">
        <v>0</v>
      </c>
      <c r="K299" s="26">
        <v>0</v>
      </c>
      <c r="L299" s="1">
        <v>1.9836227474241602E-2</v>
      </c>
      <c r="M299" s="63">
        <v>0</v>
      </c>
      <c r="N299" s="37">
        <v>0</v>
      </c>
      <c r="O299" s="26">
        <v>0</v>
      </c>
      <c r="P299" s="26">
        <v>0</v>
      </c>
      <c r="Q299" s="26">
        <v>0</v>
      </c>
      <c r="R299" s="26">
        <v>0</v>
      </c>
      <c r="S299" s="26">
        <v>0</v>
      </c>
      <c r="T299" s="26">
        <v>0</v>
      </c>
      <c r="U299" s="1">
        <v>0</v>
      </c>
      <c r="V299" s="27">
        <v>0</v>
      </c>
      <c r="W299" s="68">
        <v>0</v>
      </c>
      <c r="X299" s="30">
        <v>0</v>
      </c>
      <c r="Y299" s="30">
        <v>0</v>
      </c>
      <c r="Z299" s="30">
        <v>0</v>
      </c>
      <c r="AA299" s="30">
        <v>0</v>
      </c>
      <c r="AB299" s="30">
        <v>0</v>
      </c>
      <c r="AC299" s="30">
        <v>0</v>
      </c>
      <c r="AD299" s="1">
        <v>6.9860821049929425E-2</v>
      </c>
      <c r="AE299" s="25">
        <v>0</v>
      </c>
      <c r="AG299" s="30">
        <f t="shared" si="16"/>
        <v>1.9836227474241602E-2</v>
      </c>
      <c r="AH299" s="30">
        <f t="shared" si="14"/>
        <v>0</v>
      </c>
      <c r="AI299" s="30">
        <f t="shared" si="15"/>
        <v>6.9860821049929425E-2</v>
      </c>
    </row>
    <row r="300" spans="2:35" ht="15.75" thickBot="1" x14ac:dyDescent="0.2">
      <c r="B300" t="s">
        <v>312</v>
      </c>
      <c r="C300" s="22">
        <f>VLOOKUP(B300,[1]SYS!$F$5:$G$360,2,FALSE)</f>
        <v>295</v>
      </c>
      <c r="D300" s="34" t="str">
        <f>VLOOKUP(C300,[1]SYS!$G$5:$H$360,2,FALSE)</f>
        <v>北尾道（変）</v>
      </c>
      <c r="E300" s="37">
        <v>0</v>
      </c>
      <c r="F300" s="26">
        <v>0</v>
      </c>
      <c r="G300" s="26">
        <v>0</v>
      </c>
      <c r="H300" s="26">
        <v>0</v>
      </c>
      <c r="I300" s="26">
        <v>0</v>
      </c>
      <c r="J300" s="26">
        <v>0</v>
      </c>
      <c r="K300" s="26">
        <v>0</v>
      </c>
      <c r="L300" s="1">
        <v>1.4951235836200522E-2</v>
      </c>
      <c r="M300" s="63">
        <v>0</v>
      </c>
      <c r="N300" s="37">
        <v>0</v>
      </c>
      <c r="O300" s="26">
        <v>0</v>
      </c>
      <c r="P300" s="26">
        <v>0</v>
      </c>
      <c r="Q300" s="26">
        <v>0</v>
      </c>
      <c r="R300" s="26">
        <v>0</v>
      </c>
      <c r="S300" s="26">
        <v>0</v>
      </c>
      <c r="T300" s="26">
        <v>0</v>
      </c>
      <c r="U300" s="1">
        <v>0</v>
      </c>
      <c r="V300" s="27">
        <v>0</v>
      </c>
      <c r="W300" s="68">
        <v>0</v>
      </c>
      <c r="X300" s="30">
        <v>0</v>
      </c>
      <c r="Y300" s="30">
        <v>0</v>
      </c>
      <c r="Z300" s="30">
        <v>0</v>
      </c>
      <c r="AA300" s="30">
        <v>0</v>
      </c>
      <c r="AB300" s="30">
        <v>0</v>
      </c>
      <c r="AC300" s="30">
        <v>0</v>
      </c>
      <c r="AD300" s="1">
        <v>6.9777965123216046E-2</v>
      </c>
      <c r="AE300" s="25">
        <v>0</v>
      </c>
      <c r="AG300" s="30">
        <f t="shared" ref="AG300:AG331" si="17">SUM(E300:M300)</f>
        <v>1.4951235836200522E-2</v>
      </c>
      <c r="AH300" s="30">
        <f t="shared" si="14"/>
        <v>0</v>
      </c>
      <c r="AI300" s="30">
        <f t="shared" si="15"/>
        <v>6.9777965123216046E-2</v>
      </c>
    </row>
    <row r="301" spans="2:35" ht="15.75" thickBot="1" x14ac:dyDescent="0.2">
      <c r="B301" t="s">
        <v>313</v>
      </c>
      <c r="C301" s="22">
        <f>VLOOKUP(B301,[1]SYS!$F$5:$G$360,2,FALSE)</f>
        <v>296</v>
      </c>
      <c r="D301" s="34" t="str">
        <f>VLOOKUP(C301,[1]SYS!$G$5:$H$360,2,FALSE)</f>
        <v>井原（開）</v>
      </c>
      <c r="E301" s="37">
        <v>0</v>
      </c>
      <c r="F301" s="26">
        <v>0</v>
      </c>
      <c r="G301" s="26">
        <v>0</v>
      </c>
      <c r="H301" s="26">
        <v>0</v>
      </c>
      <c r="I301" s="26">
        <v>0</v>
      </c>
      <c r="J301" s="26">
        <v>0</v>
      </c>
      <c r="K301" s="26">
        <v>0</v>
      </c>
      <c r="L301" s="1">
        <v>8.2586907579988655E-2</v>
      </c>
      <c r="M301" s="63">
        <v>0</v>
      </c>
      <c r="N301" s="37">
        <v>0</v>
      </c>
      <c r="O301" s="26">
        <v>0</v>
      </c>
      <c r="P301" s="26">
        <v>0</v>
      </c>
      <c r="Q301" s="26">
        <v>0</v>
      </c>
      <c r="R301" s="26">
        <v>0</v>
      </c>
      <c r="S301" s="26">
        <v>0</v>
      </c>
      <c r="T301" s="26">
        <v>0</v>
      </c>
      <c r="U301" s="1">
        <v>0</v>
      </c>
      <c r="V301" s="27">
        <v>0</v>
      </c>
      <c r="W301" s="68">
        <v>0</v>
      </c>
      <c r="X301" s="30">
        <v>0</v>
      </c>
      <c r="Y301" s="30">
        <v>0</v>
      </c>
      <c r="Z301" s="30">
        <v>0</v>
      </c>
      <c r="AA301" s="30">
        <v>0</v>
      </c>
      <c r="AB301" s="30">
        <v>0</v>
      </c>
      <c r="AC301" s="30">
        <v>0</v>
      </c>
      <c r="AD301" s="1">
        <v>2.5936793508442826E-2</v>
      </c>
      <c r="AE301" s="25">
        <v>0</v>
      </c>
      <c r="AG301" s="30">
        <f t="shared" si="17"/>
        <v>8.2586907579988655E-2</v>
      </c>
      <c r="AH301" s="30">
        <f t="shared" si="14"/>
        <v>0</v>
      </c>
      <c r="AI301" s="30">
        <f t="shared" si="15"/>
        <v>2.5936793508442826E-2</v>
      </c>
    </row>
    <row r="302" spans="2:35" ht="15.75" thickBot="1" x14ac:dyDescent="0.2">
      <c r="B302" t="s">
        <v>314</v>
      </c>
      <c r="C302" s="22">
        <f>VLOOKUP(B302,[1]SYS!$F$5:$G$360,2,FALSE)</f>
        <v>297</v>
      </c>
      <c r="D302" s="34" t="str">
        <f>VLOOKUP(C302,[1]SYS!$G$5:$H$360,2,FALSE)</f>
        <v>笠岡（変）</v>
      </c>
      <c r="E302" s="37">
        <v>0</v>
      </c>
      <c r="F302" s="26">
        <v>0</v>
      </c>
      <c r="G302" s="26">
        <v>0</v>
      </c>
      <c r="H302" s="26">
        <v>0</v>
      </c>
      <c r="I302" s="26">
        <v>0</v>
      </c>
      <c r="J302" s="26">
        <v>0</v>
      </c>
      <c r="K302" s="26">
        <v>0</v>
      </c>
      <c r="L302" s="1">
        <v>1.6716003931713489E-3</v>
      </c>
      <c r="M302" s="63">
        <v>0</v>
      </c>
      <c r="N302" s="37">
        <v>0</v>
      </c>
      <c r="O302" s="26">
        <v>0</v>
      </c>
      <c r="P302" s="26">
        <v>0</v>
      </c>
      <c r="Q302" s="26">
        <v>0</v>
      </c>
      <c r="R302" s="26">
        <v>0</v>
      </c>
      <c r="S302" s="26">
        <v>0</v>
      </c>
      <c r="T302" s="26">
        <v>0</v>
      </c>
      <c r="U302" s="1">
        <v>0</v>
      </c>
      <c r="V302" s="27">
        <v>0</v>
      </c>
      <c r="W302" s="68">
        <v>0</v>
      </c>
      <c r="X302" s="30">
        <v>0</v>
      </c>
      <c r="Y302" s="30">
        <v>0</v>
      </c>
      <c r="Z302" s="30">
        <v>0</v>
      </c>
      <c r="AA302" s="30">
        <v>0</v>
      </c>
      <c r="AB302" s="30">
        <v>0</v>
      </c>
      <c r="AC302" s="30">
        <v>0</v>
      </c>
      <c r="AD302" s="1">
        <v>4.0746394410925639E-2</v>
      </c>
      <c r="AE302" s="25">
        <v>0</v>
      </c>
      <c r="AG302" s="30">
        <f t="shared" si="17"/>
        <v>1.6716003931713489E-3</v>
      </c>
      <c r="AH302" s="30">
        <f t="shared" si="14"/>
        <v>0</v>
      </c>
      <c r="AI302" s="30">
        <f t="shared" si="15"/>
        <v>4.0746394410925639E-2</v>
      </c>
    </row>
    <row r="303" spans="2:35" ht="15.75" thickBot="1" x14ac:dyDescent="0.2">
      <c r="B303" t="s">
        <v>315</v>
      </c>
      <c r="C303" s="22">
        <f>VLOOKUP(B303,[1]SYS!$F$5:$G$360,2,FALSE)</f>
        <v>298</v>
      </c>
      <c r="D303" s="34" t="str">
        <f>VLOOKUP(C303,[1]SYS!$G$5:$H$360,2,FALSE)</f>
        <v>新倉敷（変）</v>
      </c>
      <c r="E303" s="37">
        <v>0</v>
      </c>
      <c r="F303" s="26">
        <v>0</v>
      </c>
      <c r="G303" s="26">
        <v>0</v>
      </c>
      <c r="H303" s="26">
        <v>0</v>
      </c>
      <c r="I303" s="26">
        <v>0</v>
      </c>
      <c r="J303" s="26">
        <v>0</v>
      </c>
      <c r="K303" s="26">
        <v>0</v>
      </c>
      <c r="L303" s="1">
        <v>6.845617327953446E-2</v>
      </c>
      <c r="M303" s="63">
        <v>0</v>
      </c>
      <c r="N303" s="37">
        <v>0</v>
      </c>
      <c r="O303" s="26">
        <v>0</v>
      </c>
      <c r="P303" s="26">
        <v>0</v>
      </c>
      <c r="Q303" s="26">
        <v>0</v>
      </c>
      <c r="R303" s="26">
        <v>0</v>
      </c>
      <c r="S303" s="26">
        <v>0</v>
      </c>
      <c r="T303" s="26">
        <v>0</v>
      </c>
      <c r="U303" s="1">
        <v>0</v>
      </c>
      <c r="V303" s="27">
        <v>0</v>
      </c>
      <c r="W303" s="68">
        <v>0</v>
      </c>
      <c r="X303" s="30">
        <v>0</v>
      </c>
      <c r="Y303" s="30">
        <v>0</v>
      </c>
      <c r="Z303" s="30">
        <v>0</v>
      </c>
      <c r="AA303" s="30">
        <v>0</v>
      </c>
      <c r="AB303" s="30">
        <v>0</v>
      </c>
      <c r="AC303" s="30">
        <v>0</v>
      </c>
      <c r="AD303" s="1">
        <v>6.3765826380925941E-2</v>
      </c>
      <c r="AE303" s="25">
        <v>0</v>
      </c>
      <c r="AG303" s="30">
        <f t="shared" si="17"/>
        <v>6.845617327953446E-2</v>
      </c>
      <c r="AH303" s="30">
        <f t="shared" si="14"/>
        <v>0</v>
      </c>
      <c r="AI303" s="30">
        <f t="shared" si="15"/>
        <v>6.3765826380925941E-2</v>
      </c>
    </row>
    <row r="304" spans="2:35" ht="15.75" thickBot="1" x14ac:dyDescent="0.2">
      <c r="B304" t="s">
        <v>316</v>
      </c>
      <c r="C304" s="22">
        <f>VLOOKUP(B304,[1]SYS!$F$5:$G$360,2,FALSE)</f>
        <v>299</v>
      </c>
      <c r="D304" s="34" t="str">
        <f>VLOOKUP(C304,[1]SYS!$G$5:$H$360,2,FALSE)</f>
        <v>岡山（変）</v>
      </c>
      <c r="E304" s="37">
        <v>0</v>
      </c>
      <c r="F304" s="26">
        <v>0</v>
      </c>
      <c r="G304" s="26">
        <v>0</v>
      </c>
      <c r="H304" s="26">
        <v>0</v>
      </c>
      <c r="I304" s="26">
        <v>0</v>
      </c>
      <c r="J304" s="26">
        <v>0</v>
      </c>
      <c r="K304" s="26">
        <v>0</v>
      </c>
      <c r="L304" s="1">
        <v>2.8475879997768091E-4</v>
      </c>
      <c r="M304" s="63">
        <v>0</v>
      </c>
      <c r="N304" s="37">
        <v>0</v>
      </c>
      <c r="O304" s="26">
        <v>0</v>
      </c>
      <c r="P304" s="26">
        <v>0</v>
      </c>
      <c r="Q304" s="26">
        <v>0</v>
      </c>
      <c r="R304" s="26">
        <v>0</v>
      </c>
      <c r="S304" s="26">
        <v>0</v>
      </c>
      <c r="T304" s="26">
        <v>0</v>
      </c>
      <c r="U304" s="1">
        <v>0</v>
      </c>
      <c r="V304" s="27">
        <v>0</v>
      </c>
      <c r="W304" s="68">
        <v>0</v>
      </c>
      <c r="X304" s="30">
        <v>0</v>
      </c>
      <c r="Y304" s="30">
        <v>0</v>
      </c>
      <c r="Z304" s="30">
        <v>0</v>
      </c>
      <c r="AA304" s="30">
        <v>0</v>
      </c>
      <c r="AB304" s="30">
        <v>0</v>
      </c>
      <c r="AC304" s="30">
        <v>0</v>
      </c>
      <c r="AD304" s="1">
        <v>5.7322342962166074E-2</v>
      </c>
      <c r="AE304" s="25">
        <v>0</v>
      </c>
      <c r="AG304" s="30">
        <f t="shared" si="17"/>
        <v>2.8475879997768091E-4</v>
      </c>
      <c r="AH304" s="30">
        <f t="shared" si="14"/>
        <v>0</v>
      </c>
      <c r="AI304" s="30">
        <f t="shared" si="15"/>
        <v>5.7322342962166074E-2</v>
      </c>
    </row>
    <row r="305" spans="2:35" ht="15.75" thickBot="1" x14ac:dyDescent="0.2">
      <c r="B305" t="s">
        <v>317</v>
      </c>
      <c r="C305" s="22">
        <f>VLOOKUP(B305,[1]SYS!$F$5:$G$360,2,FALSE)</f>
        <v>300</v>
      </c>
      <c r="D305" s="34" t="str">
        <f>VLOOKUP(C305,[1]SYS!$G$5:$H$360,2,FALSE)</f>
        <v>松江（変）</v>
      </c>
      <c r="E305" s="37">
        <v>0</v>
      </c>
      <c r="F305" s="26">
        <v>0</v>
      </c>
      <c r="G305" s="26">
        <v>0</v>
      </c>
      <c r="H305" s="26">
        <v>0</v>
      </c>
      <c r="I305" s="26">
        <v>0</v>
      </c>
      <c r="J305" s="26">
        <v>0</v>
      </c>
      <c r="K305" s="26">
        <v>0</v>
      </c>
      <c r="L305" s="1">
        <v>2.6454334127513059E-2</v>
      </c>
      <c r="M305" s="63">
        <v>0</v>
      </c>
      <c r="N305" s="37">
        <v>0</v>
      </c>
      <c r="O305" s="26">
        <v>0</v>
      </c>
      <c r="P305" s="26">
        <v>0</v>
      </c>
      <c r="Q305" s="26">
        <v>0</v>
      </c>
      <c r="R305" s="26">
        <v>0</v>
      </c>
      <c r="S305" s="26">
        <v>0</v>
      </c>
      <c r="T305" s="26">
        <v>0</v>
      </c>
      <c r="U305" s="1">
        <v>0</v>
      </c>
      <c r="V305" s="27">
        <v>0</v>
      </c>
      <c r="W305" s="68">
        <v>0</v>
      </c>
      <c r="X305" s="30">
        <v>0</v>
      </c>
      <c r="Y305" s="30">
        <v>0</v>
      </c>
      <c r="Z305" s="30">
        <v>0</v>
      </c>
      <c r="AA305" s="30">
        <v>0</v>
      </c>
      <c r="AB305" s="30">
        <v>0</v>
      </c>
      <c r="AC305" s="30">
        <v>0</v>
      </c>
      <c r="AD305" s="1">
        <v>2.094485316658428E-2</v>
      </c>
      <c r="AE305" s="25">
        <v>0</v>
      </c>
      <c r="AG305" s="30">
        <f t="shared" si="17"/>
        <v>2.6454334127513059E-2</v>
      </c>
      <c r="AH305" s="30">
        <f t="shared" si="14"/>
        <v>0</v>
      </c>
      <c r="AI305" s="30">
        <f t="shared" si="15"/>
        <v>2.094485316658428E-2</v>
      </c>
    </row>
    <row r="306" spans="2:35" ht="15.75" thickBot="1" x14ac:dyDescent="0.2">
      <c r="B306" t="s">
        <v>318</v>
      </c>
      <c r="C306" s="22">
        <f>VLOOKUP(B306,[1]SYS!$F$5:$G$360,2,FALSE)</f>
        <v>301</v>
      </c>
      <c r="D306" s="34" t="str">
        <f>VLOOKUP(C306,[1]SYS!$G$5:$H$360,2,FALSE)</f>
        <v>新鳥取（変）</v>
      </c>
      <c r="E306" s="37">
        <v>0</v>
      </c>
      <c r="F306" s="26">
        <v>0</v>
      </c>
      <c r="G306" s="26">
        <v>0</v>
      </c>
      <c r="H306" s="26">
        <v>0</v>
      </c>
      <c r="I306" s="26">
        <v>0</v>
      </c>
      <c r="J306" s="26">
        <v>0</v>
      </c>
      <c r="K306" s="26">
        <v>0</v>
      </c>
      <c r="L306" s="1">
        <v>1.7962046340592071E-2</v>
      </c>
      <c r="M306" s="63">
        <v>0</v>
      </c>
      <c r="N306" s="37">
        <v>0</v>
      </c>
      <c r="O306" s="26">
        <v>0</v>
      </c>
      <c r="P306" s="26">
        <v>0</v>
      </c>
      <c r="Q306" s="26">
        <v>0</v>
      </c>
      <c r="R306" s="26">
        <v>0</v>
      </c>
      <c r="S306" s="26">
        <v>0</v>
      </c>
      <c r="T306" s="26">
        <v>0</v>
      </c>
      <c r="U306" s="1">
        <v>0</v>
      </c>
      <c r="V306" s="27">
        <v>0</v>
      </c>
      <c r="W306" s="68">
        <v>0</v>
      </c>
      <c r="X306" s="30">
        <v>0</v>
      </c>
      <c r="Y306" s="30">
        <v>0</v>
      </c>
      <c r="Z306" s="30">
        <v>0</v>
      </c>
      <c r="AA306" s="30">
        <v>0</v>
      </c>
      <c r="AB306" s="30">
        <v>0</v>
      </c>
      <c r="AC306" s="30">
        <v>0</v>
      </c>
      <c r="AD306" s="1">
        <v>2.6824165464367403E-2</v>
      </c>
      <c r="AE306" s="25">
        <v>0</v>
      </c>
      <c r="AG306" s="30">
        <f t="shared" si="17"/>
        <v>1.7962046340592071E-2</v>
      </c>
      <c r="AH306" s="30">
        <f t="shared" si="14"/>
        <v>0</v>
      </c>
      <c r="AI306" s="30">
        <f t="shared" si="15"/>
        <v>2.6824165464367403E-2</v>
      </c>
    </row>
    <row r="307" spans="2:35" ht="15.75" thickBot="1" x14ac:dyDescent="0.2">
      <c r="B307" t="s">
        <v>319</v>
      </c>
      <c r="C307" s="22">
        <f>VLOOKUP(B307,[1]SYS!$F$5:$G$360,2,FALSE)</f>
        <v>302</v>
      </c>
      <c r="D307" s="34" t="str">
        <f>VLOOKUP(C307,[1]SYS!$G$5:$H$360,2,FALSE)</f>
        <v>山口幹線</v>
      </c>
      <c r="E307" s="37">
        <v>0</v>
      </c>
      <c r="F307" s="26">
        <v>0</v>
      </c>
      <c r="G307" s="26">
        <v>0</v>
      </c>
      <c r="H307" s="26">
        <v>0</v>
      </c>
      <c r="I307" s="26">
        <v>0</v>
      </c>
      <c r="J307" s="26">
        <v>0</v>
      </c>
      <c r="K307" s="26">
        <v>0</v>
      </c>
      <c r="L307" s="1">
        <v>2.8425581741428033E-3</v>
      </c>
      <c r="M307" s="63">
        <v>0</v>
      </c>
      <c r="N307" s="37">
        <v>0</v>
      </c>
      <c r="O307" s="26">
        <v>0</v>
      </c>
      <c r="P307" s="26">
        <v>0</v>
      </c>
      <c r="Q307" s="26">
        <v>0</v>
      </c>
      <c r="R307" s="26">
        <v>0</v>
      </c>
      <c r="S307" s="26">
        <v>0</v>
      </c>
      <c r="T307" s="26">
        <v>0</v>
      </c>
      <c r="U307" s="1">
        <v>0</v>
      </c>
      <c r="V307" s="27">
        <v>0</v>
      </c>
      <c r="W307" s="68">
        <v>0</v>
      </c>
      <c r="X307" s="30">
        <v>0</v>
      </c>
      <c r="Y307" s="30">
        <v>0</v>
      </c>
      <c r="Z307" s="30">
        <v>0</v>
      </c>
      <c r="AA307" s="30">
        <v>0</v>
      </c>
      <c r="AB307" s="30">
        <v>0</v>
      </c>
      <c r="AC307" s="30">
        <v>0</v>
      </c>
      <c r="AD307" s="1">
        <v>1.7323295677053086E-2</v>
      </c>
      <c r="AE307" s="25">
        <v>0</v>
      </c>
      <c r="AG307" s="30">
        <f t="shared" si="17"/>
        <v>2.8425581741428033E-3</v>
      </c>
      <c r="AH307" s="30">
        <f t="shared" si="14"/>
        <v>0</v>
      </c>
      <c r="AI307" s="30">
        <f t="shared" si="15"/>
        <v>1.7323295677053086E-2</v>
      </c>
    </row>
    <row r="308" spans="2:35" ht="15.75" thickBot="1" x14ac:dyDescent="0.2">
      <c r="B308" t="s">
        <v>320</v>
      </c>
      <c r="C308" s="22">
        <f>VLOOKUP(B308,[1]SYS!$F$5:$G$360,2,FALSE)</f>
        <v>303</v>
      </c>
      <c r="D308" s="34" t="str">
        <f>VLOOKUP(C308,[1]SYS!$G$5:$H$360,2,FALSE)</f>
        <v>広島西幹線</v>
      </c>
      <c r="E308" s="37">
        <v>0</v>
      </c>
      <c r="F308" s="26">
        <v>0</v>
      </c>
      <c r="G308" s="26">
        <v>0</v>
      </c>
      <c r="H308" s="26">
        <v>0</v>
      </c>
      <c r="I308" s="26">
        <v>0</v>
      </c>
      <c r="J308" s="26">
        <v>0</v>
      </c>
      <c r="K308" s="26">
        <v>0</v>
      </c>
      <c r="L308" s="1">
        <v>1.2941495811144273E-3</v>
      </c>
      <c r="M308" s="63">
        <v>0</v>
      </c>
      <c r="N308" s="37">
        <v>0</v>
      </c>
      <c r="O308" s="26">
        <v>0</v>
      </c>
      <c r="P308" s="26">
        <v>0</v>
      </c>
      <c r="Q308" s="26">
        <v>0</v>
      </c>
      <c r="R308" s="26">
        <v>0</v>
      </c>
      <c r="S308" s="26">
        <v>0</v>
      </c>
      <c r="T308" s="26">
        <v>0</v>
      </c>
      <c r="U308" s="1">
        <v>0</v>
      </c>
      <c r="V308" s="27">
        <v>0</v>
      </c>
      <c r="W308" s="68">
        <v>0</v>
      </c>
      <c r="X308" s="30">
        <v>0</v>
      </c>
      <c r="Y308" s="30">
        <v>0</v>
      </c>
      <c r="Z308" s="30">
        <v>0</v>
      </c>
      <c r="AA308" s="30">
        <v>0</v>
      </c>
      <c r="AB308" s="30">
        <v>0</v>
      </c>
      <c r="AC308" s="30">
        <v>0</v>
      </c>
      <c r="AD308" s="1">
        <v>1.9221455540199321E-2</v>
      </c>
      <c r="AE308" s="25">
        <v>0</v>
      </c>
      <c r="AG308" s="30">
        <f t="shared" si="17"/>
        <v>1.2941495811144273E-3</v>
      </c>
      <c r="AH308" s="30">
        <f t="shared" si="14"/>
        <v>0</v>
      </c>
      <c r="AI308" s="30">
        <f t="shared" si="15"/>
        <v>1.9221455540199321E-2</v>
      </c>
    </row>
    <row r="309" spans="2:35" ht="15.75" thickBot="1" x14ac:dyDescent="0.2">
      <c r="B309" t="s">
        <v>321</v>
      </c>
      <c r="C309" s="22">
        <f>VLOOKUP(B309,[1]SYS!$F$5:$G$360,2,FALSE)</f>
        <v>304</v>
      </c>
      <c r="D309" s="34" t="str">
        <f>VLOOKUP(C309,[1]SYS!$G$5:$H$360,2,FALSE)</f>
        <v>山陰幹線</v>
      </c>
      <c r="E309" s="37">
        <v>0</v>
      </c>
      <c r="F309" s="26">
        <v>0</v>
      </c>
      <c r="G309" s="26">
        <v>0</v>
      </c>
      <c r="H309" s="26">
        <v>0</v>
      </c>
      <c r="I309" s="26">
        <v>0</v>
      </c>
      <c r="J309" s="26">
        <v>0</v>
      </c>
      <c r="K309" s="26">
        <v>0</v>
      </c>
      <c r="L309" s="1">
        <v>2.6358373883775054E-4</v>
      </c>
      <c r="M309" s="63">
        <v>0</v>
      </c>
      <c r="N309" s="37">
        <v>0</v>
      </c>
      <c r="O309" s="26">
        <v>0</v>
      </c>
      <c r="P309" s="26">
        <v>0</v>
      </c>
      <c r="Q309" s="26">
        <v>0</v>
      </c>
      <c r="R309" s="26">
        <v>0</v>
      </c>
      <c r="S309" s="26">
        <v>0</v>
      </c>
      <c r="T309" s="26">
        <v>0</v>
      </c>
      <c r="U309" s="80">
        <v>0.25</v>
      </c>
      <c r="V309" s="27">
        <v>0</v>
      </c>
      <c r="W309" s="68">
        <v>0</v>
      </c>
      <c r="X309" s="30">
        <v>0</v>
      </c>
      <c r="Y309" s="30">
        <v>0</v>
      </c>
      <c r="Z309" s="30">
        <v>0</v>
      </c>
      <c r="AA309" s="30">
        <v>0</v>
      </c>
      <c r="AB309" s="30">
        <v>0</v>
      </c>
      <c r="AC309" s="30">
        <v>0</v>
      </c>
      <c r="AD309" s="1">
        <v>2.7378975430146869E-2</v>
      </c>
      <c r="AE309" s="25">
        <v>0</v>
      </c>
      <c r="AG309" s="30">
        <f t="shared" si="17"/>
        <v>2.6358373883775054E-4</v>
      </c>
      <c r="AH309" s="30">
        <f t="shared" si="14"/>
        <v>0.25</v>
      </c>
      <c r="AI309" s="30">
        <f t="shared" si="15"/>
        <v>2.7378975430146869E-2</v>
      </c>
    </row>
    <row r="310" spans="2:35" ht="15.75" thickBot="1" x14ac:dyDescent="0.2">
      <c r="B310" t="s">
        <v>322</v>
      </c>
      <c r="C310" s="22">
        <f>VLOOKUP(B310,[1]SYS!$F$5:$G$360,2,FALSE)</f>
        <v>305</v>
      </c>
      <c r="D310" s="34" t="str">
        <f>VLOOKUP(C310,[1]SYS!$G$5:$H$360,2,FALSE)</f>
        <v>広島東幹線</v>
      </c>
      <c r="E310" s="37">
        <v>0</v>
      </c>
      <c r="F310" s="26">
        <v>0</v>
      </c>
      <c r="G310" s="26">
        <v>0</v>
      </c>
      <c r="H310" s="26">
        <v>0</v>
      </c>
      <c r="I310" s="26">
        <v>0</v>
      </c>
      <c r="J310" s="26">
        <v>0</v>
      </c>
      <c r="K310" s="26">
        <v>0</v>
      </c>
      <c r="L310" s="1">
        <v>1.899509929004991E-3</v>
      </c>
      <c r="M310" s="63">
        <v>0</v>
      </c>
      <c r="N310" s="37">
        <v>0</v>
      </c>
      <c r="O310" s="26">
        <v>0</v>
      </c>
      <c r="P310" s="26">
        <v>0</v>
      </c>
      <c r="Q310" s="26">
        <v>0</v>
      </c>
      <c r="R310" s="26">
        <v>0</v>
      </c>
      <c r="S310" s="26">
        <v>0</v>
      </c>
      <c r="T310" s="26">
        <v>0</v>
      </c>
      <c r="U310" s="1">
        <v>0</v>
      </c>
      <c r="V310" s="27">
        <v>0</v>
      </c>
      <c r="W310" s="68">
        <v>0</v>
      </c>
      <c r="X310" s="30">
        <v>0</v>
      </c>
      <c r="Y310" s="30">
        <v>0</v>
      </c>
      <c r="Z310" s="30">
        <v>0</v>
      </c>
      <c r="AA310" s="30">
        <v>0</v>
      </c>
      <c r="AB310" s="30">
        <v>0</v>
      </c>
      <c r="AC310" s="30">
        <v>0</v>
      </c>
      <c r="AD310" s="1">
        <v>3.1282671811871221E-2</v>
      </c>
      <c r="AE310" s="25">
        <v>0</v>
      </c>
      <c r="AG310" s="30">
        <f t="shared" si="17"/>
        <v>1.899509929004991E-3</v>
      </c>
      <c r="AH310" s="30">
        <f t="shared" si="14"/>
        <v>0</v>
      </c>
      <c r="AI310" s="30">
        <f t="shared" si="15"/>
        <v>3.1282671811871221E-2</v>
      </c>
    </row>
    <row r="311" spans="2:35" ht="15.75" thickBot="1" x14ac:dyDescent="0.2">
      <c r="B311" t="s">
        <v>323</v>
      </c>
      <c r="C311" s="22">
        <f>VLOOKUP(B311,[1]SYS!$F$5:$G$360,2,FALSE)</f>
        <v>306</v>
      </c>
      <c r="D311" s="34" t="str">
        <f>VLOOKUP(C311,[1]SYS!$G$5:$H$360,2,FALSE)</f>
        <v>岡山幹線</v>
      </c>
      <c r="E311" s="37">
        <v>0</v>
      </c>
      <c r="F311" s="26">
        <v>0</v>
      </c>
      <c r="G311" s="26">
        <v>0</v>
      </c>
      <c r="H311" s="26">
        <v>0</v>
      </c>
      <c r="I311" s="26">
        <v>0</v>
      </c>
      <c r="J311" s="26">
        <v>0</v>
      </c>
      <c r="K311" s="26">
        <v>0</v>
      </c>
      <c r="L311" s="1">
        <v>2.2099806432221106E-2</v>
      </c>
      <c r="M311" s="63">
        <v>0</v>
      </c>
      <c r="N311" s="37">
        <v>0</v>
      </c>
      <c r="O311" s="26">
        <v>0</v>
      </c>
      <c r="P311" s="26">
        <v>0</v>
      </c>
      <c r="Q311" s="26">
        <v>0</v>
      </c>
      <c r="R311" s="26">
        <v>0</v>
      </c>
      <c r="S311" s="26">
        <v>0</v>
      </c>
      <c r="T311" s="26">
        <v>0</v>
      </c>
      <c r="U311" s="1">
        <v>0</v>
      </c>
      <c r="V311" s="27">
        <v>0</v>
      </c>
      <c r="W311" s="68">
        <v>0</v>
      </c>
      <c r="X311" s="30">
        <v>0</v>
      </c>
      <c r="Y311" s="30">
        <v>0</v>
      </c>
      <c r="Z311" s="30">
        <v>0</v>
      </c>
      <c r="AA311" s="30">
        <v>0</v>
      </c>
      <c r="AB311" s="30">
        <v>0</v>
      </c>
      <c r="AC311" s="30">
        <v>0</v>
      </c>
      <c r="AD311" s="1">
        <v>3.9739643115115672E-2</v>
      </c>
      <c r="AE311" s="25">
        <v>0</v>
      </c>
      <c r="AG311" s="30">
        <f t="shared" si="17"/>
        <v>2.2099806432221106E-2</v>
      </c>
      <c r="AH311" s="30">
        <f t="shared" si="14"/>
        <v>0</v>
      </c>
      <c r="AI311" s="30">
        <f t="shared" si="15"/>
        <v>3.9739643115115672E-2</v>
      </c>
    </row>
    <row r="312" spans="2:35" ht="15.75" thickBot="1" x14ac:dyDescent="0.2">
      <c r="B312" t="s">
        <v>324</v>
      </c>
      <c r="C312" s="22">
        <f>VLOOKUP(B312,[1]SYS!$F$5:$G$360,2,FALSE)</f>
        <v>307</v>
      </c>
      <c r="D312" s="34" t="str">
        <f>VLOOKUP(C312,[1]SYS!$G$5:$H$360,2,FALSE)</f>
        <v>脊振変電所</v>
      </c>
      <c r="E312" s="37">
        <v>0</v>
      </c>
      <c r="F312" s="26">
        <v>0</v>
      </c>
      <c r="G312" s="26">
        <v>0</v>
      </c>
      <c r="H312" s="26">
        <v>0</v>
      </c>
      <c r="I312" s="26">
        <v>0</v>
      </c>
      <c r="J312" s="26">
        <v>0</v>
      </c>
      <c r="K312" s="26">
        <v>0</v>
      </c>
      <c r="L312" s="26">
        <v>0</v>
      </c>
      <c r="M312" s="64">
        <v>3.7483388220502942E-2</v>
      </c>
      <c r="N312" s="37">
        <v>0</v>
      </c>
      <c r="O312" s="26">
        <v>0</v>
      </c>
      <c r="P312" s="26">
        <v>0</v>
      </c>
      <c r="Q312" s="26">
        <v>0</v>
      </c>
      <c r="R312" s="26">
        <v>0</v>
      </c>
      <c r="S312" s="26">
        <v>0</v>
      </c>
      <c r="T312" s="26">
        <v>0</v>
      </c>
      <c r="U312" s="26">
        <v>0</v>
      </c>
      <c r="V312" s="72">
        <v>0</v>
      </c>
      <c r="W312" s="68">
        <v>0</v>
      </c>
      <c r="X312" s="30">
        <v>0</v>
      </c>
      <c r="Y312" s="30">
        <v>0</v>
      </c>
      <c r="Z312" s="30">
        <v>0</v>
      </c>
      <c r="AA312" s="30">
        <v>0</v>
      </c>
      <c r="AB312" s="30">
        <v>0</v>
      </c>
      <c r="AC312" s="30">
        <v>0</v>
      </c>
      <c r="AD312" s="30">
        <v>0</v>
      </c>
      <c r="AE312" s="3">
        <v>7.4613766476901979E-3</v>
      </c>
      <c r="AG312" s="30">
        <f t="shared" si="17"/>
        <v>3.7483388220502942E-2</v>
      </c>
      <c r="AH312" s="30">
        <f t="shared" si="14"/>
        <v>0</v>
      </c>
      <c r="AI312" s="30">
        <f t="shared" si="15"/>
        <v>7.4613766476901979E-3</v>
      </c>
    </row>
    <row r="313" spans="2:35" ht="15.75" thickBot="1" x14ac:dyDescent="0.2">
      <c r="B313" t="s">
        <v>325</v>
      </c>
      <c r="C313" s="22">
        <f>VLOOKUP(B313,[1]SYS!$F$5:$G$360,2,FALSE)</f>
        <v>308</v>
      </c>
      <c r="D313" s="34" t="str">
        <f>VLOOKUP(C313,[1]SYS!$G$5:$H$360,2,FALSE)</f>
        <v>北九州変電所</v>
      </c>
      <c r="E313" s="37">
        <v>0</v>
      </c>
      <c r="F313" s="26">
        <v>0</v>
      </c>
      <c r="G313" s="26">
        <v>0</v>
      </c>
      <c r="H313" s="26">
        <v>0</v>
      </c>
      <c r="I313" s="26">
        <v>0</v>
      </c>
      <c r="J313" s="26">
        <v>0</v>
      </c>
      <c r="K313" s="26">
        <v>0</v>
      </c>
      <c r="L313" s="26">
        <v>0</v>
      </c>
      <c r="M313" s="64">
        <v>2.811097412150608E-2</v>
      </c>
      <c r="N313" s="37">
        <v>0</v>
      </c>
      <c r="O313" s="26">
        <v>0</v>
      </c>
      <c r="P313" s="26">
        <v>0</v>
      </c>
      <c r="Q313" s="26">
        <v>0</v>
      </c>
      <c r="R313" s="26">
        <v>0</v>
      </c>
      <c r="S313" s="26">
        <v>0</v>
      </c>
      <c r="T313" s="26">
        <v>0</v>
      </c>
      <c r="U313" s="26">
        <v>0</v>
      </c>
      <c r="V313" s="3">
        <v>0.2</v>
      </c>
      <c r="W313" s="68">
        <v>0</v>
      </c>
      <c r="X313" s="30">
        <v>0</v>
      </c>
      <c r="Y313" s="30">
        <v>0</v>
      </c>
      <c r="Z313" s="30">
        <v>0</v>
      </c>
      <c r="AA313" s="30">
        <v>0</v>
      </c>
      <c r="AB313" s="30">
        <v>0</v>
      </c>
      <c r="AC313" s="30">
        <v>0</v>
      </c>
      <c r="AD313" s="30">
        <v>0</v>
      </c>
      <c r="AE313" s="3">
        <v>8.6800959276404285E-3</v>
      </c>
      <c r="AG313" s="30">
        <f t="shared" si="17"/>
        <v>2.811097412150608E-2</v>
      </c>
      <c r="AH313" s="30">
        <f t="shared" si="14"/>
        <v>0.2</v>
      </c>
      <c r="AI313" s="30">
        <f t="shared" si="15"/>
        <v>8.6800959276404285E-3</v>
      </c>
    </row>
    <row r="314" spans="2:35" ht="15.75" thickBot="1" x14ac:dyDescent="0.2">
      <c r="B314" t="s">
        <v>326</v>
      </c>
      <c r="C314" s="22">
        <f>VLOOKUP(B314,[1]SYS!$F$5:$G$360,2,FALSE)</f>
        <v>309</v>
      </c>
      <c r="D314" s="34" t="str">
        <f>VLOOKUP(C314,[1]SYS!$G$5:$H$360,2,FALSE)</f>
        <v>豊前変電所</v>
      </c>
      <c r="E314" s="37">
        <v>0</v>
      </c>
      <c r="F314" s="26">
        <v>0</v>
      </c>
      <c r="G314" s="26">
        <v>0</v>
      </c>
      <c r="H314" s="26">
        <v>0</v>
      </c>
      <c r="I314" s="26">
        <v>0</v>
      </c>
      <c r="J314" s="26">
        <v>0</v>
      </c>
      <c r="K314" s="26">
        <v>0</v>
      </c>
      <c r="L314" s="26">
        <v>0</v>
      </c>
      <c r="M314" s="64">
        <v>6.7699524457536797E-3</v>
      </c>
      <c r="N314" s="37">
        <v>0</v>
      </c>
      <c r="O314" s="26">
        <v>0</v>
      </c>
      <c r="P314" s="26">
        <v>0</v>
      </c>
      <c r="Q314" s="26">
        <v>0</v>
      </c>
      <c r="R314" s="26">
        <v>0</v>
      </c>
      <c r="S314" s="26">
        <v>0</v>
      </c>
      <c r="T314" s="26">
        <v>0</v>
      </c>
      <c r="U314" s="26">
        <v>0</v>
      </c>
      <c r="V314" s="72">
        <v>0</v>
      </c>
      <c r="W314" s="68">
        <v>0</v>
      </c>
      <c r="X314" s="30">
        <v>0</v>
      </c>
      <c r="Y314" s="30">
        <v>0</v>
      </c>
      <c r="Z314" s="30">
        <v>0</v>
      </c>
      <c r="AA314" s="30">
        <v>0</v>
      </c>
      <c r="AB314" s="30">
        <v>0</v>
      </c>
      <c r="AC314" s="30">
        <v>0</v>
      </c>
      <c r="AD314" s="30">
        <v>0</v>
      </c>
      <c r="AE314" s="3">
        <v>2.258352141288044E-2</v>
      </c>
      <c r="AG314" s="30">
        <f t="shared" si="17"/>
        <v>6.7699524457536797E-3</v>
      </c>
      <c r="AH314" s="30">
        <f t="shared" si="14"/>
        <v>0</v>
      </c>
      <c r="AI314" s="30">
        <f t="shared" si="15"/>
        <v>2.258352141288044E-2</v>
      </c>
    </row>
    <row r="315" spans="2:35" ht="15.75" thickBot="1" x14ac:dyDescent="0.2">
      <c r="B315" t="s">
        <v>327</v>
      </c>
      <c r="C315" s="22">
        <f>VLOOKUP(B315,[1]SYS!$F$5:$G$360,2,FALSE)</f>
        <v>310</v>
      </c>
      <c r="D315" s="34" t="str">
        <f>VLOOKUP(C315,[1]SYS!$G$5:$H$360,2,FALSE)</f>
        <v>中央変電所</v>
      </c>
      <c r="E315" s="37">
        <v>0</v>
      </c>
      <c r="F315" s="26">
        <v>0</v>
      </c>
      <c r="G315" s="26">
        <v>0</v>
      </c>
      <c r="H315" s="26">
        <v>0</v>
      </c>
      <c r="I315" s="26">
        <v>0</v>
      </c>
      <c r="J315" s="26">
        <v>0</v>
      </c>
      <c r="K315" s="26">
        <v>0</v>
      </c>
      <c r="L315" s="26">
        <v>0</v>
      </c>
      <c r="M315" s="64">
        <v>5.7870809291316501E-2</v>
      </c>
      <c r="N315" s="37">
        <v>0</v>
      </c>
      <c r="O315" s="26">
        <v>0</v>
      </c>
      <c r="P315" s="26">
        <v>0</v>
      </c>
      <c r="Q315" s="26">
        <v>0</v>
      </c>
      <c r="R315" s="26">
        <v>0</v>
      </c>
      <c r="S315" s="26">
        <v>0</v>
      </c>
      <c r="T315" s="26">
        <v>0</v>
      </c>
      <c r="U315" s="26">
        <v>0</v>
      </c>
      <c r="V315" s="72">
        <v>0</v>
      </c>
      <c r="W315" s="68">
        <v>0</v>
      </c>
      <c r="X315" s="30">
        <v>0</v>
      </c>
      <c r="Y315" s="30">
        <v>0</v>
      </c>
      <c r="Z315" s="30">
        <v>0</v>
      </c>
      <c r="AA315" s="30">
        <v>0</v>
      </c>
      <c r="AB315" s="30">
        <v>0</v>
      </c>
      <c r="AC315" s="30">
        <v>0</v>
      </c>
      <c r="AD315" s="30">
        <v>0</v>
      </c>
      <c r="AE315" s="3">
        <v>1.5091347556576984E-2</v>
      </c>
      <c r="AG315" s="30">
        <f t="shared" si="17"/>
        <v>5.7870809291316501E-2</v>
      </c>
      <c r="AH315" s="30">
        <f t="shared" si="14"/>
        <v>0</v>
      </c>
      <c r="AI315" s="30">
        <f t="shared" si="15"/>
        <v>1.5091347556576984E-2</v>
      </c>
    </row>
    <row r="316" spans="2:35" ht="15.75" thickBot="1" x14ac:dyDescent="0.2">
      <c r="B316" t="s">
        <v>328</v>
      </c>
      <c r="C316" s="22">
        <f>VLOOKUP(B316,[1]SYS!$F$5:$G$360,2,FALSE)</f>
        <v>311</v>
      </c>
      <c r="D316" s="34" t="str">
        <f>VLOOKUP(C316,[1]SYS!$G$5:$H$360,2,FALSE)</f>
        <v>東九州変電所</v>
      </c>
      <c r="E316" s="37">
        <v>0</v>
      </c>
      <c r="F316" s="26">
        <v>0</v>
      </c>
      <c r="G316" s="26">
        <v>0</v>
      </c>
      <c r="H316" s="26">
        <v>0</v>
      </c>
      <c r="I316" s="26">
        <v>0</v>
      </c>
      <c r="J316" s="26">
        <v>0</v>
      </c>
      <c r="K316" s="26">
        <v>0</v>
      </c>
      <c r="L316" s="26">
        <v>0</v>
      </c>
      <c r="M316" s="64">
        <v>1.0899538807327641E-2</v>
      </c>
      <c r="N316" s="37">
        <v>0</v>
      </c>
      <c r="O316" s="26">
        <v>0</v>
      </c>
      <c r="P316" s="26">
        <v>0</v>
      </c>
      <c r="Q316" s="26">
        <v>0</v>
      </c>
      <c r="R316" s="26">
        <v>0</v>
      </c>
      <c r="S316" s="26">
        <v>0</v>
      </c>
      <c r="T316" s="26">
        <v>0</v>
      </c>
      <c r="U316" s="26">
        <v>0</v>
      </c>
      <c r="V316" s="72">
        <v>0</v>
      </c>
      <c r="W316" s="68">
        <v>0</v>
      </c>
      <c r="X316" s="30">
        <v>0</v>
      </c>
      <c r="Y316" s="30">
        <v>0</v>
      </c>
      <c r="Z316" s="30">
        <v>0</v>
      </c>
      <c r="AA316" s="30">
        <v>0</v>
      </c>
      <c r="AB316" s="30">
        <v>0</v>
      </c>
      <c r="AC316" s="30">
        <v>0</v>
      </c>
      <c r="AD316" s="30">
        <v>0</v>
      </c>
      <c r="AE316" s="3">
        <v>1.6465359264522042E-2</v>
      </c>
      <c r="AG316" s="30">
        <f t="shared" si="17"/>
        <v>1.0899538807327641E-2</v>
      </c>
      <c r="AH316" s="30">
        <f t="shared" si="14"/>
        <v>0</v>
      </c>
      <c r="AI316" s="30">
        <f t="shared" si="15"/>
        <v>1.6465359264522042E-2</v>
      </c>
    </row>
    <row r="317" spans="2:35" ht="15.75" thickBot="1" x14ac:dyDescent="0.2">
      <c r="B317" t="s">
        <v>329</v>
      </c>
      <c r="C317" s="22">
        <f>VLOOKUP(B317,[1]SYS!$F$5:$G$360,2,FALSE)</f>
        <v>312</v>
      </c>
      <c r="D317" s="34" t="str">
        <f>VLOOKUP(C317,[1]SYS!$G$5:$H$360,2,FALSE)</f>
        <v>西九州変電所</v>
      </c>
      <c r="E317" s="37">
        <v>0</v>
      </c>
      <c r="F317" s="26">
        <v>0</v>
      </c>
      <c r="G317" s="26">
        <v>0</v>
      </c>
      <c r="H317" s="26">
        <v>0</v>
      </c>
      <c r="I317" s="26">
        <v>0</v>
      </c>
      <c r="J317" s="26">
        <v>0</v>
      </c>
      <c r="K317" s="26">
        <v>0</v>
      </c>
      <c r="L317" s="26">
        <v>0</v>
      </c>
      <c r="M317" s="64">
        <v>4.8735852670849216E-3</v>
      </c>
      <c r="N317" s="37">
        <v>0</v>
      </c>
      <c r="O317" s="26">
        <v>0</v>
      </c>
      <c r="P317" s="26">
        <v>0</v>
      </c>
      <c r="Q317" s="26">
        <v>0</v>
      </c>
      <c r="R317" s="26">
        <v>0</v>
      </c>
      <c r="S317" s="26">
        <v>0</v>
      </c>
      <c r="T317" s="26">
        <v>0</v>
      </c>
      <c r="U317" s="26">
        <v>0</v>
      </c>
      <c r="V317" s="72">
        <v>0</v>
      </c>
      <c r="W317" s="68">
        <v>0</v>
      </c>
      <c r="X317" s="30">
        <v>0</v>
      </c>
      <c r="Y317" s="30">
        <v>0</v>
      </c>
      <c r="Z317" s="30">
        <v>0</v>
      </c>
      <c r="AA317" s="30">
        <v>0</v>
      </c>
      <c r="AB317" s="30">
        <v>0</v>
      </c>
      <c r="AC317" s="30">
        <v>0</v>
      </c>
      <c r="AD317" s="30">
        <v>0</v>
      </c>
      <c r="AE317" s="3">
        <v>1.1384367964824975E-2</v>
      </c>
      <c r="AG317" s="30">
        <f t="shared" si="17"/>
        <v>4.8735852670849216E-3</v>
      </c>
      <c r="AH317" s="30">
        <f t="shared" si="14"/>
        <v>0</v>
      </c>
      <c r="AI317" s="30">
        <f t="shared" si="15"/>
        <v>1.1384367964824975E-2</v>
      </c>
    </row>
    <row r="318" spans="2:35" ht="15.75" thickBot="1" x14ac:dyDescent="0.2">
      <c r="B318" t="s">
        <v>330</v>
      </c>
      <c r="C318" s="22">
        <f>VLOOKUP(B318,[1]SYS!$F$5:$G$360,2,FALSE)</f>
        <v>313</v>
      </c>
      <c r="D318" s="34" t="str">
        <f>VLOOKUP(C318,[1]SYS!$G$5:$H$360,2,FALSE)</f>
        <v>熊本変電所</v>
      </c>
      <c r="E318" s="37">
        <v>0</v>
      </c>
      <c r="F318" s="26">
        <v>0</v>
      </c>
      <c r="G318" s="26">
        <v>0</v>
      </c>
      <c r="H318" s="26">
        <v>0</v>
      </c>
      <c r="I318" s="26">
        <v>0</v>
      </c>
      <c r="J318" s="26">
        <v>0</v>
      </c>
      <c r="K318" s="26">
        <v>0</v>
      </c>
      <c r="L318" s="26">
        <v>0</v>
      </c>
      <c r="M318" s="64">
        <v>1.6933496910955781E-3</v>
      </c>
      <c r="N318" s="37">
        <v>0</v>
      </c>
      <c r="O318" s="26">
        <v>0</v>
      </c>
      <c r="P318" s="26">
        <v>0</v>
      </c>
      <c r="Q318" s="26">
        <v>0</v>
      </c>
      <c r="R318" s="26">
        <v>0</v>
      </c>
      <c r="S318" s="26">
        <v>0</v>
      </c>
      <c r="T318" s="26">
        <v>0</v>
      </c>
      <c r="U318" s="26">
        <v>0</v>
      </c>
      <c r="V318" s="72">
        <v>0</v>
      </c>
      <c r="W318" s="68">
        <v>0</v>
      </c>
      <c r="X318" s="30">
        <v>0</v>
      </c>
      <c r="Y318" s="30">
        <v>0</v>
      </c>
      <c r="Z318" s="30">
        <v>0</v>
      </c>
      <c r="AA318" s="30">
        <v>0</v>
      </c>
      <c r="AB318" s="30">
        <v>0</v>
      </c>
      <c r="AC318" s="30">
        <v>0</v>
      </c>
      <c r="AD318" s="30">
        <v>0</v>
      </c>
      <c r="AE318" s="3">
        <v>2.1126798868525483E-2</v>
      </c>
      <c r="AG318" s="30">
        <f t="shared" si="17"/>
        <v>1.6933496910955781E-3</v>
      </c>
      <c r="AH318" s="30">
        <f t="shared" si="14"/>
        <v>0</v>
      </c>
      <c r="AI318" s="30">
        <f t="shared" si="15"/>
        <v>2.1126798868525483E-2</v>
      </c>
    </row>
    <row r="319" spans="2:35" ht="15.75" thickBot="1" x14ac:dyDescent="0.2">
      <c r="B319" t="s">
        <v>331</v>
      </c>
      <c r="C319" s="22">
        <f>VLOOKUP(B319,[1]SYS!$F$5:$G$360,2,FALSE)</f>
        <v>314</v>
      </c>
      <c r="D319" s="34" t="str">
        <f>VLOOKUP(C319,[1]SYS!$G$5:$H$360,2,FALSE)</f>
        <v>中九州変電所</v>
      </c>
      <c r="E319" s="37">
        <v>0</v>
      </c>
      <c r="F319" s="26">
        <v>0</v>
      </c>
      <c r="G319" s="26">
        <v>0</v>
      </c>
      <c r="H319" s="26">
        <v>0</v>
      </c>
      <c r="I319" s="26">
        <v>0</v>
      </c>
      <c r="J319" s="26">
        <v>0</v>
      </c>
      <c r="K319" s="26">
        <v>0</v>
      </c>
      <c r="L319" s="26">
        <v>0</v>
      </c>
      <c r="M319" s="64">
        <v>1.4820402355021563E-4</v>
      </c>
      <c r="N319" s="37">
        <v>0</v>
      </c>
      <c r="O319" s="26">
        <v>0</v>
      </c>
      <c r="P319" s="26">
        <v>0</v>
      </c>
      <c r="Q319" s="26">
        <v>0</v>
      </c>
      <c r="R319" s="26">
        <v>0</v>
      </c>
      <c r="S319" s="26">
        <v>0</v>
      </c>
      <c r="T319" s="26">
        <v>0</v>
      </c>
      <c r="U319" s="26">
        <v>0</v>
      </c>
      <c r="V319" s="72">
        <v>0</v>
      </c>
      <c r="W319" s="68">
        <v>0</v>
      </c>
      <c r="X319" s="30">
        <v>0</v>
      </c>
      <c r="Y319" s="30">
        <v>0</v>
      </c>
      <c r="Z319" s="30">
        <v>0</v>
      </c>
      <c r="AA319" s="30">
        <v>0</v>
      </c>
      <c r="AB319" s="30">
        <v>0</v>
      </c>
      <c r="AC319" s="30">
        <v>0</v>
      </c>
      <c r="AD319" s="30">
        <v>0</v>
      </c>
      <c r="AE319" s="3">
        <v>8.5209424369107559E-3</v>
      </c>
      <c r="AG319" s="30">
        <f t="shared" si="17"/>
        <v>1.4820402355021563E-4</v>
      </c>
      <c r="AH319" s="30">
        <f t="shared" si="14"/>
        <v>0</v>
      </c>
      <c r="AI319" s="30">
        <f t="shared" si="15"/>
        <v>8.5209424369107559E-3</v>
      </c>
    </row>
    <row r="320" spans="2:35" ht="15.75" thickBot="1" x14ac:dyDescent="0.2">
      <c r="B320" t="s">
        <v>332</v>
      </c>
      <c r="C320" s="22">
        <f>VLOOKUP(B320,[1]SYS!$F$5:$G$360,2,FALSE)</f>
        <v>315</v>
      </c>
      <c r="D320" s="34" t="str">
        <f>VLOOKUP(C320,[1]SYS!$G$5:$H$360,2,FALSE)</f>
        <v>南九州変電所</v>
      </c>
      <c r="E320" s="37">
        <v>0</v>
      </c>
      <c r="F320" s="26">
        <v>0</v>
      </c>
      <c r="G320" s="26">
        <v>0</v>
      </c>
      <c r="H320" s="26">
        <v>0</v>
      </c>
      <c r="I320" s="26">
        <v>0</v>
      </c>
      <c r="J320" s="26">
        <v>0</v>
      </c>
      <c r="K320" s="26">
        <v>0</v>
      </c>
      <c r="L320" s="26">
        <v>0</v>
      </c>
      <c r="M320" s="64">
        <v>1.1120364871875803E-2</v>
      </c>
      <c r="N320" s="37">
        <v>0</v>
      </c>
      <c r="O320" s="26">
        <v>0</v>
      </c>
      <c r="P320" s="26">
        <v>0</v>
      </c>
      <c r="Q320" s="26">
        <v>0</v>
      </c>
      <c r="R320" s="26">
        <v>0</v>
      </c>
      <c r="S320" s="26">
        <v>0</v>
      </c>
      <c r="T320" s="26">
        <v>0</v>
      </c>
      <c r="U320" s="26">
        <v>0</v>
      </c>
      <c r="V320" s="72">
        <v>0</v>
      </c>
      <c r="W320" s="68">
        <v>0</v>
      </c>
      <c r="X320" s="30">
        <v>0</v>
      </c>
      <c r="Y320" s="30">
        <v>0</v>
      </c>
      <c r="Z320" s="30">
        <v>0</v>
      </c>
      <c r="AA320" s="30">
        <v>0</v>
      </c>
      <c r="AB320" s="30">
        <v>0</v>
      </c>
      <c r="AC320" s="30">
        <v>0</v>
      </c>
      <c r="AD320" s="30">
        <v>0</v>
      </c>
      <c r="AE320" s="3">
        <v>3.7817154870557042E-2</v>
      </c>
      <c r="AG320" s="30">
        <f t="shared" si="17"/>
        <v>1.1120364871875803E-2</v>
      </c>
      <c r="AH320" s="30">
        <f t="shared" si="14"/>
        <v>0</v>
      </c>
      <c r="AI320" s="30">
        <f t="shared" si="15"/>
        <v>3.7817154870557042E-2</v>
      </c>
    </row>
    <row r="321" spans="2:35" ht="15.75" thickBot="1" x14ac:dyDescent="0.2">
      <c r="B321" t="s">
        <v>333</v>
      </c>
      <c r="C321" s="22">
        <f>VLOOKUP(B321,[1]SYS!$F$5:$G$360,2,FALSE)</f>
        <v>316</v>
      </c>
      <c r="D321" s="34" t="str">
        <f>VLOOKUP(C321,[1]SYS!$G$5:$H$360,2,FALSE)</f>
        <v>宮崎変電所</v>
      </c>
      <c r="E321" s="37">
        <v>0</v>
      </c>
      <c r="F321" s="26">
        <v>0</v>
      </c>
      <c r="G321" s="26">
        <v>0</v>
      </c>
      <c r="H321" s="26">
        <v>0</v>
      </c>
      <c r="I321" s="26">
        <v>0</v>
      </c>
      <c r="J321" s="26">
        <v>0</v>
      </c>
      <c r="K321" s="26">
        <v>0</v>
      </c>
      <c r="L321" s="26">
        <v>0</v>
      </c>
      <c r="M321" s="64">
        <v>1.7886422676764693E-3</v>
      </c>
      <c r="N321" s="37">
        <v>0</v>
      </c>
      <c r="O321" s="26">
        <v>0</v>
      </c>
      <c r="P321" s="26">
        <v>0</v>
      </c>
      <c r="Q321" s="26">
        <v>0</v>
      </c>
      <c r="R321" s="26">
        <v>0</v>
      </c>
      <c r="S321" s="26">
        <v>0</v>
      </c>
      <c r="T321" s="26">
        <v>0</v>
      </c>
      <c r="U321" s="26">
        <v>0</v>
      </c>
      <c r="V321" s="72">
        <v>0</v>
      </c>
      <c r="W321" s="68">
        <v>0</v>
      </c>
      <c r="X321" s="30">
        <v>0</v>
      </c>
      <c r="Y321" s="30">
        <v>0</v>
      </c>
      <c r="Z321" s="30">
        <v>0</v>
      </c>
      <c r="AA321" s="30">
        <v>0</v>
      </c>
      <c r="AB321" s="30">
        <v>0</v>
      </c>
      <c r="AC321" s="30">
        <v>0</v>
      </c>
      <c r="AD321" s="30">
        <v>0</v>
      </c>
      <c r="AE321" s="3">
        <v>2.8980732548313203E-2</v>
      </c>
      <c r="AG321" s="30">
        <f t="shared" si="17"/>
        <v>1.7886422676764693E-3</v>
      </c>
      <c r="AH321" s="30">
        <f t="shared" si="14"/>
        <v>0</v>
      </c>
      <c r="AI321" s="30">
        <f t="shared" si="15"/>
        <v>2.8980732548313203E-2</v>
      </c>
    </row>
    <row r="322" spans="2:35" ht="15.75" thickBot="1" x14ac:dyDescent="0.2">
      <c r="B322" t="s">
        <v>334</v>
      </c>
      <c r="C322" s="22">
        <f>VLOOKUP(B322,[1]SYS!$F$5:$G$360,2,FALSE)</f>
        <v>317</v>
      </c>
      <c r="D322" s="34" t="str">
        <f>VLOOKUP(C322,[1]SYS!$G$5:$H$360,2,FALSE)</f>
        <v>西谷変電所</v>
      </c>
      <c r="E322" s="37">
        <v>0</v>
      </c>
      <c r="F322" s="26">
        <v>0</v>
      </c>
      <c r="G322" s="26">
        <v>0</v>
      </c>
      <c r="H322" s="26">
        <v>0</v>
      </c>
      <c r="I322" s="26">
        <v>0</v>
      </c>
      <c r="J322" s="26">
        <v>0</v>
      </c>
      <c r="K322" s="26">
        <v>0</v>
      </c>
      <c r="L322" s="26">
        <v>0</v>
      </c>
      <c r="M322" s="64">
        <v>7.8222698378532154E-3</v>
      </c>
      <c r="N322" s="37">
        <v>0</v>
      </c>
      <c r="O322" s="26">
        <v>0</v>
      </c>
      <c r="P322" s="26">
        <v>0</v>
      </c>
      <c r="Q322" s="26">
        <v>0</v>
      </c>
      <c r="R322" s="26">
        <v>0</v>
      </c>
      <c r="S322" s="26">
        <v>0</v>
      </c>
      <c r="T322" s="26">
        <v>0</v>
      </c>
      <c r="U322" s="26">
        <v>0</v>
      </c>
      <c r="V322" s="72">
        <v>0</v>
      </c>
      <c r="W322" s="68">
        <v>0</v>
      </c>
      <c r="X322" s="30">
        <v>0</v>
      </c>
      <c r="Y322" s="30">
        <v>0</v>
      </c>
      <c r="Z322" s="30">
        <v>0</v>
      </c>
      <c r="AA322" s="30">
        <v>0</v>
      </c>
      <c r="AB322" s="30">
        <v>0</v>
      </c>
      <c r="AC322" s="30">
        <v>0</v>
      </c>
      <c r="AD322" s="30">
        <v>0</v>
      </c>
      <c r="AE322" s="3">
        <v>1.0905610053919356E-2</v>
      </c>
      <c r="AG322" s="30">
        <f t="shared" si="17"/>
        <v>7.8222698378532154E-3</v>
      </c>
      <c r="AH322" s="30">
        <f t="shared" si="14"/>
        <v>0</v>
      </c>
      <c r="AI322" s="30">
        <f t="shared" si="15"/>
        <v>1.0905610053919356E-2</v>
      </c>
    </row>
    <row r="323" spans="2:35" ht="15.75" thickBot="1" x14ac:dyDescent="0.2">
      <c r="B323" t="s">
        <v>335</v>
      </c>
      <c r="C323" s="22">
        <f>VLOOKUP(B323,[1]SYS!$F$5:$G$360,2,FALSE)</f>
        <v>318</v>
      </c>
      <c r="D323" s="34" t="str">
        <f>VLOOKUP(C323,[1]SYS!$G$5:$H$360,2,FALSE)</f>
        <v>槻田開閉所</v>
      </c>
      <c r="E323" s="37">
        <v>0</v>
      </c>
      <c r="F323" s="26">
        <v>0</v>
      </c>
      <c r="G323" s="26">
        <v>0</v>
      </c>
      <c r="H323" s="26">
        <v>0</v>
      </c>
      <c r="I323" s="26">
        <v>0</v>
      </c>
      <c r="J323" s="26">
        <v>0</v>
      </c>
      <c r="K323" s="26">
        <v>0</v>
      </c>
      <c r="L323" s="26">
        <v>0</v>
      </c>
      <c r="M323" s="64">
        <v>6.4679539617149111E-3</v>
      </c>
      <c r="N323" s="37">
        <v>0</v>
      </c>
      <c r="O323" s="26">
        <v>0</v>
      </c>
      <c r="P323" s="26">
        <v>0</v>
      </c>
      <c r="Q323" s="26">
        <v>0</v>
      </c>
      <c r="R323" s="26">
        <v>0</v>
      </c>
      <c r="S323" s="26">
        <v>0</v>
      </c>
      <c r="T323" s="26">
        <v>0</v>
      </c>
      <c r="U323" s="26">
        <v>0</v>
      </c>
      <c r="V323" s="72">
        <v>0</v>
      </c>
      <c r="W323" s="68">
        <v>0</v>
      </c>
      <c r="X323" s="30">
        <v>0</v>
      </c>
      <c r="Y323" s="30">
        <v>0</v>
      </c>
      <c r="Z323" s="30">
        <v>0</v>
      </c>
      <c r="AA323" s="30">
        <v>0</v>
      </c>
      <c r="AB323" s="30">
        <v>0</v>
      </c>
      <c r="AC323" s="30">
        <v>0</v>
      </c>
      <c r="AD323" s="30">
        <v>0</v>
      </c>
      <c r="AE323" s="3">
        <v>1.8808777667190418E-3</v>
      </c>
      <c r="AG323" s="30">
        <f t="shared" si="17"/>
        <v>6.4679539617149111E-3</v>
      </c>
      <c r="AH323" s="30">
        <f t="shared" si="14"/>
        <v>0</v>
      </c>
      <c r="AI323" s="30">
        <f t="shared" si="15"/>
        <v>1.8808777667190418E-3</v>
      </c>
    </row>
    <row r="324" spans="2:35" ht="15.75" thickBot="1" x14ac:dyDescent="0.2">
      <c r="B324" t="s">
        <v>336</v>
      </c>
      <c r="C324" s="22">
        <f>VLOOKUP(B324,[1]SYS!$F$5:$G$360,2,FALSE)</f>
        <v>319</v>
      </c>
      <c r="D324" s="34" t="str">
        <f>VLOOKUP(C324,[1]SYS!$G$5:$H$360,2,FALSE)</f>
        <v>上津役変電所</v>
      </c>
      <c r="E324" s="37">
        <v>0</v>
      </c>
      <c r="F324" s="26">
        <v>0</v>
      </c>
      <c r="G324" s="26">
        <v>0</v>
      </c>
      <c r="H324" s="26">
        <v>0</v>
      </c>
      <c r="I324" s="26">
        <v>0</v>
      </c>
      <c r="J324" s="26">
        <v>0</v>
      </c>
      <c r="K324" s="26">
        <v>0</v>
      </c>
      <c r="L324" s="26">
        <v>0</v>
      </c>
      <c r="M324" s="64">
        <v>6.0390973551567834E-2</v>
      </c>
      <c r="N324" s="37">
        <v>0</v>
      </c>
      <c r="O324" s="26">
        <v>0</v>
      </c>
      <c r="P324" s="26">
        <v>0</v>
      </c>
      <c r="Q324" s="26">
        <v>0</v>
      </c>
      <c r="R324" s="26">
        <v>0</v>
      </c>
      <c r="S324" s="26">
        <v>0</v>
      </c>
      <c r="T324" s="26">
        <v>0</v>
      </c>
      <c r="U324" s="26">
        <v>0</v>
      </c>
      <c r="V324" s="72">
        <v>0</v>
      </c>
      <c r="W324" s="68">
        <v>0</v>
      </c>
      <c r="X324" s="30">
        <v>0</v>
      </c>
      <c r="Y324" s="30">
        <v>0</v>
      </c>
      <c r="Z324" s="30">
        <v>0</v>
      </c>
      <c r="AA324" s="30">
        <v>0</v>
      </c>
      <c r="AB324" s="30">
        <v>0</v>
      </c>
      <c r="AC324" s="30">
        <v>0</v>
      </c>
      <c r="AD324" s="30">
        <v>0</v>
      </c>
      <c r="AE324" s="3">
        <v>2.9699190641940352E-2</v>
      </c>
      <c r="AG324" s="30">
        <f t="shared" si="17"/>
        <v>6.0390973551567834E-2</v>
      </c>
      <c r="AH324" s="30">
        <f t="shared" si="14"/>
        <v>0</v>
      </c>
      <c r="AI324" s="30">
        <f t="shared" si="15"/>
        <v>2.9699190641940352E-2</v>
      </c>
    </row>
    <row r="325" spans="2:35" ht="15.75" thickBot="1" x14ac:dyDescent="0.2">
      <c r="B325" t="s">
        <v>337</v>
      </c>
      <c r="C325" s="22">
        <f>VLOOKUP(B325,[1]SYS!$F$5:$G$360,2,FALSE)</f>
        <v>320</v>
      </c>
      <c r="D325" s="34" t="str">
        <f>VLOOKUP(C325,[1]SYS!$G$5:$H$360,2,FALSE)</f>
        <v>門司変電所</v>
      </c>
      <c r="E325" s="37">
        <v>0</v>
      </c>
      <c r="F325" s="26">
        <v>0</v>
      </c>
      <c r="G325" s="26">
        <v>0</v>
      </c>
      <c r="H325" s="26">
        <v>0</v>
      </c>
      <c r="I325" s="26">
        <v>0</v>
      </c>
      <c r="J325" s="26">
        <v>0</v>
      </c>
      <c r="K325" s="26">
        <v>0</v>
      </c>
      <c r="L325" s="26">
        <v>0</v>
      </c>
      <c r="M325" s="64">
        <v>1.3711118682340635E-2</v>
      </c>
      <c r="N325" s="37">
        <v>0</v>
      </c>
      <c r="O325" s="26">
        <v>0</v>
      </c>
      <c r="P325" s="26">
        <v>0</v>
      </c>
      <c r="Q325" s="26">
        <v>0</v>
      </c>
      <c r="R325" s="26">
        <v>0</v>
      </c>
      <c r="S325" s="26">
        <v>0</v>
      </c>
      <c r="T325" s="26">
        <v>0</v>
      </c>
      <c r="U325" s="26">
        <v>0</v>
      </c>
      <c r="V325" s="72">
        <v>0</v>
      </c>
      <c r="W325" s="68">
        <v>0</v>
      </c>
      <c r="X325" s="30">
        <v>0</v>
      </c>
      <c r="Y325" s="30">
        <v>0</v>
      </c>
      <c r="Z325" s="30">
        <v>0</v>
      </c>
      <c r="AA325" s="30">
        <v>0</v>
      </c>
      <c r="AB325" s="30">
        <v>0</v>
      </c>
      <c r="AC325" s="30">
        <v>0</v>
      </c>
      <c r="AD325" s="30">
        <v>0</v>
      </c>
      <c r="AE325" s="3">
        <v>6.1224000994922426E-3</v>
      </c>
      <c r="AG325" s="30">
        <f t="shared" si="17"/>
        <v>1.3711118682340635E-2</v>
      </c>
      <c r="AH325" s="30">
        <f t="shared" ref="AH325:AH360" si="18">SUM(N325:V325)</f>
        <v>0</v>
      </c>
      <c r="AI325" s="30">
        <f t="shared" si="15"/>
        <v>6.1224000994922426E-3</v>
      </c>
    </row>
    <row r="326" spans="2:35" ht="15.75" thickBot="1" x14ac:dyDescent="0.2">
      <c r="B326" t="s">
        <v>338</v>
      </c>
      <c r="C326" s="22">
        <f>VLOOKUP(B326,[1]SYS!$F$5:$G$360,2,FALSE)</f>
        <v>321</v>
      </c>
      <c r="D326" s="34" t="str">
        <f>VLOOKUP(C326,[1]SYS!$G$5:$H$360,2,FALSE)</f>
        <v>苅田変電所</v>
      </c>
      <c r="E326" s="37">
        <v>0</v>
      </c>
      <c r="F326" s="26">
        <v>0</v>
      </c>
      <c r="G326" s="26">
        <v>0</v>
      </c>
      <c r="H326" s="26">
        <v>0</v>
      </c>
      <c r="I326" s="26">
        <v>0</v>
      </c>
      <c r="J326" s="26">
        <v>0</v>
      </c>
      <c r="K326" s="26">
        <v>0</v>
      </c>
      <c r="L326" s="26">
        <v>0</v>
      </c>
      <c r="M326" s="64">
        <v>4.3568360465598165E-2</v>
      </c>
      <c r="N326" s="37">
        <v>0</v>
      </c>
      <c r="O326" s="26">
        <v>0</v>
      </c>
      <c r="P326" s="26">
        <v>0</v>
      </c>
      <c r="Q326" s="26">
        <v>0</v>
      </c>
      <c r="R326" s="26">
        <v>0</v>
      </c>
      <c r="S326" s="26">
        <v>0</v>
      </c>
      <c r="T326" s="26">
        <v>0</v>
      </c>
      <c r="U326" s="26">
        <v>0</v>
      </c>
      <c r="V326" s="72">
        <v>0</v>
      </c>
      <c r="W326" s="68">
        <v>0</v>
      </c>
      <c r="X326" s="30">
        <v>0</v>
      </c>
      <c r="Y326" s="30">
        <v>0</v>
      </c>
      <c r="Z326" s="30">
        <v>0</v>
      </c>
      <c r="AA326" s="30">
        <v>0</v>
      </c>
      <c r="AB326" s="30">
        <v>0</v>
      </c>
      <c r="AC326" s="30">
        <v>0</v>
      </c>
      <c r="AD326" s="30">
        <v>0</v>
      </c>
      <c r="AE326" s="3">
        <v>8.091465454614203E-3</v>
      </c>
      <c r="AG326" s="30">
        <f t="shared" si="17"/>
        <v>4.3568360465598165E-2</v>
      </c>
      <c r="AH326" s="30">
        <f t="shared" si="18"/>
        <v>0</v>
      </c>
      <c r="AI326" s="30">
        <f t="shared" si="15"/>
        <v>8.091465454614203E-3</v>
      </c>
    </row>
    <row r="327" spans="2:35" ht="15.75" thickBot="1" x14ac:dyDescent="0.2">
      <c r="B327" t="s">
        <v>339</v>
      </c>
      <c r="C327" s="22">
        <f>VLOOKUP(B327,[1]SYS!$F$5:$G$360,2,FALSE)</f>
        <v>322</v>
      </c>
      <c r="D327" s="34" t="str">
        <f>VLOOKUP(C327,[1]SYS!$G$5:$H$360,2,FALSE)</f>
        <v>到津変電所</v>
      </c>
      <c r="E327" s="37">
        <v>0</v>
      </c>
      <c r="F327" s="26">
        <v>0</v>
      </c>
      <c r="G327" s="26">
        <v>0</v>
      </c>
      <c r="H327" s="26">
        <v>0</v>
      </c>
      <c r="I327" s="26">
        <v>0</v>
      </c>
      <c r="J327" s="26">
        <v>0</v>
      </c>
      <c r="K327" s="26">
        <v>0</v>
      </c>
      <c r="L327" s="26">
        <v>0</v>
      </c>
      <c r="M327" s="64">
        <v>2.9682932865587725E-2</v>
      </c>
      <c r="N327" s="37">
        <v>0</v>
      </c>
      <c r="O327" s="26">
        <v>0</v>
      </c>
      <c r="P327" s="26">
        <v>0</v>
      </c>
      <c r="Q327" s="26">
        <v>0</v>
      </c>
      <c r="R327" s="26">
        <v>0</v>
      </c>
      <c r="S327" s="26">
        <v>0</v>
      </c>
      <c r="T327" s="26">
        <v>0</v>
      </c>
      <c r="U327" s="26">
        <v>0</v>
      </c>
      <c r="V327" s="72">
        <v>0</v>
      </c>
      <c r="W327" s="68">
        <v>0</v>
      </c>
      <c r="X327" s="30">
        <v>0</v>
      </c>
      <c r="Y327" s="30">
        <v>0</v>
      </c>
      <c r="Z327" s="30">
        <v>0</v>
      </c>
      <c r="AA327" s="30">
        <v>0</v>
      </c>
      <c r="AB327" s="30">
        <v>0</v>
      </c>
      <c r="AC327" s="30">
        <v>0</v>
      </c>
      <c r="AD327" s="30">
        <v>0</v>
      </c>
      <c r="AE327" s="3">
        <v>5.7329672117194062E-3</v>
      </c>
      <c r="AG327" s="30">
        <f t="shared" si="17"/>
        <v>2.9682932865587725E-2</v>
      </c>
      <c r="AH327" s="30">
        <f t="shared" si="18"/>
        <v>0</v>
      </c>
      <c r="AI327" s="30">
        <f t="shared" si="15"/>
        <v>5.7329672117194062E-3</v>
      </c>
    </row>
    <row r="328" spans="2:35" ht="15.75" thickBot="1" x14ac:dyDescent="0.2">
      <c r="B328" t="s">
        <v>340</v>
      </c>
      <c r="C328" s="22">
        <f>VLOOKUP(B328,[1]SYS!$F$5:$G$360,2,FALSE)</f>
        <v>323</v>
      </c>
      <c r="D328" s="34" t="str">
        <f>VLOOKUP(C328,[1]SYS!$G$5:$H$360,2,FALSE)</f>
        <v>西大分変電所</v>
      </c>
      <c r="E328" s="37">
        <v>0</v>
      </c>
      <c r="F328" s="26">
        <v>0</v>
      </c>
      <c r="G328" s="26">
        <v>0</v>
      </c>
      <c r="H328" s="26">
        <v>0</v>
      </c>
      <c r="I328" s="26">
        <v>0</v>
      </c>
      <c r="J328" s="26">
        <v>0</v>
      </c>
      <c r="K328" s="26">
        <v>0</v>
      </c>
      <c r="L328" s="26">
        <v>0</v>
      </c>
      <c r="M328" s="64">
        <v>2.2394076244431032E-4</v>
      </c>
      <c r="N328" s="37">
        <v>0</v>
      </c>
      <c r="O328" s="26">
        <v>0</v>
      </c>
      <c r="P328" s="26">
        <v>0</v>
      </c>
      <c r="Q328" s="26">
        <v>0</v>
      </c>
      <c r="R328" s="26">
        <v>0</v>
      </c>
      <c r="S328" s="26">
        <v>0</v>
      </c>
      <c r="T328" s="26">
        <v>0</v>
      </c>
      <c r="U328" s="26">
        <v>0</v>
      </c>
      <c r="V328" s="72">
        <v>0</v>
      </c>
      <c r="W328" s="68">
        <v>0</v>
      </c>
      <c r="X328" s="30">
        <v>0</v>
      </c>
      <c r="Y328" s="30">
        <v>0</v>
      </c>
      <c r="Z328" s="30">
        <v>0</v>
      </c>
      <c r="AA328" s="30">
        <v>0</v>
      </c>
      <c r="AB328" s="30">
        <v>0</v>
      </c>
      <c r="AC328" s="30">
        <v>0</v>
      </c>
      <c r="AD328" s="30">
        <v>0</v>
      </c>
      <c r="AE328" s="3">
        <v>2.7905821078048062E-2</v>
      </c>
      <c r="AG328" s="30">
        <f t="shared" si="17"/>
        <v>2.2394076244431032E-4</v>
      </c>
      <c r="AH328" s="30">
        <f t="shared" si="18"/>
        <v>0</v>
      </c>
      <c r="AI328" s="30">
        <f t="shared" si="15"/>
        <v>2.7905821078048062E-2</v>
      </c>
    </row>
    <row r="329" spans="2:35" ht="15.75" thickBot="1" x14ac:dyDescent="0.2">
      <c r="B329" t="s">
        <v>341</v>
      </c>
      <c r="C329" s="22">
        <f>VLOOKUP(B329,[1]SYS!$F$5:$G$360,2,FALSE)</f>
        <v>324</v>
      </c>
      <c r="D329" s="34" t="str">
        <f>VLOOKUP(C329,[1]SYS!$G$5:$H$360,2,FALSE)</f>
        <v>大分変電所</v>
      </c>
      <c r="E329" s="37">
        <v>0</v>
      </c>
      <c r="F329" s="26">
        <v>0</v>
      </c>
      <c r="G329" s="26">
        <v>0</v>
      </c>
      <c r="H329" s="26">
        <v>0</v>
      </c>
      <c r="I329" s="26">
        <v>0</v>
      </c>
      <c r="J329" s="26">
        <v>0</v>
      </c>
      <c r="K329" s="26">
        <v>0</v>
      </c>
      <c r="L329" s="26">
        <v>0</v>
      </c>
      <c r="M329" s="64">
        <v>4.4630351759983478E-5</v>
      </c>
      <c r="N329" s="37">
        <v>0</v>
      </c>
      <c r="O329" s="26">
        <v>0</v>
      </c>
      <c r="P329" s="26">
        <v>0</v>
      </c>
      <c r="Q329" s="26">
        <v>0</v>
      </c>
      <c r="R329" s="26">
        <v>0</v>
      </c>
      <c r="S329" s="26">
        <v>0</v>
      </c>
      <c r="T329" s="26">
        <v>0</v>
      </c>
      <c r="U329" s="26">
        <v>0</v>
      </c>
      <c r="V329" s="72">
        <v>0</v>
      </c>
      <c r="W329" s="68">
        <v>0</v>
      </c>
      <c r="X329" s="30">
        <v>0</v>
      </c>
      <c r="Y329" s="30">
        <v>0</v>
      </c>
      <c r="Z329" s="30">
        <v>0</v>
      </c>
      <c r="AA329" s="30">
        <v>0</v>
      </c>
      <c r="AB329" s="30">
        <v>0</v>
      </c>
      <c r="AC329" s="30">
        <v>0</v>
      </c>
      <c r="AD329" s="30">
        <v>0</v>
      </c>
      <c r="AE329" s="3">
        <v>7.9953496377659222E-3</v>
      </c>
      <c r="AG329" s="30">
        <f t="shared" si="17"/>
        <v>4.4630351759983478E-5</v>
      </c>
      <c r="AH329" s="30">
        <f t="shared" si="18"/>
        <v>0</v>
      </c>
      <c r="AI329" s="30">
        <f t="shared" si="15"/>
        <v>7.9953496377659222E-3</v>
      </c>
    </row>
    <row r="330" spans="2:35" ht="15.75" thickBot="1" x14ac:dyDescent="0.2">
      <c r="B330" t="s">
        <v>342</v>
      </c>
      <c r="C330" s="22">
        <f>VLOOKUP(B330,[1]SYS!$F$5:$G$360,2,FALSE)</f>
        <v>325</v>
      </c>
      <c r="D330" s="34" t="str">
        <f>VLOOKUP(C330,[1]SYS!$G$5:$H$360,2,FALSE)</f>
        <v>東大分変電所</v>
      </c>
      <c r="E330" s="37">
        <v>0</v>
      </c>
      <c r="F330" s="26">
        <v>0</v>
      </c>
      <c r="G330" s="26">
        <v>0</v>
      </c>
      <c r="H330" s="26">
        <v>0</v>
      </c>
      <c r="I330" s="26">
        <v>0</v>
      </c>
      <c r="J330" s="26">
        <v>0</v>
      </c>
      <c r="K330" s="26">
        <v>0</v>
      </c>
      <c r="L330" s="26">
        <v>0</v>
      </c>
      <c r="M330" s="64">
        <v>9.8190760569294064E-4</v>
      </c>
      <c r="N330" s="37">
        <v>0</v>
      </c>
      <c r="O330" s="26">
        <v>0</v>
      </c>
      <c r="P330" s="26">
        <v>0</v>
      </c>
      <c r="Q330" s="26">
        <v>0</v>
      </c>
      <c r="R330" s="26">
        <v>0</v>
      </c>
      <c r="S330" s="26">
        <v>0</v>
      </c>
      <c r="T330" s="26">
        <v>0</v>
      </c>
      <c r="U330" s="26">
        <v>0</v>
      </c>
      <c r="V330" s="72">
        <v>0</v>
      </c>
      <c r="W330" s="68">
        <v>0</v>
      </c>
      <c r="X330" s="30">
        <v>0</v>
      </c>
      <c r="Y330" s="30">
        <v>0</v>
      </c>
      <c r="Z330" s="30">
        <v>0</v>
      </c>
      <c r="AA330" s="30">
        <v>0</v>
      </c>
      <c r="AB330" s="30">
        <v>0</v>
      </c>
      <c r="AC330" s="30">
        <v>0</v>
      </c>
      <c r="AD330" s="30">
        <v>0</v>
      </c>
      <c r="AE330" s="3">
        <v>8.2130804799327405E-3</v>
      </c>
      <c r="AG330" s="30">
        <f t="shared" si="17"/>
        <v>9.8190760569294064E-4</v>
      </c>
      <c r="AH330" s="30">
        <f t="shared" si="18"/>
        <v>0</v>
      </c>
      <c r="AI330" s="30">
        <f t="shared" ref="AI330:AI360" si="19">SUM(W330:AE330)</f>
        <v>8.2130804799327405E-3</v>
      </c>
    </row>
    <row r="331" spans="2:35" ht="15.75" thickBot="1" x14ac:dyDescent="0.2">
      <c r="B331" t="s">
        <v>343</v>
      </c>
      <c r="C331" s="22">
        <f>VLOOKUP(B331,[1]SYS!$F$5:$G$360,2,FALSE)</f>
        <v>326</v>
      </c>
      <c r="D331" s="34" t="str">
        <f>VLOOKUP(C331,[1]SYS!$G$5:$H$360,2,FALSE)</f>
        <v>山家変電所</v>
      </c>
      <c r="E331" s="37">
        <v>0</v>
      </c>
      <c r="F331" s="26">
        <v>0</v>
      </c>
      <c r="G331" s="26">
        <v>0</v>
      </c>
      <c r="H331" s="26">
        <v>0</v>
      </c>
      <c r="I331" s="26">
        <v>0</v>
      </c>
      <c r="J331" s="26">
        <v>0</v>
      </c>
      <c r="K331" s="26">
        <v>0</v>
      </c>
      <c r="L331" s="26">
        <v>0</v>
      </c>
      <c r="M331" s="64">
        <v>1.2189472058568885E-4</v>
      </c>
      <c r="N331" s="37">
        <v>0</v>
      </c>
      <c r="O331" s="26">
        <v>0</v>
      </c>
      <c r="P331" s="26">
        <v>0</v>
      </c>
      <c r="Q331" s="26">
        <v>0</v>
      </c>
      <c r="R331" s="26">
        <v>0</v>
      </c>
      <c r="S331" s="26">
        <v>0</v>
      </c>
      <c r="T331" s="26">
        <v>0</v>
      </c>
      <c r="U331" s="26">
        <v>0</v>
      </c>
      <c r="V331" s="72">
        <v>0</v>
      </c>
      <c r="W331" s="68">
        <v>0</v>
      </c>
      <c r="X331" s="30">
        <v>0</v>
      </c>
      <c r="Y331" s="30">
        <v>0</v>
      </c>
      <c r="Z331" s="30">
        <v>0</v>
      </c>
      <c r="AA331" s="30">
        <v>0</v>
      </c>
      <c r="AB331" s="30">
        <v>0</v>
      </c>
      <c r="AC331" s="30">
        <v>0</v>
      </c>
      <c r="AD331" s="30">
        <v>0</v>
      </c>
      <c r="AE331" s="3">
        <v>5.804139256275845E-3</v>
      </c>
      <c r="AG331" s="30">
        <f t="shared" si="17"/>
        <v>1.2189472058568885E-4</v>
      </c>
      <c r="AH331" s="30">
        <f t="shared" si="18"/>
        <v>0</v>
      </c>
      <c r="AI331" s="30">
        <f t="shared" si="19"/>
        <v>5.804139256275845E-3</v>
      </c>
    </row>
    <row r="332" spans="2:35" ht="15.75" thickBot="1" x14ac:dyDescent="0.2">
      <c r="B332" t="s">
        <v>344</v>
      </c>
      <c r="C332" s="22">
        <f>VLOOKUP(B332,[1]SYS!$F$5:$G$360,2,FALSE)</f>
        <v>327</v>
      </c>
      <c r="D332" s="34" t="str">
        <f>VLOOKUP(C332,[1]SYS!$G$5:$H$360,2,FALSE)</f>
        <v>東福岡変電所</v>
      </c>
      <c r="E332" s="37">
        <v>0</v>
      </c>
      <c r="F332" s="26">
        <v>0</v>
      </c>
      <c r="G332" s="26">
        <v>0</v>
      </c>
      <c r="H332" s="26">
        <v>0</v>
      </c>
      <c r="I332" s="26">
        <v>0</v>
      </c>
      <c r="J332" s="26">
        <v>0</v>
      </c>
      <c r="K332" s="26">
        <v>0</v>
      </c>
      <c r="L332" s="26">
        <v>0</v>
      </c>
      <c r="M332" s="64">
        <v>3.0493385304045384E-3</v>
      </c>
      <c r="N332" s="38">
        <v>0</v>
      </c>
      <c r="O332" s="26">
        <v>0</v>
      </c>
      <c r="P332" s="26">
        <v>0</v>
      </c>
      <c r="Q332" s="26">
        <v>0</v>
      </c>
      <c r="R332" s="26">
        <v>0</v>
      </c>
      <c r="S332" s="26">
        <v>0</v>
      </c>
      <c r="T332" s="26">
        <v>0</v>
      </c>
      <c r="U332" s="26">
        <v>0</v>
      </c>
      <c r="V332" s="72">
        <v>0</v>
      </c>
      <c r="W332" s="68">
        <v>0</v>
      </c>
      <c r="X332" s="30">
        <v>0</v>
      </c>
      <c r="Y332" s="30">
        <v>0</v>
      </c>
      <c r="Z332" s="30">
        <v>0</v>
      </c>
      <c r="AA332" s="30">
        <v>0</v>
      </c>
      <c r="AB332" s="30">
        <v>0</v>
      </c>
      <c r="AC332" s="30">
        <v>0</v>
      </c>
      <c r="AD332" s="30">
        <v>0</v>
      </c>
      <c r="AE332" s="3">
        <v>2.2947955540176788E-2</v>
      </c>
      <c r="AG332" s="30">
        <f t="shared" ref="AG332:AG360" si="20">SUM(E332:M332)</f>
        <v>3.0493385304045384E-3</v>
      </c>
      <c r="AH332" s="30">
        <f t="shared" si="18"/>
        <v>0</v>
      </c>
      <c r="AI332" s="30">
        <f t="shared" si="19"/>
        <v>2.2947955540176788E-2</v>
      </c>
    </row>
    <row r="333" spans="2:35" ht="15.75" thickBot="1" x14ac:dyDescent="0.2">
      <c r="B333" t="s">
        <v>345</v>
      </c>
      <c r="C333" s="22">
        <f>VLOOKUP(B333,[1]SYS!$F$5:$G$360,2,FALSE)</f>
        <v>328</v>
      </c>
      <c r="D333" s="34" t="str">
        <f>VLOOKUP(C333,[1]SYS!$G$5:$H$360,2,FALSE)</f>
        <v>筑豊変電所</v>
      </c>
      <c r="E333" s="37">
        <v>0</v>
      </c>
      <c r="F333" s="26">
        <v>0</v>
      </c>
      <c r="G333" s="26">
        <v>0</v>
      </c>
      <c r="H333" s="26">
        <v>0</v>
      </c>
      <c r="I333" s="26">
        <v>0</v>
      </c>
      <c r="J333" s="26">
        <v>0</v>
      </c>
      <c r="K333" s="26">
        <v>0</v>
      </c>
      <c r="L333" s="26">
        <v>0</v>
      </c>
      <c r="M333" s="64">
        <v>1.6634385883065324E-4</v>
      </c>
      <c r="N333" s="38">
        <v>0</v>
      </c>
      <c r="O333" s="26">
        <v>0</v>
      </c>
      <c r="P333" s="26">
        <v>0</v>
      </c>
      <c r="Q333" s="26">
        <v>0</v>
      </c>
      <c r="R333" s="26">
        <v>0</v>
      </c>
      <c r="S333" s="26">
        <v>0</v>
      </c>
      <c r="T333" s="26">
        <v>0</v>
      </c>
      <c r="U333" s="26">
        <v>0</v>
      </c>
      <c r="V333" s="72">
        <v>0</v>
      </c>
      <c r="W333" s="68">
        <v>0</v>
      </c>
      <c r="X333" s="30">
        <v>0</v>
      </c>
      <c r="Y333" s="30">
        <v>0</v>
      </c>
      <c r="Z333" s="30">
        <v>0</v>
      </c>
      <c r="AA333" s="30">
        <v>0</v>
      </c>
      <c r="AB333" s="30">
        <v>0</v>
      </c>
      <c r="AC333" s="30">
        <v>0</v>
      </c>
      <c r="AD333" s="30">
        <v>0</v>
      </c>
      <c r="AE333" s="3">
        <v>4.0263638501919427E-2</v>
      </c>
      <c r="AG333" s="30">
        <f t="shared" si="20"/>
        <v>1.6634385883065324E-4</v>
      </c>
      <c r="AH333" s="30">
        <f t="shared" si="18"/>
        <v>0</v>
      </c>
      <c r="AI333" s="30">
        <f t="shared" si="19"/>
        <v>4.0263638501919427E-2</v>
      </c>
    </row>
    <row r="334" spans="2:35" ht="15.75" thickBot="1" x14ac:dyDescent="0.2">
      <c r="B334" t="s">
        <v>346</v>
      </c>
      <c r="C334" s="22">
        <f>VLOOKUP(B334,[1]SYS!$F$5:$G$360,2,FALSE)</f>
        <v>329</v>
      </c>
      <c r="D334" s="34" t="str">
        <f>VLOOKUP(C334,[1]SYS!$G$5:$H$360,2,FALSE)</f>
        <v>住吉変電所</v>
      </c>
      <c r="E334" s="37">
        <v>0</v>
      </c>
      <c r="F334" s="26">
        <v>0</v>
      </c>
      <c r="G334" s="26">
        <v>0</v>
      </c>
      <c r="H334" s="26">
        <v>0</v>
      </c>
      <c r="I334" s="26">
        <v>0</v>
      </c>
      <c r="J334" s="26">
        <v>0</v>
      </c>
      <c r="K334" s="26">
        <v>0</v>
      </c>
      <c r="L334" s="26">
        <v>0</v>
      </c>
      <c r="M334" s="64">
        <v>1.8932074673354799E-2</v>
      </c>
      <c r="N334" s="38">
        <v>0</v>
      </c>
      <c r="O334" s="26">
        <v>0</v>
      </c>
      <c r="P334" s="26">
        <v>0</v>
      </c>
      <c r="Q334" s="26">
        <v>0</v>
      </c>
      <c r="R334" s="26">
        <v>0</v>
      </c>
      <c r="S334" s="26">
        <v>0</v>
      </c>
      <c r="T334" s="26">
        <v>0</v>
      </c>
      <c r="U334" s="26">
        <v>0</v>
      </c>
      <c r="V334" s="72">
        <v>0</v>
      </c>
      <c r="W334" s="68">
        <v>0</v>
      </c>
      <c r="X334" s="30">
        <v>0</v>
      </c>
      <c r="Y334" s="30">
        <v>0</v>
      </c>
      <c r="Z334" s="30">
        <v>0</v>
      </c>
      <c r="AA334" s="30">
        <v>0</v>
      </c>
      <c r="AB334" s="30">
        <v>0</v>
      </c>
      <c r="AC334" s="30">
        <v>0</v>
      </c>
      <c r="AD334" s="30">
        <v>0</v>
      </c>
      <c r="AE334" s="3">
        <v>2.7439850420651695E-3</v>
      </c>
      <c r="AG334" s="30">
        <f t="shared" si="20"/>
        <v>1.8932074673354799E-2</v>
      </c>
      <c r="AH334" s="30">
        <f t="shared" si="18"/>
        <v>0</v>
      </c>
      <c r="AI334" s="30">
        <f t="shared" si="19"/>
        <v>2.7439850420651695E-3</v>
      </c>
    </row>
    <row r="335" spans="2:35" ht="15.75" thickBot="1" x14ac:dyDescent="0.2">
      <c r="B335" t="s">
        <v>347</v>
      </c>
      <c r="C335" s="22">
        <f>VLOOKUP(B335,[1]SYS!$F$5:$G$360,2,FALSE)</f>
        <v>330</v>
      </c>
      <c r="D335" s="34" t="str">
        <f>VLOOKUP(C335,[1]SYS!$G$5:$H$360,2,FALSE)</f>
        <v>唐津変電所</v>
      </c>
      <c r="E335" s="37">
        <v>0</v>
      </c>
      <c r="F335" s="26">
        <v>0</v>
      </c>
      <c r="G335" s="26">
        <v>0</v>
      </c>
      <c r="H335" s="26">
        <v>0</v>
      </c>
      <c r="I335" s="26">
        <v>0</v>
      </c>
      <c r="J335" s="26">
        <v>0</v>
      </c>
      <c r="K335" s="26">
        <v>0</v>
      </c>
      <c r="L335" s="26">
        <v>0</v>
      </c>
      <c r="M335" s="64">
        <v>8.0912523067366024E-4</v>
      </c>
      <c r="N335" s="38">
        <v>0</v>
      </c>
      <c r="O335" s="26">
        <v>0</v>
      </c>
      <c r="P335" s="26">
        <v>0</v>
      </c>
      <c r="Q335" s="26">
        <v>0</v>
      </c>
      <c r="R335" s="26">
        <v>0</v>
      </c>
      <c r="S335" s="26">
        <v>0</v>
      </c>
      <c r="T335" s="26">
        <v>0</v>
      </c>
      <c r="U335" s="26">
        <v>0</v>
      </c>
      <c r="V335" s="3">
        <v>0.2</v>
      </c>
      <c r="W335" s="68">
        <v>0</v>
      </c>
      <c r="X335" s="30">
        <v>0</v>
      </c>
      <c r="Y335" s="30">
        <v>0</v>
      </c>
      <c r="Z335" s="30">
        <v>0</v>
      </c>
      <c r="AA335" s="30">
        <v>0</v>
      </c>
      <c r="AB335" s="30">
        <v>0</v>
      </c>
      <c r="AC335" s="30">
        <v>0</v>
      </c>
      <c r="AD335" s="30">
        <v>0</v>
      </c>
      <c r="AE335" s="3">
        <v>8.8940436944091143E-3</v>
      </c>
      <c r="AG335" s="30">
        <f t="shared" si="20"/>
        <v>8.0912523067366024E-4</v>
      </c>
      <c r="AH335" s="30">
        <f t="shared" si="18"/>
        <v>0.2</v>
      </c>
      <c r="AI335" s="30">
        <f t="shared" si="19"/>
        <v>8.8940436944091143E-3</v>
      </c>
    </row>
    <row r="336" spans="2:35" ht="15.75" thickBot="1" x14ac:dyDescent="0.2">
      <c r="B336" t="s">
        <v>348</v>
      </c>
      <c r="C336" s="22">
        <f>VLOOKUP(B336,[1]SYS!$F$5:$G$360,2,FALSE)</f>
        <v>331</v>
      </c>
      <c r="D336" s="34" t="str">
        <f>VLOOKUP(C336,[1]SYS!$G$5:$H$360,2,FALSE)</f>
        <v>武雄変電所</v>
      </c>
      <c r="E336" s="37">
        <v>0</v>
      </c>
      <c r="F336" s="26">
        <v>0</v>
      </c>
      <c r="G336" s="26">
        <v>0</v>
      </c>
      <c r="H336" s="26">
        <v>0</v>
      </c>
      <c r="I336" s="26">
        <v>0</v>
      </c>
      <c r="J336" s="26">
        <v>0</v>
      </c>
      <c r="K336" s="26">
        <v>0</v>
      </c>
      <c r="L336" s="26">
        <v>0</v>
      </c>
      <c r="M336" s="64">
        <v>1.1798714107592691E-3</v>
      </c>
      <c r="N336" s="38">
        <v>0</v>
      </c>
      <c r="O336" s="26">
        <v>0</v>
      </c>
      <c r="P336" s="26">
        <v>0</v>
      </c>
      <c r="Q336" s="26">
        <v>0</v>
      </c>
      <c r="R336" s="26">
        <v>0</v>
      </c>
      <c r="S336" s="26">
        <v>0</v>
      </c>
      <c r="T336" s="26">
        <v>0</v>
      </c>
      <c r="U336" s="26">
        <v>0</v>
      </c>
      <c r="V336" s="72">
        <v>0</v>
      </c>
      <c r="W336" s="68">
        <v>0</v>
      </c>
      <c r="X336" s="30">
        <v>0</v>
      </c>
      <c r="Y336" s="30">
        <v>0</v>
      </c>
      <c r="Z336" s="30">
        <v>0</v>
      </c>
      <c r="AA336" s="30">
        <v>0</v>
      </c>
      <c r="AB336" s="30">
        <v>0</v>
      </c>
      <c r="AC336" s="30">
        <v>0</v>
      </c>
      <c r="AD336" s="30">
        <v>0</v>
      </c>
      <c r="AE336" s="3">
        <v>2.1328671224208843E-2</v>
      </c>
      <c r="AG336" s="30">
        <f t="shared" si="20"/>
        <v>1.1798714107592691E-3</v>
      </c>
      <c r="AH336" s="30">
        <f t="shared" si="18"/>
        <v>0</v>
      </c>
      <c r="AI336" s="30">
        <f t="shared" si="19"/>
        <v>2.1328671224208843E-2</v>
      </c>
    </row>
    <row r="337" spans="2:35" ht="15.75" thickBot="1" x14ac:dyDescent="0.2">
      <c r="B337" t="s">
        <v>349</v>
      </c>
      <c r="C337" s="22">
        <f>VLOOKUP(B337,[1]SYS!$F$5:$G$360,2,FALSE)</f>
        <v>332</v>
      </c>
      <c r="D337" s="34" t="str">
        <f>VLOOKUP(C337,[1]SYS!$G$5:$H$360,2,FALSE)</f>
        <v>東佐世保変電所</v>
      </c>
      <c r="E337" s="37">
        <v>0</v>
      </c>
      <c r="F337" s="26">
        <v>0</v>
      </c>
      <c r="G337" s="26">
        <v>0</v>
      </c>
      <c r="H337" s="26">
        <v>0</v>
      </c>
      <c r="I337" s="26">
        <v>0</v>
      </c>
      <c r="J337" s="26">
        <v>0</v>
      </c>
      <c r="K337" s="26">
        <v>0</v>
      </c>
      <c r="L337" s="26">
        <v>0</v>
      </c>
      <c r="M337" s="64">
        <v>9.1854847472870756E-4</v>
      </c>
      <c r="N337" s="38">
        <v>0</v>
      </c>
      <c r="O337" s="26">
        <v>0</v>
      </c>
      <c r="P337" s="26">
        <v>0</v>
      </c>
      <c r="Q337" s="26">
        <v>0</v>
      </c>
      <c r="R337" s="26">
        <v>0</v>
      </c>
      <c r="S337" s="26">
        <v>0</v>
      </c>
      <c r="T337" s="26">
        <v>0</v>
      </c>
      <c r="U337" s="26">
        <v>0</v>
      </c>
      <c r="V337" s="72">
        <v>0</v>
      </c>
      <c r="W337" s="68">
        <v>0</v>
      </c>
      <c r="X337" s="30">
        <v>0</v>
      </c>
      <c r="Y337" s="30">
        <v>0</v>
      </c>
      <c r="Z337" s="30">
        <v>0</v>
      </c>
      <c r="AA337" s="30">
        <v>0</v>
      </c>
      <c r="AB337" s="30">
        <v>0</v>
      </c>
      <c r="AC337" s="30">
        <v>0</v>
      </c>
      <c r="AD337" s="30">
        <v>0</v>
      </c>
      <c r="AE337" s="3">
        <v>3.5844874285356453E-2</v>
      </c>
      <c r="AG337" s="30">
        <f t="shared" si="20"/>
        <v>9.1854847472870756E-4</v>
      </c>
      <c r="AH337" s="30">
        <f t="shared" si="18"/>
        <v>0</v>
      </c>
      <c r="AI337" s="30">
        <f t="shared" si="19"/>
        <v>3.5844874285356453E-2</v>
      </c>
    </row>
    <row r="338" spans="2:35" ht="15.75" thickBot="1" x14ac:dyDescent="0.2">
      <c r="B338" t="s">
        <v>350</v>
      </c>
      <c r="C338" s="22">
        <f>VLOOKUP(B338,[1]SYS!$F$5:$G$360,2,FALSE)</f>
        <v>333</v>
      </c>
      <c r="D338" s="34" t="str">
        <f>VLOOKUP(C338,[1]SYS!$G$5:$H$360,2,FALSE)</f>
        <v>長崎変電所</v>
      </c>
      <c r="E338" s="37">
        <v>0</v>
      </c>
      <c r="F338" s="26">
        <v>0</v>
      </c>
      <c r="G338" s="26">
        <v>0</v>
      </c>
      <c r="H338" s="26">
        <v>0</v>
      </c>
      <c r="I338" s="26">
        <v>0</v>
      </c>
      <c r="J338" s="26">
        <v>0</v>
      </c>
      <c r="K338" s="26">
        <v>0</v>
      </c>
      <c r="L338" s="26">
        <v>0</v>
      </c>
      <c r="M338" s="64">
        <v>1.482685355615624E-3</v>
      </c>
      <c r="N338" s="38">
        <v>0</v>
      </c>
      <c r="O338" s="26">
        <v>0</v>
      </c>
      <c r="P338" s="26">
        <v>0</v>
      </c>
      <c r="Q338" s="26">
        <v>0</v>
      </c>
      <c r="R338" s="26">
        <v>0</v>
      </c>
      <c r="S338" s="26">
        <v>0</v>
      </c>
      <c r="T338" s="26">
        <v>0</v>
      </c>
      <c r="U338" s="26">
        <v>0</v>
      </c>
      <c r="V338" s="3">
        <v>0.2</v>
      </c>
      <c r="W338" s="68">
        <v>0</v>
      </c>
      <c r="X338" s="30">
        <v>0</v>
      </c>
      <c r="Y338" s="30">
        <v>0</v>
      </c>
      <c r="Z338" s="30">
        <v>0</v>
      </c>
      <c r="AA338" s="30">
        <v>0</v>
      </c>
      <c r="AB338" s="30">
        <v>0</v>
      </c>
      <c r="AC338" s="30">
        <v>0</v>
      </c>
      <c r="AD338" s="30">
        <v>0</v>
      </c>
      <c r="AE338" s="3">
        <v>2.4195238540654782E-2</v>
      </c>
      <c r="AG338" s="30">
        <f t="shared" si="20"/>
        <v>1.482685355615624E-3</v>
      </c>
      <c r="AH338" s="30">
        <f t="shared" si="18"/>
        <v>0.2</v>
      </c>
      <c r="AI338" s="30">
        <f t="shared" si="19"/>
        <v>2.4195238540654782E-2</v>
      </c>
    </row>
    <row r="339" spans="2:35" ht="15.75" thickBot="1" x14ac:dyDescent="0.2">
      <c r="B339" t="s">
        <v>351</v>
      </c>
      <c r="C339" s="22">
        <f>VLOOKUP(B339,[1]SYS!$F$5:$G$360,2,FALSE)</f>
        <v>334</v>
      </c>
      <c r="D339" s="34" t="str">
        <f>VLOOKUP(C339,[1]SYS!$G$5:$H$360,2,FALSE)</f>
        <v>諫早変電所</v>
      </c>
      <c r="E339" s="37">
        <v>0</v>
      </c>
      <c r="F339" s="26">
        <v>0</v>
      </c>
      <c r="G339" s="26">
        <v>0</v>
      </c>
      <c r="H339" s="26">
        <v>0</v>
      </c>
      <c r="I339" s="26">
        <v>0</v>
      </c>
      <c r="J339" s="26">
        <v>0</v>
      </c>
      <c r="K339" s="26">
        <v>0</v>
      </c>
      <c r="L339" s="26">
        <v>0</v>
      </c>
      <c r="M339" s="64">
        <v>3.1392903822707878E-3</v>
      </c>
      <c r="N339" s="38">
        <v>0</v>
      </c>
      <c r="O339" s="26">
        <v>0</v>
      </c>
      <c r="P339" s="26">
        <v>0</v>
      </c>
      <c r="Q339" s="26">
        <v>0</v>
      </c>
      <c r="R339" s="26">
        <v>0</v>
      </c>
      <c r="S339" s="26">
        <v>0</v>
      </c>
      <c r="T339" s="26">
        <v>0</v>
      </c>
      <c r="U339" s="26">
        <v>0</v>
      </c>
      <c r="V339" s="3">
        <v>0.2</v>
      </c>
      <c r="W339" s="68">
        <v>0</v>
      </c>
      <c r="X339" s="30">
        <v>0</v>
      </c>
      <c r="Y339" s="30">
        <v>0</v>
      </c>
      <c r="Z339" s="30">
        <v>0</v>
      </c>
      <c r="AA339" s="30">
        <v>0</v>
      </c>
      <c r="AB339" s="30">
        <v>0</v>
      </c>
      <c r="AC339" s="30">
        <v>0</v>
      </c>
      <c r="AD339" s="30">
        <v>0</v>
      </c>
      <c r="AE339" s="3">
        <v>3.2625027256370773E-2</v>
      </c>
      <c r="AG339" s="30">
        <f t="shared" si="20"/>
        <v>3.1392903822707878E-3</v>
      </c>
      <c r="AH339" s="30">
        <f t="shared" si="18"/>
        <v>0.2</v>
      </c>
      <c r="AI339" s="30">
        <f t="shared" si="19"/>
        <v>3.2625027256370773E-2</v>
      </c>
    </row>
    <row r="340" spans="2:35" ht="15.75" thickBot="1" x14ac:dyDescent="0.2">
      <c r="B340" t="s">
        <v>352</v>
      </c>
      <c r="C340" s="22">
        <f>VLOOKUP(B340,[1]SYS!$F$5:$G$360,2,FALSE)</f>
        <v>335</v>
      </c>
      <c r="D340" s="34" t="str">
        <f>VLOOKUP(C340,[1]SYS!$G$5:$H$360,2,FALSE)</f>
        <v>木佐木変電所</v>
      </c>
      <c r="E340" s="37">
        <v>0</v>
      </c>
      <c r="F340" s="26">
        <v>0</v>
      </c>
      <c r="G340" s="26">
        <v>0</v>
      </c>
      <c r="H340" s="26">
        <v>0</v>
      </c>
      <c r="I340" s="26">
        <v>0</v>
      </c>
      <c r="J340" s="26">
        <v>0</v>
      </c>
      <c r="K340" s="26">
        <v>0</v>
      </c>
      <c r="L340" s="26">
        <v>0</v>
      </c>
      <c r="M340" s="64">
        <v>1.5210663780966603E-4</v>
      </c>
      <c r="N340" s="38">
        <v>0</v>
      </c>
      <c r="O340" s="26">
        <v>0</v>
      </c>
      <c r="P340" s="26">
        <v>0</v>
      </c>
      <c r="Q340" s="26">
        <v>0</v>
      </c>
      <c r="R340" s="26">
        <v>0</v>
      </c>
      <c r="S340" s="26">
        <v>0</v>
      </c>
      <c r="T340" s="26">
        <v>0</v>
      </c>
      <c r="U340" s="26">
        <v>0</v>
      </c>
      <c r="V340" s="72">
        <v>0</v>
      </c>
      <c r="W340" s="68">
        <v>0</v>
      </c>
      <c r="X340" s="30">
        <v>0</v>
      </c>
      <c r="Y340" s="30">
        <v>0</v>
      </c>
      <c r="Z340" s="30">
        <v>0</v>
      </c>
      <c r="AA340" s="30">
        <v>0</v>
      </c>
      <c r="AB340" s="30">
        <v>0</v>
      </c>
      <c r="AC340" s="30">
        <v>0</v>
      </c>
      <c r="AD340" s="30">
        <v>0</v>
      </c>
      <c r="AE340" s="3">
        <v>1.9408019843617032E-2</v>
      </c>
      <c r="AG340" s="30">
        <f t="shared" si="20"/>
        <v>1.5210663780966603E-4</v>
      </c>
      <c r="AH340" s="30">
        <f t="shared" si="18"/>
        <v>0</v>
      </c>
      <c r="AI340" s="30">
        <f t="shared" si="19"/>
        <v>1.9408019843617032E-2</v>
      </c>
    </row>
    <row r="341" spans="2:35" ht="15.75" thickBot="1" x14ac:dyDescent="0.2">
      <c r="B341" t="s">
        <v>353</v>
      </c>
      <c r="C341" s="22">
        <f>VLOOKUP(B341,[1]SYS!$F$5:$G$360,2,FALSE)</f>
        <v>336</v>
      </c>
      <c r="D341" s="34" t="str">
        <f>VLOOKUP(C341,[1]SYS!$G$5:$H$360,2,FALSE)</f>
        <v>鳥栖変電所</v>
      </c>
      <c r="E341" s="37">
        <v>0</v>
      </c>
      <c r="F341" s="26">
        <v>0</v>
      </c>
      <c r="G341" s="26">
        <v>0</v>
      </c>
      <c r="H341" s="26">
        <v>0</v>
      </c>
      <c r="I341" s="26">
        <v>0</v>
      </c>
      <c r="J341" s="26">
        <v>0</v>
      </c>
      <c r="K341" s="26">
        <v>0</v>
      </c>
      <c r="L341" s="26">
        <v>0</v>
      </c>
      <c r="M341" s="64">
        <v>7.0415843287120514E-2</v>
      </c>
      <c r="N341" s="38">
        <v>0</v>
      </c>
      <c r="O341" s="26">
        <v>0</v>
      </c>
      <c r="P341" s="26">
        <v>0</v>
      </c>
      <c r="Q341" s="26">
        <v>0</v>
      </c>
      <c r="R341" s="26">
        <v>0</v>
      </c>
      <c r="S341" s="26">
        <v>0</v>
      </c>
      <c r="T341" s="26">
        <v>0</v>
      </c>
      <c r="U341" s="26">
        <v>0</v>
      </c>
      <c r="V341" s="72">
        <v>0</v>
      </c>
      <c r="W341" s="68">
        <v>0</v>
      </c>
      <c r="X341" s="30">
        <v>0</v>
      </c>
      <c r="Y341" s="30">
        <v>0</v>
      </c>
      <c r="Z341" s="30">
        <v>0</v>
      </c>
      <c r="AA341" s="30">
        <v>0</v>
      </c>
      <c r="AB341" s="30">
        <v>0</v>
      </c>
      <c r="AC341" s="30">
        <v>0</v>
      </c>
      <c r="AD341" s="30">
        <v>0</v>
      </c>
      <c r="AE341" s="3">
        <v>1.1292626445358514E-2</v>
      </c>
      <c r="AG341" s="30">
        <f t="shared" si="20"/>
        <v>7.0415843287120514E-2</v>
      </c>
      <c r="AH341" s="30">
        <f t="shared" si="18"/>
        <v>0</v>
      </c>
      <c r="AI341" s="30">
        <f t="shared" si="19"/>
        <v>1.1292626445358514E-2</v>
      </c>
    </row>
    <row r="342" spans="2:35" ht="15.75" thickBot="1" x14ac:dyDescent="0.2">
      <c r="B342" t="s">
        <v>354</v>
      </c>
      <c r="C342" s="22">
        <f>VLOOKUP(B342,[1]SYS!$F$5:$G$360,2,FALSE)</f>
        <v>337</v>
      </c>
      <c r="D342" s="34" t="str">
        <f>VLOOKUP(C342,[1]SYS!$G$5:$H$360,2,FALSE)</f>
        <v>三池変電所</v>
      </c>
      <c r="E342" s="37">
        <v>0</v>
      </c>
      <c r="F342" s="26">
        <v>0</v>
      </c>
      <c r="G342" s="26">
        <v>0</v>
      </c>
      <c r="H342" s="26">
        <v>0</v>
      </c>
      <c r="I342" s="26">
        <v>0</v>
      </c>
      <c r="J342" s="26">
        <v>0</v>
      </c>
      <c r="K342" s="26">
        <v>0</v>
      </c>
      <c r="L342" s="26">
        <v>0</v>
      </c>
      <c r="M342" s="64">
        <v>3.9875747662589762E-3</v>
      </c>
      <c r="N342" s="38">
        <v>0</v>
      </c>
      <c r="O342" s="26">
        <v>0</v>
      </c>
      <c r="P342" s="26">
        <v>0</v>
      </c>
      <c r="Q342" s="26">
        <v>0</v>
      </c>
      <c r="R342" s="26">
        <v>0</v>
      </c>
      <c r="S342" s="26">
        <v>0</v>
      </c>
      <c r="T342" s="26">
        <v>0</v>
      </c>
      <c r="U342" s="26">
        <v>0</v>
      </c>
      <c r="V342" s="72">
        <v>0</v>
      </c>
      <c r="W342" s="68">
        <v>0</v>
      </c>
      <c r="X342" s="30">
        <v>0</v>
      </c>
      <c r="Y342" s="30">
        <v>0</v>
      </c>
      <c r="Z342" s="30">
        <v>0</v>
      </c>
      <c r="AA342" s="30">
        <v>0</v>
      </c>
      <c r="AB342" s="30">
        <v>0</v>
      </c>
      <c r="AC342" s="30">
        <v>0</v>
      </c>
      <c r="AD342" s="30">
        <v>0</v>
      </c>
      <c r="AE342" s="3">
        <v>4.654689065098315E-2</v>
      </c>
      <c r="AG342" s="30">
        <f t="shared" si="20"/>
        <v>3.9875747662589762E-3</v>
      </c>
      <c r="AH342" s="30">
        <f t="shared" si="18"/>
        <v>0</v>
      </c>
      <c r="AI342" s="30">
        <f t="shared" si="19"/>
        <v>4.654689065098315E-2</v>
      </c>
    </row>
    <row r="343" spans="2:35" ht="15.75" thickBot="1" x14ac:dyDescent="0.2">
      <c r="B343" t="s">
        <v>355</v>
      </c>
      <c r="C343" s="22">
        <f>VLOOKUP(B343,[1]SYS!$F$5:$G$360,2,FALSE)</f>
        <v>338</v>
      </c>
      <c r="D343" s="34" t="str">
        <f>VLOOKUP(C343,[1]SYS!$G$5:$H$360,2,FALSE)</f>
        <v>南熊本変電所</v>
      </c>
      <c r="E343" s="37">
        <v>0</v>
      </c>
      <c r="F343" s="26">
        <v>0</v>
      </c>
      <c r="G343" s="26">
        <v>0</v>
      </c>
      <c r="H343" s="26">
        <v>0</v>
      </c>
      <c r="I343" s="26">
        <v>0</v>
      </c>
      <c r="J343" s="26">
        <v>0</v>
      </c>
      <c r="K343" s="26">
        <v>0</v>
      </c>
      <c r="L343" s="26">
        <v>0</v>
      </c>
      <c r="M343" s="64">
        <v>3.6240115637243955E-2</v>
      </c>
      <c r="N343" s="38">
        <v>0</v>
      </c>
      <c r="O343" s="26">
        <v>0</v>
      </c>
      <c r="P343" s="26">
        <v>0</v>
      </c>
      <c r="Q343" s="26">
        <v>0</v>
      </c>
      <c r="R343" s="26">
        <v>0</v>
      </c>
      <c r="S343" s="26">
        <v>0</v>
      </c>
      <c r="T343" s="26">
        <v>0</v>
      </c>
      <c r="U343" s="26">
        <v>0</v>
      </c>
      <c r="V343" s="72">
        <v>0</v>
      </c>
      <c r="W343" s="68">
        <v>0</v>
      </c>
      <c r="X343" s="30">
        <v>0</v>
      </c>
      <c r="Y343" s="30">
        <v>0</v>
      </c>
      <c r="Z343" s="30">
        <v>0</v>
      </c>
      <c r="AA343" s="30">
        <v>0</v>
      </c>
      <c r="AB343" s="30">
        <v>0</v>
      </c>
      <c r="AC343" s="30">
        <v>0</v>
      </c>
      <c r="AD343" s="30">
        <v>0</v>
      </c>
      <c r="AE343" s="3">
        <v>1.517592571287724E-2</v>
      </c>
      <c r="AG343" s="30">
        <f t="shared" si="20"/>
        <v>3.6240115637243955E-2</v>
      </c>
      <c r="AH343" s="30">
        <f t="shared" si="18"/>
        <v>0</v>
      </c>
      <c r="AI343" s="30">
        <f t="shared" si="19"/>
        <v>1.517592571287724E-2</v>
      </c>
    </row>
    <row r="344" spans="2:35" ht="15.75" thickBot="1" x14ac:dyDescent="0.2">
      <c r="B344" t="s">
        <v>356</v>
      </c>
      <c r="C344" s="22">
        <f>VLOOKUP(B344,[1]SYS!$F$5:$G$360,2,FALSE)</f>
        <v>339</v>
      </c>
      <c r="D344" s="34" t="str">
        <f>VLOOKUP(C344,[1]SYS!$G$5:$H$360,2,FALSE)</f>
        <v>日田変電所</v>
      </c>
      <c r="E344" s="37">
        <v>0</v>
      </c>
      <c r="F344" s="26">
        <v>0</v>
      </c>
      <c r="G344" s="26">
        <v>0</v>
      </c>
      <c r="H344" s="26">
        <v>0</v>
      </c>
      <c r="I344" s="26">
        <v>0</v>
      </c>
      <c r="J344" s="26">
        <v>0</v>
      </c>
      <c r="K344" s="26">
        <v>0</v>
      </c>
      <c r="L344" s="26">
        <v>0</v>
      </c>
      <c r="M344" s="64">
        <v>1.5259820483904733E-2</v>
      </c>
      <c r="N344" s="38">
        <v>0</v>
      </c>
      <c r="O344" s="26">
        <v>0</v>
      </c>
      <c r="P344" s="26">
        <v>0</v>
      </c>
      <c r="Q344" s="26">
        <v>0</v>
      </c>
      <c r="R344" s="26">
        <v>0</v>
      </c>
      <c r="S344" s="26">
        <v>0</v>
      </c>
      <c r="T344" s="26">
        <v>0</v>
      </c>
      <c r="U344" s="26">
        <v>0</v>
      </c>
      <c r="V344" s="72">
        <v>0</v>
      </c>
      <c r="W344" s="68">
        <v>0</v>
      </c>
      <c r="X344" s="30">
        <v>0</v>
      </c>
      <c r="Y344" s="30">
        <v>0</v>
      </c>
      <c r="Z344" s="30">
        <v>0</v>
      </c>
      <c r="AA344" s="30">
        <v>0</v>
      </c>
      <c r="AB344" s="30">
        <v>0</v>
      </c>
      <c r="AC344" s="30">
        <v>0</v>
      </c>
      <c r="AD344" s="30">
        <v>0</v>
      </c>
      <c r="AE344" s="3">
        <v>1.7523701647160446E-2</v>
      </c>
      <c r="AG344" s="30">
        <f t="shared" si="20"/>
        <v>1.5259820483904733E-2</v>
      </c>
      <c r="AH344" s="30">
        <f t="shared" si="18"/>
        <v>0</v>
      </c>
      <c r="AI344" s="30">
        <f t="shared" si="19"/>
        <v>1.7523701647160446E-2</v>
      </c>
    </row>
    <row r="345" spans="2:35" ht="15.75" thickBot="1" x14ac:dyDescent="0.2">
      <c r="B345" t="s">
        <v>357</v>
      </c>
      <c r="C345" s="22">
        <f>VLOOKUP(B345,[1]SYS!$F$5:$G$360,2,FALSE)</f>
        <v>340</v>
      </c>
      <c r="D345" s="34" t="str">
        <f>VLOOKUP(C345,[1]SYS!$G$5:$H$360,2,FALSE)</f>
        <v>人吉変電所</v>
      </c>
      <c r="E345" s="37">
        <v>0</v>
      </c>
      <c r="F345" s="26">
        <v>0</v>
      </c>
      <c r="G345" s="26">
        <v>0</v>
      </c>
      <c r="H345" s="26">
        <v>0</v>
      </c>
      <c r="I345" s="26">
        <v>0</v>
      </c>
      <c r="J345" s="26">
        <v>0</v>
      </c>
      <c r="K345" s="26">
        <v>0</v>
      </c>
      <c r="L345" s="26">
        <v>0</v>
      </c>
      <c r="M345" s="64">
        <v>4.147496780544384E-3</v>
      </c>
      <c r="N345" s="38">
        <v>0</v>
      </c>
      <c r="O345" s="26">
        <v>0</v>
      </c>
      <c r="P345" s="26">
        <v>0</v>
      </c>
      <c r="Q345" s="26">
        <v>0</v>
      </c>
      <c r="R345" s="26">
        <v>0</v>
      </c>
      <c r="S345" s="26">
        <v>0</v>
      </c>
      <c r="T345" s="26">
        <v>0</v>
      </c>
      <c r="U345" s="26">
        <v>0</v>
      </c>
      <c r="V345" s="72">
        <v>0</v>
      </c>
      <c r="W345" s="68">
        <v>0</v>
      </c>
      <c r="X345" s="30">
        <v>0</v>
      </c>
      <c r="Y345" s="30">
        <v>0</v>
      </c>
      <c r="Z345" s="30">
        <v>0</v>
      </c>
      <c r="AA345" s="30">
        <v>0</v>
      </c>
      <c r="AB345" s="30">
        <v>0</v>
      </c>
      <c r="AC345" s="30">
        <v>0</v>
      </c>
      <c r="AD345" s="30">
        <v>0</v>
      </c>
      <c r="AE345" s="3">
        <v>2.1738448701934063E-2</v>
      </c>
      <c r="AG345" s="30">
        <f t="shared" si="20"/>
        <v>4.147496780544384E-3</v>
      </c>
      <c r="AH345" s="30">
        <f t="shared" si="18"/>
        <v>0</v>
      </c>
      <c r="AI345" s="30">
        <f t="shared" si="19"/>
        <v>2.1738448701934063E-2</v>
      </c>
    </row>
    <row r="346" spans="2:35" ht="15.75" thickBot="1" x14ac:dyDescent="0.2">
      <c r="B346" t="s">
        <v>358</v>
      </c>
      <c r="C346" s="22">
        <f>VLOOKUP(B346,[1]SYS!$F$5:$G$360,2,FALSE)</f>
        <v>341</v>
      </c>
      <c r="D346" s="34" t="str">
        <f>VLOOKUP(C346,[1]SYS!$G$5:$H$360,2,FALSE)</f>
        <v>八代変電所</v>
      </c>
      <c r="E346" s="37">
        <v>0</v>
      </c>
      <c r="F346" s="26">
        <v>0</v>
      </c>
      <c r="G346" s="26">
        <v>0</v>
      </c>
      <c r="H346" s="26">
        <v>0</v>
      </c>
      <c r="I346" s="26">
        <v>0</v>
      </c>
      <c r="J346" s="26">
        <v>0</v>
      </c>
      <c r="K346" s="26">
        <v>0</v>
      </c>
      <c r="L346" s="26">
        <v>0</v>
      </c>
      <c r="M346" s="64">
        <v>2.2474074762771348E-3</v>
      </c>
      <c r="N346" s="38">
        <v>0</v>
      </c>
      <c r="O346" s="26">
        <v>0</v>
      </c>
      <c r="P346" s="26">
        <v>0</v>
      </c>
      <c r="Q346" s="26">
        <v>0</v>
      </c>
      <c r="R346" s="26">
        <v>0</v>
      </c>
      <c r="S346" s="26">
        <v>0</v>
      </c>
      <c r="T346" s="26">
        <v>0</v>
      </c>
      <c r="U346" s="26">
        <v>0</v>
      </c>
      <c r="V346" s="72">
        <v>0</v>
      </c>
      <c r="W346" s="68">
        <v>0</v>
      </c>
      <c r="X346" s="30">
        <v>0</v>
      </c>
      <c r="Y346" s="30">
        <v>0</v>
      </c>
      <c r="Z346" s="30">
        <v>0</v>
      </c>
      <c r="AA346" s="30">
        <v>0</v>
      </c>
      <c r="AB346" s="30">
        <v>0</v>
      </c>
      <c r="AC346" s="30">
        <v>0</v>
      </c>
      <c r="AD346" s="30">
        <v>0</v>
      </c>
      <c r="AE346" s="3">
        <v>1.9138116156151328E-2</v>
      </c>
      <c r="AG346" s="30">
        <f t="shared" si="20"/>
        <v>2.2474074762771348E-3</v>
      </c>
      <c r="AH346" s="30">
        <f t="shared" si="18"/>
        <v>0</v>
      </c>
      <c r="AI346" s="30">
        <f t="shared" si="19"/>
        <v>1.9138116156151328E-2</v>
      </c>
    </row>
    <row r="347" spans="2:35" ht="15.75" thickBot="1" x14ac:dyDescent="0.2">
      <c r="B347" t="s">
        <v>359</v>
      </c>
      <c r="C347" s="22">
        <f>VLOOKUP(B347,[1]SYS!$F$5:$G$360,2,FALSE)</f>
        <v>342</v>
      </c>
      <c r="D347" s="34" t="str">
        <f>VLOOKUP(C347,[1]SYS!$G$5:$H$360,2,FALSE)</f>
        <v>鹿児島変電所</v>
      </c>
      <c r="E347" s="37">
        <v>0</v>
      </c>
      <c r="F347" s="26">
        <v>0</v>
      </c>
      <c r="G347" s="26">
        <v>0</v>
      </c>
      <c r="H347" s="26">
        <v>0</v>
      </c>
      <c r="I347" s="26">
        <v>0</v>
      </c>
      <c r="J347" s="26">
        <v>0</v>
      </c>
      <c r="K347" s="26">
        <v>0</v>
      </c>
      <c r="L347" s="26">
        <v>0</v>
      </c>
      <c r="M347" s="64">
        <v>4.852723967235928E-4</v>
      </c>
      <c r="N347" s="38">
        <v>0</v>
      </c>
      <c r="O347" s="26">
        <v>0</v>
      </c>
      <c r="P347" s="26">
        <v>0</v>
      </c>
      <c r="Q347" s="26">
        <v>0</v>
      </c>
      <c r="R347" s="26">
        <v>0</v>
      </c>
      <c r="S347" s="26">
        <v>0</v>
      </c>
      <c r="T347" s="26">
        <v>0</v>
      </c>
      <c r="U347" s="26">
        <v>0</v>
      </c>
      <c r="V347" s="3">
        <v>0.2</v>
      </c>
      <c r="W347" s="68">
        <v>0</v>
      </c>
      <c r="X347" s="30">
        <v>0</v>
      </c>
      <c r="Y347" s="30">
        <v>0</v>
      </c>
      <c r="Z347" s="30">
        <v>0</v>
      </c>
      <c r="AA347" s="30">
        <v>0</v>
      </c>
      <c r="AB347" s="30">
        <v>0</v>
      </c>
      <c r="AC347" s="30">
        <v>0</v>
      </c>
      <c r="AD347" s="30">
        <v>0</v>
      </c>
      <c r="AE347" s="3">
        <v>8.1011191939562688E-2</v>
      </c>
      <c r="AG347" s="30">
        <f t="shared" si="20"/>
        <v>4.852723967235928E-4</v>
      </c>
      <c r="AH347" s="30">
        <f t="shared" si="18"/>
        <v>0.2</v>
      </c>
      <c r="AI347" s="30">
        <f t="shared" si="19"/>
        <v>8.1011191939562688E-2</v>
      </c>
    </row>
    <row r="348" spans="2:35" ht="15.75" thickBot="1" x14ac:dyDescent="0.2">
      <c r="B348" t="s">
        <v>360</v>
      </c>
      <c r="C348" s="22">
        <f>VLOOKUP(B348,[1]SYS!$F$5:$G$360,2,FALSE)</f>
        <v>343</v>
      </c>
      <c r="D348" s="34" t="str">
        <f>VLOOKUP(C348,[1]SYS!$G$5:$H$360,2,FALSE)</f>
        <v>高野開閉所</v>
      </c>
      <c r="E348" s="37">
        <v>0</v>
      </c>
      <c r="F348" s="26">
        <v>0</v>
      </c>
      <c r="G348" s="26">
        <v>0</v>
      </c>
      <c r="H348" s="26">
        <v>0</v>
      </c>
      <c r="I348" s="26">
        <v>0</v>
      </c>
      <c r="J348" s="26">
        <v>0</v>
      </c>
      <c r="K348" s="26">
        <v>0</v>
      </c>
      <c r="L348" s="26">
        <v>0</v>
      </c>
      <c r="M348" s="64">
        <v>2.056126825644709E-3</v>
      </c>
      <c r="N348" s="38">
        <v>0</v>
      </c>
      <c r="O348" s="26">
        <v>0</v>
      </c>
      <c r="P348" s="26">
        <v>0</v>
      </c>
      <c r="Q348" s="26">
        <v>0</v>
      </c>
      <c r="R348" s="26">
        <v>0</v>
      </c>
      <c r="S348" s="26">
        <v>0</v>
      </c>
      <c r="T348" s="26">
        <v>0</v>
      </c>
      <c r="U348" s="26">
        <v>0</v>
      </c>
      <c r="V348" s="72">
        <v>0</v>
      </c>
      <c r="W348" s="68">
        <v>0</v>
      </c>
      <c r="X348" s="30">
        <v>0</v>
      </c>
      <c r="Y348" s="30">
        <v>0</v>
      </c>
      <c r="Z348" s="30">
        <v>0</v>
      </c>
      <c r="AA348" s="30">
        <v>0</v>
      </c>
      <c r="AB348" s="30">
        <v>0</v>
      </c>
      <c r="AC348" s="30">
        <v>0</v>
      </c>
      <c r="AD348" s="30">
        <v>0</v>
      </c>
      <c r="AE348" s="3">
        <v>1.5019991182135086E-2</v>
      </c>
      <c r="AG348" s="30">
        <f t="shared" si="20"/>
        <v>2.056126825644709E-3</v>
      </c>
      <c r="AH348" s="30">
        <f t="shared" si="18"/>
        <v>0</v>
      </c>
      <c r="AI348" s="30">
        <f t="shared" si="19"/>
        <v>1.5019991182135086E-2</v>
      </c>
    </row>
    <row r="349" spans="2:35" ht="15.75" thickBot="1" x14ac:dyDescent="0.2">
      <c r="B349" t="s">
        <v>361</v>
      </c>
      <c r="C349" s="22">
        <f>VLOOKUP(B349,[1]SYS!$F$5:$G$360,2,FALSE)</f>
        <v>344</v>
      </c>
      <c r="D349" s="34" t="str">
        <f>VLOOKUP(C349,[1]SYS!$G$5:$H$360,2,FALSE)</f>
        <v>霧島変電所</v>
      </c>
      <c r="E349" s="37">
        <v>0</v>
      </c>
      <c r="F349" s="26">
        <v>0</v>
      </c>
      <c r="G349" s="26">
        <v>0</v>
      </c>
      <c r="H349" s="26">
        <v>0</v>
      </c>
      <c r="I349" s="26">
        <v>0</v>
      </c>
      <c r="J349" s="26">
        <v>0</v>
      </c>
      <c r="K349" s="26">
        <v>0</v>
      </c>
      <c r="L349" s="26">
        <v>0</v>
      </c>
      <c r="M349" s="64">
        <v>5.8408921374457465E-4</v>
      </c>
      <c r="N349" s="38">
        <v>0</v>
      </c>
      <c r="O349" s="26">
        <v>0</v>
      </c>
      <c r="P349" s="26">
        <v>0</v>
      </c>
      <c r="Q349" s="26">
        <v>0</v>
      </c>
      <c r="R349" s="26">
        <v>0</v>
      </c>
      <c r="S349" s="26">
        <v>0</v>
      </c>
      <c r="T349" s="26">
        <v>0</v>
      </c>
      <c r="U349" s="26">
        <v>0</v>
      </c>
      <c r="V349" s="72">
        <v>0</v>
      </c>
      <c r="W349" s="68">
        <v>0</v>
      </c>
      <c r="X349" s="30">
        <v>0</v>
      </c>
      <c r="Y349" s="30">
        <v>0</v>
      </c>
      <c r="Z349" s="30">
        <v>0</v>
      </c>
      <c r="AA349" s="30">
        <v>0</v>
      </c>
      <c r="AB349" s="30">
        <v>0</v>
      </c>
      <c r="AC349" s="30">
        <v>0</v>
      </c>
      <c r="AD349" s="30">
        <v>0</v>
      </c>
      <c r="AE349" s="3">
        <v>1.5662063502575336E-2</v>
      </c>
      <c r="AG349" s="30">
        <f t="shared" si="20"/>
        <v>5.8408921374457465E-4</v>
      </c>
      <c r="AH349" s="30">
        <f t="shared" si="18"/>
        <v>0</v>
      </c>
      <c r="AI349" s="30">
        <f t="shared" si="19"/>
        <v>1.5662063502575336E-2</v>
      </c>
    </row>
    <row r="350" spans="2:35" ht="15.75" thickBot="1" x14ac:dyDescent="0.2">
      <c r="B350" t="s">
        <v>362</v>
      </c>
      <c r="C350" s="22">
        <f>VLOOKUP(B350,[1]SYS!$F$5:$G$360,2,FALSE)</f>
        <v>345</v>
      </c>
      <c r="D350" s="34" t="str">
        <f>VLOOKUP(C350,[1]SYS!$G$5:$H$360,2,FALSE)</f>
        <v>都城変電所</v>
      </c>
      <c r="E350" s="37">
        <v>0</v>
      </c>
      <c r="F350" s="26">
        <v>0</v>
      </c>
      <c r="G350" s="26">
        <v>0</v>
      </c>
      <c r="H350" s="26">
        <v>0</v>
      </c>
      <c r="I350" s="26">
        <v>0</v>
      </c>
      <c r="J350" s="26">
        <v>0</v>
      </c>
      <c r="K350" s="26">
        <v>0</v>
      </c>
      <c r="L350" s="26">
        <v>0</v>
      </c>
      <c r="M350" s="64">
        <v>2.1709474780018959E-2</v>
      </c>
      <c r="N350" s="38">
        <v>0</v>
      </c>
      <c r="O350" s="26">
        <v>0</v>
      </c>
      <c r="P350" s="26">
        <v>0</v>
      </c>
      <c r="Q350" s="26">
        <v>0</v>
      </c>
      <c r="R350" s="26">
        <v>0</v>
      </c>
      <c r="S350" s="26">
        <v>0</v>
      </c>
      <c r="T350" s="26">
        <v>0</v>
      </c>
      <c r="U350" s="26">
        <v>0</v>
      </c>
      <c r="V350" s="72">
        <v>0</v>
      </c>
      <c r="W350" s="68">
        <v>0</v>
      </c>
      <c r="X350" s="30">
        <v>0</v>
      </c>
      <c r="Y350" s="30">
        <v>0</v>
      </c>
      <c r="Z350" s="30">
        <v>0</v>
      </c>
      <c r="AA350" s="30">
        <v>0</v>
      </c>
      <c r="AB350" s="30">
        <v>0</v>
      </c>
      <c r="AC350" s="30">
        <v>0</v>
      </c>
      <c r="AD350" s="30">
        <v>0</v>
      </c>
      <c r="AE350" s="3">
        <v>2.720705363315034E-2</v>
      </c>
      <c r="AG350" s="30">
        <f t="shared" si="20"/>
        <v>2.1709474780018959E-2</v>
      </c>
      <c r="AH350" s="30">
        <f t="shared" si="18"/>
        <v>0</v>
      </c>
      <c r="AI350" s="30">
        <f t="shared" si="19"/>
        <v>2.720705363315034E-2</v>
      </c>
    </row>
    <row r="351" spans="2:35" ht="15.75" thickBot="1" x14ac:dyDescent="0.2">
      <c r="B351" t="s">
        <v>363</v>
      </c>
      <c r="C351" s="22">
        <f>VLOOKUP(B351,[1]SYS!$F$5:$G$360,2,FALSE)</f>
        <v>346</v>
      </c>
      <c r="D351" s="34" t="str">
        <f>VLOOKUP(C351,[1]SYS!$G$5:$H$360,2,FALSE)</f>
        <v>大隅変電所</v>
      </c>
      <c r="E351" s="37">
        <v>0</v>
      </c>
      <c r="F351" s="26">
        <v>0</v>
      </c>
      <c r="G351" s="26">
        <v>0</v>
      </c>
      <c r="H351" s="26">
        <v>0</v>
      </c>
      <c r="I351" s="26">
        <v>0</v>
      </c>
      <c r="J351" s="26">
        <v>0</v>
      </c>
      <c r="K351" s="26">
        <v>0</v>
      </c>
      <c r="L351" s="26">
        <v>0</v>
      </c>
      <c r="M351" s="64">
        <v>5.6133725530506225E-2</v>
      </c>
      <c r="N351" s="38">
        <v>0</v>
      </c>
      <c r="O351" s="26">
        <v>0</v>
      </c>
      <c r="P351" s="26">
        <v>0</v>
      </c>
      <c r="Q351" s="26">
        <v>0</v>
      </c>
      <c r="R351" s="26">
        <v>0</v>
      </c>
      <c r="S351" s="26">
        <v>0</v>
      </c>
      <c r="T351" s="26">
        <v>0</v>
      </c>
      <c r="U351" s="26">
        <v>0</v>
      </c>
      <c r="V351" s="72">
        <v>0</v>
      </c>
      <c r="W351" s="68">
        <v>0</v>
      </c>
      <c r="X351" s="30">
        <v>0</v>
      </c>
      <c r="Y351" s="30">
        <v>0</v>
      </c>
      <c r="Z351" s="30">
        <v>0</v>
      </c>
      <c r="AA351" s="30">
        <v>0</v>
      </c>
      <c r="AB351" s="30">
        <v>0</v>
      </c>
      <c r="AC351" s="30">
        <v>0</v>
      </c>
      <c r="AD351" s="30">
        <v>0</v>
      </c>
      <c r="AE351" s="3">
        <v>4.3826530463253972E-2</v>
      </c>
      <c r="AG351" s="30">
        <f t="shared" si="20"/>
        <v>5.6133725530506225E-2</v>
      </c>
      <c r="AH351" s="30">
        <f t="shared" si="18"/>
        <v>0</v>
      </c>
      <c r="AI351" s="30">
        <f t="shared" si="19"/>
        <v>4.3826530463253972E-2</v>
      </c>
    </row>
    <row r="352" spans="2:35" ht="15.75" thickBot="1" x14ac:dyDescent="0.2">
      <c r="B352" t="s">
        <v>364</v>
      </c>
      <c r="C352" s="22">
        <f>VLOOKUP(B352,[1]SYS!$F$5:$G$360,2,FALSE)</f>
        <v>347</v>
      </c>
      <c r="D352" s="34" t="str">
        <f>VLOOKUP(C352,[1]SYS!$G$5:$H$360,2,FALSE)</f>
        <v>海崎変電所</v>
      </c>
      <c r="E352" s="37">
        <v>0</v>
      </c>
      <c r="F352" s="26">
        <v>0</v>
      </c>
      <c r="G352" s="26">
        <v>0</v>
      </c>
      <c r="H352" s="26">
        <v>0</v>
      </c>
      <c r="I352" s="26">
        <v>0</v>
      </c>
      <c r="J352" s="26">
        <v>0</v>
      </c>
      <c r="K352" s="26">
        <v>0</v>
      </c>
      <c r="L352" s="26">
        <v>0</v>
      </c>
      <c r="M352" s="64">
        <v>1.5470701550748648E-2</v>
      </c>
      <c r="N352" s="38">
        <v>0</v>
      </c>
      <c r="O352" s="26">
        <v>0</v>
      </c>
      <c r="P352" s="26">
        <v>0</v>
      </c>
      <c r="Q352" s="26">
        <v>0</v>
      </c>
      <c r="R352" s="26">
        <v>0</v>
      </c>
      <c r="S352" s="26">
        <v>0</v>
      </c>
      <c r="T352" s="26">
        <v>0</v>
      </c>
      <c r="U352" s="26">
        <v>0</v>
      </c>
      <c r="V352" s="72">
        <v>0</v>
      </c>
      <c r="W352" s="68">
        <v>0</v>
      </c>
      <c r="X352" s="30">
        <v>0</v>
      </c>
      <c r="Y352" s="30">
        <v>0</v>
      </c>
      <c r="Z352" s="30">
        <v>0</v>
      </c>
      <c r="AA352" s="30">
        <v>0</v>
      </c>
      <c r="AB352" s="30">
        <v>0</v>
      </c>
      <c r="AC352" s="30">
        <v>0</v>
      </c>
      <c r="AD352" s="30">
        <v>0</v>
      </c>
      <c r="AE352" s="3">
        <v>1.4282612234104607E-2</v>
      </c>
      <c r="AG352" s="30">
        <f t="shared" si="20"/>
        <v>1.5470701550748648E-2</v>
      </c>
      <c r="AH352" s="30">
        <f t="shared" si="18"/>
        <v>0</v>
      </c>
      <c r="AI352" s="30">
        <f t="shared" si="19"/>
        <v>1.4282612234104607E-2</v>
      </c>
    </row>
    <row r="353" spans="2:35" ht="15.75" thickBot="1" x14ac:dyDescent="0.2">
      <c r="B353" t="s">
        <v>365</v>
      </c>
      <c r="C353" s="22">
        <f>VLOOKUP(B353,[1]SYS!$F$5:$G$360,2,FALSE)</f>
        <v>348</v>
      </c>
      <c r="D353" s="34" t="str">
        <f>VLOOKUP(C353,[1]SYS!$G$5:$H$360,2,FALSE)</f>
        <v>西福岡変電所</v>
      </c>
      <c r="E353" s="37">
        <v>0</v>
      </c>
      <c r="F353" s="26">
        <v>0</v>
      </c>
      <c r="G353" s="26">
        <v>0</v>
      </c>
      <c r="H353" s="26">
        <v>0</v>
      </c>
      <c r="I353" s="26">
        <v>0</v>
      </c>
      <c r="J353" s="26">
        <v>0</v>
      </c>
      <c r="K353" s="26">
        <v>0</v>
      </c>
      <c r="L353" s="26">
        <v>0</v>
      </c>
      <c r="M353" s="64">
        <v>6.0423283196441677E-2</v>
      </c>
      <c r="N353" s="38">
        <v>0</v>
      </c>
      <c r="O353" s="26">
        <v>0</v>
      </c>
      <c r="P353" s="26">
        <v>0</v>
      </c>
      <c r="Q353" s="26">
        <v>0</v>
      </c>
      <c r="R353" s="26">
        <v>0</v>
      </c>
      <c r="S353" s="26">
        <v>0</v>
      </c>
      <c r="T353" s="26">
        <v>0</v>
      </c>
      <c r="U353" s="26">
        <v>0</v>
      </c>
      <c r="V353" s="72">
        <v>0</v>
      </c>
      <c r="W353" s="68">
        <v>0</v>
      </c>
      <c r="X353" s="30">
        <v>0</v>
      </c>
      <c r="Y353" s="30">
        <v>0</v>
      </c>
      <c r="Z353" s="30">
        <v>0</v>
      </c>
      <c r="AA353" s="30">
        <v>0</v>
      </c>
      <c r="AB353" s="30">
        <v>0</v>
      </c>
      <c r="AC353" s="30">
        <v>0</v>
      </c>
      <c r="AD353" s="30">
        <v>0</v>
      </c>
      <c r="AE353" s="3">
        <v>3.9929505136129719E-3</v>
      </c>
      <c r="AG353" s="30">
        <f t="shared" si="20"/>
        <v>6.0423283196441677E-2</v>
      </c>
      <c r="AH353" s="30">
        <f t="shared" si="18"/>
        <v>0</v>
      </c>
      <c r="AI353" s="30">
        <f t="shared" si="19"/>
        <v>3.9929505136129719E-3</v>
      </c>
    </row>
    <row r="354" spans="2:35" ht="15.75" thickBot="1" x14ac:dyDescent="0.2">
      <c r="B354" t="s">
        <v>366</v>
      </c>
      <c r="C354" s="22">
        <f>VLOOKUP(B354,[1]SYS!$F$5:$G$360,2,FALSE)</f>
        <v>349</v>
      </c>
      <c r="D354" s="34" t="str">
        <f>VLOOKUP(C354,[1]SYS!$G$5:$H$360,2,FALSE)</f>
        <v>南宮崎変電所</v>
      </c>
      <c r="E354" s="37">
        <v>0</v>
      </c>
      <c r="F354" s="26">
        <v>0</v>
      </c>
      <c r="G354" s="26">
        <v>0</v>
      </c>
      <c r="H354" s="26">
        <v>0</v>
      </c>
      <c r="I354" s="26">
        <v>0</v>
      </c>
      <c r="J354" s="26">
        <v>0</v>
      </c>
      <c r="K354" s="26">
        <v>0</v>
      </c>
      <c r="L354" s="26">
        <v>0</v>
      </c>
      <c r="M354" s="64">
        <v>1.3179345447955033E-2</v>
      </c>
      <c r="N354" s="38">
        <v>0</v>
      </c>
      <c r="O354" s="26">
        <v>0</v>
      </c>
      <c r="P354" s="26">
        <v>0</v>
      </c>
      <c r="Q354" s="26">
        <v>0</v>
      </c>
      <c r="R354" s="26">
        <v>0</v>
      </c>
      <c r="S354" s="26">
        <v>0</v>
      </c>
      <c r="T354" s="26">
        <v>0</v>
      </c>
      <c r="U354" s="26">
        <v>0</v>
      </c>
      <c r="V354" s="72">
        <v>0</v>
      </c>
      <c r="W354" s="68">
        <v>0</v>
      </c>
      <c r="X354" s="30">
        <v>0</v>
      </c>
      <c r="Y354" s="30">
        <v>0</v>
      </c>
      <c r="Z354" s="30">
        <v>0</v>
      </c>
      <c r="AA354" s="30">
        <v>0</v>
      </c>
      <c r="AB354" s="30">
        <v>0</v>
      </c>
      <c r="AC354" s="30">
        <v>0</v>
      </c>
      <c r="AD354" s="30">
        <v>0</v>
      </c>
      <c r="AE354" s="3">
        <v>4.2661674764505837E-2</v>
      </c>
      <c r="AG354" s="30">
        <f t="shared" si="20"/>
        <v>1.3179345447955033E-2</v>
      </c>
      <c r="AH354" s="30">
        <f t="shared" si="18"/>
        <v>0</v>
      </c>
      <c r="AI354" s="30">
        <f t="shared" si="19"/>
        <v>4.2661674764505837E-2</v>
      </c>
    </row>
    <row r="355" spans="2:35" ht="15.75" thickBot="1" x14ac:dyDescent="0.2">
      <c r="B355" t="s">
        <v>367</v>
      </c>
      <c r="C355" s="22">
        <f>VLOOKUP(B355,[1]SYS!$F$5:$G$360,2,FALSE)</f>
        <v>350</v>
      </c>
      <c r="D355" s="34" t="str">
        <f>VLOOKUP(C355,[1]SYS!$G$5:$H$360,2,FALSE)</f>
        <v>久留米変電所</v>
      </c>
      <c r="E355" s="37">
        <v>0</v>
      </c>
      <c r="F355" s="26">
        <v>0</v>
      </c>
      <c r="G355" s="26">
        <v>0</v>
      </c>
      <c r="H355" s="26">
        <v>0</v>
      </c>
      <c r="I355" s="26">
        <v>0</v>
      </c>
      <c r="J355" s="26">
        <v>0</v>
      </c>
      <c r="K355" s="26">
        <v>0</v>
      </c>
      <c r="L355" s="26">
        <v>0</v>
      </c>
      <c r="M355" s="64">
        <v>9.7839177355994681E-3</v>
      </c>
      <c r="N355" s="38">
        <v>0</v>
      </c>
      <c r="O355" s="26">
        <v>0</v>
      </c>
      <c r="P355" s="26">
        <v>0</v>
      </c>
      <c r="Q355" s="26">
        <v>0</v>
      </c>
      <c r="R355" s="26">
        <v>0</v>
      </c>
      <c r="S355" s="26">
        <v>0</v>
      </c>
      <c r="T355" s="26">
        <v>0</v>
      </c>
      <c r="U355" s="26">
        <v>0</v>
      </c>
      <c r="V355" s="72">
        <v>0</v>
      </c>
      <c r="W355" s="68">
        <v>0</v>
      </c>
      <c r="X355" s="30">
        <v>0</v>
      </c>
      <c r="Y355" s="30">
        <v>0</v>
      </c>
      <c r="Z355" s="30">
        <v>0</v>
      </c>
      <c r="AA355" s="30">
        <v>0</v>
      </c>
      <c r="AB355" s="30">
        <v>0</v>
      </c>
      <c r="AC355" s="30">
        <v>0</v>
      </c>
      <c r="AD355" s="30">
        <v>0</v>
      </c>
      <c r="AE355" s="3">
        <v>1.5348013577328281E-2</v>
      </c>
      <c r="AG355" s="30">
        <f t="shared" si="20"/>
        <v>9.7839177355994681E-3</v>
      </c>
      <c r="AH355" s="30">
        <f t="shared" si="18"/>
        <v>0</v>
      </c>
      <c r="AI355" s="30">
        <f t="shared" si="19"/>
        <v>1.5348013577328281E-2</v>
      </c>
    </row>
    <row r="356" spans="2:35" ht="15.75" thickBot="1" x14ac:dyDescent="0.2">
      <c r="B356" t="s">
        <v>368</v>
      </c>
      <c r="C356" s="22">
        <f>VLOOKUP(B356,[1]SYS!$F$5:$G$360,2,FALSE)</f>
        <v>351</v>
      </c>
      <c r="D356" s="34" t="str">
        <f>VLOOKUP(C356,[1]SYS!$G$5:$H$360,2,FALSE)</f>
        <v>南福岡変電所</v>
      </c>
      <c r="E356" s="37">
        <v>0</v>
      </c>
      <c r="F356" s="26">
        <v>0</v>
      </c>
      <c r="G356" s="26">
        <v>0</v>
      </c>
      <c r="H356" s="26">
        <v>0</v>
      </c>
      <c r="I356" s="26">
        <v>0</v>
      </c>
      <c r="J356" s="26">
        <v>0</v>
      </c>
      <c r="K356" s="26">
        <v>0</v>
      </c>
      <c r="L356" s="26">
        <v>0</v>
      </c>
      <c r="M356" s="64">
        <v>2.9653897386503248E-2</v>
      </c>
      <c r="N356" s="38">
        <v>0</v>
      </c>
      <c r="O356" s="26">
        <v>0</v>
      </c>
      <c r="P356" s="26">
        <v>0</v>
      </c>
      <c r="Q356" s="26">
        <v>0</v>
      </c>
      <c r="R356" s="26">
        <v>0</v>
      </c>
      <c r="S356" s="26">
        <v>0</v>
      </c>
      <c r="T356" s="26">
        <v>0</v>
      </c>
      <c r="U356" s="26">
        <v>0</v>
      </c>
      <c r="V356" s="72">
        <v>0</v>
      </c>
      <c r="W356" s="68">
        <v>0</v>
      </c>
      <c r="X356" s="30">
        <v>0</v>
      </c>
      <c r="Y356" s="30">
        <v>0</v>
      </c>
      <c r="Z356" s="30">
        <v>0</v>
      </c>
      <c r="AA356" s="30">
        <v>0</v>
      </c>
      <c r="AB356" s="30">
        <v>0</v>
      </c>
      <c r="AC356" s="30">
        <v>0</v>
      </c>
      <c r="AD356" s="30">
        <v>0</v>
      </c>
      <c r="AE356" s="3">
        <v>9.2263337272477895E-3</v>
      </c>
      <c r="AG356" s="30">
        <f t="shared" si="20"/>
        <v>2.9653897386503248E-2</v>
      </c>
      <c r="AH356" s="30">
        <f t="shared" si="18"/>
        <v>0</v>
      </c>
      <c r="AI356" s="30">
        <f t="shared" si="19"/>
        <v>9.2263337272477895E-3</v>
      </c>
    </row>
    <row r="357" spans="2:35" ht="15.75" thickBot="1" x14ac:dyDescent="0.2">
      <c r="B357" t="s">
        <v>369</v>
      </c>
      <c r="C357" s="22">
        <f>VLOOKUP(B357,[1]SYS!$F$5:$G$360,2,FALSE)</f>
        <v>352</v>
      </c>
      <c r="D357" s="34" t="str">
        <f>VLOOKUP(C357,[1]SYS!$G$5:$H$360,2,FALSE)</f>
        <v>北佐賀変電所</v>
      </c>
      <c r="E357" s="37">
        <v>0</v>
      </c>
      <c r="F357" s="26">
        <v>0</v>
      </c>
      <c r="G357" s="26">
        <v>0</v>
      </c>
      <c r="H357" s="26">
        <v>0</v>
      </c>
      <c r="I357" s="26">
        <v>0</v>
      </c>
      <c r="J357" s="26">
        <v>0</v>
      </c>
      <c r="K357" s="26">
        <v>0</v>
      </c>
      <c r="L357" s="26">
        <v>0</v>
      </c>
      <c r="M357" s="64">
        <v>0.26230331093234449</v>
      </c>
      <c r="N357" s="38">
        <v>0</v>
      </c>
      <c r="O357" s="26">
        <v>0</v>
      </c>
      <c r="P357" s="26">
        <v>0</v>
      </c>
      <c r="Q357" s="26">
        <v>0</v>
      </c>
      <c r="R357" s="26">
        <v>0</v>
      </c>
      <c r="S357" s="26">
        <v>0</v>
      </c>
      <c r="T357" s="26">
        <v>0</v>
      </c>
      <c r="U357" s="26">
        <v>0</v>
      </c>
      <c r="V357" s="72">
        <v>0</v>
      </c>
      <c r="W357" s="68">
        <v>0</v>
      </c>
      <c r="X357" s="30">
        <v>0</v>
      </c>
      <c r="Y357" s="30">
        <v>0</v>
      </c>
      <c r="Z357" s="30">
        <v>0</v>
      </c>
      <c r="AA357" s="30">
        <v>0</v>
      </c>
      <c r="AB357" s="30">
        <v>0</v>
      </c>
      <c r="AC357" s="30">
        <v>0</v>
      </c>
      <c r="AD357" s="30">
        <v>0</v>
      </c>
      <c r="AE357" s="3">
        <v>2.0542342877039932E-2</v>
      </c>
      <c r="AG357" s="30">
        <f t="shared" si="20"/>
        <v>0.26230331093234449</v>
      </c>
      <c r="AH357" s="30">
        <f t="shared" si="18"/>
        <v>0</v>
      </c>
      <c r="AI357" s="30">
        <f t="shared" si="19"/>
        <v>2.0542342877039932E-2</v>
      </c>
    </row>
    <row r="358" spans="2:35" ht="15.75" thickBot="1" x14ac:dyDescent="0.2">
      <c r="B358" t="s">
        <v>370</v>
      </c>
      <c r="C358" s="22">
        <f>VLOOKUP(B358,[1]SYS!$F$5:$G$360,2,FALSE)</f>
        <v>353</v>
      </c>
      <c r="D358" s="34" t="str">
        <f>VLOOKUP(C358,[1]SYS!$G$5:$H$360,2,FALSE)</f>
        <v>速見変電所</v>
      </c>
      <c r="E358" s="37">
        <v>0</v>
      </c>
      <c r="F358" s="26">
        <v>0</v>
      </c>
      <c r="G358" s="26">
        <v>0</v>
      </c>
      <c r="H358" s="26">
        <v>0</v>
      </c>
      <c r="I358" s="26">
        <v>0</v>
      </c>
      <c r="J358" s="26">
        <v>0</v>
      </c>
      <c r="K358" s="26">
        <v>0</v>
      </c>
      <c r="L358" s="26">
        <v>0</v>
      </c>
      <c r="M358" s="64">
        <v>2.698187438853079E-2</v>
      </c>
      <c r="N358" s="38">
        <v>0</v>
      </c>
      <c r="O358" s="26">
        <v>0</v>
      </c>
      <c r="P358" s="26">
        <v>0</v>
      </c>
      <c r="Q358" s="26">
        <v>0</v>
      </c>
      <c r="R358" s="26">
        <v>0</v>
      </c>
      <c r="S358" s="26">
        <v>0</v>
      </c>
      <c r="T358" s="26">
        <v>0</v>
      </c>
      <c r="U358" s="26">
        <v>0</v>
      </c>
      <c r="V358" s="72">
        <v>0</v>
      </c>
      <c r="W358" s="68">
        <v>0</v>
      </c>
      <c r="X358" s="30">
        <v>0</v>
      </c>
      <c r="Y358" s="30">
        <v>0</v>
      </c>
      <c r="Z358" s="30">
        <v>0</v>
      </c>
      <c r="AA358" s="30">
        <v>0</v>
      </c>
      <c r="AB358" s="30">
        <v>0</v>
      </c>
      <c r="AC358" s="30">
        <v>0</v>
      </c>
      <c r="AD358" s="30">
        <v>0</v>
      </c>
      <c r="AE358" s="3">
        <v>4.0591515292064208E-2</v>
      </c>
      <c r="AG358" s="30">
        <f t="shared" si="20"/>
        <v>2.698187438853079E-2</v>
      </c>
      <c r="AH358" s="30">
        <f t="shared" si="18"/>
        <v>0</v>
      </c>
      <c r="AI358" s="30">
        <f t="shared" si="19"/>
        <v>4.0591515292064208E-2</v>
      </c>
    </row>
    <row r="359" spans="2:35" ht="15.75" thickBot="1" x14ac:dyDescent="0.2">
      <c r="B359" t="s">
        <v>371</v>
      </c>
      <c r="C359" s="22">
        <f>VLOOKUP(B359,[1]SYS!$F$5:$G$360,2,FALSE)</f>
        <v>354</v>
      </c>
      <c r="D359" s="34" t="str">
        <f>VLOOKUP(C359,[1]SYS!$G$5:$H$360,2,FALSE)</f>
        <v>伊都変電所</v>
      </c>
      <c r="E359" s="37">
        <v>0</v>
      </c>
      <c r="F359" s="26">
        <v>0</v>
      </c>
      <c r="G359" s="26">
        <v>0</v>
      </c>
      <c r="H359" s="26">
        <v>0</v>
      </c>
      <c r="I359" s="26">
        <v>0</v>
      </c>
      <c r="J359" s="26">
        <v>0</v>
      </c>
      <c r="K359" s="26">
        <v>0</v>
      </c>
      <c r="L359" s="26">
        <v>0</v>
      </c>
      <c r="M359" s="64">
        <v>3.3343866646754546E-4</v>
      </c>
      <c r="N359" s="38">
        <v>0</v>
      </c>
      <c r="O359" s="26">
        <v>0</v>
      </c>
      <c r="P359" s="26">
        <v>0</v>
      </c>
      <c r="Q359" s="26">
        <v>0</v>
      </c>
      <c r="R359" s="26">
        <v>0</v>
      </c>
      <c r="S359" s="26">
        <v>0</v>
      </c>
      <c r="T359" s="26">
        <v>0</v>
      </c>
      <c r="U359" s="26">
        <v>0</v>
      </c>
      <c r="V359" s="72">
        <v>0</v>
      </c>
      <c r="W359" s="68">
        <v>0</v>
      </c>
      <c r="X359" s="30">
        <v>0</v>
      </c>
      <c r="Y359" s="30">
        <v>0</v>
      </c>
      <c r="Z359" s="30">
        <v>0</v>
      </c>
      <c r="AA359" s="30">
        <v>0</v>
      </c>
      <c r="AB359" s="30">
        <v>0</v>
      </c>
      <c r="AC359" s="30">
        <v>0</v>
      </c>
      <c r="AD359" s="30">
        <v>0</v>
      </c>
      <c r="AE359" s="3">
        <v>8.0074872228900005E-3</v>
      </c>
      <c r="AG359" s="30">
        <f t="shared" si="20"/>
        <v>3.3343866646754546E-4</v>
      </c>
      <c r="AH359" s="30">
        <f t="shared" si="18"/>
        <v>0</v>
      </c>
      <c r="AI359" s="30">
        <f t="shared" si="19"/>
        <v>8.0074872228900005E-3</v>
      </c>
    </row>
    <row r="360" spans="2:35" ht="15.75" thickBot="1" x14ac:dyDescent="0.2">
      <c r="B360" t="s">
        <v>372</v>
      </c>
      <c r="C360" s="22">
        <f>VLOOKUP(B360,[1]SYS!$F$5:$G$360,2,FALSE)</f>
        <v>355</v>
      </c>
      <c r="D360" s="34" t="str">
        <f>VLOOKUP(C360,[1]SYS!$G$5:$H$360,2,FALSE)</f>
        <v>弓削変電所</v>
      </c>
      <c r="E360" s="38">
        <v>0</v>
      </c>
      <c r="F360" s="29">
        <v>0</v>
      </c>
      <c r="G360" s="29">
        <v>0</v>
      </c>
      <c r="H360" s="29">
        <v>0</v>
      </c>
      <c r="I360" s="29">
        <v>0</v>
      </c>
      <c r="J360" s="29">
        <v>0</v>
      </c>
      <c r="K360" s="29">
        <v>0</v>
      </c>
      <c r="L360" s="29">
        <v>0</v>
      </c>
      <c r="M360" s="65">
        <v>1.4999107150138696E-2</v>
      </c>
      <c r="N360" s="38">
        <v>0</v>
      </c>
      <c r="O360" s="29">
        <v>0</v>
      </c>
      <c r="P360" s="29">
        <v>0</v>
      </c>
      <c r="Q360" s="29">
        <v>0</v>
      </c>
      <c r="R360" s="29">
        <v>0</v>
      </c>
      <c r="S360" s="29">
        <v>0</v>
      </c>
      <c r="T360" s="29">
        <v>0</v>
      </c>
      <c r="U360" s="29">
        <v>0</v>
      </c>
      <c r="V360" s="73">
        <v>0</v>
      </c>
      <c r="W360" s="69">
        <v>0</v>
      </c>
      <c r="X360" s="15">
        <v>0</v>
      </c>
      <c r="Y360" s="15">
        <v>0</v>
      </c>
      <c r="Z360" s="15">
        <v>0</v>
      </c>
      <c r="AA360" s="15">
        <v>0</v>
      </c>
      <c r="AB360" s="15">
        <v>0</v>
      </c>
      <c r="AC360" s="15">
        <v>0</v>
      </c>
      <c r="AD360" s="15">
        <v>0</v>
      </c>
      <c r="AE360" s="6">
        <v>3.2490476648417276E-2</v>
      </c>
      <c r="AG360" s="30">
        <f t="shared" si="20"/>
        <v>1.4999107150138696E-2</v>
      </c>
      <c r="AH360" s="30">
        <f t="shared" si="18"/>
        <v>0</v>
      </c>
      <c r="AI360" s="30">
        <f t="shared" si="19"/>
        <v>3.2490476648417276E-2</v>
      </c>
    </row>
    <row r="1048575" spans="23:23" x14ac:dyDescent="0.15">
      <c r="W1048575">
        <f>SUM(W1:W1048574)</f>
        <v>1.9999999999999996</v>
      </c>
    </row>
  </sheetData>
  <phoneticPr fontId="18"/>
  <conditionalFormatting sqref="B267">
    <cfRule type="duplicateValues" dxfId="0" priority="1"/>
  </conditionalFormatting>
  <pageMargins left="0.7" right="0.7" top="0.75" bottom="0.75" header="0.3" footer="0.3"/>
  <pageSetup paperSize="9" orientation="portrait" r:id="rId1"/>
  <ignoredErrors>
    <ignoredError sqref="AI268:AI360 AI5:AI65 AI69:AI86 AI225:AI266 AI88:AI223 AG88:AG223 AG225:AG266 AG69:AG86 AG5:AG65 AG268:AG360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34"/>
  <sheetViews>
    <sheetView workbookViewId="0">
      <selection activeCell="G23" sqref="G23"/>
    </sheetView>
  </sheetViews>
  <sheetFormatPr defaultRowHeight="13.5" x14ac:dyDescent="0.15"/>
  <cols>
    <col min="2" max="2" width="27.75" customWidth="1"/>
    <col min="3" max="4" width="12.5" customWidth="1"/>
    <col min="5" max="5" width="16.75" customWidth="1"/>
    <col min="7" max="7" width="15.125" customWidth="1"/>
    <col min="17" max="17" width="22.75" bestFit="1" customWidth="1"/>
    <col min="18" max="18" width="21.5" customWidth="1"/>
  </cols>
  <sheetData>
    <row r="1" spans="2:18" ht="14.25" thickBot="1" x14ac:dyDescent="0.2"/>
    <row r="2" spans="2:18" ht="15.75" thickBot="1" x14ac:dyDescent="0.2">
      <c r="B2" s="8">
        <f>COLUMNS(FUC)</f>
        <v>3</v>
      </c>
      <c r="C2" s="9" t="s">
        <v>379</v>
      </c>
      <c r="D2" s="56" t="s">
        <v>380</v>
      </c>
      <c r="E2" s="7" t="s">
        <v>4</v>
      </c>
    </row>
    <row r="3" spans="2:18" ht="15" x14ac:dyDescent="0.15">
      <c r="B3" s="42" t="s">
        <v>0</v>
      </c>
      <c r="C3" s="36">
        <v>0</v>
      </c>
      <c r="D3" s="57">
        <v>1</v>
      </c>
      <c r="E3" s="46">
        <v>2</v>
      </c>
    </row>
    <row r="4" spans="2:18" ht="15" x14ac:dyDescent="0.15">
      <c r="B4" s="74" t="s">
        <v>383</v>
      </c>
      <c r="C4" s="10">
        <v>0</v>
      </c>
      <c r="D4" s="75">
        <v>0</v>
      </c>
      <c r="E4" s="76">
        <v>1</v>
      </c>
    </row>
    <row r="5" spans="2:18" ht="15" x14ac:dyDescent="0.15">
      <c r="B5" s="43" t="s">
        <v>5</v>
      </c>
      <c r="C5" s="4">
        <v>1</v>
      </c>
      <c r="D5" s="58">
        <v>1</v>
      </c>
      <c r="E5" s="3">
        <v>1</v>
      </c>
    </row>
    <row r="6" spans="2:18" ht="15" x14ac:dyDescent="0.15">
      <c r="B6" s="43" t="s">
        <v>1</v>
      </c>
      <c r="C6" s="5">
        <f>G6</f>
        <v>189</v>
      </c>
      <c r="D6" s="5">
        <f>H6</f>
        <v>588</v>
      </c>
      <c r="E6" s="5">
        <f>I6</f>
        <v>150</v>
      </c>
      <c r="G6" s="5">
        <v>189</v>
      </c>
      <c r="H6" s="59">
        <v>588</v>
      </c>
      <c r="I6" s="2">
        <v>150</v>
      </c>
    </row>
    <row r="7" spans="2:18" ht="15" x14ac:dyDescent="0.15">
      <c r="B7" s="43" t="s">
        <v>2</v>
      </c>
      <c r="C7" s="5">
        <v>17</v>
      </c>
      <c r="D7" s="5">
        <v>17</v>
      </c>
      <c r="E7" s="5">
        <v>17</v>
      </c>
    </row>
    <row r="8" spans="2:18" ht="15" x14ac:dyDescent="0.15">
      <c r="B8" s="43" t="s">
        <v>3</v>
      </c>
      <c r="C8" s="5">
        <v>0.01</v>
      </c>
      <c r="D8" s="59">
        <v>0.01</v>
      </c>
      <c r="E8" s="2">
        <v>0.01</v>
      </c>
      <c r="G8">
        <f>COLUMNS(VLFCR)</f>
        <v>2</v>
      </c>
    </row>
    <row r="9" spans="2:18" ht="15.75" thickBot="1" x14ac:dyDescent="0.2">
      <c r="B9" s="44" t="s">
        <v>6</v>
      </c>
      <c r="C9" s="40">
        <v>0</v>
      </c>
      <c r="D9" s="60">
        <v>0</v>
      </c>
      <c r="E9" s="41">
        <v>0</v>
      </c>
      <c r="G9" s="74" t="s">
        <v>384</v>
      </c>
      <c r="H9" s="77">
        <v>0</v>
      </c>
      <c r="I9" s="77">
        <v>1</v>
      </c>
      <c r="L9" s="77" t="s">
        <v>386</v>
      </c>
      <c r="N9" t="s">
        <v>403</v>
      </c>
    </row>
    <row r="10" spans="2:18" ht="15.75" thickBot="1" x14ac:dyDescent="0.2">
      <c r="B10" s="45" t="s">
        <v>19</v>
      </c>
      <c r="C10" s="11">
        <v>0.1</v>
      </c>
      <c r="D10" s="11">
        <v>0.1</v>
      </c>
      <c r="E10" s="11">
        <v>0.1</v>
      </c>
      <c r="G10" s="78" t="s">
        <v>19</v>
      </c>
      <c r="H10" s="54">
        <f>HLOOKUP(H9,$C$4:$E$10,7,FALSE)</f>
        <v>0.1</v>
      </c>
      <c r="I10" s="54">
        <f>HLOOKUP(I9,$C$4:$E$10,7,FALSE)</f>
        <v>0.1</v>
      </c>
      <c r="L10" s="83" t="s">
        <v>387</v>
      </c>
    </row>
    <row r="11" spans="2:18" ht="14.25" thickBot="1" x14ac:dyDescent="0.2"/>
    <row r="12" spans="2:18" ht="15.75" thickBot="1" x14ac:dyDescent="0.2">
      <c r="B12" s="12" t="s">
        <v>17</v>
      </c>
      <c r="C12" s="9" t="s">
        <v>379</v>
      </c>
      <c r="D12" s="56" t="s">
        <v>380</v>
      </c>
      <c r="E12" s="7" t="s">
        <v>4</v>
      </c>
      <c r="G12" s="9" t="s">
        <v>379</v>
      </c>
      <c r="H12" s="56" t="s">
        <v>380</v>
      </c>
      <c r="I12" s="7" t="s">
        <v>4</v>
      </c>
      <c r="L12" s="77" t="s">
        <v>388</v>
      </c>
      <c r="M12" s="77" t="s">
        <v>398</v>
      </c>
      <c r="N12" s="77" t="s">
        <v>399</v>
      </c>
      <c r="P12" s="84" t="s">
        <v>400</v>
      </c>
      <c r="Q12" s="84" t="s">
        <v>401</v>
      </c>
      <c r="R12" s="84" t="s">
        <v>402</v>
      </c>
    </row>
    <row r="13" spans="2:18" ht="15.75" customHeight="1" x14ac:dyDescent="0.15">
      <c r="B13" s="13" t="s">
        <v>7</v>
      </c>
      <c r="C13" s="1">
        <f>P13</f>
        <v>84.53</v>
      </c>
      <c r="D13" s="1">
        <f>SUM(Q13:R13)</f>
        <v>207.16000000000003</v>
      </c>
      <c r="E13" s="1">
        <f>SUM(M13:N13)</f>
        <v>22.8</v>
      </c>
      <c r="G13" s="1">
        <v>10.580000000000002</v>
      </c>
      <c r="H13" s="1">
        <v>131.88255555555557</v>
      </c>
      <c r="I13" s="1">
        <v>12.974995025535582</v>
      </c>
      <c r="L13" t="s">
        <v>389</v>
      </c>
      <c r="M13">
        <v>2.98</v>
      </c>
      <c r="N13">
        <v>19.82</v>
      </c>
      <c r="P13">
        <v>84.53</v>
      </c>
      <c r="Q13">
        <v>89.04</v>
      </c>
      <c r="R13">
        <v>118.12</v>
      </c>
    </row>
    <row r="14" spans="2:18" ht="15" x14ac:dyDescent="0.15">
      <c r="B14" s="13" t="s">
        <v>8</v>
      </c>
      <c r="C14" s="1">
        <f t="shared" ref="C14:C21" si="0">P14</f>
        <v>45.03</v>
      </c>
      <c r="D14" s="1">
        <f t="shared" ref="D14:D21" si="1">SUM(Q14:R14)</f>
        <v>88.32</v>
      </c>
      <c r="E14" s="1">
        <f t="shared" ref="E14:E21" si="2">SUM(M14:N14)</f>
        <v>18.37</v>
      </c>
      <c r="G14" s="1">
        <v>28.54</v>
      </c>
      <c r="H14" s="1">
        <v>81.02</v>
      </c>
      <c r="I14" s="1">
        <v>53.563441002852024</v>
      </c>
      <c r="L14" t="s">
        <v>390</v>
      </c>
      <c r="M14">
        <v>7.71</v>
      </c>
      <c r="N14">
        <v>10.66</v>
      </c>
      <c r="P14">
        <v>45.03</v>
      </c>
      <c r="Q14">
        <v>32.92</v>
      </c>
      <c r="R14">
        <v>55.4</v>
      </c>
    </row>
    <row r="15" spans="2:18" ht="15" x14ac:dyDescent="0.15">
      <c r="B15" s="13" t="s">
        <v>9</v>
      </c>
      <c r="C15" s="1">
        <f t="shared" si="0"/>
        <v>2.78</v>
      </c>
      <c r="D15" s="1">
        <f t="shared" si="1"/>
        <v>45.44</v>
      </c>
      <c r="E15" s="1">
        <f t="shared" si="2"/>
        <v>92.27</v>
      </c>
      <c r="G15" s="1">
        <v>12.46</v>
      </c>
      <c r="H15" s="1">
        <v>33.308222222222227</v>
      </c>
      <c r="I15" s="1">
        <v>102.41374278702658</v>
      </c>
      <c r="L15" t="s">
        <v>391</v>
      </c>
      <c r="M15">
        <v>27.06</v>
      </c>
      <c r="N15">
        <v>65.209999999999994</v>
      </c>
      <c r="P15">
        <v>2.78</v>
      </c>
      <c r="Q15">
        <v>25.3</v>
      </c>
      <c r="R15">
        <v>20.14</v>
      </c>
    </row>
    <row r="16" spans="2:18" ht="15" x14ac:dyDescent="0.15">
      <c r="B16" s="13" t="s">
        <v>10</v>
      </c>
      <c r="C16" s="1">
        <f t="shared" si="0"/>
        <v>5.58</v>
      </c>
      <c r="D16" s="1">
        <f t="shared" si="1"/>
        <v>35.53</v>
      </c>
      <c r="E16" s="1">
        <f t="shared" si="2"/>
        <v>73.11</v>
      </c>
      <c r="G16" s="1">
        <v>3.84</v>
      </c>
      <c r="H16" s="1">
        <v>12.153000000000002</v>
      </c>
      <c r="I16" s="1">
        <v>62.823373350135959</v>
      </c>
      <c r="L16" t="s">
        <v>392</v>
      </c>
      <c r="M16">
        <v>22.63</v>
      </c>
      <c r="N16">
        <v>50.48</v>
      </c>
      <c r="P16">
        <v>5.58</v>
      </c>
      <c r="Q16">
        <v>20.48</v>
      </c>
      <c r="R16">
        <v>15.05</v>
      </c>
    </row>
    <row r="17" spans="2:18" ht="15" x14ac:dyDescent="0.15">
      <c r="B17" s="13" t="s">
        <v>11</v>
      </c>
      <c r="C17" s="1">
        <f t="shared" si="0"/>
        <v>2.15</v>
      </c>
      <c r="D17" s="1">
        <f t="shared" si="1"/>
        <v>3.46</v>
      </c>
      <c r="E17" s="1">
        <f t="shared" si="2"/>
        <v>3.15</v>
      </c>
      <c r="G17" s="1">
        <v>6.12</v>
      </c>
      <c r="H17" s="1">
        <v>11.702888888888889</v>
      </c>
      <c r="I17" s="1">
        <v>9.2599323472839412</v>
      </c>
      <c r="L17" t="s">
        <v>393</v>
      </c>
      <c r="M17">
        <v>1.94</v>
      </c>
      <c r="N17">
        <v>1.21</v>
      </c>
      <c r="P17">
        <v>2.15</v>
      </c>
      <c r="Q17">
        <v>3.37</v>
      </c>
      <c r="R17">
        <v>0.09</v>
      </c>
    </row>
    <row r="18" spans="2:18" ht="15" x14ac:dyDescent="0.15">
      <c r="B18" s="13" t="s">
        <v>12</v>
      </c>
      <c r="C18" s="1">
        <f t="shared" si="0"/>
        <v>6.02</v>
      </c>
      <c r="D18" s="1">
        <f t="shared" si="1"/>
        <v>7.36</v>
      </c>
      <c r="E18" s="1">
        <f t="shared" si="2"/>
        <v>37.24</v>
      </c>
      <c r="G18" s="1">
        <v>1.528</v>
      </c>
      <c r="H18" s="1">
        <v>8.1020000000000003</v>
      </c>
      <c r="I18" s="1">
        <v>38.980433773297072</v>
      </c>
      <c r="L18" t="s">
        <v>394</v>
      </c>
      <c r="M18">
        <v>15.22</v>
      </c>
      <c r="N18">
        <v>22.02</v>
      </c>
      <c r="P18">
        <v>6.02</v>
      </c>
      <c r="Q18">
        <v>3.21</v>
      </c>
      <c r="R18">
        <v>4.1500000000000004</v>
      </c>
    </row>
    <row r="19" spans="2:18" ht="15" x14ac:dyDescent="0.15">
      <c r="B19" s="13" t="s">
        <v>13</v>
      </c>
      <c r="C19" s="1">
        <f t="shared" si="0"/>
        <v>2.5099999999999998</v>
      </c>
      <c r="D19" s="1">
        <f t="shared" si="1"/>
        <v>14.73</v>
      </c>
      <c r="E19" s="1">
        <f t="shared" si="2"/>
        <v>25.48</v>
      </c>
      <c r="G19" s="1">
        <v>6.22</v>
      </c>
      <c r="H19" s="1">
        <v>15.30377777777778</v>
      </c>
      <c r="I19" s="1">
        <v>19.961530808516279</v>
      </c>
      <c r="L19" t="s">
        <v>395</v>
      </c>
      <c r="M19">
        <v>6.02</v>
      </c>
      <c r="N19">
        <v>19.46</v>
      </c>
      <c r="P19">
        <v>2.5099999999999998</v>
      </c>
      <c r="Q19">
        <v>6.01</v>
      </c>
      <c r="R19">
        <v>8.7200000000000006</v>
      </c>
    </row>
    <row r="20" spans="2:18" ht="15" x14ac:dyDescent="0.15">
      <c r="B20" s="13" t="s">
        <v>14</v>
      </c>
      <c r="C20" s="1">
        <f t="shared" si="0"/>
        <v>4.8600000000000003</v>
      </c>
      <c r="D20" s="1">
        <f t="shared" si="1"/>
        <v>4.21</v>
      </c>
      <c r="E20" s="1">
        <f t="shared" si="2"/>
        <v>34.659999999999997</v>
      </c>
      <c r="G20" s="1">
        <v>7.02</v>
      </c>
      <c r="H20" s="1">
        <v>4.5011111111111113</v>
      </c>
      <c r="I20" s="1">
        <v>43.347018637660014</v>
      </c>
      <c r="L20" t="s">
        <v>396</v>
      </c>
      <c r="M20">
        <v>10.26</v>
      </c>
      <c r="N20">
        <v>24.4</v>
      </c>
      <c r="P20">
        <v>4.8600000000000003</v>
      </c>
      <c r="Q20">
        <v>4.18</v>
      </c>
      <c r="R20">
        <v>0.03</v>
      </c>
    </row>
    <row r="21" spans="2:18" ht="15.75" thickBot="1" x14ac:dyDescent="0.2">
      <c r="B21" s="14" t="s">
        <v>15</v>
      </c>
      <c r="C21" s="1">
        <f t="shared" si="0"/>
        <v>7.97</v>
      </c>
      <c r="D21" s="1">
        <f t="shared" si="1"/>
        <v>37.14</v>
      </c>
      <c r="E21" s="1">
        <f t="shared" si="2"/>
        <v>92.88</v>
      </c>
      <c r="G21" s="1">
        <v>10.98</v>
      </c>
      <c r="H21" s="1">
        <v>107.12644444444446</v>
      </c>
      <c r="I21" s="1">
        <v>74.675532267692503</v>
      </c>
      <c r="L21" t="s">
        <v>397</v>
      </c>
      <c r="M21">
        <v>16.309999999999999</v>
      </c>
      <c r="N21">
        <v>76.569999999999993</v>
      </c>
      <c r="P21">
        <v>7.97</v>
      </c>
      <c r="Q21">
        <v>26.88</v>
      </c>
      <c r="R21">
        <v>10.26</v>
      </c>
    </row>
    <row r="22" spans="2:18" ht="15.75" thickBot="1" x14ac:dyDescent="0.2">
      <c r="B22" s="53"/>
      <c r="C22" s="54">
        <f>SUM(C13:C21)</f>
        <v>161.43000000000004</v>
      </c>
      <c r="D22" s="54">
        <f>SUM(D13:D21)</f>
        <v>443.35</v>
      </c>
      <c r="E22" s="55">
        <f>SUM(E13:E21)</f>
        <v>399.96000000000004</v>
      </c>
    </row>
    <row r="23" spans="2:18" ht="14.25" thickBot="1" x14ac:dyDescent="0.2">
      <c r="M23" t="s">
        <v>385</v>
      </c>
    </row>
    <row r="24" spans="2:18" ht="15.75" thickBot="1" x14ac:dyDescent="0.2">
      <c r="B24" s="12" t="s">
        <v>18</v>
      </c>
      <c r="C24" s="9" t="s">
        <v>379</v>
      </c>
      <c r="D24" s="56" t="s">
        <v>380</v>
      </c>
      <c r="E24" s="7" t="s">
        <v>4</v>
      </c>
      <c r="J24" t="s">
        <v>20</v>
      </c>
      <c r="M24" t="s">
        <v>378</v>
      </c>
    </row>
    <row r="25" spans="2:18" ht="15" x14ac:dyDescent="0.15">
      <c r="B25" s="13" t="s">
        <v>7</v>
      </c>
      <c r="C25">
        <v>2.29</v>
      </c>
      <c r="D25">
        <v>0</v>
      </c>
      <c r="E25">
        <v>1.92</v>
      </c>
      <c r="G25" s="39">
        <v>4295</v>
      </c>
      <c r="H25" s="39">
        <v>4320</v>
      </c>
      <c r="J25">
        <v>2.29</v>
      </c>
      <c r="K25">
        <v>1.92</v>
      </c>
      <c r="M25" s="61">
        <f>N25-O25</f>
        <v>5.2900000000000009</v>
      </c>
      <c r="N25" s="1">
        <v>14.65</v>
      </c>
      <c r="O25" s="48">
        <v>9.36</v>
      </c>
      <c r="Q25" s="49">
        <f>M25-C25</f>
        <v>3.0000000000000009</v>
      </c>
      <c r="R25" s="49">
        <f>O25-E25</f>
        <v>7.4399999999999995</v>
      </c>
    </row>
    <row r="26" spans="2:18" ht="15" x14ac:dyDescent="0.15">
      <c r="B26" s="13" t="s">
        <v>8</v>
      </c>
      <c r="C26">
        <v>4.5599999999999996</v>
      </c>
      <c r="D26">
        <v>0</v>
      </c>
      <c r="E26">
        <v>10.41</v>
      </c>
      <c r="G26" s="39">
        <v>18945</v>
      </c>
      <c r="H26" s="39">
        <v>13736</v>
      </c>
      <c r="J26">
        <v>4.5599999999999996</v>
      </c>
      <c r="K26">
        <v>10.41</v>
      </c>
      <c r="M26" s="61">
        <v>14.27</v>
      </c>
      <c r="N26" s="1">
        <v>9</v>
      </c>
      <c r="O26" s="48">
        <v>38.64</v>
      </c>
      <c r="Q26" s="49">
        <f t="shared" ref="Q26:Q34" si="3">M26-C26</f>
        <v>9.7100000000000009</v>
      </c>
      <c r="R26" s="49">
        <f t="shared" ref="R26:R34" si="4">O26-E26</f>
        <v>28.23</v>
      </c>
    </row>
    <row r="27" spans="2:18" ht="15" x14ac:dyDescent="0.15">
      <c r="B27" s="13" t="s">
        <v>9</v>
      </c>
      <c r="C27">
        <v>0.41</v>
      </c>
      <c r="D27">
        <v>0</v>
      </c>
      <c r="E27">
        <v>16.05</v>
      </c>
      <c r="G27" s="39">
        <v>9802</v>
      </c>
      <c r="H27" s="39">
        <v>46899</v>
      </c>
      <c r="J27">
        <v>0.41</v>
      </c>
      <c r="K27">
        <v>16.05</v>
      </c>
      <c r="M27" s="61">
        <v>6.23</v>
      </c>
      <c r="N27" s="1">
        <v>3.7</v>
      </c>
      <c r="O27" s="48">
        <v>73.88</v>
      </c>
      <c r="Q27" s="49">
        <f t="shared" si="3"/>
        <v>5.82</v>
      </c>
      <c r="R27" s="49">
        <f t="shared" si="4"/>
        <v>57.83</v>
      </c>
    </row>
    <row r="28" spans="2:18" ht="15" x14ac:dyDescent="0.15">
      <c r="B28" s="13" t="s">
        <v>10</v>
      </c>
      <c r="C28">
        <v>0.4</v>
      </c>
      <c r="D28">
        <v>0</v>
      </c>
      <c r="E28">
        <v>8.02</v>
      </c>
      <c r="G28" s="39">
        <v>8409</v>
      </c>
      <c r="H28" s="39">
        <v>30170</v>
      </c>
      <c r="J28">
        <v>0.4</v>
      </c>
      <c r="K28">
        <v>8.02</v>
      </c>
      <c r="M28" s="61">
        <v>1.92</v>
      </c>
      <c r="N28" s="1">
        <v>1.35</v>
      </c>
      <c r="O28" s="48">
        <v>45.32</v>
      </c>
      <c r="Q28" s="49">
        <f t="shared" si="3"/>
        <v>1.52</v>
      </c>
      <c r="R28" s="49">
        <f t="shared" si="4"/>
        <v>37.299999999999997</v>
      </c>
    </row>
    <row r="29" spans="2:18" ht="15" x14ac:dyDescent="0.15">
      <c r="B29" s="13" t="s">
        <v>11</v>
      </c>
      <c r="C29">
        <v>0.18</v>
      </c>
      <c r="D29">
        <v>0</v>
      </c>
      <c r="E29">
        <v>0.92</v>
      </c>
      <c r="G29" s="39">
        <v>1579</v>
      </c>
      <c r="H29" s="39">
        <v>3065</v>
      </c>
      <c r="J29">
        <v>0.18</v>
      </c>
      <c r="K29">
        <v>0.92</v>
      </c>
      <c r="M29" s="61">
        <v>3.06</v>
      </c>
      <c r="N29" s="1">
        <v>1.3</v>
      </c>
      <c r="O29" s="48">
        <v>6.68</v>
      </c>
      <c r="Q29" s="49">
        <f t="shared" si="3"/>
        <v>2.88</v>
      </c>
      <c r="R29" s="49">
        <f t="shared" si="4"/>
        <v>5.76</v>
      </c>
    </row>
    <row r="30" spans="2:18" ht="15" x14ac:dyDescent="0.15">
      <c r="B30" s="13" t="s">
        <v>12</v>
      </c>
      <c r="C30">
        <v>0.31</v>
      </c>
      <c r="D30">
        <v>0</v>
      </c>
      <c r="E30">
        <v>5.63</v>
      </c>
      <c r="G30" s="39">
        <v>4751</v>
      </c>
      <c r="H30" s="39">
        <v>21130</v>
      </c>
      <c r="J30">
        <v>0.31</v>
      </c>
      <c r="K30">
        <v>5.63</v>
      </c>
      <c r="M30" s="61">
        <v>0.76400000000000001</v>
      </c>
      <c r="N30" s="1">
        <v>0.9</v>
      </c>
      <c r="O30" s="48">
        <v>28.12</v>
      </c>
      <c r="Q30" s="49">
        <f t="shared" si="3"/>
        <v>0.45400000000000001</v>
      </c>
      <c r="R30" s="49">
        <f t="shared" si="4"/>
        <v>22.490000000000002</v>
      </c>
    </row>
    <row r="31" spans="2:18" ht="15" x14ac:dyDescent="0.15">
      <c r="B31" s="13" t="s">
        <v>13</v>
      </c>
      <c r="C31">
        <v>0.41</v>
      </c>
      <c r="D31">
        <v>0</v>
      </c>
      <c r="E31">
        <v>2.31</v>
      </c>
      <c r="G31" s="39">
        <v>2035</v>
      </c>
      <c r="H31" s="39">
        <v>8138</v>
      </c>
      <c r="J31">
        <v>0.41</v>
      </c>
      <c r="K31">
        <v>2.31</v>
      </c>
      <c r="M31" s="61">
        <v>3.11</v>
      </c>
      <c r="N31" s="1">
        <v>1.7</v>
      </c>
      <c r="O31" s="48">
        <v>14.4</v>
      </c>
      <c r="Q31" s="49">
        <f t="shared" si="3"/>
        <v>2.6999999999999997</v>
      </c>
      <c r="R31" s="49">
        <f t="shared" si="4"/>
        <v>12.09</v>
      </c>
    </row>
    <row r="32" spans="2:18" ht="15" x14ac:dyDescent="0.15">
      <c r="B32" s="13" t="s">
        <v>14</v>
      </c>
      <c r="C32">
        <v>0.56999999999999995</v>
      </c>
      <c r="D32">
        <v>0</v>
      </c>
      <c r="E32">
        <v>5.04</v>
      </c>
      <c r="G32" s="39">
        <v>3100</v>
      </c>
      <c r="H32" s="39">
        <v>15394</v>
      </c>
      <c r="J32">
        <v>0.56999999999999995</v>
      </c>
      <c r="K32">
        <v>5.04</v>
      </c>
      <c r="M32" s="61">
        <v>3.51</v>
      </c>
      <c r="N32" s="1">
        <v>0.5</v>
      </c>
      <c r="O32" s="48">
        <v>31.27</v>
      </c>
      <c r="Q32" s="49">
        <f t="shared" si="3"/>
        <v>2.94</v>
      </c>
      <c r="R32" s="49">
        <f t="shared" si="4"/>
        <v>26.23</v>
      </c>
    </row>
    <row r="33" spans="2:18" ht="15.75" thickBot="1" x14ac:dyDescent="0.2">
      <c r="B33" s="14" t="s">
        <v>15</v>
      </c>
      <c r="C33">
        <v>0.84</v>
      </c>
      <c r="D33">
        <v>0</v>
      </c>
      <c r="E33">
        <v>13.22</v>
      </c>
      <c r="G33" s="39">
        <v>12584</v>
      </c>
      <c r="H33" s="39">
        <v>30766</v>
      </c>
      <c r="J33">
        <v>0.84</v>
      </c>
      <c r="K33">
        <v>13.22</v>
      </c>
      <c r="M33" s="61">
        <v>5.49</v>
      </c>
      <c r="N33" s="1">
        <v>11.9</v>
      </c>
      <c r="O33" s="48">
        <v>53.87</v>
      </c>
      <c r="Q33" s="49">
        <f t="shared" si="3"/>
        <v>4.6500000000000004</v>
      </c>
      <c r="R33" s="49">
        <f t="shared" si="4"/>
        <v>40.65</v>
      </c>
    </row>
    <row r="34" spans="2:18" ht="15" x14ac:dyDescent="0.15">
      <c r="C34" s="1">
        <f>SUM(C25:C33)</f>
        <v>9.9700000000000006</v>
      </c>
      <c r="D34" s="1">
        <f>SUM(D25:D33)</f>
        <v>0</v>
      </c>
      <c r="E34" s="1">
        <f>SUM(E25:E33)</f>
        <v>63.52000000000001</v>
      </c>
      <c r="K34">
        <f>SUM(K25:K33)</f>
        <v>63.52000000000001</v>
      </c>
      <c r="M34" s="48">
        <f t="shared" ref="M34:N34" si="5">SUM(M25:M33)</f>
        <v>43.643999999999998</v>
      </c>
      <c r="N34" s="48">
        <f t="shared" si="5"/>
        <v>45</v>
      </c>
      <c r="O34" s="48">
        <f>SUM(O25:O33)</f>
        <v>301.54000000000002</v>
      </c>
      <c r="Q34" s="49">
        <f t="shared" si="3"/>
        <v>33.673999999999999</v>
      </c>
      <c r="R34" s="49">
        <f t="shared" si="4"/>
        <v>238.02</v>
      </c>
    </row>
  </sheetData>
  <phoneticPr fontId="18"/>
  <pageMargins left="0.7" right="0.7" top="0.75" bottom="0.75" header="0.3" footer="0.3"/>
  <pageSetup paperSize="9"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12</vt:i4>
      </vt:variant>
    </vt:vector>
  </HeadingPairs>
  <TitlesOfParts>
    <vt:vector size="14" baseType="lpstr">
      <vt:lpstr>FR</vt:lpstr>
      <vt:lpstr>FR2</vt:lpstr>
      <vt:lpstr>FIT</vt:lpstr>
      <vt:lpstr>FLT</vt:lpstr>
      <vt:lpstr>FOM</vt:lpstr>
      <vt:lpstr>FSUP</vt:lpstr>
      <vt:lpstr>FUC</vt:lpstr>
      <vt:lpstr>KVmax</vt:lpstr>
      <vt:lpstr>KVmin</vt:lpstr>
      <vt:lpstr>VLFCN</vt:lpstr>
      <vt:lpstr>VLFCR</vt:lpstr>
      <vt:lpstr>VRES</vt:lpstr>
      <vt:lpstr>VRET</vt:lpstr>
      <vt:lpstr>VTYN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藤井 康正</dc:creator>
  <cp:lastModifiedBy>田原 聡史</cp:lastModifiedBy>
  <cp:lastPrinted>2011-11-08T07:36:57Z</cp:lastPrinted>
  <dcterms:created xsi:type="dcterms:W3CDTF">2010-09-10T06:00:32Z</dcterms:created>
  <dcterms:modified xsi:type="dcterms:W3CDTF">2021-12-29T09:52:29Z</dcterms:modified>
</cp:coreProperties>
</file>