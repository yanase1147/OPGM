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hara\Desktop\OPGM_Feb15\"/>
    </mc:Choice>
  </mc:AlternateContent>
  <bookViews>
    <workbookView xWindow="3150" yWindow="90" windowWidth="5820" windowHeight="3675"/>
  </bookViews>
  <sheets>
    <sheet name="PumpingUp" sheetId="42" r:id="rId1"/>
    <sheet name="Reservoirs" sheetId="43" r:id="rId2"/>
    <sheet name="Facility" sheetId="41" r:id="rId3"/>
  </sheets>
  <externalReferences>
    <externalReference r:id="rId4"/>
  </externalReferences>
  <definedNames>
    <definedName name="CEF">PumpingUp!$I$2:$I$119</definedName>
    <definedName name="CRT">Facility!$B$14:$B$14</definedName>
    <definedName name="CYC">Facility!$B$11:$B$11</definedName>
    <definedName name="MIR">PumpingUp!$M$2:$M$119</definedName>
    <definedName name="MOR">PumpingUp!$L$2:$L$119</definedName>
    <definedName name="MSR">PumpingUp!$L$2:$M$119</definedName>
    <definedName name="RR">Reservoirs!$A$2</definedName>
    <definedName name="RVC">Reservoirs!$E$2:$E$41</definedName>
    <definedName name="RVN">PumpingUp!$J$2:$J$119</definedName>
    <definedName name="SDC">Facility!$B$13:$B$13</definedName>
    <definedName name="SEXU">PumpingUp!$Q$2:$Q$119</definedName>
    <definedName name="SLFCR">PumpingUp!$N$2:$N$119</definedName>
    <definedName name="SLT_1">Facility!$B$5:$B$5</definedName>
    <definedName name="SLT_2">Facility!$B$8:$B$8</definedName>
    <definedName name="SMXU">PumpingUp!$P$2:$P$119</definedName>
    <definedName name="SN">PumpingUp!$C$2:$C$119</definedName>
    <definedName name="SOM_1">Facility!$B$6:$B$6</definedName>
    <definedName name="SOM_2">Facility!$B$9:$B$9</definedName>
    <definedName name="SS">PumpingUp!$A$1</definedName>
    <definedName name="SSYN">PumpingUp!$O$2:$O$119</definedName>
    <definedName name="STY">PumpingUp!$F$2:$F$119</definedName>
    <definedName name="STYN">Facility!$A$1</definedName>
    <definedName name="SUC_1">Facility!$B$4:$B$4</definedName>
    <definedName name="SUC_2">Facility!$B$7:$B$7</definedName>
    <definedName name="SUCF">PumpingUp!#REF!</definedName>
    <definedName name="UCAS">PumpingUp!$G$2:$G$119</definedName>
    <definedName name="UNS">PumpingUp!$H$2:$H$119</definedName>
    <definedName name="US">Facility!$B$10:$B$10</definedName>
  </definedNames>
  <calcPr calcId="162913" calcMode="manual"/>
</workbook>
</file>

<file path=xl/calcChain.xml><?xml version="1.0" encoding="utf-8"?>
<calcChain xmlns="http://schemas.openxmlformats.org/spreadsheetml/2006/main">
  <c r="C3" i="42" l="1"/>
  <c r="C4" i="42"/>
  <c r="C5" i="42"/>
  <c r="C6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45" i="42"/>
  <c r="C46" i="42"/>
  <c r="C47" i="42"/>
  <c r="C48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C61" i="42"/>
  <c r="C62" i="42"/>
  <c r="C63" i="42"/>
  <c r="C64" i="42"/>
  <c r="C65" i="42"/>
  <c r="C66" i="42"/>
  <c r="C67" i="42"/>
  <c r="C68" i="42"/>
  <c r="C69" i="42"/>
  <c r="C70" i="42"/>
  <c r="C71" i="42"/>
  <c r="C72" i="42"/>
  <c r="C73" i="42"/>
  <c r="C74" i="42"/>
  <c r="C75" i="42"/>
  <c r="C76" i="42"/>
  <c r="C77" i="42"/>
  <c r="C78" i="42"/>
  <c r="C79" i="42"/>
  <c r="C80" i="42"/>
  <c r="C81" i="42"/>
  <c r="C82" i="42"/>
  <c r="C83" i="42"/>
  <c r="C84" i="42"/>
  <c r="C85" i="42"/>
  <c r="C86" i="42"/>
  <c r="C87" i="42"/>
  <c r="C88" i="42"/>
  <c r="C89" i="42"/>
  <c r="C90" i="42"/>
  <c r="C91" i="42"/>
  <c r="C92" i="42"/>
  <c r="C93" i="42"/>
  <c r="C94" i="42"/>
  <c r="C95" i="42"/>
  <c r="C96" i="42"/>
  <c r="C97" i="42"/>
  <c r="C98" i="42"/>
  <c r="C99" i="42"/>
  <c r="C100" i="42"/>
  <c r="C101" i="42"/>
  <c r="C102" i="42"/>
  <c r="C103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2" i="42"/>
  <c r="A2" i="43" l="1"/>
  <c r="K3" i="42"/>
  <c r="K4" i="42"/>
  <c r="K5" i="42"/>
  <c r="K6" i="42"/>
  <c r="K7" i="42"/>
  <c r="K8" i="42"/>
  <c r="K9" i="42"/>
  <c r="K10" i="42"/>
  <c r="K11" i="42"/>
  <c r="K12" i="42"/>
  <c r="K13" i="42"/>
  <c r="K14" i="42"/>
  <c r="K15" i="42"/>
  <c r="K16" i="42"/>
  <c r="K17" i="42"/>
  <c r="K18" i="42"/>
  <c r="K19" i="42"/>
  <c r="K20" i="42"/>
  <c r="K21" i="42"/>
  <c r="K22" i="42"/>
  <c r="K23" i="42"/>
  <c r="K24" i="42"/>
  <c r="K25" i="42"/>
  <c r="K26" i="42"/>
  <c r="K27" i="42"/>
  <c r="K28" i="42"/>
  <c r="K29" i="42"/>
  <c r="K30" i="42"/>
  <c r="K31" i="42"/>
  <c r="K32" i="42"/>
  <c r="K33" i="42"/>
  <c r="K34" i="42"/>
  <c r="K35" i="42"/>
  <c r="K36" i="42"/>
  <c r="K37" i="42"/>
  <c r="K38" i="42"/>
  <c r="K39" i="42"/>
  <c r="K40" i="42"/>
  <c r="K41" i="42"/>
  <c r="K42" i="42"/>
  <c r="K43" i="42"/>
  <c r="K44" i="42"/>
  <c r="K45" i="42"/>
  <c r="K46" i="42"/>
  <c r="K47" i="42"/>
  <c r="K48" i="42"/>
  <c r="K49" i="42"/>
  <c r="K50" i="42"/>
  <c r="K51" i="42"/>
  <c r="K52" i="42"/>
  <c r="K53" i="42"/>
  <c r="K54" i="42"/>
  <c r="K55" i="42"/>
  <c r="K56" i="42"/>
  <c r="K57" i="42"/>
  <c r="K58" i="42"/>
  <c r="K59" i="42"/>
  <c r="K60" i="42"/>
  <c r="K61" i="42"/>
  <c r="K62" i="42"/>
  <c r="K63" i="42"/>
  <c r="K64" i="42"/>
  <c r="K65" i="42"/>
  <c r="K66" i="42"/>
  <c r="K67" i="42"/>
  <c r="K68" i="42"/>
  <c r="K69" i="42"/>
  <c r="K70" i="42"/>
  <c r="K71" i="42"/>
  <c r="K72" i="42"/>
  <c r="K73" i="42"/>
  <c r="K74" i="42"/>
  <c r="K75" i="42"/>
  <c r="K76" i="42"/>
  <c r="K77" i="42"/>
  <c r="K78" i="42"/>
  <c r="K79" i="42"/>
  <c r="K80" i="42"/>
  <c r="K81" i="42"/>
  <c r="K82" i="42"/>
  <c r="K83" i="42"/>
  <c r="K84" i="42"/>
  <c r="K85" i="42"/>
  <c r="K86" i="42"/>
  <c r="K87" i="42"/>
  <c r="K88" i="42"/>
  <c r="K89" i="42"/>
  <c r="K90" i="42"/>
  <c r="K91" i="42"/>
  <c r="K92" i="42"/>
  <c r="K93" i="42"/>
  <c r="K94" i="42"/>
  <c r="K95" i="42"/>
  <c r="K96" i="42"/>
  <c r="K97" i="42"/>
  <c r="K98" i="42"/>
  <c r="K99" i="42"/>
  <c r="K100" i="42"/>
  <c r="K101" i="42"/>
  <c r="K102" i="42"/>
  <c r="K103" i="42"/>
  <c r="K104" i="42"/>
  <c r="K105" i="42"/>
  <c r="K106" i="42"/>
  <c r="K107" i="42"/>
  <c r="K108" i="42"/>
  <c r="K109" i="42"/>
  <c r="K110" i="42"/>
  <c r="K111" i="42"/>
  <c r="K112" i="42"/>
  <c r="K113" i="42"/>
  <c r="K114" i="42"/>
  <c r="K115" i="42"/>
  <c r="K116" i="42"/>
  <c r="K117" i="42"/>
  <c r="K118" i="42"/>
  <c r="K119" i="42"/>
  <c r="K2" i="42"/>
  <c r="A1" i="42" l="1"/>
  <c r="A1" i="41" l="1"/>
</calcChain>
</file>

<file path=xl/sharedStrings.xml><?xml version="1.0" encoding="utf-8"?>
<sst xmlns="http://schemas.openxmlformats.org/spreadsheetml/2006/main" count="467" uniqueCount="260">
  <si>
    <t>Unit Construction Cost [kYen/kW]</t>
    <phoneticPr fontId="18"/>
  </si>
  <si>
    <t>Life Time [year]</t>
    <phoneticPr fontId="18"/>
  </si>
  <si>
    <t>Cycle Efficiency</t>
    <phoneticPr fontId="18"/>
  </si>
  <si>
    <t>Self Discharge Loss [1/hour]</t>
    <phoneticPr fontId="18"/>
  </si>
  <si>
    <t>Life Cycle [times]</t>
    <phoneticPr fontId="18"/>
  </si>
  <si>
    <t>Unit Construction Cost [kYen/kWh]</t>
    <phoneticPr fontId="18"/>
  </si>
  <si>
    <t>Annual O&amp;M Cost Rate</t>
    <phoneticPr fontId="18"/>
  </si>
  <si>
    <t>Pumped</t>
    <phoneticPr fontId="18"/>
  </si>
  <si>
    <t>Node</t>
    <phoneticPr fontId="18"/>
  </si>
  <si>
    <t>Device Type</t>
    <phoneticPr fontId="18"/>
  </si>
  <si>
    <t>C-Rate</t>
    <phoneticPr fontId="18"/>
  </si>
  <si>
    <t>Pumped</t>
  </si>
  <si>
    <t>Facility Type No.</t>
    <phoneticPr fontId="18"/>
  </si>
  <si>
    <t>Pumping-UP CS</t>
    <phoneticPr fontId="18"/>
  </si>
  <si>
    <t>Annual Average Usage Rate</t>
    <phoneticPr fontId="18"/>
  </si>
  <si>
    <t>Pumped</t>
    <phoneticPr fontId="18"/>
  </si>
  <si>
    <t>Name</t>
    <phoneticPr fontId="18"/>
  </si>
  <si>
    <t>9OHIRA1</t>
  </si>
  <si>
    <t>9OHIRA2</t>
  </si>
  <si>
    <t>9TENZAN1</t>
  </si>
  <si>
    <t>9TENZAN2</t>
  </si>
  <si>
    <t>9OMARU1</t>
  </si>
  <si>
    <t>9OMARU2</t>
  </si>
  <si>
    <t>9OMARU3</t>
  </si>
  <si>
    <t>9OMARU4</t>
  </si>
  <si>
    <t>Minimum Output Rate</t>
    <phoneticPr fontId="18"/>
  </si>
  <si>
    <t>Minimum Input Rate</t>
    <phoneticPr fontId="18"/>
  </si>
  <si>
    <t>Cycle Efficiency</t>
  </si>
  <si>
    <t>Maximum Unit Number</t>
    <phoneticPr fontId="18"/>
  </si>
  <si>
    <t>Exsiting Unit Number</t>
    <phoneticPr fontId="18"/>
  </si>
  <si>
    <t>LFC regulation Rate</t>
    <phoneticPr fontId="18"/>
  </si>
  <si>
    <t>Unit Capacity [GW/unit]</t>
    <phoneticPr fontId="18"/>
  </si>
  <si>
    <t>Type</t>
    <phoneticPr fontId="18"/>
  </si>
  <si>
    <t>1NIIKAP2</t>
  </si>
  <si>
    <t>1TAKAMI1</t>
  </si>
  <si>
    <t>1TAKAM2U</t>
  </si>
  <si>
    <t>1KYOUGO1</t>
  </si>
  <si>
    <t>1KYOUGO2</t>
  </si>
  <si>
    <t>1KYOUGO3</t>
  </si>
  <si>
    <t>2NUMAZ21</t>
  </si>
  <si>
    <t>2NUMAZ22</t>
  </si>
  <si>
    <t>3IMAICH1</t>
  </si>
  <si>
    <t>3IMAICH2</t>
  </si>
  <si>
    <t>3IMAICH3</t>
  </si>
  <si>
    <t>3YAGISA1</t>
  </si>
  <si>
    <t>3YAGISA2</t>
  </si>
  <si>
    <t>3YAGISA3</t>
  </si>
  <si>
    <t>3TAMAHA1</t>
  </si>
  <si>
    <t>3TAMAHA2</t>
  </si>
  <si>
    <t>3TAMAHA3</t>
  </si>
  <si>
    <t>3TAMAHA4</t>
  </si>
  <si>
    <t>3SHIOBA1</t>
  </si>
  <si>
    <t>3SHIOBA2</t>
  </si>
  <si>
    <t>3SHIOBA3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</si>
  <si>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</si>
  <si>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</si>
  <si>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</si>
  <si>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</si>
  <si>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</si>
  <si>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</si>
  <si>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</si>
  <si>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</si>
  <si>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</si>
  <si>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</si>
  <si>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</si>
  <si>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</si>
  <si>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</si>
  <si>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</si>
  <si>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3KATU1</t>
  </si>
  <si>
    <t>3KATU2</t>
  </si>
  <si>
    <t>3KANNA1</t>
  </si>
  <si>
    <t>3NUMAP1</t>
  </si>
  <si>
    <t>3NUMAP2</t>
  </si>
  <si>
    <t>3NUMAP3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</si>
  <si>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</si>
  <si>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</si>
  <si>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</si>
  <si>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</si>
  <si>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</si>
  <si>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</si>
  <si>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</si>
  <si>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</si>
  <si>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</si>
  <si>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</si>
  <si>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</si>
  <si>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</si>
  <si>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</si>
  <si>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</si>
  <si>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</si>
  <si>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</si>
  <si>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4HATANA1</t>
  </si>
  <si>
    <t>4TAKANE1</t>
  </si>
  <si>
    <t>4MAZEGA1</t>
  </si>
  <si>
    <t>4OKUYAH1</t>
  </si>
  <si>
    <t>4OKUYAH2</t>
  </si>
  <si>
    <t>4OKUMIN1</t>
  </si>
  <si>
    <t>4OKUMIN2</t>
  </si>
  <si>
    <t>4OKUMIN3</t>
  </si>
  <si>
    <t>4OKUMIN4</t>
  </si>
  <si>
    <t>4OKUMIN5</t>
  </si>
  <si>
    <t>4OKUMIN6</t>
  </si>
  <si>
    <t>4IKEHAR2</t>
  </si>
  <si>
    <t>4IKEHAR4</t>
  </si>
  <si>
    <t>4N-TOYO2</t>
  </si>
  <si>
    <t>4N-TOYO3</t>
  </si>
  <si>
    <t>4N-TOYO4</t>
  </si>
  <si>
    <t>5NAGAN2L</t>
  </si>
  <si>
    <t>6OKOCHI1</t>
  </si>
  <si>
    <t>6OKOCHI2</t>
  </si>
  <si>
    <t>6OKOUCH3</t>
  </si>
  <si>
    <t>6OKOUCH4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</si>
  <si>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</si>
  <si>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</si>
  <si>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</si>
  <si>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</si>
  <si>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</si>
  <si>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</si>
  <si>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</si>
  <si>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</si>
  <si>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</si>
  <si>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</si>
  <si>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</si>
  <si>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</si>
  <si>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</si>
  <si>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</si>
  <si>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</si>
  <si>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</si>
  <si>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8OMORIG1</t>
  </si>
  <si>
    <t>8ANANAI1</t>
  </si>
  <si>
    <t>8KAGEHI1</t>
  </si>
  <si>
    <t>8HONGA1</t>
  </si>
  <si>
    <t>8HONGA2</t>
  </si>
  <si>
    <t>7MATAN1</t>
  </si>
  <si>
    <t>7MATAN2</t>
  </si>
  <si>
    <t>7MATAN3</t>
  </si>
  <si>
    <t>7MATAN4</t>
  </si>
  <si>
    <t>7NAMBA1</t>
  </si>
  <si>
    <t>7NAMBA2</t>
  </si>
  <si>
    <t>7SNARIW1</t>
  </si>
  <si>
    <t>7SNARIW2</t>
  </si>
  <si>
    <t>7SNARIW3</t>
  </si>
  <si>
    <t>7SNARIW4</t>
  </si>
  <si>
    <t>1NIIKAP1</t>
    <phoneticPr fontId="18"/>
  </si>
  <si>
    <t>NIIKAP</t>
    <phoneticPr fontId="18"/>
  </si>
  <si>
    <t>TAKAMI</t>
    <phoneticPr fontId="18"/>
  </si>
  <si>
    <t>KYOUGO</t>
    <phoneticPr fontId="18"/>
  </si>
  <si>
    <t>NUMAZ2</t>
    <phoneticPr fontId="18"/>
  </si>
  <si>
    <t>IMAICH</t>
    <phoneticPr fontId="18"/>
  </si>
  <si>
    <t>YAGISA</t>
    <phoneticPr fontId="18"/>
  </si>
  <si>
    <t>TAMAHA</t>
    <phoneticPr fontId="18"/>
  </si>
  <si>
    <t>SHIOBA</t>
    <phoneticPr fontId="18"/>
  </si>
  <si>
    <t>AZUMI</t>
    <phoneticPr fontId="18"/>
  </si>
  <si>
    <t>MIDONO</t>
    <phoneticPr fontId="18"/>
  </si>
  <si>
    <t>STAKAS</t>
    <phoneticPr fontId="18"/>
  </si>
  <si>
    <t>KATU</t>
    <phoneticPr fontId="18"/>
  </si>
  <si>
    <t>KANNA</t>
    <phoneticPr fontId="18"/>
  </si>
  <si>
    <t>NUMAP</t>
    <phoneticPr fontId="18"/>
  </si>
  <si>
    <t>N-TOYO</t>
    <phoneticPr fontId="18"/>
  </si>
  <si>
    <t>OKUKI1</t>
    <phoneticPr fontId="18"/>
  </si>
  <si>
    <t>OKUKI2</t>
    <phoneticPr fontId="18"/>
  </si>
  <si>
    <t>SHIROYA</t>
    <phoneticPr fontId="18"/>
  </si>
  <si>
    <t>SHIMOG</t>
    <phoneticPr fontId="18"/>
  </si>
  <si>
    <t>HATANA</t>
    <phoneticPr fontId="18"/>
  </si>
  <si>
    <t>TAKANE</t>
    <phoneticPr fontId="18"/>
  </si>
  <si>
    <t>MAZEGA</t>
    <phoneticPr fontId="18"/>
  </si>
  <si>
    <t>OKUYAH</t>
    <phoneticPr fontId="18"/>
  </si>
  <si>
    <t>OKUMIN</t>
    <phoneticPr fontId="18"/>
  </si>
  <si>
    <t>NAGAN</t>
    <phoneticPr fontId="18"/>
  </si>
  <si>
    <t>OKOCHI</t>
    <phoneticPr fontId="18"/>
  </si>
  <si>
    <t>KISENY</t>
    <phoneticPr fontId="18"/>
  </si>
  <si>
    <t>OKUYOS</t>
    <phoneticPr fontId="18"/>
  </si>
  <si>
    <t>OKUTA</t>
    <phoneticPr fontId="18"/>
  </si>
  <si>
    <t>OMORIG</t>
    <phoneticPr fontId="18"/>
  </si>
  <si>
    <t>ANANAI</t>
    <phoneticPr fontId="18"/>
  </si>
  <si>
    <t>KAGEHI</t>
    <phoneticPr fontId="18"/>
  </si>
  <si>
    <t>HONGA</t>
    <phoneticPr fontId="18"/>
  </si>
  <si>
    <t>MATAN</t>
    <phoneticPr fontId="18"/>
  </si>
  <si>
    <t>NAMBA</t>
    <phoneticPr fontId="18"/>
  </si>
  <si>
    <t>SNARIW</t>
    <phoneticPr fontId="18"/>
  </si>
  <si>
    <t>OHIRA</t>
    <phoneticPr fontId="18"/>
  </si>
  <si>
    <t>TENZAN</t>
    <phoneticPr fontId="18"/>
  </si>
  <si>
    <t>OMARU</t>
    <phoneticPr fontId="18"/>
  </si>
  <si>
    <t>Reservoirs No</t>
    <phoneticPr fontId="18"/>
  </si>
  <si>
    <t>Reservoir ID No</t>
    <phoneticPr fontId="18"/>
  </si>
  <si>
    <t>Name</t>
    <phoneticPr fontId="18"/>
  </si>
  <si>
    <t>Capacity [GWh]</t>
    <phoneticPr fontId="18"/>
  </si>
  <si>
    <t>新冠</t>
  </si>
  <si>
    <t>高見</t>
    <phoneticPr fontId="18"/>
  </si>
  <si>
    <t>京極</t>
    <rPh sb="0" eb="2">
      <t>キョウゴク</t>
    </rPh>
    <phoneticPr fontId="18"/>
  </si>
  <si>
    <t>第二沼沢</t>
    <phoneticPr fontId="18"/>
  </si>
  <si>
    <t>今市</t>
    <phoneticPr fontId="18"/>
  </si>
  <si>
    <t>矢木沢</t>
    <phoneticPr fontId="18"/>
  </si>
  <si>
    <t>玉原</t>
    <phoneticPr fontId="18"/>
  </si>
  <si>
    <t>塩原</t>
    <phoneticPr fontId="18"/>
  </si>
  <si>
    <t>安曇</t>
    <phoneticPr fontId="18"/>
  </si>
  <si>
    <t>水殿</t>
    <phoneticPr fontId="18"/>
  </si>
  <si>
    <t>新高瀬川</t>
    <phoneticPr fontId="18"/>
  </si>
  <si>
    <t>葛野川</t>
    <phoneticPr fontId="18"/>
  </si>
  <si>
    <t>神流川</t>
    <phoneticPr fontId="18"/>
  </si>
  <si>
    <t>馬瀬川第一</t>
    <phoneticPr fontId="18"/>
  </si>
  <si>
    <t>奥多々良木</t>
    <phoneticPr fontId="18"/>
  </si>
  <si>
    <t>奥吉野</t>
    <phoneticPr fontId="18"/>
  </si>
  <si>
    <t>喜撰山</t>
    <phoneticPr fontId="18"/>
  </si>
  <si>
    <t>大河内</t>
    <phoneticPr fontId="18"/>
  </si>
  <si>
    <t>長野（福井県）</t>
    <rPh sb="0" eb="2">
      <t>ナガノ</t>
    </rPh>
    <rPh sb="3" eb="5">
      <t>フクイ</t>
    </rPh>
    <rPh sb="5" eb="6">
      <t>ケン</t>
    </rPh>
    <phoneticPr fontId="18"/>
  </si>
  <si>
    <t>奥美濃</t>
    <phoneticPr fontId="18"/>
  </si>
  <si>
    <t>本川</t>
    <phoneticPr fontId="18"/>
  </si>
  <si>
    <t>俣野川</t>
    <phoneticPr fontId="18"/>
  </si>
  <si>
    <t>南原</t>
    <phoneticPr fontId="18"/>
  </si>
  <si>
    <t>新成羽川</t>
    <phoneticPr fontId="18"/>
  </si>
  <si>
    <t>大平</t>
    <phoneticPr fontId="18"/>
  </si>
  <si>
    <t>天山</t>
    <phoneticPr fontId="18"/>
  </si>
  <si>
    <t>小丸川</t>
    <phoneticPr fontId="18"/>
  </si>
  <si>
    <t>奥清津</t>
    <phoneticPr fontId="18"/>
  </si>
  <si>
    <t>奥清津第二</t>
    <phoneticPr fontId="18"/>
  </si>
  <si>
    <t>新豊根</t>
    <phoneticPr fontId="18"/>
  </si>
  <si>
    <t>下郷</t>
    <phoneticPr fontId="18"/>
  </si>
  <si>
    <t>奥矢作</t>
    <phoneticPr fontId="18"/>
  </si>
  <si>
    <t>沼原</t>
    <phoneticPr fontId="18"/>
  </si>
  <si>
    <t>池原</t>
    <phoneticPr fontId="18"/>
  </si>
  <si>
    <t>大森川</t>
    <phoneticPr fontId="18"/>
  </si>
  <si>
    <t>穴内川</t>
    <phoneticPr fontId="18"/>
  </si>
  <si>
    <t>蔭平</t>
    <phoneticPr fontId="18"/>
  </si>
  <si>
    <t>畑薙第一</t>
    <phoneticPr fontId="18"/>
  </si>
  <si>
    <t>高根第一</t>
    <phoneticPr fontId="18"/>
  </si>
  <si>
    <t>城山（神奈川）</t>
    <rPh sb="3" eb="6">
      <t>カナガワ</t>
    </rPh>
    <phoneticPr fontId="18"/>
  </si>
  <si>
    <t>和名</t>
    <rPh sb="0" eb="2">
      <t>ワメイ</t>
    </rPh>
    <phoneticPr fontId="18"/>
  </si>
  <si>
    <t>貯水池名</t>
    <rPh sb="0" eb="3">
      <t>チョスイチ</t>
    </rPh>
    <rPh sb="3" eb="4">
      <t>メイ</t>
    </rPh>
    <phoneticPr fontId="18"/>
  </si>
  <si>
    <t>IKEHARA</t>
    <phoneticPr fontId="18"/>
  </si>
  <si>
    <t>Maximum Capacity</t>
    <phoneticPr fontId="18"/>
  </si>
  <si>
    <t>Facility Type Name</t>
    <phoneticPr fontId="18"/>
  </si>
  <si>
    <t>msb</t>
  </si>
  <si>
    <t>nno</t>
  </si>
  <si>
    <t>hnn</t>
  </si>
  <si>
    <t>sii</t>
  </si>
  <si>
    <t>hgm</t>
  </si>
  <si>
    <t>stg</t>
  </si>
  <si>
    <t>ssi</t>
  </si>
  <si>
    <t>htn</t>
  </si>
  <si>
    <t>aic</t>
  </si>
  <si>
    <t>stm</t>
  </si>
  <si>
    <t>nns</t>
  </si>
  <si>
    <t>ktb</t>
  </si>
  <si>
    <t>tub</t>
  </si>
  <si>
    <t>gif</t>
  </si>
  <si>
    <t>ymt</t>
  </si>
  <si>
    <t>tyn</t>
  </si>
  <si>
    <t>sfk</t>
  </si>
  <si>
    <t>okc</t>
  </si>
  <si>
    <t>mky</t>
  </si>
  <si>
    <t>kkg</t>
  </si>
  <si>
    <t>hkw</t>
  </si>
  <si>
    <t>kuc</t>
  </si>
  <si>
    <t>mte</t>
  </si>
  <si>
    <t>hrs</t>
  </si>
  <si>
    <t>sok</t>
  </si>
  <si>
    <t>mkm</t>
  </si>
  <si>
    <t>sag</t>
  </si>
  <si>
    <t>myz</t>
  </si>
  <si>
    <t>Synchronous Inertia [s]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</si>
</sst>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1"/>
    </font>
    <font>
      <sz val="11"/>
      <name val="ＭＳ Ｐゴシック"/>
      <family val="3"/>
      <charset val="128"/>
    </font>
    <font>
      <sz val="11"/>
      <color theme="1"/>
      <name val="ＭＳ Ｐ明朝"/>
      <family val="1"/>
      <charset val="12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38" fontId="20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12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10" xfId="0" applyFont="1" applyBorder="1">
      <alignment vertical="center"/>
    </xf>
    <xf numFmtId="0" fontId="21" fillId="0" borderId="17" xfId="0" applyFont="1" applyBorder="1">
      <alignment vertical="center"/>
    </xf>
    <xf numFmtId="0" fontId="21" fillId="0" borderId="12" xfId="0" applyFont="1" applyBorder="1">
      <alignment vertical="center"/>
    </xf>
    <xf numFmtId="0" fontId="21" fillId="0" borderId="14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16" xfId="0" applyFont="1" applyBorder="1">
      <alignment vertical="center"/>
    </xf>
    <xf numFmtId="0" fontId="21" fillId="0" borderId="26" xfId="0" applyFont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21" fillId="33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>
      <alignment vertical="center"/>
    </xf>
    <xf numFmtId="0" fontId="21" fillId="0" borderId="28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 wrapText="1"/>
    </xf>
    <xf numFmtId="0" fontId="21" fillId="0" borderId="32" xfId="0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Fill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1" fillId="0" borderId="21" xfId="0" applyFont="1" applyBorder="1" applyAlignment="1">
      <alignment vertical="center" wrapText="1"/>
    </xf>
    <xf numFmtId="0" fontId="21" fillId="0" borderId="22" xfId="0" applyFont="1" applyBorder="1" applyAlignment="1">
      <alignment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34" borderId="0" xfId="0" applyFont="1" applyFill="1">
      <alignment vertical="center"/>
    </xf>
    <xf numFmtId="0" fontId="21" fillId="0" borderId="14" xfId="0" applyFont="1" applyBorder="1" applyAlignment="1">
      <alignment horizontal="center" vertical="center" wrapText="1"/>
    </xf>
    <xf numFmtId="0" fontId="21" fillId="35" borderId="0" xfId="0" applyFont="1" applyFill="1" applyBorder="1" applyAlignment="1">
      <alignment horizontal="center" vertical="center"/>
    </xf>
    <xf numFmtId="0" fontId="21" fillId="36" borderId="31" xfId="0" applyFont="1" applyFill="1" applyBorder="1" applyAlignment="1">
      <alignment horizontal="center" vertical="center"/>
    </xf>
  </cellXfs>
  <cellStyles count="47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 2" xfId="4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/>
    <cellStyle name="標準 2 2" xfId="43"/>
    <cellStyle name="標準 2 3" xfId="45"/>
    <cellStyle name="標準 3" xfId="44"/>
    <cellStyle name="良い" xfId="6" builtinId="26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putData_S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kss</v>
          </cell>
          <cell r="G87">
            <v>82</v>
          </cell>
        </row>
        <row r="88">
          <cell r="F88" t="str">
            <v>kzk</v>
          </cell>
          <cell r="G88">
            <v>83</v>
          </cell>
        </row>
        <row r="89">
          <cell r="F89" t="str">
            <v>ngm</v>
          </cell>
          <cell r="G89">
            <v>84</v>
          </cell>
        </row>
        <row r="90">
          <cell r="F90" t="str">
            <v>sob</v>
          </cell>
          <cell r="G90">
            <v>85</v>
          </cell>
        </row>
        <row r="91">
          <cell r="F91" t="str">
            <v>tmo</v>
          </cell>
          <cell r="G91">
            <v>86</v>
          </cell>
        </row>
        <row r="92">
          <cell r="F92" t="str">
            <v>stt</v>
          </cell>
          <cell r="G92">
            <v>87</v>
          </cell>
        </row>
        <row r="93">
          <cell r="F93" t="str">
            <v>kkm</v>
          </cell>
          <cell r="G93">
            <v>88</v>
          </cell>
        </row>
        <row r="94">
          <cell r="F94" t="str">
            <v>ssm</v>
          </cell>
          <cell r="G94">
            <v>89</v>
          </cell>
        </row>
        <row r="95">
          <cell r="F95" t="str">
            <v>kfj</v>
          </cell>
          <cell r="G95">
            <v>90</v>
          </cell>
        </row>
        <row r="96">
          <cell r="F96" t="str">
            <v>shn</v>
          </cell>
          <cell r="G96">
            <v>91</v>
          </cell>
        </row>
        <row r="97">
          <cell r="F97" t="str">
            <v>stk</v>
          </cell>
          <cell r="G97">
            <v>92</v>
          </cell>
        </row>
        <row r="98">
          <cell r="F98" t="str">
            <v>htn</v>
          </cell>
          <cell r="G98">
            <v>93</v>
          </cell>
        </row>
        <row r="99">
          <cell r="F99" t="str">
            <v>ksg</v>
          </cell>
          <cell r="G99">
            <v>94</v>
          </cell>
        </row>
        <row r="100">
          <cell r="F100" t="str">
            <v>stm</v>
          </cell>
          <cell r="G100">
            <v>95</v>
          </cell>
        </row>
        <row r="101">
          <cell r="F101" t="str">
            <v>han</v>
          </cell>
          <cell r="G101">
            <v>96</v>
          </cell>
        </row>
        <row r="102">
          <cell r="F102" t="str">
            <v>oum</v>
          </cell>
          <cell r="G102">
            <v>97</v>
          </cell>
        </row>
        <row r="103">
          <cell r="F103" t="str">
            <v>ntk</v>
          </cell>
          <cell r="G103">
            <v>98</v>
          </cell>
        </row>
        <row r="104">
          <cell r="F104" t="str">
            <v>kbo</v>
          </cell>
          <cell r="G104">
            <v>99</v>
          </cell>
        </row>
        <row r="105">
          <cell r="F105" t="str">
            <v>ktm</v>
          </cell>
          <cell r="G105">
            <v>100</v>
          </cell>
        </row>
        <row r="106">
          <cell r="F106" t="str">
            <v>hsh</v>
          </cell>
          <cell r="G106">
            <v>101</v>
          </cell>
        </row>
        <row r="107">
          <cell r="F107" t="str">
            <v>shi</v>
          </cell>
          <cell r="G107">
            <v>102</v>
          </cell>
        </row>
        <row r="108">
          <cell r="F108" t="str">
            <v>jyo</v>
          </cell>
          <cell r="G108">
            <v>103</v>
          </cell>
        </row>
        <row r="109">
          <cell r="F109" t="str">
            <v>tam</v>
          </cell>
          <cell r="G109">
            <v>104</v>
          </cell>
        </row>
        <row r="110">
          <cell r="F110" t="str">
            <v>keh</v>
          </cell>
          <cell r="G110">
            <v>105</v>
          </cell>
        </row>
        <row r="111">
          <cell r="F111" t="str">
            <v>nyo</v>
          </cell>
          <cell r="G111">
            <v>106</v>
          </cell>
        </row>
        <row r="112">
          <cell r="F112" t="str">
            <v>kws</v>
          </cell>
          <cell r="G112">
            <v>107</v>
          </cell>
        </row>
        <row r="113">
          <cell r="F113" t="str">
            <v>ikg</v>
          </cell>
          <cell r="G113">
            <v>108</v>
          </cell>
        </row>
        <row r="114">
          <cell r="F114" t="str">
            <v>nto</v>
          </cell>
          <cell r="G114">
            <v>109</v>
          </cell>
        </row>
        <row r="115">
          <cell r="F115" t="str">
            <v>mhy</v>
          </cell>
          <cell r="G115">
            <v>110</v>
          </cell>
        </row>
        <row r="116">
          <cell r="F116" t="str">
            <v>niz</v>
          </cell>
          <cell r="G116">
            <v>111</v>
          </cell>
        </row>
        <row r="117">
          <cell r="F117" t="str">
            <v>ner</v>
          </cell>
          <cell r="G117">
            <v>112</v>
          </cell>
        </row>
        <row r="118">
          <cell r="F118" t="str">
            <v>tos</v>
          </cell>
          <cell r="G118">
            <v>113</v>
          </cell>
        </row>
        <row r="119">
          <cell r="F119" t="str">
            <v>sui</v>
          </cell>
          <cell r="G119">
            <v>114</v>
          </cell>
        </row>
        <row r="120">
          <cell r="F120" t="str">
            <v>kwg</v>
          </cell>
          <cell r="G120">
            <v>115</v>
          </cell>
        </row>
        <row r="121">
          <cell r="F121" t="str">
            <v>kmo</v>
          </cell>
          <cell r="G121">
            <v>116</v>
          </cell>
        </row>
        <row r="122">
          <cell r="F122" t="str">
            <v>kyn</v>
          </cell>
          <cell r="G122">
            <v>117</v>
          </cell>
        </row>
        <row r="123">
          <cell r="F123" t="str">
            <v>neg</v>
          </cell>
          <cell r="G123">
            <v>118</v>
          </cell>
        </row>
        <row r="124">
          <cell r="F124" t="str">
            <v>khi</v>
          </cell>
          <cell r="G124">
            <v>119</v>
          </cell>
        </row>
        <row r="125">
          <cell r="F125" t="str">
            <v>hgu</v>
          </cell>
          <cell r="G125">
            <v>120</v>
          </cell>
        </row>
        <row r="126">
          <cell r="F126" t="str">
            <v>tkw</v>
          </cell>
          <cell r="G126">
            <v>121</v>
          </cell>
        </row>
        <row r="127">
          <cell r="F127" t="str">
            <v>uen</v>
          </cell>
          <cell r="G127">
            <v>122</v>
          </cell>
        </row>
        <row r="128">
          <cell r="F128" t="str">
            <v>edb</v>
          </cell>
          <cell r="G128">
            <v>123</v>
          </cell>
        </row>
        <row r="129">
          <cell r="F129" t="str">
            <v>sts</v>
          </cell>
          <cell r="G129">
            <v>124</v>
          </cell>
        </row>
        <row r="130">
          <cell r="F130" t="str">
            <v>kot</v>
          </cell>
          <cell r="G130">
            <v>125</v>
          </cell>
        </row>
        <row r="131">
          <cell r="F131" t="str">
            <v>ktn</v>
          </cell>
          <cell r="G131">
            <v>126</v>
          </cell>
        </row>
        <row r="132">
          <cell r="F132" t="str">
            <v>sgy</v>
          </cell>
          <cell r="G132">
            <v>127</v>
          </cell>
        </row>
        <row r="133">
          <cell r="F133" t="str">
            <v>eda</v>
          </cell>
          <cell r="G133">
            <v>128</v>
          </cell>
        </row>
        <row r="134">
          <cell r="F134" t="str">
            <v>tky</v>
          </cell>
          <cell r="G134">
            <v>129</v>
          </cell>
        </row>
        <row r="135">
          <cell r="F135" t="str">
            <v>stz</v>
          </cell>
          <cell r="G135">
            <v>130</v>
          </cell>
        </row>
        <row r="136">
          <cell r="F136" t="str">
            <v>kbk</v>
          </cell>
          <cell r="G136">
            <v>131</v>
          </cell>
        </row>
        <row r="137">
          <cell r="F137" t="str">
            <v>ktu</v>
          </cell>
          <cell r="G137">
            <v>132</v>
          </cell>
        </row>
        <row r="138">
          <cell r="F138" t="str">
            <v>ssi</v>
          </cell>
          <cell r="G138">
            <v>133</v>
          </cell>
        </row>
        <row r="139">
          <cell r="F139" t="str">
            <v>mie</v>
          </cell>
          <cell r="G139">
            <v>134</v>
          </cell>
        </row>
        <row r="140">
          <cell r="F140" t="str">
            <v>gif</v>
          </cell>
          <cell r="G140">
            <v>135</v>
          </cell>
        </row>
        <row r="141">
          <cell r="F141" t="str">
            <v>nsb</v>
          </cell>
          <cell r="G141">
            <v>136</v>
          </cell>
        </row>
        <row r="142">
          <cell r="F142" t="str">
            <v>ktb</v>
          </cell>
          <cell r="G142">
            <v>137</v>
          </cell>
        </row>
        <row r="143">
          <cell r="F143" t="str">
            <v>aic</v>
          </cell>
          <cell r="G143">
            <v>138</v>
          </cell>
        </row>
        <row r="144">
          <cell r="F144" t="str">
            <v>tub</v>
          </cell>
          <cell r="G144">
            <v>139</v>
          </cell>
        </row>
        <row r="145">
          <cell r="F145" t="str">
            <v>fkm</v>
          </cell>
          <cell r="G145">
            <v>140</v>
          </cell>
        </row>
        <row r="146">
          <cell r="F146" t="str">
            <v>tyn</v>
          </cell>
          <cell r="G146">
            <v>141</v>
          </cell>
        </row>
        <row r="147">
          <cell r="F147" t="str">
            <v>hse</v>
          </cell>
          <cell r="G147">
            <v>142</v>
          </cell>
        </row>
        <row r="148">
          <cell r="F148" t="str">
            <v>ssg</v>
          </cell>
          <cell r="G148">
            <v>143</v>
          </cell>
        </row>
        <row r="149">
          <cell r="F149" t="str">
            <v>nns</v>
          </cell>
          <cell r="G149">
            <v>144</v>
          </cell>
        </row>
        <row r="150">
          <cell r="F150" t="str">
            <v>snn</v>
          </cell>
          <cell r="G150">
            <v>145</v>
          </cell>
        </row>
        <row r="151">
          <cell r="F151" t="str">
            <v>sne</v>
          </cell>
          <cell r="G151">
            <v>146</v>
          </cell>
        </row>
        <row r="152">
          <cell r="F152" t="str">
            <v>szo</v>
          </cell>
          <cell r="G152">
            <v>147</v>
          </cell>
        </row>
        <row r="153">
          <cell r="F153" t="str">
            <v>szu</v>
          </cell>
          <cell r="G153">
            <v>148</v>
          </cell>
        </row>
        <row r="154">
          <cell r="F154" t="str">
            <v>ise</v>
          </cell>
          <cell r="G154">
            <v>149</v>
          </cell>
        </row>
        <row r="155">
          <cell r="F155" t="str">
            <v>mis</v>
          </cell>
          <cell r="G155">
            <v>150</v>
          </cell>
        </row>
        <row r="156">
          <cell r="F156" t="str">
            <v>nak</v>
          </cell>
          <cell r="G156">
            <v>151</v>
          </cell>
        </row>
        <row r="157">
          <cell r="F157" t="str">
            <v>mta</v>
          </cell>
          <cell r="G157">
            <v>152</v>
          </cell>
        </row>
        <row r="158">
          <cell r="F158" t="str">
            <v>nng</v>
          </cell>
          <cell r="G158">
            <v>153</v>
          </cell>
        </row>
        <row r="159">
          <cell r="F159" t="str">
            <v>kam</v>
          </cell>
          <cell r="G159">
            <v>154</v>
          </cell>
        </row>
        <row r="160">
          <cell r="F160" t="str">
            <v>now</v>
          </cell>
          <cell r="G160">
            <v>155</v>
          </cell>
        </row>
        <row r="161">
          <cell r="F161" t="str">
            <v>kge</v>
          </cell>
          <cell r="G161">
            <v>156</v>
          </cell>
        </row>
        <row r="162">
          <cell r="F162" t="str">
            <v>kib</v>
          </cell>
          <cell r="G162">
            <v>157</v>
          </cell>
        </row>
        <row r="163">
          <cell r="F163" t="str">
            <v>gyu</v>
          </cell>
          <cell r="G163">
            <v>158</v>
          </cell>
        </row>
        <row r="164">
          <cell r="F164" t="str">
            <v>mjy</v>
          </cell>
          <cell r="G164">
            <v>159</v>
          </cell>
        </row>
        <row r="165">
          <cell r="F165" t="str">
            <v>mge</v>
          </cell>
          <cell r="G165">
            <v>160</v>
          </cell>
        </row>
        <row r="166">
          <cell r="F166" t="str">
            <v>nsn</v>
          </cell>
          <cell r="G166">
            <v>161</v>
          </cell>
        </row>
        <row r="167">
          <cell r="F167" t="str">
            <v>nkn</v>
          </cell>
          <cell r="G167">
            <v>162</v>
          </cell>
        </row>
        <row r="168">
          <cell r="F168" t="str">
            <v>iym</v>
          </cell>
          <cell r="G168">
            <v>163</v>
          </cell>
        </row>
        <row r="169">
          <cell r="F169" t="str">
            <v>ums</v>
          </cell>
          <cell r="G169">
            <v>164</v>
          </cell>
        </row>
        <row r="170">
          <cell r="F170" t="str">
            <v>uma</v>
          </cell>
          <cell r="G170">
            <v>165</v>
          </cell>
        </row>
        <row r="171">
          <cell r="F171" t="str">
            <v>tke</v>
          </cell>
          <cell r="G171">
            <v>166</v>
          </cell>
        </row>
        <row r="172">
          <cell r="F172" t="str">
            <v>nks</v>
          </cell>
          <cell r="G172">
            <v>167</v>
          </cell>
        </row>
        <row r="173">
          <cell r="F173" t="str">
            <v>tsn</v>
          </cell>
          <cell r="G173">
            <v>168</v>
          </cell>
        </row>
        <row r="174">
          <cell r="F174" t="str">
            <v>sks</v>
          </cell>
          <cell r="G174">
            <v>169</v>
          </cell>
        </row>
        <row r="175">
          <cell r="F175" t="str">
            <v>sku</v>
          </cell>
          <cell r="G175">
            <v>170</v>
          </cell>
        </row>
        <row r="176">
          <cell r="F176" t="str">
            <v>den</v>
          </cell>
          <cell r="G176">
            <v>171</v>
          </cell>
        </row>
        <row r="177">
          <cell r="F177" t="str">
            <v>set</v>
          </cell>
          <cell r="G177">
            <v>172</v>
          </cell>
        </row>
        <row r="178">
          <cell r="F178" t="str">
            <v>tyt</v>
          </cell>
          <cell r="G178">
            <v>173</v>
          </cell>
        </row>
        <row r="179">
          <cell r="F179" t="str">
            <v>tur</v>
          </cell>
          <cell r="G179">
            <v>174</v>
          </cell>
        </row>
        <row r="180">
          <cell r="F180" t="str">
            <v>hng</v>
          </cell>
          <cell r="G180">
            <v>175</v>
          </cell>
        </row>
        <row r="181">
          <cell r="F181" t="str">
            <v>tta</v>
          </cell>
          <cell r="G181">
            <v>176</v>
          </cell>
        </row>
        <row r="182">
          <cell r="F182" t="str">
            <v>ume</v>
          </cell>
          <cell r="G182">
            <v>177</v>
          </cell>
        </row>
        <row r="183">
          <cell r="F183" t="str">
            <v>kym</v>
          </cell>
          <cell r="G183">
            <v>178</v>
          </cell>
        </row>
        <row r="184">
          <cell r="F184" t="str">
            <v>mhm</v>
          </cell>
          <cell r="G184">
            <v>179</v>
          </cell>
        </row>
        <row r="185">
          <cell r="F185" t="str">
            <v>shr</v>
          </cell>
          <cell r="G185">
            <v>180</v>
          </cell>
        </row>
        <row r="186">
          <cell r="F186" t="str">
            <v>tka</v>
          </cell>
          <cell r="G186">
            <v>181</v>
          </cell>
        </row>
        <row r="187">
          <cell r="F187" t="str">
            <v>tin</v>
          </cell>
          <cell r="G187">
            <v>182</v>
          </cell>
        </row>
        <row r="188">
          <cell r="F188" t="str">
            <v>skf</v>
          </cell>
          <cell r="G188">
            <v>183</v>
          </cell>
        </row>
        <row r="189">
          <cell r="F189" t="str">
            <v>kwn</v>
          </cell>
          <cell r="G189">
            <v>184</v>
          </cell>
        </row>
        <row r="190">
          <cell r="F190" t="str">
            <v>hna</v>
          </cell>
          <cell r="G190">
            <v>185</v>
          </cell>
        </row>
        <row r="191">
          <cell r="F191" t="str">
            <v>mkw</v>
          </cell>
          <cell r="G191">
            <v>186</v>
          </cell>
        </row>
        <row r="192">
          <cell r="F192" t="str">
            <v>htd</v>
          </cell>
          <cell r="G192">
            <v>187</v>
          </cell>
        </row>
        <row r="193">
          <cell r="F193" t="str">
            <v>kou</v>
          </cell>
          <cell r="G193">
            <v>188</v>
          </cell>
        </row>
        <row r="194">
          <cell r="F194" t="str">
            <v>kna</v>
          </cell>
          <cell r="G194">
            <v>189</v>
          </cell>
        </row>
        <row r="195">
          <cell r="F195" t="str">
            <v>kns</v>
          </cell>
          <cell r="G195">
            <v>190</v>
          </cell>
        </row>
        <row r="196">
          <cell r="F196" t="str">
            <v>thr</v>
          </cell>
          <cell r="G196">
            <v>191</v>
          </cell>
        </row>
        <row r="197">
          <cell r="F197" t="str">
            <v>toe</v>
          </cell>
          <cell r="G197">
            <v>192</v>
          </cell>
        </row>
        <row r="198">
          <cell r="F198" t="str">
            <v>hmo</v>
          </cell>
          <cell r="G198">
            <v>193</v>
          </cell>
        </row>
        <row r="199">
          <cell r="F199" t="str">
            <v>ssk</v>
          </cell>
          <cell r="G199">
            <v>194</v>
          </cell>
        </row>
        <row r="200">
          <cell r="F200" t="str">
            <v>srg</v>
          </cell>
          <cell r="G200">
            <v>195</v>
          </cell>
        </row>
        <row r="201">
          <cell r="F201" t="str">
            <v>his</v>
          </cell>
          <cell r="G201">
            <v>196</v>
          </cell>
        </row>
        <row r="202">
          <cell r="F202" t="str">
            <v>szh</v>
          </cell>
          <cell r="G202">
            <v>197</v>
          </cell>
        </row>
        <row r="203">
          <cell r="F203" t="str">
            <v>szn</v>
          </cell>
          <cell r="G203">
            <v>198</v>
          </cell>
        </row>
        <row r="204">
          <cell r="F204" t="str">
            <v>hid</v>
          </cell>
          <cell r="G204">
            <v>199</v>
          </cell>
        </row>
        <row r="205">
          <cell r="F205" t="str">
            <v>ech</v>
          </cell>
          <cell r="G205">
            <v>200</v>
          </cell>
        </row>
        <row r="206">
          <cell r="F206" t="str">
            <v>kga</v>
          </cell>
          <cell r="G206">
            <v>201</v>
          </cell>
        </row>
        <row r="207">
          <cell r="F207" t="str">
            <v>nnt</v>
          </cell>
          <cell r="G207">
            <v>202</v>
          </cell>
        </row>
        <row r="208">
          <cell r="F208" t="str">
            <v>mfm</v>
          </cell>
          <cell r="G208">
            <v>203</v>
          </cell>
        </row>
        <row r="209">
          <cell r="F209" t="str">
            <v>hkn</v>
          </cell>
          <cell r="G209">
            <v>204</v>
          </cell>
        </row>
        <row r="210">
          <cell r="F210" t="str">
            <v>sfk</v>
          </cell>
          <cell r="G210">
            <v>205</v>
          </cell>
        </row>
        <row r="211">
          <cell r="F211" t="str">
            <v>jbt</v>
          </cell>
          <cell r="G211">
            <v>206</v>
          </cell>
        </row>
        <row r="212">
          <cell r="F212" t="str">
            <v>sto</v>
          </cell>
          <cell r="G212">
            <v>207</v>
          </cell>
        </row>
        <row r="213">
          <cell r="F213" t="str">
            <v>nnj</v>
          </cell>
          <cell r="G213">
            <v>208</v>
          </cell>
        </row>
        <row r="214">
          <cell r="F214" t="str">
            <v>hks</v>
          </cell>
          <cell r="G214">
            <v>209</v>
          </cell>
        </row>
        <row r="215">
          <cell r="F215" t="str">
            <v>nba</v>
          </cell>
          <cell r="G215">
            <v>210</v>
          </cell>
        </row>
        <row r="216">
          <cell r="F216" t="str">
            <v>ing</v>
          </cell>
          <cell r="G216">
            <v>211</v>
          </cell>
        </row>
        <row r="217">
          <cell r="F217" t="str">
            <v>kki</v>
          </cell>
          <cell r="G217">
            <v>212</v>
          </cell>
        </row>
        <row r="218">
          <cell r="F218" t="str">
            <v>nkt</v>
          </cell>
          <cell r="G218">
            <v>213</v>
          </cell>
        </row>
        <row r="219">
          <cell r="F219" t="str">
            <v>nse</v>
          </cell>
          <cell r="G219">
            <v>214</v>
          </cell>
        </row>
        <row r="220">
          <cell r="F220" t="str">
            <v>ikm</v>
          </cell>
          <cell r="G220">
            <v>215</v>
          </cell>
        </row>
        <row r="221">
          <cell r="F221" t="str">
            <v>hom</v>
          </cell>
          <cell r="G221">
            <v>216</v>
          </cell>
        </row>
        <row r="222">
          <cell r="F222" t="str">
            <v>mky</v>
          </cell>
          <cell r="G222">
            <v>217</v>
          </cell>
        </row>
        <row r="223">
          <cell r="F223" t="str">
            <v>yzk</v>
          </cell>
          <cell r="G223">
            <v>218</v>
          </cell>
        </row>
        <row r="224">
          <cell r="F224" t="str">
            <v>okc</v>
          </cell>
          <cell r="G224">
            <v>219</v>
          </cell>
        </row>
        <row r="225">
          <cell r="F225" t="str">
            <v>mdk</v>
          </cell>
          <cell r="G225">
            <v>220</v>
          </cell>
        </row>
        <row r="226">
          <cell r="F226" t="str">
            <v>ayb</v>
          </cell>
          <cell r="G226">
            <v>221</v>
          </cell>
        </row>
        <row r="227">
          <cell r="F227" t="str">
            <v>ryn</v>
          </cell>
          <cell r="G227">
            <v>222</v>
          </cell>
        </row>
        <row r="228">
          <cell r="F228" t="str">
            <v>ymt</v>
          </cell>
          <cell r="G228">
            <v>223</v>
          </cell>
        </row>
        <row r="229">
          <cell r="F229" t="str">
            <v>kkt</v>
          </cell>
          <cell r="G229">
            <v>224</v>
          </cell>
        </row>
        <row r="230">
          <cell r="F230" t="str">
            <v>kya</v>
          </cell>
          <cell r="G230">
            <v>225</v>
          </cell>
        </row>
        <row r="231">
          <cell r="F231" t="str">
            <v>sgi</v>
          </cell>
          <cell r="G231">
            <v>226</v>
          </cell>
        </row>
        <row r="232">
          <cell r="F232" t="str">
            <v>hmj</v>
          </cell>
          <cell r="G232">
            <v>227</v>
          </cell>
        </row>
        <row r="233">
          <cell r="F233" t="str">
            <v>kbe</v>
          </cell>
          <cell r="G233">
            <v>228</v>
          </cell>
        </row>
        <row r="234">
          <cell r="F234" t="str">
            <v>ksi</v>
          </cell>
          <cell r="G234">
            <v>229</v>
          </cell>
        </row>
        <row r="235">
          <cell r="F235" t="str">
            <v>nkb</v>
          </cell>
          <cell r="G235">
            <v>230</v>
          </cell>
        </row>
        <row r="236">
          <cell r="F236" t="str">
            <v>kkg</v>
          </cell>
          <cell r="G236">
            <v>231</v>
          </cell>
        </row>
        <row r="237">
          <cell r="F237" t="str">
            <v>itn</v>
          </cell>
          <cell r="G237">
            <v>232</v>
          </cell>
        </row>
        <row r="238">
          <cell r="F238" t="str">
            <v>kub</v>
          </cell>
          <cell r="G238">
            <v>233</v>
          </cell>
        </row>
        <row r="239">
          <cell r="F239" t="str">
            <v>tkr</v>
          </cell>
          <cell r="G239">
            <v>234</v>
          </cell>
        </row>
        <row r="240">
          <cell r="F240" t="str">
            <v>noa</v>
          </cell>
          <cell r="G240">
            <v>235</v>
          </cell>
        </row>
        <row r="241">
          <cell r="F241" t="str">
            <v>kos</v>
          </cell>
          <cell r="G241">
            <v>236</v>
          </cell>
        </row>
        <row r="242">
          <cell r="F242" t="str">
            <v>ost</v>
          </cell>
          <cell r="G242">
            <v>237</v>
          </cell>
        </row>
        <row r="243">
          <cell r="F243" t="str">
            <v>ydg</v>
          </cell>
          <cell r="G243">
            <v>238</v>
          </cell>
        </row>
        <row r="244">
          <cell r="F244" t="str">
            <v>kse</v>
          </cell>
          <cell r="G244">
            <v>239</v>
          </cell>
        </row>
        <row r="245">
          <cell r="F245" t="str">
            <v>kon</v>
          </cell>
          <cell r="G245">
            <v>240</v>
          </cell>
        </row>
        <row r="246">
          <cell r="F246" t="str">
            <v>khg</v>
          </cell>
          <cell r="G246">
            <v>241</v>
          </cell>
        </row>
        <row r="247">
          <cell r="F247" t="str">
            <v>kog</v>
          </cell>
          <cell r="G247">
            <v>242</v>
          </cell>
        </row>
        <row r="248">
          <cell r="F248" t="str">
            <v>mai</v>
          </cell>
          <cell r="G248">
            <v>243</v>
          </cell>
        </row>
        <row r="249">
          <cell r="F249" t="str">
            <v>mkt</v>
          </cell>
          <cell r="G249">
            <v>244</v>
          </cell>
        </row>
        <row r="250">
          <cell r="F250" t="str">
            <v>nyg</v>
          </cell>
          <cell r="G250">
            <v>245</v>
          </cell>
        </row>
        <row r="251">
          <cell r="F251" t="str">
            <v>hos</v>
          </cell>
          <cell r="G251">
            <v>246</v>
          </cell>
        </row>
        <row r="252">
          <cell r="F252" t="str">
            <v>mku</v>
          </cell>
          <cell r="G252">
            <v>247</v>
          </cell>
        </row>
        <row r="253">
          <cell r="F253" t="str">
            <v>knn</v>
          </cell>
          <cell r="G253">
            <v>248</v>
          </cell>
        </row>
        <row r="254">
          <cell r="F254" t="str">
            <v>kng</v>
          </cell>
          <cell r="G254">
            <v>249</v>
          </cell>
        </row>
        <row r="255">
          <cell r="F255" t="str">
            <v>moo</v>
          </cell>
          <cell r="G255">
            <v>250</v>
          </cell>
        </row>
        <row r="256">
          <cell r="F256" t="str">
            <v>kto</v>
          </cell>
          <cell r="G256">
            <v>251</v>
          </cell>
        </row>
        <row r="257">
          <cell r="F257" t="str">
            <v>ktg</v>
          </cell>
          <cell r="G257">
            <v>252</v>
          </cell>
        </row>
        <row r="258">
          <cell r="F258" t="str">
            <v>kzn</v>
          </cell>
          <cell r="G258">
            <v>253</v>
          </cell>
        </row>
        <row r="259">
          <cell r="F259" t="str">
            <v>kty</v>
          </cell>
          <cell r="G259">
            <v>254</v>
          </cell>
        </row>
        <row r="260">
          <cell r="F260" t="str">
            <v>knk</v>
          </cell>
          <cell r="G260">
            <v>255</v>
          </cell>
        </row>
        <row r="261">
          <cell r="F261" t="str">
            <v>osb</v>
          </cell>
          <cell r="G261">
            <v>256</v>
          </cell>
        </row>
        <row r="262">
          <cell r="F262" t="str">
            <v>tuy</v>
          </cell>
          <cell r="G262">
            <v>257</v>
          </cell>
        </row>
        <row r="263">
          <cell r="F263" t="str">
            <v>kwu</v>
          </cell>
          <cell r="G263">
            <v>258</v>
          </cell>
        </row>
        <row r="264">
          <cell r="F264" t="str">
            <v>san</v>
          </cell>
          <cell r="G264">
            <v>259</v>
          </cell>
        </row>
        <row r="265">
          <cell r="F265" t="str">
            <v>awa</v>
          </cell>
          <cell r="G265">
            <v>260</v>
          </cell>
        </row>
        <row r="266">
          <cell r="F266" t="str">
            <v>ana</v>
          </cell>
          <cell r="G266">
            <v>261</v>
          </cell>
        </row>
        <row r="267">
          <cell r="F267" t="str">
            <v>hir</v>
          </cell>
          <cell r="G267">
            <v>262</v>
          </cell>
        </row>
        <row r="268">
          <cell r="F268" t="str">
            <v>ika</v>
          </cell>
          <cell r="G268">
            <v>263</v>
          </cell>
        </row>
        <row r="269">
          <cell r="F269" t="str">
            <v>osu</v>
          </cell>
          <cell r="G269">
            <v>264</v>
          </cell>
        </row>
        <row r="270">
          <cell r="F270" t="str">
            <v>mty</v>
          </cell>
          <cell r="G270">
            <v>265</v>
          </cell>
        </row>
        <row r="271">
          <cell r="F271" t="str">
            <v>kmt</v>
          </cell>
          <cell r="G271">
            <v>266</v>
          </cell>
        </row>
        <row r="272">
          <cell r="F272" t="str">
            <v>njo</v>
          </cell>
          <cell r="G272">
            <v>267</v>
          </cell>
        </row>
        <row r="273">
          <cell r="F273" t="str">
            <v>hkw</v>
          </cell>
          <cell r="G273">
            <v>268</v>
          </cell>
        </row>
        <row r="274">
          <cell r="F274" t="str">
            <v>kuc</v>
          </cell>
          <cell r="G274">
            <v>269</v>
          </cell>
        </row>
        <row r="275">
          <cell r="F275" t="str">
            <v>ska</v>
          </cell>
          <cell r="G275">
            <v>270</v>
          </cell>
        </row>
        <row r="276">
          <cell r="F276" t="str">
            <v>ikw</v>
          </cell>
          <cell r="G276">
            <v>271</v>
          </cell>
        </row>
        <row r="277">
          <cell r="F277" t="str">
            <v>msm</v>
          </cell>
          <cell r="G277">
            <v>272</v>
          </cell>
        </row>
        <row r="278">
          <cell r="F278" t="str">
            <v>kgw</v>
          </cell>
          <cell r="G278">
            <v>273</v>
          </cell>
        </row>
        <row r="279">
          <cell r="F279" t="str">
            <v>asa</v>
          </cell>
          <cell r="G279">
            <v>274</v>
          </cell>
        </row>
        <row r="280">
          <cell r="F280" t="str">
            <v>tak</v>
          </cell>
          <cell r="G280">
            <v>275</v>
          </cell>
        </row>
        <row r="281">
          <cell r="F281" t="str">
            <v>nrt</v>
          </cell>
          <cell r="G281">
            <v>276</v>
          </cell>
        </row>
        <row r="282">
          <cell r="F282" t="str">
            <v>ook</v>
          </cell>
          <cell r="G282">
            <v>277</v>
          </cell>
        </row>
        <row r="283">
          <cell r="F283" t="str">
            <v>kun</v>
          </cell>
          <cell r="G283">
            <v>278</v>
          </cell>
        </row>
        <row r="284">
          <cell r="F284" t="str">
            <v>sym</v>
          </cell>
          <cell r="G284">
            <v>279</v>
          </cell>
        </row>
        <row r="285">
          <cell r="F285" t="str">
            <v>ssn</v>
          </cell>
          <cell r="G285">
            <v>280</v>
          </cell>
        </row>
        <row r="286">
          <cell r="F286" t="str">
            <v>hno</v>
          </cell>
          <cell r="G286">
            <v>281</v>
          </cell>
        </row>
        <row r="287">
          <cell r="F287" t="str">
            <v>cht</v>
          </cell>
          <cell r="G287">
            <v>282</v>
          </cell>
        </row>
        <row r="288">
          <cell r="F288" t="str">
            <v>hmg</v>
          </cell>
          <cell r="G288">
            <v>283</v>
          </cell>
        </row>
        <row r="289">
          <cell r="F289" t="str">
            <v>shs</v>
          </cell>
          <cell r="G289">
            <v>284</v>
          </cell>
        </row>
        <row r="290">
          <cell r="F290" t="str">
            <v>shm</v>
          </cell>
          <cell r="G290">
            <v>285</v>
          </cell>
        </row>
        <row r="291">
          <cell r="F291" t="str">
            <v>sok</v>
          </cell>
          <cell r="G291">
            <v>286</v>
          </cell>
        </row>
        <row r="292">
          <cell r="F292" t="str">
            <v>hok</v>
          </cell>
          <cell r="G292">
            <v>287</v>
          </cell>
        </row>
        <row r="293">
          <cell r="F293" t="str">
            <v>kme</v>
          </cell>
          <cell r="G293">
            <v>288</v>
          </cell>
        </row>
        <row r="294">
          <cell r="F294" t="str">
            <v>ymg</v>
          </cell>
          <cell r="G294">
            <v>289</v>
          </cell>
        </row>
        <row r="295">
          <cell r="F295" t="str">
            <v>mya</v>
          </cell>
          <cell r="G295">
            <v>290</v>
          </cell>
        </row>
        <row r="296">
          <cell r="F296" t="str">
            <v>sty</v>
          </cell>
          <cell r="G296">
            <v>291</v>
          </cell>
        </row>
        <row r="297">
          <cell r="F297" t="str">
            <v>hto</v>
          </cell>
          <cell r="G297">
            <v>292</v>
          </cell>
        </row>
        <row r="298">
          <cell r="F298" t="str">
            <v>tkg</v>
          </cell>
          <cell r="G298">
            <v>293</v>
          </cell>
        </row>
        <row r="299">
          <cell r="F299" t="str">
            <v>hrs</v>
          </cell>
          <cell r="G299">
            <v>294</v>
          </cell>
        </row>
        <row r="300">
          <cell r="F300" t="str">
            <v>krs</v>
          </cell>
          <cell r="G300">
            <v>295</v>
          </cell>
        </row>
        <row r="301">
          <cell r="F301" t="str">
            <v>onm</v>
          </cell>
          <cell r="G301">
            <v>296</v>
          </cell>
        </row>
        <row r="302">
          <cell r="F302" t="str">
            <v>ihr</v>
          </cell>
          <cell r="G302">
            <v>297</v>
          </cell>
        </row>
        <row r="303">
          <cell r="F303" t="str">
            <v>kso</v>
          </cell>
          <cell r="G303">
            <v>298</v>
          </cell>
        </row>
        <row r="304">
          <cell r="F304" t="str">
            <v>kus</v>
          </cell>
          <cell r="G304">
            <v>299</v>
          </cell>
        </row>
        <row r="305">
          <cell r="F305" t="str">
            <v>okm</v>
          </cell>
          <cell r="G305">
            <v>300</v>
          </cell>
        </row>
        <row r="306">
          <cell r="F306" t="str">
            <v>mte</v>
          </cell>
          <cell r="G306">
            <v>301</v>
          </cell>
        </row>
        <row r="307">
          <cell r="F307" t="str">
            <v>ttr</v>
          </cell>
          <cell r="G307">
            <v>302</v>
          </cell>
        </row>
        <row r="308">
          <cell r="F308" t="str">
            <v>ygc</v>
          </cell>
          <cell r="G308">
            <v>303</v>
          </cell>
        </row>
        <row r="309">
          <cell r="F309" t="str">
            <v>hsm</v>
          </cell>
          <cell r="G309">
            <v>304</v>
          </cell>
        </row>
        <row r="310">
          <cell r="F310" t="str">
            <v>sin</v>
          </cell>
          <cell r="G310">
            <v>305</v>
          </cell>
        </row>
        <row r="311">
          <cell r="F311" t="str">
            <v>hhi</v>
          </cell>
          <cell r="G311">
            <v>306</v>
          </cell>
        </row>
        <row r="312">
          <cell r="F312" t="str">
            <v>oky</v>
          </cell>
          <cell r="G312">
            <v>307</v>
          </cell>
        </row>
        <row r="313">
          <cell r="F313" t="str">
            <v>sfr</v>
          </cell>
          <cell r="G313">
            <v>308</v>
          </cell>
        </row>
        <row r="314">
          <cell r="F314" t="str">
            <v>kky</v>
          </cell>
          <cell r="G314">
            <v>309</v>
          </cell>
        </row>
        <row r="315">
          <cell r="F315" t="str">
            <v>tme</v>
          </cell>
          <cell r="G315">
            <v>310</v>
          </cell>
        </row>
        <row r="316">
          <cell r="F316" t="str">
            <v>cho</v>
          </cell>
          <cell r="G316">
            <v>311</v>
          </cell>
        </row>
        <row r="317">
          <cell r="F317" t="str">
            <v>hky</v>
          </cell>
          <cell r="G317">
            <v>312</v>
          </cell>
        </row>
        <row r="318">
          <cell r="F318" t="str">
            <v>ksy</v>
          </cell>
          <cell r="G318">
            <v>313</v>
          </cell>
        </row>
        <row r="319">
          <cell r="F319" t="str">
            <v>kum</v>
          </cell>
          <cell r="G319">
            <v>314</v>
          </cell>
        </row>
        <row r="320">
          <cell r="F320" t="str">
            <v>ksu</v>
          </cell>
          <cell r="G320">
            <v>315</v>
          </cell>
        </row>
        <row r="321">
          <cell r="F321" t="str">
            <v>mks</v>
          </cell>
          <cell r="G321">
            <v>316</v>
          </cell>
        </row>
        <row r="322">
          <cell r="F322" t="str">
            <v>myz</v>
          </cell>
          <cell r="G322">
            <v>317</v>
          </cell>
        </row>
        <row r="323">
          <cell r="F323" t="str">
            <v>nsy</v>
          </cell>
          <cell r="G323">
            <v>318</v>
          </cell>
        </row>
        <row r="324">
          <cell r="F324" t="str">
            <v>tkd</v>
          </cell>
          <cell r="G324">
            <v>319</v>
          </cell>
        </row>
        <row r="325">
          <cell r="F325" t="str">
            <v>uty</v>
          </cell>
          <cell r="G325">
            <v>320</v>
          </cell>
        </row>
        <row r="326">
          <cell r="F326" t="str">
            <v>mje</v>
          </cell>
          <cell r="G326">
            <v>321</v>
          </cell>
        </row>
        <row r="327">
          <cell r="F327" t="str">
            <v>knd</v>
          </cell>
          <cell r="G327">
            <v>322</v>
          </cell>
        </row>
        <row r="328">
          <cell r="F328" t="str">
            <v>tsu</v>
          </cell>
          <cell r="G328">
            <v>323</v>
          </cell>
        </row>
        <row r="329">
          <cell r="F329" t="str">
            <v>noi</v>
          </cell>
          <cell r="G329">
            <v>324</v>
          </cell>
        </row>
        <row r="330">
          <cell r="F330" t="str">
            <v>ooi</v>
          </cell>
          <cell r="G330">
            <v>325</v>
          </cell>
        </row>
        <row r="331">
          <cell r="F331" t="str">
            <v>hoi</v>
          </cell>
          <cell r="G331">
            <v>326</v>
          </cell>
        </row>
        <row r="332">
          <cell r="F332" t="str">
            <v>snk</v>
          </cell>
          <cell r="G332">
            <v>327</v>
          </cell>
        </row>
        <row r="333">
          <cell r="F333" t="str">
            <v>fko</v>
          </cell>
          <cell r="G333">
            <v>328</v>
          </cell>
        </row>
        <row r="334">
          <cell r="F334" t="str">
            <v>tkh</v>
          </cell>
          <cell r="G334">
            <v>329</v>
          </cell>
        </row>
        <row r="335">
          <cell r="F335" t="str">
            <v>sys</v>
          </cell>
          <cell r="G335">
            <v>330</v>
          </cell>
        </row>
        <row r="336">
          <cell r="F336" t="str">
            <v>kts</v>
          </cell>
          <cell r="G336">
            <v>331</v>
          </cell>
        </row>
        <row r="337">
          <cell r="F337" t="str">
            <v>tko</v>
          </cell>
          <cell r="G337">
            <v>332</v>
          </cell>
        </row>
        <row r="338">
          <cell r="F338" t="str">
            <v>ssb</v>
          </cell>
          <cell r="G338">
            <v>333</v>
          </cell>
        </row>
        <row r="339">
          <cell r="F339" t="str">
            <v>ngs</v>
          </cell>
          <cell r="G339">
            <v>334</v>
          </cell>
        </row>
        <row r="340">
          <cell r="F340" t="str">
            <v>iba</v>
          </cell>
          <cell r="G340">
            <v>335</v>
          </cell>
        </row>
        <row r="341">
          <cell r="F341" t="str">
            <v>ksk</v>
          </cell>
          <cell r="G341">
            <v>336</v>
          </cell>
        </row>
        <row r="342">
          <cell r="F342" t="str">
            <v>tsr</v>
          </cell>
          <cell r="G342">
            <v>337</v>
          </cell>
        </row>
        <row r="343">
          <cell r="F343" t="str">
            <v>sni</v>
          </cell>
          <cell r="G343">
            <v>338</v>
          </cell>
        </row>
        <row r="344">
          <cell r="F344" t="str">
            <v>mkm</v>
          </cell>
          <cell r="G344">
            <v>339</v>
          </cell>
        </row>
        <row r="345">
          <cell r="F345" t="str">
            <v>hta</v>
          </cell>
          <cell r="G345">
            <v>340</v>
          </cell>
        </row>
        <row r="346">
          <cell r="F346" t="str">
            <v>hty</v>
          </cell>
          <cell r="G346">
            <v>341</v>
          </cell>
        </row>
        <row r="347">
          <cell r="F347" t="str">
            <v>ysr</v>
          </cell>
          <cell r="G347">
            <v>342</v>
          </cell>
        </row>
        <row r="348">
          <cell r="F348" t="str">
            <v>kgs</v>
          </cell>
          <cell r="G348">
            <v>343</v>
          </cell>
        </row>
        <row r="349">
          <cell r="F349" t="str">
            <v>tkn</v>
          </cell>
          <cell r="G349">
            <v>344</v>
          </cell>
        </row>
        <row r="350">
          <cell r="F350" t="str">
            <v>ksh</v>
          </cell>
          <cell r="G350">
            <v>345</v>
          </cell>
        </row>
        <row r="351">
          <cell r="F351" t="str">
            <v>tsi</v>
          </cell>
          <cell r="G351">
            <v>346</v>
          </cell>
        </row>
        <row r="352">
          <cell r="F352" t="str">
            <v>oos</v>
          </cell>
          <cell r="G352">
            <v>347</v>
          </cell>
        </row>
        <row r="353">
          <cell r="F353" t="str">
            <v>ksa</v>
          </cell>
          <cell r="G353">
            <v>348</v>
          </cell>
        </row>
        <row r="354">
          <cell r="F354" t="str">
            <v>nfu</v>
          </cell>
          <cell r="G354">
            <v>349</v>
          </cell>
        </row>
        <row r="355">
          <cell r="F355" t="str">
            <v>mmi</v>
          </cell>
          <cell r="G355">
            <v>350</v>
          </cell>
        </row>
        <row r="356">
          <cell r="F356" t="str">
            <v>krm</v>
          </cell>
          <cell r="G356">
            <v>351</v>
          </cell>
        </row>
        <row r="357">
          <cell r="F357" t="str">
            <v>mfk</v>
          </cell>
          <cell r="G357">
            <v>352</v>
          </cell>
        </row>
        <row r="358">
          <cell r="F358" t="str">
            <v>sag</v>
          </cell>
          <cell r="G358">
            <v>353</v>
          </cell>
        </row>
        <row r="359">
          <cell r="F359" t="str">
            <v>hay</v>
          </cell>
          <cell r="G359">
            <v>354</v>
          </cell>
        </row>
        <row r="360">
          <cell r="F360" t="str">
            <v>ito</v>
          </cell>
          <cell r="G360">
            <v>355</v>
          </cell>
        </row>
        <row r="361">
          <cell r="F361" t="str">
            <v>ymi</v>
          </cell>
          <cell r="G361">
            <v>356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"/>
  <sheetViews>
    <sheetView tabSelected="1" zoomScale="70" zoomScaleNormal="70" workbookViewId="0">
      <selection activeCell="O2" sqref="O2:O119"/>
    </sheetView>
  </sheetViews>
  <sheetFormatPr defaultColWidth="9" defaultRowHeight="15" x14ac:dyDescent="0.15"/>
  <cols>
    <col min="1" max="4" width="9" style="26"/>
    <col min="5" max="5" width="15.25" style="26" customWidth="1"/>
    <col min="6" max="6" width="11.875" style="26" customWidth="1"/>
    <col min="7" max="7" width="16.25" style="26" customWidth="1"/>
    <col min="8" max="11" width="14.75" style="26" customWidth="1"/>
    <col min="12" max="12" width="12.75" style="26" customWidth="1"/>
    <col min="13" max="15" width="12.875" style="25" customWidth="1"/>
    <col min="16" max="16384" width="9" style="26"/>
  </cols>
  <sheetData>
    <row r="1" spans="1:17" ht="25.5" customHeight="1" thickBot="1" x14ac:dyDescent="0.2">
      <c r="A1" s="24">
        <f>ROWS(SN)</f>
        <v>118</v>
      </c>
      <c r="B1" s="24"/>
      <c r="C1" s="28" t="s">
        <v>8</v>
      </c>
      <c r="D1" s="37" t="s">
        <v>32</v>
      </c>
      <c r="E1" s="38" t="s">
        <v>16</v>
      </c>
      <c r="F1" s="35" t="s">
        <v>9</v>
      </c>
      <c r="G1" s="35" t="s">
        <v>31</v>
      </c>
      <c r="H1" s="35" t="s">
        <v>229</v>
      </c>
      <c r="I1" s="35" t="s">
        <v>27</v>
      </c>
      <c r="J1" s="35" t="s">
        <v>182</v>
      </c>
      <c r="K1" s="36" t="s">
        <v>227</v>
      </c>
      <c r="L1" s="35" t="s">
        <v>25</v>
      </c>
      <c r="M1" s="35" t="s">
        <v>26</v>
      </c>
      <c r="N1" s="35" t="s">
        <v>30</v>
      </c>
      <c r="O1" s="35" t="s">
        <v>259</v>
      </c>
      <c r="P1" s="35" t="s">
        <v>28</v>
      </c>
      <c r="Q1" s="39" t="s">
        <v>29</v>
      </c>
    </row>
    <row r="2" spans="1:17" ht="15.75" thickBot="1" x14ac:dyDescent="0.2">
      <c r="B2" s="26" t="s">
        <v>231</v>
      </c>
      <c r="C2" s="43">
        <f>VLOOKUP(B2,[1]SYS!$F$5:$G$361,2,FALSE)</f>
        <v>3</v>
      </c>
      <c r="D2" s="7" t="s">
        <v>7</v>
      </c>
      <c r="E2" s="8" t="s">
        <v>142</v>
      </c>
      <c r="F2" s="8">
        <v>0</v>
      </c>
      <c r="G2" s="14">
        <v>0.1</v>
      </c>
      <c r="H2" s="14">
        <v>1</v>
      </c>
      <c r="I2" s="14">
        <v>0.7</v>
      </c>
      <c r="J2" s="14">
        <v>0</v>
      </c>
      <c r="K2" s="14" t="str">
        <f>VLOOKUP(J2,Reservoirs!B$2:D$41,3,FALSE)</f>
        <v>新冠</v>
      </c>
      <c r="L2" s="14">
        <v>0.5</v>
      </c>
      <c r="M2" s="8">
        <v>0.99</v>
      </c>
      <c r="N2" s="8">
        <v>0.2</v>
      </c>
      <c r="O2" s="8">
        <v>10</v>
      </c>
      <c r="P2" s="17">
        <v>1</v>
      </c>
      <c r="Q2" s="18">
        <v>1</v>
      </c>
    </row>
    <row r="3" spans="1:17" ht="15.75" thickBot="1" x14ac:dyDescent="0.2">
      <c r="B3" s="26" t="s">
        <v>231</v>
      </c>
      <c r="C3" s="43">
        <f>VLOOKUP(B3,[1]SYS!$F$5:$G$361,2,FALSE)</f>
        <v>3</v>
      </c>
      <c r="D3" s="5" t="s">
        <v>7</v>
      </c>
      <c r="E3" s="6" t="s">
        <v>33</v>
      </c>
      <c r="F3" s="6">
        <v>0</v>
      </c>
      <c r="G3" s="27">
        <v>0.1</v>
      </c>
      <c r="H3" s="1">
        <v>1</v>
      </c>
      <c r="I3" s="1">
        <v>0.7</v>
      </c>
      <c r="J3" s="1">
        <v>0</v>
      </c>
      <c r="K3" s="1" t="str">
        <f>VLOOKUP(J3,Reservoirs!B$2:D$41,3,FALSE)</f>
        <v>新冠</v>
      </c>
      <c r="L3" s="1">
        <v>0.5</v>
      </c>
      <c r="M3" s="6">
        <v>0.99</v>
      </c>
      <c r="N3" s="6">
        <v>0.2</v>
      </c>
      <c r="O3" s="8">
        <v>10</v>
      </c>
      <c r="P3" s="16">
        <v>1</v>
      </c>
      <c r="Q3" s="19">
        <v>1</v>
      </c>
    </row>
    <row r="4" spans="1:17" ht="15.75" thickBot="1" x14ac:dyDescent="0.2">
      <c r="B4" s="26" t="s">
        <v>231</v>
      </c>
      <c r="C4" s="43">
        <f>VLOOKUP(B4,[1]SYS!$F$5:$G$361,2,FALSE)</f>
        <v>3</v>
      </c>
      <c r="D4" s="5" t="s">
        <v>7</v>
      </c>
      <c r="E4" s="6" t="s">
        <v>34</v>
      </c>
      <c r="F4" s="6">
        <v>0</v>
      </c>
      <c r="G4" s="27">
        <v>0.1</v>
      </c>
      <c r="H4" s="1">
        <v>1</v>
      </c>
      <c r="I4" s="1">
        <v>0.7</v>
      </c>
      <c r="J4" s="1">
        <v>1</v>
      </c>
      <c r="K4" s="1" t="str">
        <f>VLOOKUP(J4,Reservoirs!B$2:D$41,3,FALSE)</f>
        <v>高見</v>
      </c>
      <c r="L4" s="1">
        <v>0.5</v>
      </c>
      <c r="M4" s="6">
        <v>0.99</v>
      </c>
      <c r="N4" s="6">
        <v>0.2</v>
      </c>
      <c r="O4" s="8">
        <v>10</v>
      </c>
      <c r="P4" s="16">
        <v>1</v>
      </c>
      <c r="Q4" s="19">
        <v>1</v>
      </c>
    </row>
    <row r="5" spans="1:17" ht="15.75" thickBot="1" x14ac:dyDescent="0.2">
      <c r="B5" s="26" t="s">
        <v>231</v>
      </c>
      <c r="C5" s="43">
        <f>VLOOKUP(B5,[1]SYS!$F$5:$G$361,2,FALSE)</f>
        <v>3</v>
      </c>
      <c r="D5" s="5" t="s">
        <v>7</v>
      </c>
      <c r="E5" s="6" t="s">
        <v>35</v>
      </c>
      <c r="F5" s="6">
        <v>0</v>
      </c>
      <c r="G5" s="27">
        <v>0.114</v>
      </c>
      <c r="H5" s="1">
        <v>1</v>
      </c>
      <c r="I5" s="1">
        <v>0.7</v>
      </c>
      <c r="J5" s="1">
        <v>1</v>
      </c>
      <c r="K5" s="1" t="str">
        <f>VLOOKUP(J5,Reservoirs!B$2:D$41,3,FALSE)</f>
        <v>高見</v>
      </c>
      <c r="L5" s="1">
        <v>0.5</v>
      </c>
      <c r="M5" s="6">
        <v>0.55000000000000004</v>
      </c>
      <c r="N5" s="6">
        <v>0.2</v>
      </c>
      <c r="O5" s="6">
        <v>0</v>
      </c>
      <c r="P5" s="16">
        <v>1</v>
      </c>
      <c r="Q5" s="19">
        <v>1</v>
      </c>
    </row>
    <row r="6" spans="1:17" ht="15.75" thickBot="1" x14ac:dyDescent="0.2">
      <c r="B6" s="26" t="s">
        <v>232</v>
      </c>
      <c r="C6" s="43">
        <f>VLOOKUP(B6,[1]SYS!$F$5:$G$361,2,FALSE)</f>
        <v>1</v>
      </c>
      <c r="D6" s="5" t="s">
        <v>7</v>
      </c>
      <c r="E6" s="6" t="s">
        <v>36</v>
      </c>
      <c r="F6" s="6">
        <v>0</v>
      </c>
      <c r="G6" s="27">
        <v>0.2</v>
      </c>
      <c r="H6" s="1">
        <v>1</v>
      </c>
      <c r="I6" s="1">
        <v>0.7</v>
      </c>
      <c r="J6" s="1">
        <v>2</v>
      </c>
      <c r="K6" s="1" t="str">
        <f>VLOOKUP(J6,Reservoirs!B$2:D$41,3,FALSE)</f>
        <v>京極</v>
      </c>
      <c r="L6" s="1">
        <v>0.5</v>
      </c>
      <c r="M6" s="6">
        <v>0.6</v>
      </c>
      <c r="N6" s="6">
        <v>0.2</v>
      </c>
      <c r="O6" s="6">
        <v>0</v>
      </c>
      <c r="P6" s="16">
        <v>1</v>
      </c>
      <c r="Q6" s="19">
        <v>1</v>
      </c>
    </row>
    <row r="7" spans="1:17" ht="15.75" thickBot="1" x14ac:dyDescent="0.2">
      <c r="B7" s="26" t="s">
        <v>232</v>
      </c>
      <c r="C7" s="43">
        <f>VLOOKUP(B7,[1]SYS!$F$5:$G$361,2,FALSE)</f>
        <v>1</v>
      </c>
      <c r="D7" s="5" t="s">
        <v>15</v>
      </c>
      <c r="E7" s="6" t="s">
        <v>37</v>
      </c>
      <c r="F7" s="6">
        <v>0</v>
      </c>
      <c r="G7" s="27">
        <v>0.2</v>
      </c>
      <c r="H7" s="1">
        <v>1</v>
      </c>
      <c r="I7" s="1">
        <v>0.7</v>
      </c>
      <c r="J7" s="1">
        <v>2</v>
      </c>
      <c r="K7" s="1" t="str">
        <f>VLOOKUP(J7,Reservoirs!B$2:D$41,3,FALSE)</f>
        <v>京極</v>
      </c>
      <c r="L7" s="1">
        <v>0.5</v>
      </c>
      <c r="M7" s="6">
        <v>0.6</v>
      </c>
      <c r="N7" s="6">
        <v>0.2</v>
      </c>
      <c r="O7" s="6">
        <v>0</v>
      </c>
      <c r="P7" s="16">
        <v>1</v>
      </c>
      <c r="Q7" s="19">
        <v>1</v>
      </c>
    </row>
    <row r="8" spans="1:17" ht="15.75" thickBot="1" x14ac:dyDescent="0.2">
      <c r="B8" s="26" t="s">
        <v>232</v>
      </c>
      <c r="C8" s="43">
        <f>VLOOKUP(B8,[1]SYS!$F$5:$G$361,2,FALSE)</f>
        <v>1</v>
      </c>
      <c r="D8" s="5" t="s">
        <v>15</v>
      </c>
      <c r="E8" s="6" t="s">
        <v>38</v>
      </c>
      <c r="F8" s="6">
        <v>0</v>
      </c>
      <c r="G8" s="27">
        <v>0.2</v>
      </c>
      <c r="H8" s="1">
        <v>1</v>
      </c>
      <c r="I8" s="1">
        <v>0.7</v>
      </c>
      <c r="J8" s="1">
        <v>2</v>
      </c>
      <c r="K8" s="1" t="str">
        <f>VLOOKUP(J8,Reservoirs!B$2:D$41,3,FALSE)</f>
        <v>京極</v>
      </c>
      <c r="L8" s="1">
        <v>0.5</v>
      </c>
      <c r="M8" s="6">
        <v>0.6</v>
      </c>
      <c r="N8" s="6">
        <v>0.2</v>
      </c>
      <c r="O8" s="6">
        <v>0</v>
      </c>
      <c r="P8" s="16">
        <v>1</v>
      </c>
      <c r="Q8" s="19">
        <v>1</v>
      </c>
    </row>
    <row r="9" spans="1:17" ht="15.75" thickBot="1" x14ac:dyDescent="0.2">
      <c r="B9" s="26" t="s">
        <v>233</v>
      </c>
      <c r="C9" s="43">
        <f>VLOOKUP(B9,[1]SYS!$F$5:$G$361,2,FALSE)</f>
        <v>55</v>
      </c>
      <c r="D9" s="5" t="s">
        <v>7</v>
      </c>
      <c r="E9" s="6" t="s">
        <v>39</v>
      </c>
      <c r="F9" s="6">
        <v>0</v>
      </c>
      <c r="G9" s="27">
        <v>0.23</v>
      </c>
      <c r="H9" s="1">
        <v>1</v>
      </c>
      <c r="I9" s="1">
        <v>0.7</v>
      </c>
      <c r="J9" s="1">
        <v>3</v>
      </c>
      <c r="K9" s="1" t="str">
        <f>VLOOKUP(J9,Reservoirs!B$2:D$41,3,FALSE)</f>
        <v>第二沼沢</v>
      </c>
      <c r="L9" s="1">
        <v>0.5</v>
      </c>
      <c r="M9" s="6">
        <v>0.99</v>
      </c>
      <c r="N9" s="6">
        <v>0.2</v>
      </c>
      <c r="O9" s="6">
        <v>10</v>
      </c>
      <c r="P9" s="16">
        <v>1</v>
      </c>
      <c r="Q9" s="19">
        <v>1</v>
      </c>
    </row>
    <row r="10" spans="1:17" ht="15.75" thickBot="1" x14ac:dyDescent="0.2">
      <c r="B10" s="26" t="s">
        <v>233</v>
      </c>
      <c r="C10" s="43">
        <f>VLOOKUP(B10,[1]SYS!$F$5:$G$361,2,FALSE)</f>
        <v>55</v>
      </c>
      <c r="D10" s="5" t="s">
        <v>15</v>
      </c>
      <c r="E10" s="6" t="s">
        <v>40</v>
      </c>
      <c r="F10" s="6">
        <v>0</v>
      </c>
      <c r="G10" s="27">
        <v>0.23</v>
      </c>
      <c r="H10" s="1">
        <v>1</v>
      </c>
      <c r="I10" s="1">
        <v>0.7</v>
      </c>
      <c r="J10" s="1">
        <v>3</v>
      </c>
      <c r="K10" s="1" t="str">
        <f>VLOOKUP(J10,Reservoirs!B$2:D$41,3,FALSE)</f>
        <v>第二沼沢</v>
      </c>
      <c r="L10" s="1">
        <v>0.5</v>
      </c>
      <c r="M10" s="6">
        <v>0.99</v>
      </c>
      <c r="N10" s="6">
        <v>0.2</v>
      </c>
      <c r="O10" s="6">
        <v>10</v>
      </c>
      <c r="P10" s="16">
        <v>1</v>
      </c>
      <c r="Q10" s="19">
        <v>1</v>
      </c>
    </row>
    <row r="11" spans="1:17" ht="15.75" thickBot="1" x14ac:dyDescent="0.2">
      <c r="B11" s="26" t="s">
        <v>234</v>
      </c>
      <c r="C11" s="43">
        <f>VLOOKUP(B11,[1]SYS!$F$5:$G$361,2,FALSE)</f>
        <v>66</v>
      </c>
      <c r="D11" s="5" t="s">
        <v>7</v>
      </c>
      <c r="E11" s="6" t="s">
        <v>41</v>
      </c>
      <c r="F11" s="6">
        <v>0</v>
      </c>
      <c r="G11" s="27">
        <v>0.35</v>
      </c>
      <c r="H11" s="1">
        <v>1</v>
      </c>
      <c r="I11" s="1">
        <v>0.7</v>
      </c>
      <c r="J11" s="1">
        <v>4</v>
      </c>
      <c r="K11" s="1" t="str">
        <f>VLOOKUP(J11,Reservoirs!B$2:D$41,3,FALSE)</f>
        <v>今市</v>
      </c>
      <c r="L11" s="1">
        <v>0.5</v>
      </c>
      <c r="M11" s="6">
        <v>0.99</v>
      </c>
      <c r="N11" s="6">
        <v>0.2</v>
      </c>
      <c r="O11" s="6">
        <v>10</v>
      </c>
      <c r="P11" s="16">
        <v>1</v>
      </c>
      <c r="Q11" s="19">
        <v>1</v>
      </c>
    </row>
    <row r="12" spans="1:17" ht="15.75" thickBot="1" x14ac:dyDescent="0.2">
      <c r="B12" s="26" t="s">
        <v>234</v>
      </c>
      <c r="C12" s="43">
        <f>VLOOKUP(B12,[1]SYS!$F$5:$G$361,2,FALSE)</f>
        <v>66</v>
      </c>
      <c r="D12" s="5" t="s">
        <v>7</v>
      </c>
      <c r="E12" s="6" t="s">
        <v>42</v>
      </c>
      <c r="F12" s="6">
        <v>0</v>
      </c>
      <c r="G12" s="27">
        <v>0.35</v>
      </c>
      <c r="H12" s="1">
        <v>1</v>
      </c>
      <c r="I12" s="1">
        <v>0.7</v>
      </c>
      <c r="J12" s="1">
        <v>4</v>
      </c>
      <c r="K12" s="1" t="str">
        <f>VLOOKUP(J12,Reservoirs!B$2:D$41,3,FALSE)</f>
        <v>今市</v>
      </c>
      <c r="L12" s="1">
        <v>0.5</v>
      </c>
      <c r="M12" s="6">
        <v>0.99</v>
      </c>
      <c r="N12" s="6">
        <v>0.2</v>
      </c>
      <c r="O12" s="6">
        <v>10</v>
      </c>
      <c r="P12" s="16">
        <v>1</v>
      </c>
      <c r="Q12" s="19">
        <v>1</v>
      </c>
    </row>
    <row r="13" spans="1:17" ht="15.75" thickBot="1" x14ac:dyDescent="0.2">
      <c r="B13" s="26" t="s">
        <v>234</v>
      </c>
      <c r="C13" s="43">
        <f>VLOOKUP(B13,[1]SYS!$F$5:$G$361,2,FALSE)</f>
        <v>66</v>
      </c>
      <c r="D13" s="5" t="s">
        <v>7</v>
      </c>
      <c r="E13" s="6" t="s">
        <v>43</v>
      </c>
      <c r="F13" s="6">
        <v>0</v>
      </c>
      <c r="G13" s="27">
        <v>0.35</v>
      </c>
      <c r="H13" s="1">
        <v>1</v>
      </c>
      <c r="I13" s="1">
        <v>0.7</v>
      </c>
      <c r="J13" s="1">
        <v>4</v>
      </c>
      <c r="K13" s="1" t="str">
        <f>VLOOKUP(J13,Reservoirs!B$2:D$41,3,FALSE)</f>
        <v>今市</v>
      </c>
      <c r="L13" s="1">
        <v>0.5</v>
      </c>
      <c r="M13" s="6">
        <v>0.99</v>
      </c>
      <c r="N13" s="6">
        <v>0.2</v>
      </c>
      <c r="O13" s="6">
        <v>10</v>
      </c>
      <c r="P13" s="16">
        <v>1</v>
      </c>
      <c r="Q13" s="19">
        <v>1</v>
      </c>
    </row>
    <row r="14" spans="1:17" ht="15.75" thickBot="1" x14ac:dyDescent="0.2">
      <c r="B14" s="26" t="s">
        <v>235</v>
      </c>
      <c r="C14" s="43">
        <f>VLOOKUP(B14,[1]SYS!$F$5:$G$361,2,FALSE)</f>
        <v>65</v>
      </c>
      <c r="D14" s="5" t="s">
        <v>7</v>
      </c>
      <c r="E14" s="6" t="s">
        <v>44</v>
      </c>
      <c r="F14" s="6">
        <v>0</v>
      </c>
      <c r="G14" s="27">
        <v>0.08</v>
      </c>
      <c r="H14" s="1">
        <v>1</v>
      </c>
      <c r="I14" s="1">
        <v>0.7</v>
      </c>
      <c r="J14" s="1">
        <v>5</v>
      </c>
      <c r="K14" s="1" t="str">
        <f>VLOOKUP(J14,Reservoirs!B$2:D$41,3,FALSE)</f>
        <v>矢木沢</v>
      </c>
      <c r="L14" s="1">
        <v>0.5</v>
      </c>
      <c r="M14" s="6">
        <v>0.99</v>
      </c>
      <c r="N14" s="6">
        <v>0.2</v>
      </c>
      <c r="O14" s="6">
        <v>10</v>
      </c>
      <c r="P14" s="16">
        <v>1</v>
      </c>
      <c r="Q14" s="19">
        <v>1</v>
      </c>
    </row>
    <row r="15" spans="1:17" ht="15.75" thickBot="1" x14ac:dyDescent="0.2">
      <c r="B15" s="26" t="s">
        <v>235</v>
      </c>
      <c r="C15" s="43">
        <f>VLOOKUP(B15,[1]SYS!$F$5:$G$361,2,FALSE)</f>
        <v>65</v>
      </c>
      <c r="D15" s="5" t="s">
        <v>7</v>
      </c>
      <c r="E15" s="6" t="s">
        <v>45</v>
      </c>
      <c r="F15" s="6">
        <v>0</v>
      </c>
      <c r="G15" s="27">
        <v>0.08</v>
      </c>
      <c r="H15" s="1">
        <v>1</v>
      </c>
      <c r="I15" s="1">
        <v>0.7</v>
      </c>
      <c r="J15" s="1">
        <v>5</v>
      </c>
      <c r="K15" s="1" t="str">
        <f>VLOOKUP(J15,Reservoirs!B$2:D$41,3,FALSE)</f>
        <v>矢木沢</v>
      </c>
      <c r="L15" s="1">
        <v>0.5</v>
      </c>
      <c r="M15" s="6">
        <v>0.6</v>
      </c>
      <c r="N15" s="6">
        <v>0.2</v>
      </c>
      <c r="O15" s="6">
        <v>0</v>
      </c>
      <c r="P15" s="16">
        <v>1</v>
      </c>
      <c r="Q15" s="19">
        <v>1</v>
      </c>
    </row>
    <row r="16" spans="1:17" ht="15.75" thickBot="1" x14ac:dyDescent="0.2">
      <c r="B16" s="26" t="s">
        <v>235</v>
      </c>
      <c r="C16" s="43">
        <f>VLOOKUP(B16,[1]SYS!$F$5:$G$361,2,FALSE)</f>
        <v>65</v>
      </c>
      <c r="D16" s="5" t="s">
        <v>15</v>
      </c>
      <c r="E16" s="6" t="s">
        <v>46</v>
      </c>
      <c r="F16" s="6">
        <v>0</v>
      </c>
      <c r="G16" s="27">
        <v>0.08</v>
      </c>
      <c r="H16" s="1">
        <v>1</v>
      </c>
      <c r="I16" s="1">
        <v>0.7</v>
      </c>
      <c r="J16" s="1">
        <v>5</v>
      </c>
      <c r="K16" s="1" t="str">
        <f>VLOOKUP(J16,Reservoirs!B$2:D$41,3,FALSE)</f>
        <v>矢木沢</v>
      </c>
      <c r="L16" s="1">
        <v>0.5</v>
      </c>
      <c r="M16" s="6">
        <v>0.99</v>
      </c>
      <c r="N16" s="6">
        <v>0.2</v>
      </c>
      <c r="O16" s="6">
        <v>10</v>
      </c>
      <c r="P16" s="16">
        <v>1</v>
      </c>
      <c r="Q16" s="19">
        <v>1</v>
      </c>
    </row>
    <row r="17" spans="2:17" ht="15.75" thickBot="1" x14ac:dyDescent="0.2">
      <c r="B17" s="26" t="s">
        <v>235</v>
      </c>
      <c r="C17" s="43">
        <f>VLOOKUP(B17,[1]SYS!$F$5:$G$361,2,FALSE)</f>
        <v>65</v>
      </c>
      <c r="D17" s="5" t="s">
        <v>15</v>
      </c>
      <c r="E17" s="6" t="s">
        <v>47</v>
      </c>
      <c r="F17" s="6">
        <v>0</v>
      </c>
      <c r="G17" s="27">
        <v>0.3</v>
      </c>
      <c r="H17" s="1">
        <v>1</v>
      </c>
      <c r="I17" s="1">
        <v>0.7</v>
      </c>
      <c r="J17" s="1">
        <v>6</v>
      </c>
      <c r="K17" s="1" t="str">
        <f>VLOOKUP(J17,Reservoirs!B$2:D$41,3,FALSE)</f>
        <v>玉原</v>
      </c>
      <c r="L17" s="1">
        <v>0.5</v>
      </c>
      <c r="M17" s="6">
        <v>0.99</v>
      </c>
      <c r="N17" s="6">
        <v>0.2</v>
      </c>
      <c r="O17" s="6">
        <v>10</v>
      </c>
      <c r="P17" s="16">
        <v>1</v>
      </c>
      <c r="Q17" s="19">
        <v>1</v>
      </c>
    </row>
    <row r="18" spans="2:17" ht="15.75" thickBot="1" x14ac:dyDescent="0.2">
      <c r="B18" s="26" t="s">
        <v>235</v>
      </c>
      <c r="C18" s="43">
        <f>VLOOKUP(B18,[1]SYS!$F$5:$G$361,2,FALSE)</f>
        <v>65</v>
      </c>
      <c r="D18" s="5" t="s">
        <v>15</v>
      </c>
      <c r="E18" s="6" t="s">
        <v>48</v>
      </c>
      <c r="F18" s="6">
        <v>0</v>
      </c>
      <c r="G18" s="27">
        <v>0.3</v>
      </c>
      <c r="H18" s="1">
        <v>1</v>
      </c>
      <c r="I18" s="1">
        <v>0.7</v>
      </c>
      <c r="J18" s="1">
        <v>6</v>
      </c>
      <c r="K18" s="1" t="str">
        <f>VLOOKUP(J18,Reservoirs!B$2:D$41,3,FALSE)</f>
        <v>玉原</v>
      </c>
      <c r="L18" s="1">
        <v>0.5</v>
      </c>
      <c r="M18" s="6">
        <v>0.99</v>
      </c>
      <c r="N18" s="6">
        <v>0.2</v>
      </c>
      <c r="O18" s="6">
        <v>10</v>
      </c>
      <c r="P18" s="16">
        <v>1</v>
      </c>
      <c r="Q18" s="19">
        <v>1</v>
      </c>
    </row>
    <row r="19" spans="2:17" ht="15.75" thickBot="1" x14ac:dyDescent="0.2">
      <c r="B19" s="26" t="s">
        <v>235</v>
      </c>
      <c r="C19" s="43">
        <f>VLOOKUP(B19,[1]SYS!$F$5:$G$361,2,FALSE)</f>
        <v>65</v>
      </c>
      <c r="D19" s="5" t="s">
        <v>15</v>
      </c>
      <c r="E19" s="6" t="s">
        <v>49</v>
      </c>
      <c r="F19" s="6">
        <v>0</v>
      </c>
      <c r="G19" s="27">
        <v>0.3</v>
      </c>
      <c r="H19" s="1">
        <v>1</v>
      </c>
      <c r="I19" s="1">
        <v>0.7</v>
      </c>
      <c r="J19" s="1">
        <v>6</v>
      </c>
      <c r="K19" s="1" t="str">
        <f>VLOOKUP(J19,Reservoirs!B$2:D$41,3,FALSE)</f>
        <v>玉原</v>
      </c>
      <c r="L19" s="1">
        <v>0.5</v>
      </c>
      <c r="M19" s="6">
        <v>0.99</v>
      </c>
      <c r="N19" s="6">
        <v>0.2</v>
      </c>
      <c r="O19" s="6">
        <v>10</v>
      </c>
      <c r="P19" s="16">
        <v>1</v>
      </c>
      <c r="Q19" s="19">
        <v>1</v>
      </c>
    </row>
    <row r="20" spans="2:17" ht="15.75" thickBot="1" x14ac:dyDescent="0.2">
      <c r="B20" s="26" t="s">
        <v>235</v>
      </c>
      <c r="C20" s="43">
        <f>VLOOKUP(B20,[1]SYS!$F$5:$G$361,2,FALSE)</f>
        <v>65</v>
      </c>
      <c r="D20" s="5" t="s">
        <v>15</v>
      </c>
      <c r="E20" s="6" t="s">
        <v>50</v>
      </c>
      <c r="F20" s="6">
        <v>0</v>
      </c>
      <c r="G20" s="27">
        <v>0.3</v>
      </c>
      <c r="H20" s="1">
        <v>1</v>
      </c>
      <c r="I20" s="1">
        <v>0.7</v>
      </c>
      <c r="J20" s="1">
        <v>6</v>
      </c>
      <c r="K20" s="1" t="str">
        <f>VLOOKUP(J20,Reservoirs!B$2:D$41,3,FALSE)</f>
        <v>玉原</v>
      </c>
      <c r="L20" s="1">
        <v>0.5</v>
      </c>
      <c r="M20" s="6">
        <v>0.99</v>
      </c>
      <c r="N20" s="6">
        <v>0.2</v>
      </c>
      <c r="O20" s="6">
        <v>10</v>
      </c>
      <c r="P20" s="16">
        <v>1</v>
      </c>
      <c r="Q20" s="19">
        <v>1</v>
      </c>
    </row>
    <row r="21" spans="2:17" ht="15.75" thickBot="1" x14ac:dyDescent="0.2">
      <c r="B21" s="26" t="s">
        <v>236</v>
      </c>
      <c r="C21" s="43">
        <f>VLOOKUP(B21,[1]SYS!$F$5:$G$361,2,FALSE)</f>
        <v>69</v>
      </c>
      <c r="D21" s="5" t="s">
        <v>15</v>
      </c>
      <c r="E21" s="6" t="s">
        <v>51</v>
      </c>
      <c r="F21" s="6">
        <v>0</v>
      </c>
      <c r="G21" s="27">
        <v>0.3</v>
      </c>
      <c r="H21" s="1">
        <v>1</v>
      </c>
      <c r="I21" s="1">
        <v>0.7</v>
      </c>
      <c r="J21" s="1">
        <v>7</v>
      </c>
      <c r="K21" s="1" t="str">
        <f>VLOOKUP(J21,Reservoirs!B$2:D$41,3,FALSE)</f>
        <v>塩原</v>
      </c>
      <c r="L21" s="1">
        <v>0.5</v>
      </c>
      <c r="M21" s="6">
        <v>0.99</v>
      </c>
      <c r="N21" s="6">
        <v>0.2</v>
      </c>
      <c r="O21" s="6">
        <v>10</v>
      </c>
      <c r="P21" s="16">
        <v>1</v>
      </c>
      <c r="Q21" s="19">
        <v>1</v>
      </c>
    </row>
    <row r="22" spans="2:17" ht="15.75" thickBot="1" x14ac:dyDescent="0.2">
      <c r="B22" s="26" t="s">
        <v>236</v>
      </c>
      <c r="C22" s="43">
        <f>VLOOKUP(B22,[1]SYS!$F$5:$G$361,2,FALSE)</f>
        <v>69</v>
      </c>
      <c r="D22" s="5" t="s">
        <v>15</v>
      </c>
      <c r="E22" s="6" t="s">
        <v>52</v>
      </c>
      <c r="F22" s="6">
        <v>0</v>
      </c>
      <c r="G22" s="27">
        <v>0.3</v>
      </c>
      <c r="H22" s="1">
        <v>1</v>
      </c>
      <c r="I22" s="1">
        <v>0.7</v>
      </c>
      <c r="J22" s="1">
        <v>7</v>
      </c>
      <c r="K22" s="1" t="str">
        <f>VLOOKUP(J22,Reservoirs!B$2:D$41,3,FALSE)</f>
        <v>塩原</v>
      </c>
      <c r="L22" s="1">
        <v>0.5</v>
      </c>
      <c r="M22" s="6">
        <v>0.99</v>
      </c>
      <c r="N22" s="6">
        <v>0.2</v>
      </c>
      <c r="O22" s="6">
        <v>10</v>
      </c>
      <c r="P22" s="16">
        <v>1</v>
      </c>
      <c r="Q22" s="19">
        <v>1</v>
      </c>
    </row>
    <row r="23" spans="2:17" ht="15.75" thickBot="1" x14ac:dyDescent="0.2">
      <c r="B23" s="26" t="s">
        <v>236</v>
      </c>
      <c r="C23" s="43">
        <f>VLOOKUP(B23,[1]SYS!$F$5:$G$361,2,FALSE)</f>
        <v>69</v>
      </c>
      <c r="D23" s="5" t="s">
        <v>15</v>
      </c>
      <c r="E23" s="6" t="s">
        <v>53</v>
      </c>
      <c r="F23" s="6">
        <v>0</v>
      </c>
      <c r="G23" s="27">
        <v>0.3</v>
      </c>
      <c r="H23" s="1">
        <v>1</v>
      </c>
      <c r="I23" s="1">
        <v>0.7</v>
      </c>
      <c r="J23" s="1">
        <v>7</v>
      </c>
      <c r="K23" s="1" t="str">
        <f>VLOOKUP(J23,Reservoirs!B$2:D$41,3,FALSE)</f>
        <v>塩原</v>
      </c>
      <c r="L23" s="1">
        <v>0.5</v>
      </c>
      <c r="M23" s="6">
        <v>0.6</v>
      </c>
      <c r="N23" s="6">
        <v>0.2</v>
      </c>
      <c r="O23" s="6">
        <v>0</v>
      </c>
      <c r="P23" s="16">
        <v>1</v>
      </c>
      <c r="Q23" s="19">
        <v>1</v>
      </c>
    </row>
    <row r="24" spans="2:17" ht="15.75" thickBot="1" x14ac:dyDescent="0.2">
      <c r="B24" s="26" t="s">
        <v>237</v>
      </c>
      <c r="C24" s="43">
        <f>VLOOKUP(B24,[1]SYS!$F$5:$G$361,2,FALSE)</f>
        <v>133</v>
      </c>
      <c r="D24" s="5" t="s">
        <v>15</v>
      </c>
      <c r="E24" s="6" t="s">
        <v>54</v>
      </c>
      <c r="F24" s="6">
        <v>0</v>
      </c>
      <c r="G24" s="27">
        <v>0.106</v>
      </c>
      <c r="H24" s="1">
        <v>1</v>
      </c>
      <c r="I24" s="1">
        <v>0.7</v>
      </c>
      <c r="J24" s="1">
        <v>8</v>
      </c>
      <c r="K24" s="1" t="str">
        <f>VLOOKUP(J24,Reservoirs!B$2:D$41,3,FALSE)</f>
        <v>安曇</v>
      </c>
      <c r="L24" s="1">
        <v>0.5</v>
      </c>
      <c r="M24" s="6">
        <v>0.99</v>
      </c>
      <c r="N24" s="6">
        <v>0.2</v>
      </c>
      <c r="O24" s="6">
        <v>10</v>
      </c>
      <c r="P24" s="16">
        <v>1</v>
      </c>
      <c r="Q24" s="19">
        <v>1</v>
      </c>
    </row>
    <row r="25" spans="2:17" ht="15.75" thickBot="1" x14ac:dyDescent="0.2">
      <c r="B25" s="26" t="s">
        <v>237</v>
      </c>
      <c r="C25" s="43">
        <f>VLOOKUP(B25,[1]SYS!$F$5:$G$361,2,FALSE)</f>
        <v>133</v>
      </c>
      <c r="D25" s="5" t="s">
        <v>15</v>
      </c>
      <c r="E25" s="6" t="s">
        <v>55</v>
      </c>
      <c r="F25" s="6">
        <v>0</v>
      </c>
      <c r="G25" s="27">
        <v>0.106</v>
      </c>
      <c r="H25" s="1">
        <v>1</v>
      </c>
      <c r="I25" s="1">
        <v>0.7</v>
      </c>
      <c r="J25" s="1">
        <v>8</v>
      </c>
      <c r="K25" s="1" t="str">
        <f>VLOOKUP(J25,Reservoirs!B$2:D$41,3,FALSE)</f>
        <v>安曇</v>
      </c>
      <c r="L25" s="1">
        <v>0.5</v>
      </c>
      <c r="M25" s="6">
        <v>0.99</v>
      </c>
      <c r="N25" s="6">
        <v>0.2</v>
      </c>
      <c r="O25" s="6">
        <v>10</v>
      </c>
      <c r="P25" s="16">
        <v>1</v>
      </c>
      <c r="Q25" s="19">
        <v>1</v>
      </c>
    </row>
    <row r="26" spans="2:17" ht="15.75" thickBot="1" x14ac:dyDescent="0.2">
      <c r="B26" s="26" t="s">
        <v>237</v>
      </c>
      <c r="C26" s="43">
        <f>VLOOKUP(B26,[1]SYS!$F$5:$G$361,2,FALSE)</f>
        <v>133</v>
      </c>
      <c r="D26" s="5" t="s">
        <v>15</v>
      </c>
      <c r="E26" s="6" t="s">
        <v>56</v>
      </c>
      <c r="F26" s="6">
        <v>0</v>
      </c>
      <c r="G26" s="27">
        <v>0.10299999999999999</v>
      </c>
      <c r="H26" s="1">
        <v>1</v>
      </c>
      <c r="I26" s="1">
        <v>0.7</v>
      </c>
      <c r="J26" s="1">
        <v>8</v>
      </c>
      <c r="K26" s="1" t="str">
        <f>VLOOKUP(J26,Reservoirs!B$2:D$41,3,FALSE)</f>
        <v>安曇</v>
      </c>
      <c r="L26" s="1">
        <v>0.5</v>
      </c>
      <c r="M26" s="6">
        <v>0.99</v>
      </c>
      <c r="N26" s="6">
        <v>0.2</v>
      </c>
      <c r="O26" s="6">
        <v>10</v>
      </c>
      <c r="P26" s="16">
        <v>1</v>
      </c>
      <c r="Q26" s="19">
        <v>1</v>
      </c>
    </row>
    <row r="27" spans="2:17" ht="15.75" thickBot="1" x14ac:dyDescent="0.2">
      <c r="B27" s="26" t="s">
        <v>237</v>
      </c>
      <c r="C27" s="43">
        <f>VLOOKUP(B27,[1]SYS!$F$5:$G$361,2,FALSE)</f>
        <v>133</v>
      </c>
      <c r="D27" s="5" t="s">
        <v>15</v>
      </c>
      <c r="E27" s="6" t="s">
        <v>57</v>
      </c>
      <c r="F27" s="6">
        <v>0</v>
      </c>
      <c r="G27" s="27">
        <v>0.10299999999999999</v>
      </c>
      <c r="H27" s="1">
        <v>1</v>
      </c>
      <c r="I27" s="1">
        <v>0.7</v>
      </c>
      <c r="J27" s="1">
        <v>8</v>
      </c>
      <c r="K27" s="1" t="str">
        <f>VLOOKUP(J27,Reservoirs!B$2:D$41,3,FALSE)</f>
        <v>安曇</v>
      </c>
      <c r="L27" s="1">
        <v>0.5</v>
      </c>
      <c r="M27" s="6">
        <v>0.99</v>
      </c>
      <c r="N27" s="6">
        <v>0.2</v>
      </c>
      <c r="O27" s="6">
        <v>10</v>
      </c>
      <c r="P27" s="16">
        <v>1</v>
      </c>
      <c r="Q27" s="19">
        <v>1</v>
      </c>
    </row>
    <row r="28" spans="2:17" ht="15.75" thickBot="1" x14ac:dyDescent="0.2">
      <c r="B28" s="26" t="s">
        <v>237</v>
      </c>
      <c r="C28" s="43">
        <f>VLOOKUP(B28,[1]SYS!$F$5:$G$361,2,FALSE)</f>
        <v>133</v>
      </c>
      <c r="D28" s="5" t="s">
        <v>15</v>
      </c>
      <c r="E28" s="6" t="s">
        <v>58</v>
      </c>
      <c r="F28" s="6">
        <v>0</v>
      </c>
      <c r="G28" s="27">
        <v>0.10299999999999999</v>
      </c>
      <c r="H28" s="1">
        <v>1</v>
      </c>
      <c r="I28" s="1">
        <v>0.7</v>
      </c>
      <c r="J28" s="1">
        <v>8</v>
      </c>
      <c r="K28" s="1" t="str">
        <f>VLOOKUP(J28,Reservoirs!B$2:D$41,3,FALSE)</f>
        <v>安曇</v>
      </c>
      <c r="L28" s="1">
        <v>0.5</v>
      </c>
      <c r="M28" s="6">
        <v>0.99</v>
      </c>
      <c r="N28" s="6">
        <v>0.2</v>
      </c>
      <c r="O28" s="6">
        <v>10</v>
      </c>
      <c r="P28" s="16">
        <v>1</v>
      </c>
      <c r="Q28" s="19">
        <v>1</v>
      </c>
    </row>
    <row r="29" spans="2:17" ht="15.75" thickBot="1" x14ac:dyDescent="0.2">
      <c r="B29" s="26" t="s">
        <v>237</v>
      </c>
      <c r="C29" s="43">
        <f>VLOOKUP(B29,[1]SYS!$F$5:$G$361,2,FALSE)</f>
        <v>133</v>
      </c>
      <c r="D29" s="5" t="s">
        <v>15</v>
      </c>
      <c r="E29" s="6" t="s">
        <v>59</v>
      </c>
      <c r="F29" s="6">
        <v>0</v>
      </c>
      <c r="G29" s="27">
        <v>0.10199999999999999</v>
      </c>
      <c r="H29" s="1">
        <v>1</v>
      </c>
      <c r="I29" s="1">
        <v>0.7</v>
      </c>
      <c r="J29" s="1">
        <v>8</v>
      </c>
      <c r="K29" s="1" t="str">
        <f>VLOOKUP(J29,Reservoirs!B$2:D$41,3,FALSE)</f>
        <v>安曇</v>
      </c>
      <c r="L29" s="1">
        <v>0.5</v>
      </c>
      <c r="M29" s="6">
        <v>0.99</v>
      </c>
      <c r="N29" s="6">
        <v>0.2</v>
      </c>
      <c r="O29" s="6">
        <v>10</v>
      </c>
      <c r="P29" s="16">
        <v>1</v>
      </c>
      <c r="Q29" s="19">
        <v>1</v>
      </c>
    </row>
    <row r="30" spans="2:17" ht="15.75" thickBot="1" x14ac:dyDescent="0.2">
      <c r="B30" s="26" t="s">
        <v>237</v>
      </c>
      <c r="C30" s="43">
        <f>VLOOKUP(B30,[1]SYS!$F$5:$G$361,2,FALSE)</f>
        <v>133</v>
      </c>
      <c r="D30" s="5" t="s">
        <v>15</v>
      </c>
      <c r="E30" s="6" t="s">
        <v>60</v>
      </c>
      <c r="F30" s="6">
        <v>0</v>
      </c>
      <c r="G30" s="27">
        <v>6.2E-2</v>
      </c>
      <c r="H30" s="1">
        <v>1</v>
      </c>
      <c r="I30" s="1">
        <v>0.7</v>
      </c>
      <c r="J30" s="1">
        <v>9</v>
      </c>
      <c r="K30" s="1" t="str">
        <f>VLOOKUP(J30,Reservoirs!B$2:D$41,3,FALSE)</f>
        <v>水殿</v>
      </c>
      <c r="L30" s="1">
        <v>0.5</v>
      </c>
      <c r="M30" s="6">
        <v>0.99</v>
      </c>
      <c r="N30" s="6">
        <v>0.2</v>
      </c>
      <c r="O30" s="6">
        <v>10</v>
      </c>
      <c r="P30" s="16">
        <v>1</v>
      </c>
      <c r="Q30" s="19">
        <v>1</v>
      </c>
    </row>
    <row r="31" spans="2:17" ht="15.75" thickBot="1" x14ac:dyDescent="0.2">
      <c r="B31" s="26" t="s">
        <v>237</v>
      </c>
      <c r="C31" s="43">
        <f>VLOOKUP(B31,[1]SYS!$F$5:$G$361,2,FALSE)</f>
        <v>133</v>
      </c>
      <c r="D31" s="5" t="s">
        <v>15</v>
      </c>
      <c r="E31" s="6" t="s">
        <v>61</v>
      </c>
      <c r="F31" s="6">
        <v>0</v>
      </c>
      <c r="G31" s="27">
        <v>6.0999999999999999E-2</v>
      </c>
      <c r="H31" s="1">
        <v>1</v>
      </c>
      <c r="I31" s="1">
        <v>0.7</v>
      </c>
      <c r="J31" s="1">
        <v>9</v>
      </c>
      <c r="K31" s="1" t="str">
        <f>VLOOKUP(J31,Reservoirs!B$2:D$41,3,FALSE)</f>
        <v>水殿</v>
      </c>
      <c r="L31" s="1">
        <v>0.5</v>
      </c>
      <c r="M31" s="6">
        <v>0.99</v>
      </c>
      <c r="N31" s="6">
        <v>0.2</v>
      </c>
      <c r="O31" s="6">
        <v>10</v>
      </c>
      <c r="P31" s="16">
        <v>1</v>
      </c>
      <c r="Q31" s="19">
        <v>1</v>
      </c>
    </row>
    <row r="32" spans="2:17" ht="15.75" thickBot="1" x14ac:dyDescent="0.2">
      <c r="B32" s="26" t="s">
        <v>237</v>
      </c>
      <c r="C32" s="43">
        <f>VLOOKUP(B32,[1]SYS!$F$5:$G$361,2,FALSE)</f>
        <v>133</v>
      </c>
      <c r="D32" s="5" t="s">
        <v>15</v>
      </c>
      <c r="E32" s="6" t="s">
        <v>62</v>
      </c>
      <c r="F32" s="6">
        <v>0</v>
      </c>
      <c r="G32" s="27">
        <v>6.0999999999999999E-2</v>
      </c>
      <c r="H32" s="1">
        <v>1</v>
      </c>
      <c r="I32" s="1">
        <v>0.7</v>
      </c>
      <c r="J32" s="1">
        <v>9</v>
      </c>
      <c r="K32" s="1" t="str">
        <f>VLOOKUP(J32,Reservoirs!B$2:D$41,3,FALSE)</f>
        <v>水殿</v>
      </c>
      <c r="L32" s="1">
        <v>0.5</v>
      </c>
      <c r="M32" s="6">
        <v>0.99</v>
      </c>
      <c r="N32" s="6">
        <v>0.2</v>
      </c>
      <c r="O32" s="6">
        <v>10</v>
      </c>
      <c r="P32" s="16">
        <v>1</v>
      </c>
      <c r="Q32" s="19">
        <v>1</v>
      </c>
    </row>
    <row r="33" spans="2:17" ht="15.75" thickBot="1" x14ac:dyDescent="0.2">
      <c r="B33" s="26" t="s">
        <v>237</v>
      </c>
      <c r="C33" s="43">
        <f>VLOOKUP(B33,[1]SYS!$F$5:$G$361,2,FALSE)</f>
        <v>133</v>
      </c>
      <c r="D33" s="5" t="s">
        <v>15</v>
      </c>
      <c r="E33" s="6" t="s">
        <v>63</v>
      </c>
      <c r="F33" s="6">
        <v>0</v>
      </c>
      <c r="G33" s="27">
        <v>6.0999999999999999E-2</v>
      </c>
      <c r="H33" s="1">
        <v>1</v>
      </c>
      <c r="I33" s="1">
        <v>0.7</v>
      </c>
      <c r="J33" s="1">
        <v>9</v>
      </c>
      <c r="K33" s="1" t="str">
        <f>VLOOKUP(J33,Reservoirs!B$2:D$41,3,FALSE)</f>
        <v>水殿</v>
      </c>
      <c r="L33" s="1">
        <v>0.5</v>
      </c>
      <c r="M33" s="6">
        <v>0.99</v>
      </c>
      <c r="N33" s="6">
        <v>0.2</v>
      </c>
      <c r="O33" s="6">
        <v>10</v>
      </c>
      <c r="P33" s="16">
        <v>1</v>
      </c>
      <c r="Q33" s="19">
        <v>1</v>
      </c>
    </row>
    <row r="34" spans="2:17" ht="15.75" thickBot="1" x14ac:dyDescent="0.2">
      <c r="B34" s="26" t="s">
        <v>237</v>
      </c>
      <c r="C34" s="43">
        <f>VLOOKUP(B34,[1]SYS!$F$5:$G$361,2,FALSE)</f>
        <v>133</v>
      </c>
      <c r="D34" s="5" t="s">
        <v>15</v>
      </c>
      <c r="E34" s="6" t="s">
        <v>64</v>
      </c>
      <c r="F34" s="6">
        <v>0</v>
      </c>
      <c r="G34" s="27">
        <v>0.32</v>
      </c>
      <c r="H34" s="1">
        <v>1</v>
      </c>
      <c r="I34" s="1">
        <v>0.7</v>
      </c>
      <c r="J34" s="1">
        <v>10</v>
      </c>
      <c r="K34" s="1" t="str">
        <f>VLOOKUP(J34,Reservoirs!B$2:D$41,3,FALSE)</f>
        <v>新高瀬川</v>
      </c>
      <c r="L34" s="1">
        <v>0.5</v>
      </c>
      <c r="M34" s="6">
        <v>0.99</v>
      </c>
      <c r="N34" s="6">
        <v>0.2</v>
      </c>
      <c r="O34" s="6">
        <v>10</v>
      </c>
      <c r="P34" s="16">
        <v>1</v>
      </c>
      <c r="Q34" s="19">
        <v>1</v>
      </c>
    </row>
    <row r="35" spans="2:17" ht="15.75" thickBot="1" x14ac:dyDescent="0.2">
      <c r="B35" s="26" t="s">
        <v>237</v>
      </c>
      <c r="C35" s="43">
        <f>VLOOKUP(B35,[1]SYS!$F$5:$G$361,2,FALSE)</f>
        <v>133</v>
      </c>
      <c r="D35" s="5" t="s">
        <v>15</v>
      </c>
      <c r="E35" s="6" t="s">
        <v>65</v>
      </c>
      <c r="F35" s="6">
        <v>0</v>
      </c>
      <c r="G35" s="27">
        <v>0.32</v>
      </c>
      <c r="H35" s="1">
        <v>1</v>
      </c>
      <c r="I35" s="1">
        <v>0.7</v>
      </c>
      <c r="J35" s="1">
        <v>10</v>
      </c>
      <c r="K35" s="1" t="str">
        <f>VLOOKUP(J35,Reservoirs!B$2:D$41,3,FALSE)</f>
        <v>新高瀬川</v>
      </c>
      <c r="L35" s="1">
        <v>0.5</v>
      </c>
      <c r="M35" s="6">
        <v>0.99</v>
      </c>
      <c r="N35" s="6">
        <v>0.2</v>
      </c>
      <c r="O35" s="6">
        <v>10</v>
      </c>
      <c r="P35" s="16">
        <v>1</v>
      </c>
      <c r="Q35" s="19">
        <v>1</v>
      </c>
    </row>
    <row r="36" spans="2:17" ht="15.75" thickBot="1" x14ac:dyDescent="0.2">
      <c r="B36" s="26" t="s">
        <v>237</v>
      </c>
      <c r="C36" s="43">
        <f>VLOOKUP(B36,[1]SYS!$F$5:$G$361,2,FALSE)</f>
        <v>133</v>
      </c>
      <c r="D36" s="5" t="s">
        <v>15</v>
      </c>
      <c r="E36" s="6" t="s">
        <v>66</v>
      </c>
      <c r="F36" s="6">
        <v>0</v>
      </c>
      <c r="G36" s="27">
        <v>0.32</v>
      </c>
      <c r="H36" s="1">
        <v>1</v>
      </c>
      <c r="I36" s="1">
        <v>0.7</v>
      </c>
      <c r="J36" s="1">
        <v>10</v>
      </c>
      <c r="K36" s="1" t="str">
        <f>VLOOKUP(J36,Reservoirs!B$2:D$41,3,FALSE)</f>
        <v>新高瀬川</v>
      </c>
      <c r="L36" s="1">
        <v>0.5</v>
      </c>
      <c r="M36" s="6">
        <v>0.99</v>
      </c>
      <c r="N36" s="6">
        <v>0.2</v>
      </c>
      <c r="O36" s="6">
        <v>10</v>
      </c>
      <c r="P36" s="16">
        <v>1</v>
      </c>
      <c r="Q36" s="19">
        <v>1</v>
      </c>
    </row>
    <row r="37" spans="2:17" ht="15.75" thickBot="1" x14ac:dyDescent="0.2">
      <c r="B37" s="26" t="s">
        <v>237</v>
      </c>
      <c r="C37" s="43">
        <f>VLOOKUP(B37,[1]SYS!$F$5:$G$361,2,FALSE)</f>
        <v>133</v>
      </c>
      <c r="D37" s="5" t="s">
        <v>15</v>
      </c>
      <c r="E37" s="6" t="s">
        <v>67</v>
      </c>
      <c r="F37" s="6">
        <v>0</v>
      </c>
      <c r="G37" s="27">
        <v>0.32</v>
      </c>
      <c r="H37" s="1">
        <v>1</v>
      </c>
      <c r="I37" s="1">
        <v>0.7</v>
      </c>
      <c r="J37" s="1">
        <v>10</v>
      </c>
      <c r="K37" s="1" t="str">
        <f>VLOOKUP(J37,Reservoirs!B$2:D$41,3,FALSE)</f>
        <v>新高瀬川</v>
      </c>
      <c r="L37" s="1">
        <v>0.5</v>
      </c>
      <c r="M37" s="6">
        <v>0.99</v>
      </c>
      <c r="N37" s="6">
        <v>0.2</v>
      </c>
      <c r="O37" s="6">
        <v>10</v>
      </c>
      <c r="P37" s="16">
        <v>1</v>
      </c>
      <c r="Q37" s="19">
        <v>1</v>
      </c>
    </row>
    <row r="38" spans="2:17" ht="15.75" thickBot="1" x14ac:dyDescent="0.2">
      <c r="B38" s="26" t="s">
        <v>238</v>
      </c>
      <c r="C38" s="43">
        <f>VLOOKUP(B38,[1]SYS!$F$5:$G$361,2,FALSE)</f>
        <v>93</v>
      </c>
      <c r="D38" s="5" t="s">
        <v>15</v>
      </c>
      <c r="E38" s="6" t="s">
        <v>68</v>
      </c>
      <c r="F38" s="6">
        <v>0</v>
      </c>
      <c r="G38" s="27">
        <v>0.4</v>
      </c>
      <c r="H38" s="1">
        <v>1</v>
      </c>
      <c r="I38" s="1">
        <v>0.7</v>
      </c>
      <c r="J38" s="1">
        <v>11</v>
      </c>
      <c r="K38" s="1" t="str">
        <f>VLOOKUP(J38,Reservoirs!B$2:D$41,3,FALSE)</f>
        <v>葛野川</v>
      </c>
      <c r="L38" s="1">
        <v>0.5</v>
      </c>
      <c r="M38" s="6">
        <v>0.99</v>
      </c>
      <c r="N38" s="6">
        <v>0.2</v>
      </c>
      <c r="O38" s="6">
        <v>10</v>
      </c>
      <c r="P38" s="16">
        <v>1</v>
      </c>
      <c r="Q38" s="19">
        <v>1</v>
      </c>
    </row>
    <row r="39" spans="2:17" ht="15.75" thickBot="1" x14ac:dyDescent="0.2">
      <c r="B39" s="26" t="s">
        <v>238</v>
      </c>
      <c r="C39" s="43">
        <f>VLOOKUP(B39,[1]SYS!$F$5:$G$361,2,FALSE)</f>
        <v>93</v>
      </c>
      <c r="D39" s="5" t="s">
        <v>15</v>
      </c>
      <c r="E39" s="6" t="s">
        <v>69</v>
      </c>
      <c r="F39" s="6">
        <v>0</v>
      </c>
      <c r="G39" s="27">
        <v>0.4</v>
      </c>
      <c r="H39" s="1">
        <v>1</v>
      </c>
      <c r="I39" s="1">
        <v>0.7</v>
      </c>
      <c r="J39" s="1">
        <v>11</v>
      </c>
      <c r="K39" s="1" t="str">
        <f>VLOOKUP(J39,Reservoirs!B$2:D$41,3,FALSE)</f>
        <v>葛野川</v>
      </c>
      <c r="L39" s="1">
        <v>0.5</v>
      </c>
      <c r="M39" s="6">
        <v>0.99</v>
      </c>
      <c r="N39" s="6">
        <v>0.2</v>
      </c>
      <c r="O39" s="6">
        <v>10</v>
      </c>
      <c r="P39" s="16">
        <v>1</v>
      </c>
      <c r="Q39" s="19">
        <v>1</v>
      </c>
    </row>
    <row r="40" spans="2:17" ht="15.75" thickBot="1" x14ac:dyDescent="0.2">
      <c r="B40" s="26" t="s">
        <v>238</v>
      </c>
      <c r="C40" s="43">
        <f>VLOOKUP(B40,[1]SYS!$F$5:$G$361,2,FALSE)</f>
        <v>93</v>
      </c>
      <c r="D40" s="5" t="s">
        <v>15</v>
      </c>
      <c r="E40" s="6" t="s">
        <v>70</v>
      </c>
      <c r="F40" s="6">
        <v>0</v>
      </c>
      <c r="G40" s="27">
        <v>0.47</v>
      </c>
      <c r="H40" s="1">
        <v>1</v>
      </c>
      <c r="I40" s="1">
        <v>0.7</v>
      </c>
      <c r="J40" s="1">
        <v>12</v>
      </c>
      <c r="K40" s="1" t="str">
        <f>VLOOKUP(J40,Reservoirs!B$2:D$41,3,FALSE)</f>
        <v>神流川</v>
      </c>
      <c r="L40" s="1">
        <v>0.5</v>
      </c>
      <c r="M40" s="6">
        <v>0.99</v>
      </c>
      <c r="N40" s="6">
        <v>0.2</v>
      </c>
      <c r="O40" s="6">
        <v>10</v>
      </c>
      <c r="P40" s="16">
        <v>1</v>
      </c>
      <c r="Q40" s="19">
        <v>1</v>
      </c>
    </row>
    <row r="41" spans="2:17" ht="15.75" thickBot="1" x14ac:dyDescent="0.2">
      <c r="B41" s="26" t="s">
        <v>236</v>
      </c>
      <c r="C41" s="43">
        <f>VLOOKUP(B41,[1]SYS!$F$5:$G$361,2,FALSE)</f>
        <v>69</v>
      </c>
      <c r="D41" s="5" t="s">
        <v>15</v>
      </c>
      <c r="E41" s="6" t="s">
        <v>71</v>
      </c>
      <c r="F41" s="6">
        <v>0</v>
      </c>
      <c r="G41" s="27">
        <v>0.22500000000000001</v>
      </c>
      <c r="H41" s="1">
        <v>1</v>
      </c>
      <c r="I41" s="1">
        <v>0.7</v>
      </c>
      <c r="J41" s="1">
        <v>13</v>
      </c>
      <c r="K41" s="1" t="str">
        <f>VLOOKUP(J41,Reservoirs!B$2:D$41,3,FALSE)</f>
        <v>沼原</v>
      </c>
      <c r="L41" s="1">
        <v>0.5</v>
      </c>
      <c r="M41" s="6">
        <v>0.99</v>
      </c>
      <c r="N41" s="6">
        <v>0.2</v>
      </c>
      <c r="O41" s="6">
        <v>10</v>
      </c>
      <c r="P41" s="16">
        <v>1</v>
      </c>
      <c r="Q41" s="19">
        <v>1</v>
      </c>
    </row>
    <row r="42" spans="2:17" ht="15.75" thickBot="1" x14ac:dyDescent="0.2">
      <c r="B42" s="26" t="s">
        <v>236</v>
      </c>
      <c r="C42" s="43">
        <f>VLOOKUP(B42,[1]SYS!$F$5:$G$361,2,FALSE)</f>
        <v>69</v>
      </c>
      <c r="D42" s="5" t="s">
        <v>15</v>
      </c>
      <c r="E42" s="6" t="s">
        <v>72</v>
      </c>
      <c r="F42" s="6">
        <v>0</v>
      </c>
      <c r="G42" s="27">
        <v>0.22500000000000001</v>
      </c>
      <c r="H42" s="1">
        <v>1</v>
      </c>
      <c r="I42" s="1">
        <v>0.7</v>
      </c>
      <c r="J42" s="1">
        <v>13</v>
      </c>
      <c r="K42" s="1" t="str">
        <f>VLOOKUP(J42,Reservoirs!B$2:D$41,3,FALSE)</f>
        <v>沼原</v>
      </c>
      <c r="L42" s="1">
        <v>0.5</v>
      </c>
      <c r="M42" s="6">
        <v>0.99</v>
      </c>
      <c r="N42" s="6">
        <v>0.2</v>
      </c>
      <c r="O42" s="6">
        <v>10</v>
      </c>
      <c r="P42" s="16">
        <v>1</v>
      </c>
      <c r="Q42" s="19">
        <v>1</v>
      </c>
    </row>
    <row r="43" spans="2:17" ht="15.75" thickBot="1" x14ac:dyDescent="0.2">
      <c r="B43" s="26" t="s">
        <v>236</v>
      </c>
      <c r="C43" s="43">
        <f>VLOOKUP(B43,[1]SYS!$F$5:$G$361,2,FALSE)</f>
        <v>69</v>
      </c>
      <c r="D43" s="5" t="s">
        <v>15</v>
      </c>
      <c r="E43" s="6" t="s">
        <v>73</v>
      </c>
      <c r="F43" s="6">
        <v>0</v>
      </c>
      <c r="G43" s="27">
        <v>0.22500000000000001</v>
      </c>
      <c r="H43" s="1">
        <v>1</v>
      </c>
      <c r="I43" s="1">
        <v>0.7</v>
      </c>
      <c r="J43" s="1">
        <v>13</v>
      </c>
      <c r="K43" s="1" t="str">
        <f>VLOOKUP(J43,Reservoirs!B$2:D$41,3,FALSE)</f>
        <v>沼原</v>
      </c>
      <c r="L43" s="1">
        <v>0.5</v>
      </c>
      <c r="M43" s="6">
        <v>0.99</v>
      </c>
      <c r="N43" s="6">
        <v>0.2</v>
      </c>
      <c r="O43" s="6">
        <v>10</v>
      </c>
      <c r="P43" s="16">
        <v>1</v>
      </c>
      <c r="Q43" s="19">
        <v>1</v>
      </c>
    </row>
    <row r="44" spans="2:17" ht="15.75" thickBot="1" x14ac:dyDescent="0.2">
      <c r="B44" s="26" t="s">
        <v>239</v>
      </c>
      <c r="C44" s="43">
        <f>VLOOKUP(B44,[1]SYS!$F$5:$G$361,2,FALSE)</f>
        <v>138</v>
      </c>
      <c r="D44" s="5" t="s">
        <v>15</v>
      </c>
      <c r="E44" s="6" t="s">
        <v>74</v>
      </c>
      <c r="F44" s="6">
        <v>0</v>
      </c>
      <c r="G44" s="27">
        <v>0.22500000000000001</v>
      </c>
      <c r="H44" s="1">
        <v>1</v>
      </c>
      <c r="I44" s="1">
        <v>0.7</v>
      </c>
      <c r="J44" s="1">
        <v>14</v>
      </c>
      <c r="K44" s="1" t="str">
        <f>VLOOKUP(J44,Reservoirs!B$2:D$41,3,FALSE)</f>
        <v>新豊根</v>
      </c>
      <c r="L44" s="1">
        <v>0.5</v>
      </c>
      <c r="M44" s="6">
        <v>0.99</v>
      </c>
      <c r="N44" s="6">
        <v>0.2</v>
      </c>
      <c r="O44" s="6">
        <v>10</v>
      </c>
      <c r="P44" s="16">
        <v>1</v>
      </c>
      <c r="Q44" s="19">
        <v>1</v>
      </c>
    </row>
    <row r="45" spans="2:17" ht="15.75" thickBot="1" x14ac:dyDescent="0.2">
      <c r="B45" s="26" t="s">
        <v>239</v>
      </c>
      <c r="C45" s="43">
        <f>VLOOKUP(B45,[1]SYS!$F$5:$G$361,2,FALSE)</f>
        <v>138</v>
      </c>
      <c r="D45" s="5" t="s">
        <v>15</v>
      </c>
      <c r="E45" s="6" t="s">
        <v>75</v>
      </c>
      <c r="F45" s="6">
        <v>0</v>
      </c>
      <c r="G45" s="27">
        <v>0.22500000000000001</v>
      </c>
      <c r="H45" s="1">
        <v>1</v>
      </c>
      <c r="I45" s="1">
        <v>0.7</v>
      </c>
      <c r="J45" s="1">
        <v>14</v>
      </c>
      <c r="K45" s="1" t="str">
        <f>VLOOKUP(J45,Reservoirs!B$2:D$41,3,FALSE)</f>
        <v>新豊根</v>
      </c>
      <c r="L45" s="1">
        <v>0.5</v>
      </c>
      <c r="M45" s="6">
        <v>0.99</v>
      </c>
      <c r="N45" s="6">
        <v>0.2</v>
      </c>
      <c r="O45" s="6">
        <v>10</v>
      </c>
      <c r="P45" s="16">
        <v>1</v>
      </c>
      <c r="Q45" s="19">
        <v>1</v>
      </c>
    </row>
    <row r="46" spans="2:17" ht="15.75" thickBot="1" x14ac:dyDescent="0.2">
      <c r="B46" s="26" t="s">
        <v>233</v>
      </c>
      <c r="C46" s="43">
        <f>VLOOKUP(B46,[1]SYS!$F$5:$G$361,2,FALSE)</f>
        <v>55</v>
      </c>
      <c r="D46" s="5" t="s">
        <v>15</v>
      </c>
      <c r="E46" s="6" t="s">
        <v>76</v>
      </c>
      <c r="F46" s="6">
        <v>0</v>
      </c>
      <c r="G46" s="27">
        <v>0.25</v>
      </c>
      <c r="H46" s="1">
        <v>1</v>
      </c>
      <c r="I46" s="1">
        <v>0.7</v>
      </c>
      <c r="J46" s="1">
        <v>15</v>
      </c>
      <c r="K46" s="1" t="str">
        <f>VLOOKUP(J46,Reservoirs!B$2:D$41,3,FALSE)</f>
        <v>奥清津</v>
      </c>
      <c r="L46" s="1">
        <v>0.5</v>
      </c>
      <c r="M46" s="6">
        <v>0.99</v>
      </c>
      <c r="N46" s="6">
        <v>0.2</v>
      </c>
      <c r="O46" s="6">
        <v>10</v>
      </c>
      <c r="P46" s="16">
        <v>1</v>
      </c>
      <c r="Q46" s="19">
        <v>1</v>
      </c>
    </row>
    <row r="47" spans="2:17" ht="15.75" thickBot="1" x14ac:dyDescent="0.2">
      <c r="B47" s="26" t="s">
        <v>233</v>
      </c>
      <c r="C47" s="43">
        <f>VLOOKUP(B47,[1]SYS!$F$5:$G$361,2,FALSE)</f>
        <v>55</v>
      </c>
      <c r="D47" s="5" t="s">
        <v>15</v>
      </c>
      <c r="E47" s="6" t="s">
        <v>77</v>
      </c>
      <c r="F47" s="6">
        <v>0</v>
      </c>
      <c r="G47" s="27">
        <v>0.25</v>
      </c>
      <c r="H47" s="1">
        <v>1</v>
      </c>
      <c r="I47" s="1">
        <v>0.7</v>
      </c>
      <c r="J47" s="1">
        <v>15</v>
      </c>
      <c r="K47" s="1" t="str">
        <f>VLOOKUP(J47,Reservoirs!B$2:D$41,3,FALSE)</f>
        <v>奥清津</v>
      </c>
      <c r="L47" s="1">
        <v>0.5</v>
      </c>
      <c r="M47" s="6">
        <v>0.99</v>
      </c>
      <c r="N47" s="6">
        <v>0.2</v>
      </c>
      <c r="O47" s="6">
        <v>10</v>
      </c>
      <c r="P47" s="16">
        <v>1</v>
      </c>
      <c r="Q47" s="19">
        <v>1</v>
      </c>
    </row>
    <row r="48" spans="2:17" ht="15.75" thickBot="1" x14ac:dyDescent="0.2">
      <c r="B48" s="26" t="s">
        <v>233</v>
      </c>
      <c r="C48" s="43">
        <f>VLOOKUP(B48,[1]SYS!$F$5:$G$361,2,FALSE)</f>
        <v>55</v>
      </c>
      <c r="D48" s="5" t="s">
        <v>15</v>
      </c>
      <c r="E48" s="6" t="s">
        <v>78</v>
      </c>
      <c r="F48" s="6">
        <v>0</v>
      </c>
      <c r="G48" s="27">
        <v>0.25</v>
      </c>
      <c r="H48" s="1">
        <v>1</v>
      </c>
      <c r="I48" s="1">
        <v>0.7</v>
      </c>
      <c r="J48" s="1">
        <v>15</v>
      </c>
      <c r="K48" s="1" t="str">
        <f>VLOOKUP(J48,Reservoirs!B$2:D$41,3,FALSE)</f>
        <v>奥清津</v>
      </c>
      <c r="L48" s="1">
        <v>0.5</v>
      </c>
      <c r="M48" s="6">
        <v>0.99</v>
      </c>
      <c r="N48" s="6">
        <v>0.2</v>
      </c>
      <c r="O48" s="6">
        <v>10</v>
      </c>
      <c r="P48" s="16">
        <v>1</v>
      </c>
      <c r="Q48" s="19">
        <v>1</v>
      </c>
    </row>
    <row r="49" spans="2:17" ht="15.75" thickBot="1" x14ac:dyDescent="0.2">
      <c r="B49" s="26" t="s">
        <v>233</v>
      </c>
      <c r="C49" s="43">
        <f>VLOOKUP(B49,[1]SYS!$F$5:$G$361,2,FALSE)</f>
        <v>55</v>
      </c>
      <c r="D49" s="5" t="s">
        <v>15</v>
      </c>
      <c r="E49" s="6" t="s">
        <v>79</v>
      </c>
      <c r="F49" s="6">
        <v>0</v>
      </c>
      <c r="G49" s="27">
        <v>0.25</v>
      </c>
      <c r="H49" s="1">
        <v>1</v>
      </c>
      <c r="I49" s="1">
        <v>0.7</v>
      </c>
      <c r="J49" s="1">
        <v>15</v>
      </c>
      <c r="K49" s="1" t="str">
        <f>VLOOKUP(J49,Reservoirs!B$2:D$41,3,FALSE)</f>
        <v>奥清津</v>
      </c>
      <c r="L49" s="1">
        <v>0.5</v>
      </c>
      <c r="M49" s="6">
        <v>0.99</v>
      </c>
      <c r="N49" s="6">
        <v>0.2</v>
      </c>
      <c r="O49" s="6">
        <v>10</v>
      </c>
      <c r="P49" s="16">
        <v>1</v>
      </c>
      <c r="Q49" s="19">
        <v>1</v>
      </c>
    </row>
    <row r="50" spans="2:17" ht="15.75" thickBot="1" x14ac:dyDescent="0.2">
      <c r="B50" s="26" t="s">
        <v>233</v>
      </c>
      <c r="C50" s="43">
        <f>VLOOKUP(B50,[1]SYS!$F$5:$G$361,2,FALSE)</f>
        <v>55</v>
      </c>
      <c r="D50" s="5" t="s">
        <v>15</v>
      </c>
      <c r="E50" s="6" t="s">
        <v>80</v>
      </c>
      <c r="F50" s="6">
        <v>0</v>
      </c>
      <c r="G50" s="27">
        <v>0.3</v>
      </c>
      <c r="H50" s="1">
        <v>1</v>
      </c>
      <c r="I50" s="1">
        <v>0.7</v>
      </c>
      <c r="J50" s="1">
        <v>16</v>
      </c>
      <c r="K50" s="1" t="str">
        <f>VLOOKUP(J50,Reservoirs!B$2:D$41,3,FALSE)</f>
        <v>奥清津第二</v>
      </c>
      <c r="L50" s="1">
        <v>0.5</v>
      </c>
      <c r="M50" s="6">
        <v>0.99</v>
      </c>
      <c r="N50" s="6">
        <v>0.2</v>
      </c>
      <c r="O50" s="6">
        <v>10</v>
      </c>
      <c r="P50" s="16">
        <v>1</v>
      </c>
      <c r="Q50" s="19">
        <v>1</v>
      </c>
    </row>
    <row r="51" spans="2:17" ht="15.75" thickBot="1" x14ac:dyDescent="0.2">
      <c r="B51" s="26" t="s">
        <v>233</v>
      </c>
      <c r="C51" s="43">
        <f>VLOOKUP(B51,[1]SYS!$F$5:$G$361,2,FALSE)</f>
        <v>55</v>
      </c>
      <c r="D51" s="5" t="s">
        <v>15</v>
      </c>
      <c r="E51" s="6" t="s">
        <v>81</v>
      </c>
      <c r="F51" s="6">
        <v>0</v>
      </c>
      <c r="G51" s="27">
        <v>0.3</v>
      </c>
      <c r="H51" s="1">
        <v>1</v>
      </c>
      <c r="I51" s="1">
        <v>0.7</v>
      </c>
      <c r="J51" s="1">
        <v>16</v>
      </c>
      <c r="K51" s="1" t="str">
        <f>VLOOKUP(J51,Reservoirs!B$2:D$41,3,FALSE)</f>
        <v>奥清津第二</v>
      </c>
      <c r="L51" s="1">
        <v>0.5</v>
      </c>
      <c r="M51" s="6">
        <v>0.6</v>
      </c>
      <c r="N51" s="6">
        <v>0.2</v>
      </c>
      <c r="O51" s="6">
        <v>0</v>
      </c>
      <c r="P51" s="16">
        <v>1</v>
      </c>
      <c r="Q51" s="19">
        <v>1</v>
      </c>
    </row>
    <row r="52" spans="2:17" ht="15.75" thickBot="1" x14ac:dyDescent="0.2">
      <c r="B52" s="26" t="s">
        <v>240</v>
      </c>
      <c r="C52" s="43">
        <f>VLOOKUP(B52,[1]SYS!$F$5:$G$361,2,FALSE)</f>
        <v>95</v>
      </c>
      <c r="D52" s="5" t="s">
        <v>15</v>
      </c>
      <c r="E52" s="6" t="s">
        <v>82</v>
      </c>
      <c r="F52" s="6">
        <v>0</v>
      </c>
      <c r="G52" s="27">
        <v>0.25</v>
      </c>
      <c r="H52" s="1">
        <v>1</v>
      </c>
      <c r="I52" s="1">
        <v>0.7</v>
      </c>
      <c r="J52" s="1">
        <v>17</v>
      </c>
      <c r="K52" s="1" t="str">
        <f>VLOOKUP(J52,Reservoirs!B$2:D$41,3,FALSE)</f>
        <v>城山（神奈川）</v>
      </c>
      <c r="L52" s="1">
        <v>0.5</v>
      </c>
      <c r="M52" s="6">
        <v>0.99</v>
      </c>
      <c r="N52" s="6">
        <v>0.2</v>
      </c>
      <c r="O52" s="6">
        <v>10</v>
      </c>
      <c r="P52" s="16">
        <v>1</v>
      </c>
      <c r="Q52" s="19">
        <v>1</v>
      </c>
    </row>
    <row r="53" spans="2:17" ht="15.75" thickBot="1" x14ac:dyDescent="0.2">
      <c r="B53" s="26" t="s">
        <v>233</v>
      </c>
      <c r="C53" s="43">
        <f>VLOOKUP(B53,[1]SYS!$F$5:$G$361,2,FALSE)</f>
        <v>55</v>
      </c>
      <c r="D53" s="5" t="s">
        <v>15</v>
      </c>
      <c r="E53" s="6" t="s">
        <v>83</v>
      </c>
      <c r="F53" s="6">
        <v>0</v>
      </c>
      <c r="G53" s="27">
        <v>0.25</v>
      </c>
      <c r="H53" s="1">
        <v>1</v>
      </c>
      <c r="I53" s="1">
        <v>0.7</v>
      </c>
      <c r="J53" s="1">
        <v>18</v>
      </c>
      <c r="K53" s="1" t="str">
        <f>VLOOKUP(J53,Reservoirs!B$2:D$41,3,FALSE)</f>
        <v>下郷</v>
      </c>
      <c r="L53" s="1">
        <v>0.5</v>
      </c>
      <c r="M53" s="6">
        <v>0.99</v>
      </c>
      <c r="N53" s="6">
        <v>0.2</v>
      </c>
      <c r="O53" s="6">
        <v>10</v>
      </c>
      <c r="P53" s="16">
        <v>1</v>
      </c>
      <c r="Q53" s="19">
        <v>1</v>
      </c>
    </row>
    <row r="54" spans="2:17" ht="15.75" thickBot="1" x14ac:dyDescent="0.2">
      <c r="B54" s="26" t="s">
        <v>233</v>
      </c>
      <c r="C54" s="43">
        <f>VLOOKUP(B54,[1]SYS!$F$5:$G$361,2,FALSE)</f>
        <v>55</v>
      </c>
      <c r="D54" s="5" t="s">
        <v>15</v>
      </c>
      <c r="E54" s="6" t="s">
        <v>84</v>
      </c>
      <c r="F54" s="6">
        <v>0</v>
      </c>
      <c r="G54" s="27">
        <v>0.25</v>
      </c>
      <c r="H54" s="1">
        <v>1</v>
      </c>
      <c r="I54" s="1">
        <v>0.7</v>
      </c>
      <c r="J54" s="1">
        <v>18</v>
      </c>
      <c r="K54" s="1" t="str">
        <f>VLOOKUP(J54,Reservoirs!B$2:D$41,3,FALSE)</f>
        <v>下郷</v>
      </c>
      <c r="L54" s="1">
        <v>0.5</v>
      </c>
      <c r="M54" s="6">
        <v>0.99</v>
      </c>
      <c r="N54" s="6">
        <v>0.2</v>
      </c>
      <c r="O54" s="6">
        <v>10</v>
      </c>
      <c r="P54" s="16">
        <v>1</v>
      </c>
      <c r="Q54" s="19">
        <v>1</v>
      </c>
    </row>
    <row r="55" spans="2:17" ht="15.75" thickBot="1" x14ac:dyDescent="0.2">
      <c r="B55" s="26" t="s">
        <v>233</v>
      </c>
      <c r="C55" s="43">
        <f>VLOOKUP(B55,[1]SYS!$F$5:$G$361,2,FALSE)</f>
        <v>55</v>
      </c>
      <c r="D55" s="5" t="s">
        <v>15</v>
      </c>
      <c r="E55" s="6" t="s">
        <v>85</v>
      </c>
      <c r="F55" s="6">
        <v>0</v>
      </c>
      <c r="G55" s="27">
        <v>0.25</v>
      </c>
      <c r="H55" s="1">
        <v>1</v>
      </c>
      <c r="I55" s="1">
        <v>0.7</v>
      </c>
      <c r="J55" s="1">
        <v>18</v>
      </c>
      <c r="K55" s="1" t="str">
        <f>VLOOKUP(J55,Reservoirs!B$2:D$41,3,FALSE)</f>
        <v>下郷</v>
      </c>
      <c r="L55" s="1">
        <v>0.5</v>
      </c>
      <c r="M55" s="6">
        <v>0.99</v>
      </c>
      <c r="N55" s="6">
        <v>0.2</v>
      </c>
      <c r="O55" s="6">
        <v>10</v>
      </c>
      <c r="P55" s="16">
        <v>1</v>
      </c>
      <c r="Q55" s="19">
        <v>1</v>
      </c>
    </row>
    <row r="56" spans="2:17" ht="15.75" thickBot="1" x14ac:dyDescent="0.2">
      <c r="B56" s="26" t="s">
        <v>233</v>
      </c>
      <c r="C56" s="43">
        <f>VLOOKUP(B56,[1]SYS!$F$5:$G$361,2,FALSE)</f>
        <v>55</v>
      </c>
      <c r="D56" s="5" t="s">
        <v>15</v>
      </c>
      <c r="E56" s="6" t="s">
        <v>86</v>
      </c>
      <c r="F56" s="6">
        <v>0</v>
      </c>
      <c r="G56" s="27">
        <v>0.25</v>
      </c>
      <c r="H56" s="1">
        <v>1</v>
      </c>
      <c r="I56" s="1">
        <v>0.7</v>
      </c>
      <c r="J56" s="1">
        <v>18</v>
      </c>
      <c r="K56" s="1" t="str">
        <f>VLOOKUP(J56,Reservoirs!B$2:D$41,3,FALSE)</f>
        <v>下郷</v>
      </c>
      <c r="L56" s="1">
        <v>0.5</v>
      </c>
      <c r="M56" s="6">
        <v>0.99</v>
      </c>
      <c r="N56" s="6">
        <v>0.2</v>
      </c>
      <c r="O56" s="6">
        <v>10</v>
      </c>
      <c r="P56" s="16">
        <v>1</v>
      </c>
      <c r="Q56" s="19">
        <v>1</v>
      </c>
    </row>
    <row r="57" spans="2:17" ht="15.75" thickBot="1" x14ac:dyDescent="0.2">
      <c r="B57" s="26" t="s">
        <v>238</v>
      </c>
      <c r="C57" s="43">
        <f>VLOOKUP(B57,[1]SYS!$F$5:$G$361,2,FALSE)</f>
        <v>93</v>
      </c>
      <c r="D57" s="5" t="s">
        <v>15</v>
      </c>
      <c r="E57" s="6" t="s">
        <v>87</v>
      </c>
      <c r="F57" s="6">
        <v>0</v>
      </c>
      <c r="G57" s="27">
        <v>0.4</v>
      </c>
      <c r="H57" s="1">
        <v>1</v>
      </c>
      <c r="I57" s="1">
        <v>0.7</v>
      </c>
      <c r="J57" s="1">
        <v>11</v>
      </c>
      <c r="K57" s="1" t="str">
        <f>VLOOKUP(J57,Reservoirs!B$2:D$41,3,FALSE)</f>
        <v>葛野川</v>
      </c>
      <c r="L57" s="1">
        <v>0.5</v>
      </c>
      <c r="M57" s="6">
        <v>0.6</v>
      </c>
      <c r="N57" s="6">
        <v>0.2</v>
      </c>
      <c r="O57" s="6">
        <v>0</v>
      </c>
      <c r="P57" s="16">
        <v>1</v>
      </c>
      <c r="Q57" s="19">
        <v>1</v>
      </c>
    </row>
    <row r="58" spans="2:17" ht="15.75" thickBot="1" x14ac:dyDescent="0.2">
      <c r="B58" s="26" t="s">
        <v>238</v>
      </c>
      <c r="C58" s="43">
        <f>VLOOKUP(B58,[1]SYS!$F$5:$G$361,2,FALSE)</f>
        <v>93</v>
      </c>
      <c r="D58" s="5" t="s">
        <v>15</v>
      </c>
      <c r="E58" s="6" t="s">
        <v>88</v>
      </c>
      <c r="F58" s="6">
        <v>0</v>
      </c>
      <c r="G58" s="27">
        <v>0.4</v>
      </c>
      <c r="H58" s="1">
        <v>1</v>
      </c>
      <c r="I58" s="1">
        <v>0.7</v>
      </c>
      <c r="J58" s="1">
        <v>11</v>
      </c>
      <c r="K58" s="1" t="str">
        <f>VLOOKUP(J58,Reservoirs!B$2:D$41,3,FALSE)</f>
        <v>葛野川</v>
      </c>
      <c r="L58" s="1">
        <v>0.5</v>
      </c>
      <c r="M58" s="6">
        <v>0.6</v>
      </c>
      <c r="N58" s="6">
        <v>0.2</v>
      </c>
      <c r="O58" s="6">
        <v>0</v>
      </c>
      <c r="P58" s="16">
        <v>1</v>
      </c>
      <c r="Q58" s="19">
        <v>1</v>
      </c>
    </row>
    <row r="59" spans="2:17" ht="15.75" thickBot="1" x14ac:dyDescent="0.2">
      <c r="B59" s="26" t="s">
        <v>238</v>
      </c>
      <c r="C59" s="43">
        <f>VLOOKUP(B59,[1]SYS!$F$5:$G$361,2,FALSE)</f>
        <v>93</v>
      </c>
      <c r="D59" s="5" t="s">
        <v>15</v>
      </c>
      <c r="E59" s="6" t="s">
        <v>89</v>
      </c>
      <c r="F59" s="6">
        <v>0</v>
      </c>
      <c r="G59" s="27">
        <v>0.47</v>
      </c>
      <c r="H59" s="1">
        <v>1</v>
      </c>
      <c r="I59" s="1">
        <v>0.7</v>
      </c>
      <c r="J59" s="1">
        <v>12</v>
      </c>
      <c r="K59" s="1" t="str">
        <f>VLOOKUP(J59,Reservoirs!B$2:D$41,3,FALSE)</f>
        <v>神流川</v>
      </c>
      <c r="L59" s="1">
        <v>0.5</v>
      </c>
      <c r="M59" s="6">
        <v>0.99</v>
      </c>
      <c r="N59" s="6">
        <v>0.2</v>
      </c>
      <c r="O59" s="6">
        <v>10</v>
      </c>
      <c r="P59" s="16">
        <v>1</v>
      </c>
      <c r="Q59" s="19">
        <v>1</v>
      </c>
    </row>
    <row r="60" spans="2:17" ht="15.75" thickBot="1" x14ac:dyDescent="0.2">
      <c r="B60" s="26" t="s">
        <v>241</v>
      </c>
      <c r="C60" s="43">
        <f>VLOOKUP(B60,[1]SYS!$F$5:$G$361,2,FALSE)</f>
        <v>144</v>
      </c>
      <c r="D60" s="5" t="s">
        <v>15</v>
      </c>
      <c r="E60" s="6" t="s">
        <v>90</v>
      </c>
      <c r="F60" s="6">
        <v>0</v>
      </c>
      <c r="G60" s="27">
        <v>8.5999999999999993E-2</v>
      </c>
      <c r="H60" s="1">
        <v>1</v>
      </c>
      <c r="I60" s="1">
        <v>0.7</v>
      </c>
      <c r="J60" s="1">
        <v>19</v>
      </c>
      <c r="K60" s="1" t="str">
        <f>VLOOKUP(J60,Reservoirs!B$2:D$41,3,FALSE)</f>
        <v>畑薙第一</v>
      </c>
      <c r="L60" s="1">
        <v>0.5</v>
      </c>
      <c r="M60" s="6">
        <v>0.99</v>
      </c>
      <c r="N60" s="6">
        <v>0.2</v>
      </c>
      <c r="O60" s="6">
        <v>10</v>
      </c>
      <c r="P60" s="16">
        <v>1</v>
      </c>
      <c r="Q60" s="19">
        <v>1</v>
      </c>
    </row>
    <row r="61" spans="2:17" ht="15.75" thickBot="1" x14ac:dyDescent="0.2">
      <c r="B61" s="26" t="s">
        <v>242</v>
      </c>
      <c r="C61" s="43">
        <f>VLOOKUP(B61,[1]SYS!$F$5:$G$361,2,FALSE)</f>
        <v>137</v>
      </c>
      <c r="D61" s="5" t="s">
        <v>15</v>
      </c>
      <c r="E61" s="6" t="s">
        <v>91</v>
      </c>
      <c r="F61" s="6">
        <v>0</v>
      </c>
      <c r="G61" s="27">
        <v>0.34</v>
      </c>
      <c r="H61" s="1">
        <v>1</v>
      </c>
      <c r="I61" s="1">
        <v>0.7</v>
      </c>
      <c r="J61" s="1">
        <v>20</v>
      </c>
      <c r="K61" s="1" t="str">
        <f>VLOOKUP(J61,Reservoirs!B$2:D$41,3,FALSE)</f>
        <v>高根第一</v>
      </c>
      <c r="L61" s="1">
        <v>0.5</v>
      </c>
      <c r="M61" s="6">
        <v>0.99</v>
      </c>
      <c r="N61" s="6">
        <v>0.2</v>
      </c>
      <c r="O61" s="6">
        <v>10</v>
      </c>
      <c r="P61" s="16">
        <v>1</v>
      </c>
      <c r="Q61" s="19">
        <v>1</v>
      </c>
    </row>
    <row r="62" spans="2:17" ht="15.75" thickBot="1" x14ac:dyDescent="0.2">
      <c r="B62" s="26" t="s">
        <v>242</v>
      </c>
      <c r="C62" s="43">
        <f>VLOOKUP(B62,[1]SYS!$F$5:$G$361,2,FALSE)</f>
        <v>137</v>
      </c>
      <c r="D62" s="5" t="s">
        <v>15</v>
      </c>
      <c r="E62" s="6" t="s">
        <v>92</v>
      </c>
      <c r="F62" s="6">
        <v>0</v>
      </c>
      <c r="G62" s="27">
        <v>0.28799999999999998</v>
      </c>
      <c r="H62" s="1">
        <v>1</v>
      </c>
      <c r="I62" s="1">
        <v>0.7</v>
      </c>
      <c r="J62" s="1">
        <v>21</v>
      </c>
      <c r="K62" s="1" t="str">
        <f>VLOOKUP(J62,Reservoirs!B$2:D$41,3,FALSE)</f>
        <v>馬瀬川第一</v>
      </c>
      <c r="L62" s="1">
        <v>0.5</v>
      </c>
      <c r="M62" s="6">
        <v>0.99</v>
      </c>
      <c r="N62" s="6">
        <v>0.2</v>
      </c>
      <c r="O62" s="6">
        <v>10</v>
      </c>
      <c r="P62" s="16">
        <v>1</v>
      </c>
      <c r="Q62" s="19">
        <v>1</v>
      </c>
    </row>
    <row r="63" spans="2:17" ht="15.75" thickBot="1" x14ac:dyDescent="0.2">
      <c r="B63" s="26" t="s">
        <v>243</v>
      </c>
      <c r="C63" s="43">
        <f>VLOOKUP(B63,[1]SYS!$F$5:$G$361,2,FALSE)</f>
        <v>139</v>
      </c>
      <c r="D63" s="5" t="s">
        <v>15</v>
      </c>
      <c r="E63" s="6" t="s">
        <v>93</v>
      </c>
      <c r="F63" s="6">
        <v>0</v>
      </c>
      <c r="G63" s="27">
        <v>0.32300000000000001</v>
      </c>
      <c r="H63" s="1">
        <v>1</v>
      </c>
      <c r="I63" s="1">
        <v>0.7</v>
      </c>
      <c r="J63" s="1">
        <v>22</v>
      </c>
      <c r="K63" s="1" t="str">
        <f>VLOOKUP(J63,Reservoirs!B$2:D$41,3,FALSE)</f>
        <v>奥矢作</v>
      </c>
      <c r="L63" s="1">
        <v>0.5</v>
      </c>
      <c r="M63" s="6">
        <v>0.99</v>
      </c>
      <c r="N63" s="6">
        <v>0.2</v>
      </c>
      <c r="O63" s="6">
        <v>10</v>
      </c>
      <c r="P63" s="16">
        <v>1</v>
      </c>
      <c r="Q63" s="19">
        <v>1</v>
      </c>
    </row>
    <row r="64" spans="2:17" ht="15.75" thickBot="1" x14ac:dyDescent="0.2">
      <c r="B64" s="26" t="s">
        <v>243</v>
      </c>
      <c r="C64" s="43">
        <f>VLOOKUP(B64,[1]SYS!$F$5:$G$361,2,FALSE)</f>
        <v>139</v>
      </c>
      <c r="D64" s="5" t="s">
        <v>15</v>
      </c>
      <c r="E64" s="6" t="s">
        <v>94</v>
      </c>
      <c r="F64" s="6">
        <v>0</v>
      </c>
      <c r="G64" s="27">
        <v>0.78</v>
      </c>
      <c r="H64" s="1">
        <v>1</v>
      </c>
      <c r="I64" s="1">
        <v>0.7</v>
      </c>
      <c r="J64" s="1">
        <v>22</v>
      </c>
      <c r="K64" s="1" t="str">
        <f>VLOOKUP(J64,Reservoirs!B$2:D$41,3,FALSE)</f>
        <v>奥矢作</v>
      </c>
      <c r="L64" s="1">
        <v>0.5</v>
      </c>
      <c r="M64" s="6">
        <v>0.99</v>
      </c>
      <c r="N64" s="6">
        <v>0.2</v>
      </c>
      <c r="O64" s="6">
        <v>10</v>
      </c>
      <c r="P64" s="16">
        <v>1</v>
      </c>
      <c r="Q64" s="19">
        <v>1</v>
      </c>
    </row>
    <row r="65" spans="2:17" ht="15.75" thickBot="1" x14ac:dyDescent="0.2">
      <c r="B65" s="26" t="s">
        <v>244</v>
      </c>
      <c r="C65" s="43">
        <f>VLOOKUP(B65,[1]SYS!$F$5:$G$361,2,FALSE)</f>
        <v>135</v>
      </c>
      <c r="D65" s="5" t="s">
        <v>15</v>
      </c>
      <c r="E65" s="6" t="s">
        <v>95</v>
      </c>
      <c r="F65" s="6">
        <v>0</v>
      </c>
      <c r="G65" s="27">
        <v>0.25</v>
      </c>
      <c r="H65" s="1">
        <v>1</v>
      </c>
      <c r="I65" s="1">
        <v>0.7</v>
      </c>
      <c r="J65" s="1">
        <v>23</v>
      </c>
      <c r="K65" s="1" t="str">
        <f>VLOOKUP(J65,Reservoirs!B$2:D$41,3,FALSE)</f>
        <v>奥美濃</v>
      </c>
      <c r="L65" s="1">
        <v>0.5</v>
      </c>
      <c r="M65" s="6">
        <v>0.99</v>
      </c>
      <c r="N65" s="6">
        <v>0.2</v>
      </c>
      <c r="O65" s="6">
        <v>10</v>
      </c>
      <c r="P65" s="16">
        <v>1</v>
      </c>
      <c r="Q65" s="19">
        <v>1</v>
      </c>
    </row>
    <row r="66" spans="2:17" ht="15.75" thickBot="1" x14ac:dyDescent="0.2">
      <c r="B66" s="26" t="s">
        <v>244</v>
      </c>
      <c r="C66" s="43">
        <f>VLOOKUP(B66,[1]SYS!$F$5:$G$361,2,FALSE)</f>
        <v>135</v>
      </c>
      <c r="D66" s="5" t="s">
        <v>15</v>
      </c>
      <c r="E66" s="6" t="s">
        <v>96</v>
      </c>
      <c r="F66" s="6">
        <v>0</v>
      </c>
      <c r="G66" s="27">
        <v>0.25</v>
      </c>
      <c r="H66" s="1">
        <v>1</v>
      </c>
      <c r="I66" s="1">
        <v>0.7</v>
      </c>
      <c r="J66" s="1">
        <v>23</v>
      </c>
      <c r="K66" s="1" t="str">
        <f>VLOOKUP(J66,Reservoirs!B$2:D$41,3,FALSE)</f>
        <v>奥美濃</v>
      </c>
      <c r="L66" s="1">
        <v>0.5</v>
      </c>
      <c r="M66" s="6">
        <v>0.99</v>
      </c>
      <c r="N66" s="6">
        <v>0.2</v>
      </c>
      <c r="O66" s="6">
        <v>10</v>
      </c>
      <c r="P66" s="16">
        <v>1</v>
      </c>
      <c r="Q66" s="19">
        <v>1</v>
      </c>
    </row>
    <row r="67" spans="2:17" ht="15.75" thickBot="1" x14ac:dyDescent="0.2">
      <c r="B67" s="26" t="s">
        <v>244</v>
      </c>
      <c r="C67" s="43">
        <f>VLOOKUP(B67,[1]SYS!$F$5:$G$361,2,FALSE)</f>
        <v>135</v>
      </c>
      <c r="D67" s="5" t="s">
        <v>15</v>
      </c>
      <c r="E67" s="6" t="s">
        <v>97</v>
      </c>
      <c r="F67" s="6">
        <v>0</v>
      </c>
      <c r="G67" s="27">
        <v>0.25</v>
      </c>
      <c r="H67" s="1">
        <v>1</v>
      </c>
      <c r="I67" s="1">
        <v>0.7</v>
      </c>
      <c r="J67" s="1">
        <v>23</v>
      </c>
      <c r="K67" s="1" t="str">
        <f>VLOOKUP(J67,Reservoirs!B$2:D$41,3,FALSE)</f>
        <v>奥美濃</v>
      </c>
      <c r="L67" s="1">
        <v>0.5</v>
      </c>
      <c r="M67" s="6">
        <v>0.99</v>
      </c>
      <c r="N67" s="6">
        <v>0.2</v>
      </c>
      <c r="O67" s="6">
        <v>10</v>
      </c>
      <c r="P67" s="16">
        <v>1</v>
      </c>
      <c r="Q67" s="19">
        <v>1</v>
      </c>
    </row>
    <row r="68" spans="2:17" ht="15.75" thickBot="1" x14ac:dyDescent="0.2">
      <c r="B68" s="26" t="s">
        <v>244</v>
      </c>
      <c r="C68" s="43">
        <f>VLOOKUP(B68,[1]SYS!$F$5:$G$361,2,FALSE)</f>
        <v>135</v>
      </c>
      <c r="D68" s="5" t="s">
        <v>15</v>
      </c>
      <c r="E68" s="6" t="s">
        <v>98</v>
      </c>
      <c r="F68" s="6">
        <v>0</v>
      </c>
      <c r="G68" s="27">
        <v>0.25</v>
      </c>
      <c r="H68" s="1">
        <v>1</v>
      </c>
      <c r="I68" s="1">
        <v>0.7</v>
      </c>
      <c r="J68" s="1">
        <v>23</v>
      </c>
      <c r="K68" s="1" t="str">
        <f>VLOOKUP(J68,Reservoirs!B$2:D$41,3,FALSE)</f>
        <v>奥美濃</v>
      </c>
      <c r="L68" s="1">
        <v>0.5</v>
      </c>
      <c r="M68" s="6">
        <v>0.99</v>
      </c>
      <c r="N68" s="6">
        <v>0.2</v>
      </c>
      <c r="O68" s="6">
        <v>10</v>
      </c>
      <c r="P68" s="16">
        <v>1</v>
      </c>
      <c r="Q68" s="19">
        <v>1</v>
      </c>
    </row>
    <row r="69" spans="2:17" ht="15.75" thickBot="1" x14ac:dyDescent="0.2">
      <c r="B69" s="26" t="s">
        <v>244</v>
      </c>
      <c r="C69" s="43">
        <f>VLOOKUP(B69,[1]SYS!$F$5:$G$361,2,FALSE)</f>
        <v>135</v>
      </c>
      <c r="D69" s="5" t="s">
        <v>15</v>
      </c>
      <c r="E69" s="6" t="s">
        <v>99</v>
      </c>
      <c r="F69" s="6">
        <v>0</v>
      </c>
      <c r="G69" s="27">
        <v>0.25</v>
      </c>
      <c r="H69" s="1">
        <v>1</v>
      </c>
      <c r="I69" s="1">
        <v>0.7</v>
      </c>
      <c r="J69" s="1">
        <v>23</v>
      </c>
      <c r="K69" s="1" t="str">
        <f>VLOOKUP(J69,Reservoirs!B$2:D$41,3,FALSE)</f>
        <v>奥美濃</v>
      </c>
      <c r="L69" s="1">
        <v>0.5</v>
      </c>
      <c r="M69" s="6">
        <v>0.99</v>
      </c>
      <c r="N69" s="6">
        <v>0.2</v>
      </c>
      <c r="O69" s="6">
        <v>10</v>
      </c>
      <c r="P69" s="16">
        <v>1</v>
      </c>
      <c r="Q69" s="19">
        <v>1</v>
      </c>
    </row>
    <row r="70" spans="2:17" ht="15.75" thickBot="1" x14ac:dyDescent="0.2">
      <c r="B70" s="26" t="s">
        <v>244</v>
      </c>
      <c r="C70" s="43">
        <f>VLOOKUP(B70,[1]SYS!$F$5:$G$361,2,FALSE)</f>
        <v>135</v>
      </c>
      <c r="D70" s="5" t="s">
        <v>15</v>
      </c>
      <c r="E70" s="6" t="s">
        <v>100</v>
      </c>
      <c r="F70" s="6">
        <v>0</v>
      </c>
      <c r="G70" s="27">
        <v>0.25</v>
      </c>
      <c r="H70" s="1">
        <v>1</v>
      </c>
      <c r="I70" s="1">
        <v>0.7</v>
      </c>
      <c r="J70" s="1">
        <v>23</v>
      </c>
      <c r="K70" s="1" t="str">
        <f>VLOOKUP(J70,Reservoirs!B$2:D$41,3,FALSE)</f>
        <v>奥美濃</v>
      </c>
      <c r="L70" s="1">
        <v>0.5</v>
      </c>
      <c r="M70" s="6">
        <v>0.99</v>
      </c>
      <c r="N70" s="6">
        <v>0.2</v>
      </c>
      <c r="O70" s="6">
        <v>10</v>
      </c>
      <c r="P70" s="16">
        <v>1</v>
      </c>
      <c r="Q70" s="19">
        <v>1</v>
      </c>
    </row>
    <row r="71" spans="2:17" ht="15.75" thickBot="1" x14ac:dyDescent="0.2">
      <c r="B71" s="26" t="s">
        <v>245</v>
      </c>
      <c r="C71" s="43">
        <f>VLOOKUP(B71,[1]SYS!$F$5:$G$361,2,FALSE)</f>
        <v>223</v>
      </c>
      <c r="D71" s="5" t="s">
        <v>15</v>
      </c>
      <c r="E71" s="6" t="s">
        <v>101</v>
      </c>
      <c r="F71" s="6">
        <v>0</v>
      </c>
      <c r="G71" s="27">
        <v>7.1999999999999995E-2</v>
      </c>
      <c r="H71" s="1">
        <v>1</v>
      </c>
      <c r="I71" s="1">
        <v>0.7</v>
      </c>
      <c r="J71" s="1">
        <v>24</v>
      </c>
      <c r="K71" s="1" t="str">
        <f>VLOOKUP(J71,Reservoirs!B$2:D$41,3,FALSE)</f>
        <v>池原</v>
      </c>
      <c r="L71" s="1">
        <v>0.5</v>
      </c>
      <c r="M71" s="6">
        <v>0.99</v>
      </c>
      <c r="N71" s="6">
        <v>0.2</v>
      </c>
      <c r="O71" s="6">
        <v>10</v>
      </c>
      <c r="P71" s="16">
        <v>1</v>
      </c>
      <c r="Q71" s="19">
        <v>1</v>
      </c>
    </row>
    <row r="72" spans="2:17" ht="15.75" thickBot="1" x14ac:dyDescent="0.2">
      <c r="B72" s="26" t="s">
        <v>245</v>
      </c>
      <c r="C72" s="43">
        <f>VLOOKUP(B72,[1]SYS!$F$5:$G$361,2,FALSE)</f>
        <v>223</v>
      </c>
      <c r="D72" s="5" t="s">
        <v>15</v>
      </c>
      <c r="E72" s="6" t="s">
        <v>102</v>
      </c>
      <c r="F72" s="6">
        <v>0</v>
      </c>
      <c r="G72" s="27">
        <v>0.10299999999999999</v>
      </c>
      <c r="H72" s="1">
        <v>1</v>
      </c>
      <c r="I72" s="1">
        <v>0.7</v>
      </c>
      <c r="J72" s="1">
        <v>24</v>
      </c>
      <c r="K72" s="1" t="str">
        <f>VLOOKUP(J72,Reservoirs!B$2:D$41,3,FALSE)</f>
        <v>池原</v>
      </c>
      <c r="L72" s="1">
        <v>0.5</v>
      </c>
      <c r="M72" s="6">
        <v>0.99</v>
      </c>
      <c r="N72" s="6">
        <v>0.2</v>
      </c>
      <c r="O72" s="6">
        <v>10</v>
      </c>
      <c r="P72" s="16">
        <v>1</v>
      </c>
      <c r="Q72" s="19">
        <v>1</v>
      </c>
    </row>
    <row r="73" spans="2:17" ht="15.75" thickBot="1" x14ac:dyDescent="0.2">
      <c r="B73" s="26" t="s">
        <v>246</v>
      </c>
      <c r="C73" s="43">
        <f>VLOOKUP(B73,[1]SYS!$F$5:$G$361,2,FALSE)</f>
        <v>141</v>
      </c>
      <c r="D73" s="5" t="s">
        <v>15</v>
      </c>
      <c r="E73" s="6" t="s">
        <v>103</v>
      </c>
      <c r="F73" s="6">
        <v>0</v>
      </c>
      <c r="G73" s="27">
        <v>0.22500000000000001</v>
      </c>
      <c r="H73" s="1">
        <v>1</v>
      </c>
      <c r="I73" s="1">
        <v>0.7</v>
      </c>
      <c r="J73" s="1">
        <v>14</v>
      </c>
      <c r="K73" s="1" t="str">
        <f>VLOOKUP(J73,Reservoirs!B$2:D$41,3,FALSE)</f>
        <v>新豊根</v>
      </c>
      <c r="L73" s="1">
        <v>0.5</v>
      </c>
      <c r="M73" s="6">
        <v>0.99</v>
      </c>
      <c r="N73" s="6">
        <v>0.2</v>
      </c>
      <c r="O73" s="6">
        <v>10</v>
      </c>
      <c r="P73" s="16">
        <v>1</v>
      </c>
      <c r="Q73" s="19">
        <v>1</v>
      </c>
    </row>
    <row r="74" spans="2:17" ht="15.75" thickBot="1" x14ac:dyDescent="0.2">
      <c r="B74" s="26" t="s">
        <v>246</v>
      </c>
      <c r="C74" s="43">
        <f>VLOOKUP(B74,[1]SYS!$F$5:$G$361,2,FALSE)</f>
        <v>141</v>
      </c>
      <c r="D74" s="5" t="s">
        <v>15</v>
      </c>
      <c r="E74" s="6" t="s">
        <v>104</v>
      </c>
      <c r="F74" s="6">
        <v>0</v>
      </c>
      <c r="G74" s="27">
        <v>0.22500000000000001</v>
      </c>
      <c r="H74" s="1">
        <v>1</v>
      </c>
      <c r="I74" s="1">
        <v>0.7</v>
      </c>
      <c r="J74" s="1">
        <v>14</v>
      </c>
      <c r="K74" s="1" t="str">
        <f>VLOOKUP(J74,Reservoirs!B$2:D$41,3,FALSE)</f>
        <v>新豊根</v>
      </c>
      <c r="L74" s="1">
        <v>0.5</v>
      </c>
      <c r="M74" s="6">
        <v>0.99</v>
      </c>
      <c r="N74" s="6">
        <v>0.2</v>
      </c>
      <c r="O74" s="6">
        <v>10</v>
      </c>
      <c r="P74" s="16">
        <v>1</v>
      </c>
      <c r="Q74" s="19">
        <v>1</v>
      </c>
    </row>
    <row r="75" spans="2:17" ht="15.75" thickBot="1" x14ac:dyDescent="0.2">
      <c r="B75" s="26" t="s">
        <v>246</v>
      </c>
      <c r="C75" s="43">
        <f>VLOOKUP(B75,[1]SYS!$F$5:$G$361,2,FALSE)</f>
        <v>141</v>
      </c>
      <c r="D75" s="5" t="s">
        <v>15</v>
      </c>
      <c r="E75" s="6" t="s">
        <v>105</v>
      </c>
      <c r="F75" s="6">
        <v>0</v>
      </c>
      <c r="G75" s="27">
        <v>0.22500000000000001</v>
      </c>
      <c r="H75" s="1">
        <v>1</v>
      </c>
      <c r="I75" s="1">
        <v>0.7</v>
      </c>
      <c r="J75" s="1">
        <v>14</v>
      </c>
      <c r="K75" s="1" t="str">
        <f>VLOOKUP(J75,Reservoirs!B$2:D$41,3,FALSE)</f>
        <v>新豊根</v>
      </c>
      <c r="L75" s="1">
        <v>0.5</v>
      </c>
      <c r="M75" s="6">
        <v>0.99</v>
      </c>
      <c r="N75" s="6">
        <v>0.2</v>
      </c>
      <c r="O75" s="6">
        <v>10</v>
      </c>
      <c r="P75" s="16">
        <v>1</v>
      </c>
      <c r="Q75" s="19">
        <v>1</v>
      </c>
    </row>
    <row r="76" spans="2:17" ht="15.75" thickBot="1" x14ac:dyDescent="0.2">
      <c r="B76" s="26" t="s">
        <v>247</v>
      </c>
      <c r="C76" s="43">
        <f>VLOOKUP(B76,[1]SYS!$F$5:$G$361,2,FALSE)</f>
        <v>205</v>
      </c>
      <c r="D76" s="5" t="s">
        <v>15</v>
      </c>
      <c r="E76" s="6" t="s">
        <v>106</v>
      </c>
      <c r="F76" s="6">
        <v>0</v>
      </c>
      <c r="G76" s="27">
        <v>0.22</v>
      </c>
      <c r="H76" s="1">
        <v>1</v>
      </c>
      <c r="I76" s="1">
        <v>0.7</v>
      </c>
      <c r="J76" s="1">
        <v>25</v>
      </c>
      <c r="K76" s="1" t="str">
        <f>VLOOKUP(J76,Reservoirs!B$2:D$41,3,FALSE)</f>
        <v>長野（福井県）</v>
      </c>
      <c r="L76" s="1">
        <v>0.5</v>
      </c>
      <c r="M76" s="6">
        <v>0.99</v>
      </c>
      <c r="N76" s="6">
        <v>0.2</v>
      </c>
      <c r="O76" s="6">
        <v>10</v>
      </c>
      <c r="P76" s="16">
        <v>1</v>
      </c>
      <c r="Q76" s="19">
        <v>1</v>
      </c>
    </row>
    <row r="77" spans="2:17" ht="15.75" thickBot="1" x14ac:dyDescent="0.2">
      <c r="B77" s="26" t="s">
        <v>248</v>
      </c>
      <c r="C77" s="43">
        <f>VLOOKUP(B77,[1]SYS!$F$5:$G$361,2,FALSE)</f>
        <v>219</v>
      </c>
      <c r="D77" s="5" t="s">
        <v>15</v>
      </c>
      <c r="E77" s="6" t="s">
        <v>107</v>
      </c>
      <c r="F77" s="6">
        <v>0</v>
      </c>
      <c r="G77" s="27">
        <v>0.32</v>
      </c>
      <c r="H77" s="1">
        <v>1</v>
      </c>
      <c r="I77" s="1">
        <v>0.7</v>
      </c>
      <c r="J77" s="1">
        <v>26</v>
      </c>
      <c r="K77" s="1" t="str">
        <f>VLOOKUP(J77,Reservoirs!B$2:D$41,3,FALSE)</f>
        <v>大河内</v>
      </c>
      <c r="L77" s="1">
        <v>0.5</v>
      </c>
      <c r="M77" s="6">
        <v>0.99</v>
      </c>
      <c r="N77" s="6">
        <v>0.2</v>
      </c>
      <c r="O77" s="6">
        <v>10</v>
      </c>
      <c r="P77" s="16">
        <v>1</v>
      </c>
      <c r="Q77" s="19">
        <v>1</v>
      </c>
    </row>
    <row r="78" spans="2:17" ht="15.75" thickBot="1" x14ac:dyDescent="0.2">
      <c r="B78" s="26" t="s">
        <v>248</v>
      </c>
      <c r="C78" s="43">
        <f>VLOOKUP(B78,[1]SYS!$F$5:$G$361,2,FALSE)</f>
        <v>219</v>
      </c>
      <c r="D78" s="5" t="s">
        <v>15</v>
      </c>
      <c r="E78" s="6" t="s">
        <v>108</v>
      </c>
      <c r="F78" s="6">
        <v>0</v>
      </c>
      <c r="G78" s="27">
        <v>0.32</v>
      </c>
      <c r="H78" s="1">
        <v>1</v>
      </c>
      <c r="I78" s="1">
        <v>0.7</v>
      </c>
      <c r="J78" s="1">
        <v>26</v>
      </c>
      <c r="K78" s="1" t="str">
        <f>VLOOKUP(J78,Reservoirs!B$2:D$41,3,FALSE)</f>
        <v>大河内</v>
      </c>
      <c r="L78" s="1">
        <v>0.5</v>
      </c>
      <c r="M78" s="6">
        <v>0.99</v>
      </c>
      <c r="N78" s="6">
        <v>0.2</v>
      </c>
      <c r="O78" s="6">
        <v>10</v>
      </c>
      <c r="P78" s="16">
        <v>1</v>
      </c>
      <c r="Q78" s="19">
        <v>1</v>
      </c>
    </row>
    <row r="79" spans="2:17" ht="15.75" thickBot="1" x14ac:dyDescent="0.2">
      <c r="B79" s="26" t="s">
        <v>248</v>
      </c>
      <c r="C79" s="43">
        <f>VLOOKUP(B79,[1]SYS!$F$5:$G$361,2,FALSE)</f>
        <v>219</v>
      </c>
      <c r="D79" s="5" t="s">
        <v>15</v>
      </c>
      <c r="E79" s="6" t="s">
        <v>109</v>
      </c>
      <c r="F79" s="6">
        <v>0</v>
      </c>
      <c r="G79" s="27">
        <v>0.32</v>
      </c>
      <c r="H79" s="1">
        <v>1</v>
      </c>
      <c r="I79" s="1">
        <v>0.7</v>
      </c>
      <c r="J79" s="1">
        <v>26</v>
      </c>
      <c r="K79" s="1" t="str">
        <f>VLOOKUP(J79,Reservoirs!B$2:D$41,3,FALSE)</f>
        <v>大河内</v>
      </c>
      <c r="L79" s="1">
        <v>0.5</v>
      </c>
      <c r="M79" s="6">
        <v>0.6</v>
      </c>
      <c r="N79" s="6">
        <v>0.2</v>
      </c>
      <c r="O79" s="6">
        <v>0</v>
      </c>
      <c r="P79" s="16">
        <v>1</v>
      </c>
      <c r="Q79" s="19">
        <v>1</v>
      </c>
    </row>
    <row r="80" spans="2:17" ht="15.75" thickBot="1" x14ac:dyDescent="0.2">
      <c r="B80" s="26" t="s">
        <v>248</v>
      </c>
      <c r="C80" s="43">
        <f>VLOOKUP(B80,[1]SYS!$F$5:$G$361,2,FALSE)</f>
        <v>219</v>
      </c>
      <c r="D80" s="5" t="s">
        <v>15</v>
      </c>
      <c r="E80" s="6" t="s">
        <v>110</v>
      </c>
      <c r="F80" s="6">
        <v>0</v>
      </c>
      <c r="G80" s="27">
        <v>0.32</v>
      </c>
      <c r="H80" s="1">
        <v>1</v>
      </c>
      <c r="I80" s="1">
        <v>0.7</v>
      </c>
      <c r="J80" s="1">
        <v>26</v>
      </c>
      <c r="K80" s="1" t="str">
        <f>VLOOKUP(J80,Reservoirs!B$2:D$41,3,FALSE)</f>
        <v>大河内</v>
      </c>
      <c r="L80" s="1">
        <v>0.5</v>
      </c>
      <c r="M80" s="6">
        <v>0.6</v>
      </c>
      <c r="N80" s="6">
        <v>0.2</v>
      </c>
      <c r="O80" s="6">
        <v>0</v>
      </c>
      <c r="P80" s="16">
        <v>1</v>
      </c>
      <c r="Q80" s="19">
        <v>1</v>
      </c>
    </row>
    <row r="81" spans="2:17" ht="15.75" thickBot="1" x14ac:dyDescent="0.2">
      <c r="B81" s="26" t="s">
        <v>249</v>
      </c>
      <c r="C81" s="43">
        <f>VLOOKUP(B81,[1]SYS!$F$5:$G$361,2,FALSE)</f>
        <v>217</v>
      </c>
      <c r="D81" s="5" t="s">
        <v>15</v>
      </c>
      <c r="E81" s="6" t="s">
        <v>111</v>
      </c>
      <c r="F81" s="6">
        <v>0</v>
      </c>
      <c r="G81" s="27">
        <v>0.23300000000000001</v>
      </c>
      <c r="H81" s="1">
        <v>1</v>
      </c>
      <c r="I81" s="1">
        <v>0.7</v>
      </c>
      <c r="J81" s="1">
        <v>27</v>
      </c>
      <c r="K81" s="1" t="str">
        <f>VLOOKUP(J81,Reservoirs!B$2:D$41,3,FALSE)</f>
        <v>喜撰山</v>
      </c>
      <c r="L81" s="1">
        <v>0.5</v>
      </c>
      <c r="M81" s="6">
        <v>0.99</v>
      </c>
      <c r="N81" s="6">
        <v>0.2</v>
      </c>
      <c r="O81" s="6">
        <v>10</v>
      </c>
      <c r="P81" s="16">
        <v>1</v>
      </c>
      <c r="Q81" s="19">
        <v>1</v>
      </c>
    </row>
    <row r="82" spans="2:17" ht="15.75" thickBot="1" x14ac:dyDescent="0.2">
      <c r="B82" s="26" t="s">
        <v>249</v>
      </c>
      <c r="C82" s="43">
        <f>VLOOKUP(B82,[1]SYS!$F$5:$G$361,2,FALSE)</f>
        <v>217</v>
      </c>
      <c r="D82" s="5" t="s">
        <v>15</v>
      </c>
      <c r="E82" s="6" t="s">
        <v>112</v>
      </c>
      <c r="F82" s="6">
        <v>0</v>
      </c>
      <c r="G82" s="27">
        <v>0.23300000000000001</v>
      </c>
      <c r="H82" s="1">
        <v>1</v>
      </c>
      <c r="I82" s="1">
        <v>0.7</v>
      </c>
      <c r="J82" s="1">
        <v>27</v>
      </c>
      <c r="K82" s="1" t="str">
        <f>VLOOKUP(J82,Reservoirs!B$2:D$41,3,FALSE)</f>
        <v>喜撰山</v>
      </c>
      <c r="L82" s="1">
        <v>0.5</v>
      </c>
      <c r="M82" s="6">
        <v>0.99</v>
      </c>
      <c r="N82" s="6">
        <v>0.2</v>
      </c>
      <c r="O82" s="6">
        <v>10</v>
      </c>
      <c r="P82" s="16">
        <v>1</v>
      </c>
      <c r="Q82" s="19">
        <v>1</v>
      </c>
    </row>
    <row r="83" spans="2:17" ht="15.75" thickBot="1" x14ac:dyDescent="0.2">
      <c r="B83" s="26" t="s">
        <v>245</v>
      </c>
      <c r="C83" s="43">
        <f>VLOOKUP(B83,[1]SYS!$F$5:$G$361,2,FALSE)</f>
        <v>223</v>
      </c>
      <c r="D83" s="5" t="s">
        <v>15</v>
      </c>
      <c r="E83" s="6" t="s">
        <v>113</v>
      </c>
      <c r="F83" s="6">
        <v>0</v>
      </c>
      <c r="G83" s="27">
        <v>0.20100000000000001</v>
      </c>
      <c r="H83" s="1">
        <v>1</v>
      </c>
      <c r="I83" s="1">
        <v>0.7</v>
      </c>
      <c r="J83" s="1">
        <v>28</v>
      </c>
      <c r="K83" s="1" t="str">
        <f>VLOOKUP(J83,Reservoirs!B$2:D$41,3,FALSE)</f>
        <v>奥吉野</v>
      </c>
      <c r="L83" s="1">
        <v>0.5</v>
      </c>
      <c r="M83" s="6">
        <v>0.99</v>
      </c>
      <c r="N83" s="6">
        <v>0.2</v>
      </c>
      <c r="O83" s="6">
        <v>10</v>
      </c>
      <c r="P83" s="16">
        <v>1</v>
      </c>
      <c r="Q83" s="19">
        <v>1</v>
      </c>
    </row>
    <row r="84" spans="2:17" ht="15.75" thickBot="1" x14ac:dyDescent="0.2">
      <c r="B84" s="26" t="s">
        <v>245</v>
      </c>
      <c r="C84" s="43">
        <f>VLOOKUP(B84,[1]SYS!$F$5:$G$361,2,FALSE)</f>
        <v>223</v>
      </c>
      <c r="D84" s="5" t="s">
        <v>15</v>
      </c>
      <c r="E84" s="6" t="s">
        <v>114</v>
      </c>
      <c r="F84" s="6">
        <v>0</v>
      </c>
      <c r="G84" s="27">
        <v>0.20100000000000001</v>
      </c>
      <c r="H84" s="1">
        <v>1</v>
      </c>
      <c r="I84" s="1">
        <v>0.7</v>
      </c>
      <c r="J84" s="1">
        <v>28</v>
      </c>
      <c r="K84" s="1" t="str">
        <f>VLOOKUP(J84,Reservoirs!B$2:D$41,3,FALSE)</f>
        <v>奥吉野</v>
      </c>
      <c r="L84" s="1">
        <v>0.5</v>
      </c>
      <c r="M84" s="6">
        <v>0.99</v>
      </c>
      <c r="N84" s="6">
        <v>0.2</v>
      </c>
      <c r="O84" s="6">
        <v>10</v>
      </c>
      <c r="P84" s="16">
        <v>1</v>
      </c>
      <c r="Q84" s="19">
        <v>1</v>
      </c>
    </row>
    <row r="85" spans="2:17" ht="15.75" thickBot="1" x14ac:dyDescent="0.2">
      <c r="B85" s="26" t="s">
        <v>245</v>
      </c>
      <c r="C85" s="43">
        <f>VLOOKUP(B85,[1]SYS!$F$5:$G$361,2,FALSE)</f>
        <v>223</v>
      </c>
      <c r="D85" s="5" t="s">
        <v>15</v>
      </c>
      <c r="E85" s="6" t="s">
        <v>115</v>
      </c>
      <c r="F85" s="6">
        <v>0</v>
      </c>
      <c r="G85" s="27">
        <v>0.20100000000000001</v>
      </c>
      <c r="H85" s="1">
        <v>1</v>
      </c>
      <c r="I85" s="1">
        <v>0.7</v>
      </c>
      <c r="J85" s="1">
        <v>28</v>
      </c>
      <c r="K85" s="1" t="str">
        <f>VLOOKUP(J85,Reservoirs!B$2:D$41,3,FALSE)</f>
        <v>奥吉野</v>
      </c>
      <c r="L85" s="1">
        <v>0.5</v>
      </c>
      <c r="M85" s="6">
        <v>0.99</v>
      </c>
      <c r="N85" s="6">
        <v>0.2</v>
      </c>
      <c r="O85" s="6">
        <v>10</v>
      </c>
      <c r="P85" s="16">
        <v>1</v>
      </c>
      <c r="Q85" s="19">
        <v>1</v>
      </c>
    </row>
    <row r="86" spans="2:17" ht="15.75" thickBot="1" x14ac:dyDescent="0.2">
      <c r="B86" s="26" t="s">
        <v>245</v>
      </c>
      <c r="C86" s="43">
        <f>VLOOKUP(B86,[1]SYS!$F$5:$G$361,2,FALSE)</f>
        <v>223</v>
      </c>
      <c r="D86" s="5" t="s">
        <v>15</v>
      </c>
      <c r="E86" s="6" t="s">
        <v>116</v>
      </c>
      <c r="F86" s="6">
        <v>0</v>
      </c>
      <c r="G86" s="27">
        <v>0.20100000000000001</v>
      </c>
      <c r="H86" s="1">
        <v>1</v>
      </c>
      <c r="I86" s="1">
        <v>0.7</v>
      </c>
      <c r="J86" s="1">
        <v>28</v>
      </c>
      <c r="K86" s="1" t="str">
        <f>VLOOKUP(J86,Reservoirs!B$2:D$41,3,FALSE)</f>
        <v>奥吉野</v>
      </c>
      <c r="L86" s="1">
        <v>0.5</v>
      </c>
      <c r="M86" s="6">
        <v>0.99</v>
      </c>
      <c r="N86" s="6">
        <v>0.2</v>
      </c>
      <c r="O86" s="6">
        <v>10</v>
      </c>
      <c r="P86" s="16">
        <v>1</v>
      </c>
      <c r="Q86" s="19">
        <v>1</v>
      </c>
    </row>
    <row r="87" spans="2:17" ht="15.75" thickBot="1" x14ac:dyDescent="0.2">
      <c r="B87" s="26" t="s">
        <v>245</v>
      </c>
      <c r="C87" s="43">
        <f>VLOOKUP(B87,[1]SYS!$F$5:$G$361,2,FALSE)</f>
        <v>223</v>
      </c>
      <c r="D87" s="5" t="s">
        <v>15</v>
      </c>
      <c r="E87" s="6" t="s">
        <v>117</v>
      </c>
      <c r="F87" s="6">
        <v>0</v>
      </c>
      <c r="G87" s="27">
        <v>0.20100000000000001</v>
      </c>
      <c r="H87" s="1">
        <v>1</v>
      </c>
      <c r="I87" s="1">
        <v>0.7</v>
      </c>
      <c r="J87" s="1">
        <v>28</v>
      </c>
      <c r="K87" s="1" t="str">
        <f>VLOOKUP(J87,Reservoirs!B$2:D$41,3,FALSE)</f>
        <v>奥吉野</v>
      </c>
      <c r="L87" s="1">
        <v>0.5</v>
      </c>
      <c r="M87" s="6">
        <v>0.99</v>
      </c>
      <c r="N87" s="6">
        <v>0.2</v>
      </c>
      <c r="O87" s="6">
        <v>10</v>
      </c>
      <c r="P87" s="16">
        <v>1</v>
      </c>
      <c r="Q87" s="19">
        <v>1</v>
      </c>
    </row>
    <row r="88" spans="2:17" ht="15.75" thickBot="1" x14ac:dyDescent="0.2">
      <c r="B88" s="26" t="s">
        <v>245</v>
      </c>
      <c r="C88" s="43">
        <f>VLOOKUP(B88,[1]SYS!$F$5:$G$361,2,FALSE)</f>
        <v>223</v>
      </c>
      <c r="D88" s="5" t="s">
        <v>15</v>
      </c>
      <c r="E88" s="6" t="s">
        <v>118</v>
      </c>
      <c r="F88" s="6">
        <v>0</v>
      </c>
      <c r="G88" s="27">
        <v>0.20100000000000001</v>
      </c>
      <c r="H88" s="1">
        <v>1</v>
      </c>
      <c r="I88" s="1">
        <v>0.7</v>
      </c>
      <c r="J88" s="1">
        <v>28</v>
      </c>
      <c r="K88" s="1" t="str">
        <f>VLOOKUP(J88,Reservoirs!B$2:D$41,3,FALSE)</f>
        <v>奥吉野</v>
      </c>
      <c r="L88" s="1">
        <v>0.5</v>
      </c>
      <c r="M88" s="6">
        <v>0.99</v>
      </c>
      <c r="N88" s="6">
        <v>0.2</v>
      </c>
      <c r="O88" s="6">
        <v>10</v>
      </c>
      <c r="P88" s="16">
        <v>1</v>
      </c>
      <c r="Q88" s="19">
        <v>1</v>
      </c>
    </row>
    <row r="89" spans="2:17" ht="15.75" thickBot="1" x14ac:dyDescent="0.2">
      <c r="B89" s="26" t="s">
        <v>250</v>
      </c>
      <c r="C89" s="43">
        <f>VLOOKUP(B89,[1]SYS!$F$5:$G$361,2,FALSE)</f>
        <v>231</v>
      </c>
      <c r="D89" s="5" t="s">
        <v>15</v>
      </c>
      <c r="E89" s="6" t="s">
        <v>119</v>
      </c>
      <c r="F89" s="6">
        <v>0</v>
      </c>
      <c r="G89" s="27">
        <v>0.30299999999999999</v>
      </c>
      <c r="H89" s="1">
        <v>1</v>
      </c>
      <c r="I89" s="1">
        <v>0.7</v>
      </c>
      <c r="J89" s="1">
        <v>29</v>
      </c>
      <c r="K89" s="1" t="str">
        <f>VLOOKUP(J89,Reservoirs!B$2:D$41,3,FALSE)</f>
        <v>奥多々良木</v>
      </c>
      <c r="L89" s="1">
        <v>0.5</v>
      </c>
      <c r="M89" s="6">
        <v>0.99</v>
      </c>
      <c r="N89" s="6">
        <v>0.2</v>
      </c>
      <c r="O89" s="6">
        <v>10</v>
      </c>
      <c r="P89" s="16">
        <v>1</v>
      </c>
      <c r="Q89" s="19">
        <v>1</v>
      </c>
    </row>
    <row r="90" spans="2:17" ht="15.75" thickBot="1" x14ac:dyDescent="0.2">
      <c r="B90" s="26" t="s">
        <v>250</v>
      </c>
      <c r="C90" s="43">
        <f>VLOOKUP(B90,[1]SYS!$F$5:$G$361,2,FALSE)</f>
        <v>231</v>
      </c>
      <c r="D90" s="5" t="s">
        <v>15</v>
      </c>
      <c r="E90" s="6" t="s">
        <v>120</v>
      </c>
      <c r="F90" s="6">
        <v>0</v>
      </c>
      <c r="G90" s="27">
        <v>0.30299999999999999</v>
      </c>
      <c r="H90" s="1">
        <v>1</v>
      </c>
      <c r="I90" s="1">
        <v>0.7</v>
      </c>
      <c r="J90" s="1">
        <v>29</v>
      </c>
      <c r="K90" s="1" t="str">
        <f>VLOOKUP(J90,Reservoirs!B$2:D$41,3,FALSE)</f>
        <v>奥多々良木</v>
      </c>
      <c r="L90" s="1">
        <v>0.5</v>
      </c>
      <c r="M90" s="6">
        <v>0.99</v>
      </c>
      <c r="N90" s="6">
        <v>0.2</v>
      </c>
      <c r="O90" s="6">
        <v>10</v>
      </c>
      <c r="P90" s="16">
        <v>1</v>
      </c>
      <c r="Q90" s="19">
        <v>1</v>
      </c>
    </row>
    <row r="91" spans="2:17" ht="15.75" thickBot="1" x14ac:dyDescent="0.2">
      <c r="B91" s="26" t="s">
        <v>250</v>
      </c>
      <c r="C91" s="43">
        <f>VLOOKUP(B91,[1]SYS!$F$5:$G$361,2,FALSE)</f>
        <v>231</v>
      </c>
      <c r="D91" s="5" t="s">
        <v>15</v>
      </c>
      <c r="E91" s="6" t="s">
        <v>121</v>
      </c>
      <c r="F91" s="6">
        <v>0</v>
      </c>
      <c r="G91" s="27">
        <v>0.30299999999999999</v>
      </c>
      <c r="H91" s="1">
        <v>1</v>
      </c>
      <c r="I91" s="1">
        <v>0.7</v>
      </c>
      <c r="J91" s="1">
        <v>29</v>
      </c>
      <c r="K91" s="1" t="str">
        <f>VLOOKUP(J91,Reservoirs!B$2:D$41,3,FALSE)</f>
        <v>奥多々良木</v>
      </c>
      <c r="L91" s="1">
        <v>0.5</v>
      </c>
      <c r="M91" s="6">
        <v>0.99</v>
      </c>
      <c r="N91" s="6">
        <v>0.2</v>
      </c>
      <c r="O91" s="6">
        <v>10</v>
      </c>
      <c r="P91" s="16">
        <v>1</v>
      </c>
      <c r="Q91" s="19">
        <v>1</v>
      </c>
    </row>
    <row r="92" spans="2:17" ht="15.75" thickBot="1" x14ac:dyDescent="0.2">
      <c r="B92" s="26" t="s">
        <v>250</v>
      </c>
      <c r="C92" s="43">
        <f>VLOOKUP(B92,[1]SYS!$F$5:$G$361,2,FALSE)</f>
        <v>231</v>
      </c>
      <c r="D92" s="5" t="s">
        <v>15</v>
      </c>
      <c r="E92" s="6" t="s">
        <v>122</v>
      </c>
      <c r="F92" s="6">
        <v>0</v>
      </c>
      <c r="G92" s="27">
        <v>0.30299999999999999</v>
      </c>
      <c r="H92" s="1">
        <v>1</v>
      </c>
      <c r="I92" s="1">
        <v>0.7</v>
      </c>
      <c r="J92" s="1">
        <v>29</v>
      </c>
      <c r="K92" s="1" t="str">
        <f>VLOOKUP(J92,Reservoirs!B$2:D$41,3,FALSE)</f>
        <v>奥多々良木</v>
      </c>
      <c r="L92" s="1">
        <v>0.5</v>
      </c>
      <c r="M92" s="6">
        <v>0.99</v>
      </c>
      <c r="N92" s="6">
        <v>0.2</v>
      </c>
      <c r="O92" s="6">
        <v>10</v>
      </c>
      <c r="P92" s="16">
        <v>1</v>
      </c>
      <c r="Q92" s="19">
        <v>1</v>
      </c>
    </row>
    <row r="93" spans="2:17" ht="15.75" thickBot="1" x14ac:dyDescent="0.2">
      <c r="B93" s="26" t="s">
        <v>250</v>
      </c>
      <c r="C93" s="43">
        <f>VLOOKUP(B93,[1]SYS!$F$5:$G$361,2,FALSE)</f>
        <v>231</v>
      </c>
      <c r="D93" s="5" t="s">
        <v>15</v>
      </c>
      <c r="E93" s="6" t="s">
        <v>123</v>
      </c>
      <c r="F93" s="6">
        <v>0</v>
      </c>
      <c r="G93" s="27">
        <v>0.36</v>
      </c>
      <c r="H93" s="1">
        <v>1</v>
      </c>
      <c r="I93" s="1">
        <v>0.7</v>
      </c>
      <c r="J93" s="1">
        <v>29</v>
      </c>
      <c r="K93" s="1" t="str">
        <f>VLOOKUP(J93,Reservoirs!B$2:D$41,3,FALSE)</f>
        <v>奥多々良木</v>
      </c>
      <c r="L93" s="1">
        <v>0.5</v>
      </c>
      <c r="M93" s="6">
        <v>0.99</v>
      </c>
      <c r="N93" s="6">
        <v>0.2</v>
      </c>
      <c r="O93" s="6">
        <v>10</v>
      </c>
      <c r="P93" s="16">
        <v>1</v>
      </c>
      <c r="Q93" s="19">
        <v>1</v>
      </c>
    </row>
    <row r="94" spans="2:17" ht="15.75" thickBot="1" x14ac:dyDescent="0.2">
      <c r="B94" s="26" t="s">
        <v>250</v>
      </c>
      <c r="C94" s="43">
        <f>VLOOKUP(B94,[1]SYS!$F$5:$G$361,2,FALSE)</f>
        <v>231</v>
      </c>
      <c r="D94" s="5" t="s">
        <v>15</v>
      </c>
      <c r="E94" s="6" t="s">
        <v>124</v>
      </c>
      <c r="F94" s="6">
        <v>0</v>
      </c>
      <c r="G94" s="27">
        <v>0.36</v>
      </c>
      <c r="H94" s="1">
        <v>1</v>
      </c>
      <c r="I94" s="1">
        <v>0.7</v>
      </c>
      <c r="J94" s="1">
        <v>29</v>
      </c>
      <c r="K94" s="1" t="str">
        <f>VLOOKUP(J94,Reservoirs!B$2:D$41,3,FALSE)</f>
        <v>奥多々良木</v>
      </c>
      <c r="L94" s="1">
        <v>0.5</v>
      </c>
      <c r="M94" s="6">
        <v>0.99</v>
      </c>
      <c r="N94" s="6">
        <v>0.2</v>
      </c>
      <c r="O94" s="6">
        <v>10</v>
      </c>
      <c r="P94" s="16">
        <v>1</v>
      </c>
      <c r="Q94" s="19">
        <v>1</v>
      </c>
    </row>
    <row r="95" spans="2:17" ht="15.75" thickBot="1" x14ac:dyDescent="0.2">
      <c r="B95" s="26" t="s">
        <v>245</v>
      </c>
      <c r="C95" s="43">
        <f>VLOOKUP(B95,[1]SYS!$F$5:$G$361,2,FALSE)</f>
        <v>223</v>
      </c>
      <c r="D95" s="5" t="s">
        <v>15</v>
      </c>
      <c r="E95" s="6" t="s">
        <v>125</v>
      </c>
      <c r="F95" s="6">
        <v>0</v>
      </c>
      <c r="G95" s="27">
        <v>7.1999999999999995E-2</v>
      </c>
      <c r="H95" s="1">
        <v>1</v>
      </c>
      <c r="I95" s="1">
        <v>0.7</v>
      </c>
      <c r="J95" s="1">
        <v>24</v>
      </c>
      <c r="K95" s="1" t="str">
        <f>VLOOKUP(J95,Reservoirs!B$2:D$41,3,FALSE)</f>
        <v>池原</v>
      </c>
      <c r="L95" s="1">
        <v>0.5</v>
      </c>
      <c r="M95" s="6">
        <v>0.99</v>
      </c>
      <c r="N95" s="6">
        <v>0.2</v>
      </c>
      <c r="O95" s="6">
        <v>10</v>
      </c>
      <c r="P95" s="16">
        <v>1</v>
      </c>
      <c r="Q95" s="19">
        <v>1</v>
      </c>
    </row>
    <row r="96" spans="2:17" ht="15.75" thickBot="1" x14ac:dyDescent="0.2">
      <c r="B96" s="26" t="s">
        <v>245</v>
      </c>
      <c r="C96" s="43">
        <f>VLOOKUP(B96,[1]SYS!$F$5:$G$361,2,FALSE)</f>
        <v>223</v>
      </c>
      <c r="D96" s="5" t="s">
        <v>15</v>
      </c>
      <c r="E96" s="6" t="s">
        <v>126</v>
      </c>
      <c r="F96" s="6">
        <v>0</v>
      </c>
      <c r="G96" s="27">
        <v>0.10299999999999999</v>
      </c>
      <c r="H96" s="1">
        <v>1</v>
      </c>
      <c r="I96" s="1">
        <v>0.7</v>
      </c>
      <c r="J96" s="1">
        <v>24</v>
      </c>
      <c r="K96" s="1" t="str">
        <f>VLOOKUP(J96,Reservoirs!B$2:D$41,3,FALSE)</f>
        <v>池原</v>
      </c>
      <c r="L96" s="1">
        <v>0.5</v>
      </c>
      <c r="M96" s="6">
        <v>0.99</v>
      </c>
      <c r="N96" s="6">
        <v>0.2</v>
      </c>
      <c r="O96" s="6">
        <v>10</v>
      </c>
      <c r="P96" s="16">
        <v>1</v>
      </c>
      <c r="Q96" s="19">
        <v>1</v>
      </c>
    </row>
    <row r="97" spans="2:18" ht="15.75" thickBot="1" x14ac:dyDescent="0.2">
      <c r="B97" s="26" t="s">
        <v>251</v>
      </c>
      <c r="C97" s="43">
        <f>VLOOKUP(B97,[1]SYS!$F$5:$G$361,2,FALSE)</f>
        <v>268</v>
      </c>
      <c r="D97" s="5" t="s">
        <v>15</v>
      </c>
      <c r="E97" s="6" t="s">
        <v>127</v>
      </c>
      <c r="F97" s="6">
        <v>0</v>
      </c>
      <c r="G97" s="27">
        <v>1.2E-2</v>
      </c>
      <c r="H97" s="1">
        <v>1</v>
      </c>
      <c r="I97" s="1">
        <v>0.7</v>
      </c>
      <c r="J97" s="1">
        <v>30</v>
      </c>
      <c r="K97" s="1" t="str">
        <f>VLOOKUP(J97,Reservoirs!B$2:D$41,3,FALSE)</f>
        <v>大森川</v>
      </c>
      <c r="L97" s="1">
        <v>0.5</v>
      </c>
      <c r="M97" s="6">
        <v>0.99</v>
      </c>
      <c r="N97" s="6">
        <v>0.2</v>
      </c>
      <c r="O97" s="6">
        <v>10</v>
      </c>
      <c r="P97" s="16">
        <v>1</v>
      </c>
      <c r="Q97" s="19">
        <v>1</v>
      </c>
    </row>
    <row r="98" spans="2:18" ht="15.75" thickBot="1" x14ac:dyDescent="0.2">
      <c r="B98" s="26" t="s">
        <v>252</v>
      </c>
      <c r="C98" s="43">
        <f>VLOOKUP(B98,[1]SYS!$F$5:$G$361,2,FALSE)</f>
        <v>269</v>
      </c>
      <c r="D98" s="5" t="s">
        <v>15</v>
      </c>
      <c r="E98" s="6" t="s">
        <v>128</v>
      </c>
      <c r="F98" s="6">
        <v>0</v>
      </c>
      <c r="G98" s="27">
        <v>1.2999999999999999E-2</v>
      </c>
      <c r="H98" s="1">
        <v>1</v>
      </c>
      <c r="I98" s="1">
        <v>0.7</v>
      </c>
      <c r="J98" s="1">
        <v>31</v>
      </c>
      <c r="K98" s="1" t="str">
        <f>VLOOKUP(J98,Reservoirs!B$2:D$41,3,FALSE)</f>
        <v>穴内川</v>
      </c>
      <c r="L98" s="1">
        <v>0.5</v>
      </c>
      <c r="M98" s="6">
        <v>0.99</v>
      </c>
      <c r="N98" s="6">
        <v>0.2</v>
      </c>
      <c r="O98" s="6">
        <v>10</v>
      </c>
      <c r="P98" s="16">
        <v>1</v>
      </c>
      <c r="Q98" s="19">
        <v>1</v>
      </c>
    </row>
    <row r="99" spans="2:18" ht="15.75" thickBot="1" x14ac:dyDescent="0.2">
      <c r="B99" s="26" t="s">
        <v>252</v>
      </c>
      <c r="C99" s="43">
        <f>VLOOKUP(B99,[1]SYS!$F$5:$G$361,2,FALSE)</f>
        <v>269</v>
      </c>
      <c r="D99" s="5" t="s">
        <v>15</v>
      </c>
      <c r="E99" s="6" t="s">
        <v>129</v>
      </c>
      <c r="F99" s="6">
        <v>0</v>
      </c>
      <c r="G99" s="27">
        <v>4.7E-2</v>
      </c>
      <c r="H99" s="1">
        <v>1</v>
      </c>
      <c r="I99" s="1">
        <v>0.7</v>
      </c>
      <c r="J99" s="1">
        <v>32</v>
      </c>
      <c r="K99" s="1" t="str">
        <f>VLOOKUP(J99,Reservoirs!B$2:D$41,3,FALSE)</f>
        <v>蔭平</v>
      </c>
      <c r="L99" s="1">
        <v>0.5</v>
      </c>
      <c r="M99" s="6">
        <v>0.99</v>
      </c>
      <c r="N99" s="6">
        <v>0.2</v>
      </c>
      <c r="O99" s="6">
        <v>10</v>
      </c>
      <c r="P99" s="16">
        <v>1</v>
      </c>
      <c r="Q99" s="19">
        <v>1</v>
      </c>
    </row>
    <row r="100" spans="2:18" ht="15.75" thickBot="1" x14ac:dyDescent="0.2">
      <c r="B100" s="26" t="s">
        <v>251</v>
      </c>
      <c r="C100" s="43">
        <f>VLOOKUP(B100,[1]SYS!$F$5:$G$361,2,FALSE)</f>
        <v>268</v>
      </c>
      <c r="D100" s="5" t="s">
        <v>15</v>
      </c>
      <c r="E100" s="6" t="s">
        <v>130</v>
      </c>
      <c r="F100" s="6">
        <v>0</v>
      </c>
      <c r="G100" s="27">
        <v>0.315</v>
      </c>
      <c r="H100" s="1">
        <v>1</v>
      </c>
      <c r="I100" s="1">
        <v>0.7</v>
      </c>
      <c r="J100" s="1">
        <v>33</v>
      </c>
      <c r="K100" s="1" t="str">
        <f>VLOOKUP(J100,Reservoirs!B$2:D$41,3,FALSE)</f>
        <v>本川</v>
      </c>
      <c r="L100" s="1">
        <v>0.5</v>
      </c>
      <c r="M100" s="6">
        <v>0.99</v>
      </c>
      <c r="N100" s="6">
        <v>0.2</v>
      </c>
      <c r="O100" s="6">
        <v>10</v>
      </c>
      <c r="P100" s="16">
        <v>1</v>
      </c>
      <c r="Q100" s="19">
        <v>1</v>
      </c>
    </row>
    <row r="101" spans="2:18" ht="15.75" thickBot="1" x14ac:dyDescent="0.2">
      <c r="B101" s="26" t="s">
        <v>251</v>
      </c>
      <c r="C101" s="43">
        <f>VLOOKUP(B101,[1]SYS!$F$5:$G$361,2,FALSE)</f>
        <v>268</v>
      </c>
      <c r="D101" s="5" t="s">
        <v>15</v>
      </c>
      <c r="E101" s="6" t="s">
        <v>131</v>
      </c>
      <c r="F101" s="6">
        <v>0</v>
      </c>
      <c r="G101" s="27">
        <v>0.3</v>
      </c>
      <c r="H101" s="1">
        <v>1</v>
      </c>
      <c r="I101" s="1">
        <v>0.7</v>
      </c>
      <c r="J101" s="1">
        <v>33</v>
      </c>
      <c r="K101" s="1" t="str">
        <f>VLOOKUP(J101,Reservoirs!B$2:D$41,3,FALSE)</f>
        <v>本川</v>
      </c>
      <c r="L101" s="1">
        <v>0.5</v>
      </c>
      <c r="M101" s="6">
        <v>0.99</v>
      </c>
      <c r="N101" s="6">
        <v>0.2</v>
      </c>
      <c r="O101" s="6">
        <v>10</v>
      </c>
      <c r="P101" s="16">
        <v>1</v>
      </c>
      <c r="Q101" s="19">
        <v>1</v>
      </c>
    </row>
    <row r="102" spans="2:18" ht="15.75" thickBot="1" x14ac:dyDescent="0.2">
      <c r="B102" s="26" t="s">
        <v>253</v>
      </c>
      <c r="C102" s="43">
        <f>VLOOKUP(B102,[1]SYS!$F$5:$G$361,2,FALSE)</f>
        <v>301</v>
      </c>
      <c r="D102" s="5" t="s">
        <v>15</v>
      </c>
      <c r="E102" s="6" t="s">
        <v>132</v>
      </c>
      <c r="F102" s="6">
        <v>0</v>
      </c>
      <c r="G102" s="27">
        <v>0.3</v>
      </c>
      <c r="H102" s="1">
        <v>1</v>
      </c>
      <c r="I102" s="1">
        <v>0.7</v>
      </c>
      <c r="J102" s="1">
        <v>34</v>
      </c>
      <c r="K102" s="1" t="str">
        <f>VLOOKUP(J102,Reservoirs!B$2:D$41,3,FALSE)</f>
        <v>俣野川</v>
      </c>
      <c r="L102" s="1">
        <v>0.5</v>
      </c>
      <c r="M102" s="6">
        <v>0.99</v>
      </c>
      <c r="N102" s="6">
        <v>0.2</v>
      </c>
      <c r="O102" s="6">
        <v>10</v>
      </c>
      <c r="P102" s="16">
        <v>1</v>
      </c>
      <c r="Q102" s="19">
        <v>1</v>
      </c>
    </row>
    <row r="103" spans="2:18" ht="15.75" thickBot="1" x14ac:dyDescent="0.2">
      <c r="B103" s="26" t="s">
        <v>253</v>
      </c>
      <c r="C103" s="43">
        <f>VLOOKUP(B103,[1]SYS!$F$5:$G$361,2,FALSE)</f>
        <v>301</v>
      </c>
      <c r="D103" s="5" t="s">
        <v>15</v>
      </c>
      <c r="E103" s="6" t="s">
        <v>133</v>
      </c>
      <c r="F103" s="6">
        <v>0</v>
      </c>
      <c r="G103" s="27">
        <v>0.3</v>
      </c>
      <c r="H103" s="1">
        <v>1</v>
      </c>
      <c r="I103" s="1">
        <v>0.7</v>
      </c>
      <c r="J103" s="1">
        <v>34</v>
      </c>
      <c r="K103" s="1" t="str">
        <f>VLOOKUP(J103,Reservoirs!B$2:D$41,3,FALSE)</f>
        <v>俣野川</v>
      </c>
      <c r="L103" s="1">
        <v>0.5</v>
      </c>
      <c r="M103" s="6">
        <v>0.99</v>
      </c>
      <c r="N103" s="6">
        <v>0.2</v>
      </c>
      <c r="O103" s="6">
        <v>10</v>
      </c>
      <c r="P103" s="16">
        <v>1</v>
      </c>
      <c r="Q103" s="19">
        <v>1</v>
      </c>
    </row>
    <row r="104" spans="2:18" ht="15.75" thickBot="1" x14ac:dyDescent="0.2">
      <c r="B104" s="26" t="s">
        <v>253</v>
      </c>
      <c r="C104" s="43">
        <f>VLOOKUP(B104,[1]SYS!$F$5:$G$361,2,FALSE)</f>
        <v>301</v>
      </c>
      <c r="D104" s="5" t="s">
        <v>7</v>
      </c>
      <c r="E104" s="6" t="s">
        <v>134</v>
      </c>
      <c r="F104" s="6">
        <v>0</v>
      </c>
      <c r="G104" s="27">
        <v>0.3</v>
      </c>
      <c r="H104" s="1">
        <v>1</v>
      </c>
      <c r="I104" s="1">
        <v>0.7</v>
      </c>
      <c r="J104" s="1">
        <v>34</v>
      </c>
      <c r="K104" s="1" t="str">
        <f>VLOOKUP(J104,Reservoirs!B$2:D$41,3,FALSE)</f>
        <v>俣野川</v>
      </c>
      <c r="L104" s="1">
        <v>0.5</v>
      </c>
      <c r="M104" s="6">
        <v>0.99</v>
      </c>
      <c r="N104" s="6">
        <v>0.2</v>
      </c>
      <c r="O104" s="6">
        <v>10</v>
      </c>
      <c r="P104" s="16">
        <v>1</v>
      </c>
      <c r="Q104" s="19">
        <v>1</v>
      </c>
    </row>
    <row r="105" spans="2:18" ht="15.75" thickBot="1" x14ac:dyDescent="0.2">
      <c r="B105" s="26" t="s">
        <v>253</v>
      </c>
      <c r="C105" s="43">
        <f>VLOOKUP(B105,[1]SYS!$F$5:$G$361,2,FALSE)</f>
        <v>301</v>
      </c>
      <c r="D105" s="5" t="s">
        <v>7</v>
      </c>
      <c r="E105" s="6" t="s">
        <v>135</v>
      </c>
      <c r="F105" s="6">
        <v>0</v>
      </c>
      <c r="G105" s="27">
        <v>0.3</v>
      </c>
      <c r="H105" s="1">
        <v>1</v>
      </c>
      <c r="I105" s="1">
        <v>0.7</v>
      </c>
      <c r="J105" s="1">
        <v>34</v>
      </c>
      <c r="K105" s="1" t="str">
        <f>VLOOKUP(J105,Reservoirs!B$2:D$41,3,FALSE)</f>
        <v>俣野川</v>
      </c>
      <c r="L105" s="1">
        <v>0.5</v>
      </c>
      <c r="M105" s="6">
        <v>0.99</v>
      </c>
      <c r="N105" s="6">
        <v>0.2</v>
      </c>
      <c r="O105" s="6">
        <v>10</v>
      </c>
      <c r="P105" s="16">
        <v>1</v>
      </c>
      <c r="Q105" s="19">
        <v>1</v>
      </c>
    </row>
    <row r="106" spans="2:18" ht="15.75" thickBot="1" x14ac:dyDescent="0.2">
      <c r="B106" s="26" t="s">
        <v>254</v>
      </c>
      <c r="C106" s="43">
        <f>VLOOKUP(B106,[1]SYS!$F$5:$G$361,2,FALSE)</f>
        <v>294</v>
      </c>
      <c r="D106" s="5" t="s">
        <v>15</v>
      </c>
      <c r="E106" s="6" t="s">
        <v>136</v>
      </c>
      <c r="F106" s="6">
        <v>0</v>
      </c>
      <c r="G106" s="27">
        <v>0.31</v>
      </c>
      <c r="H106" s="1">
        <v>1</v>
      </c>
      <c r="I106" s="1">
        <v>0.7</v>
      </c>
      <c r="J106" s="1">
        <v>35</v>
      </c>
      <c r="K106" s="1" t="str">
        <f>VLOOKUP(J106,Reservoirs!B$2:D$41,3,FALSE)</f>
        <v>南原</v>
      </c>
      <c r="L106" s="1">
        <v>0.5</v>
      </c>
      <c r="M106" s="6">
        <v>0.99</v>
      </c>
      <c r="N106" s="6">
        <v>0.2</v>
      </c>
      <c r="O106" s="6">
        <v>10</v>
      </c>
      <c r="P106" s="16">
        <v>1</v>
      </c>
      <c r="Q106" s="19">
        <v>1</v>
      </c>
    </row>
    <row r="107" spans="2:18" ht="15.75" thickBot="1" x14ac:dyDescent="0.2">
      <c r="B107" s="26" t="s">
        <v>254</v>
      </c>
      <c r="C107" s="43">
        <f>VLOOKUP(B107,[1]SYS!$F$5:$G$361,2,FALSE)</f>
        <v>294</v>
      </c>
      <c r="D107" s="5" t="s">
        <v>15</v>
      </c>
      <c r="E107" s="6" t="s">
        <v>137</v>
      </c>
      <c r="F107" s="6">
        <v>0</v>
      </c>
      <c r="G107" s="27">
        <v>0.31</v>
      </c>
      <c r="H107" s="1">
        <v>1</v>
      </c>
      <c r="I107" s="1">
        <v>0.7</v>
      </c>
      <c r="J107" s="1">
        <v>35</v>
      </c>
      <c r="K107" s="1" t="str">
        <f>VLOOKUP(J107,Reservoirs!B$2:D$41,3,FALSE)</f>
        <v>南原</v>
      </c>
      <c r="L107" s="1">
        <v>0.5</v>
      </c>
      <c r="M107" s="6">
        <v>0.99</v>
      </c>
      <c r="N107" s="6">
        <v>0.2</v>
      </c>
      <c r="O107" s="6">
        <v>10</v>
      </c>
      <c r="P107" s="16">
        <v>1</v>
      </c>
      <c r="Q107" s="19">
        <v>1</v>
      </c>
    </row>
    <row r="108" spans="2:18" ht="15.75" thickBot="1" x14ac:dyDescent="0.2">
      <c r="B108" s="26" t="s">
        <v>255</v>
      </c>
      <c r="C108" s="43">
        <f>VLOOKUP(B108,[1]SYS!$F$5:$G$361,2,FALSE)</f>
        <v>286</v>
      </c>
      <c r="D108" s="5" t="s">
        <v>7</v>
      </c>
      <c r="E108" s="6" t="s">
        <v>138</v>
      </c>
      <c r="F108" s="6">
        <v>0</v>
      </c>
      <c r="G108" s="27">
        <v>7.5999999999999998E-2</v>
      </c>
      <c r="H108" s="1">
        <v>1</v>
      </c>
      <c r="I108" s="1">
        <v>0.7</v>
      </c>
      <c r="J108" s="1">
        <v>36</v>
      </c>
      <c r="K108" s="1" t="str">
        <f>VLOOKUP(J108,Reservoirs!B$2:D$41,3,FALSE)</f>
        <v>新成羽川</v>
      </c>
      <c r="L108" s="1">
        <v>0.5</v>
      </c>
      <c r="M108" s="6">
        <v>0.99</v>
      </c>
      <c r="N108" s="6">
        <v>0.2</v>
      </c>
      <c r="O108" s="6">
        <v>10</v>
      </c>
      <c r="P108" s="16">
        <v>1</v>
      </c>
      <c r="Q108" s="19">
        <v>1</v>
      </c>
    </row>
    <row r="109" spans="2:18" ht="15.75" thickBot="1" x14ac:dyDescent="0.2">
      <c r="B109" s="26" t="s">
        <v>255</v>
      </c>
      <c r="C109" s="43">
        <f>VLOOKUP(B109,[1]SYS!$F$5:$G$361,2,FALSE)</f>
        <v>286</v>
      </c>
      <c r="D109" s="5" t="s">
        <v>15</v>
      </c>
      <c r="E109" s="6" t="s">
        <v>139</v>
      </c>
      <c r="F109" s="6">
        <v>0</v>
      </c>
      <c r="G109" s="27">
        <v>7.5999999999999998E-2</v>
      </c>
      <c r="H109" s="1">
        <v>1</v>
      </c>
      <c r="I109" s="1">
        <v>0.7</v>
      </c>
      <c r="J109" s="1">
        <v>36</v>
      </c>
      <c r="K109" s="1" t="str">
        <f>VLOOKUP(J109,Reservoirs!B$2:D$41,3,FALSE)</f>
        <v>新成羽川</v>
      </c>
      <c r="L109" s="1">
        <v>0.5</v>
      </c>
      <c r="M109" s="6">
        <v>0.99</v>
      </c>
      <c r="N109" s="6">
        <v>0.2</v>
      </c>
      <c r="O109" s="6">
        <v>10</v>
      </c>
      <c r="P109" s="16">
        <v>1</v>
      </c>
      <c r="Q109" s="19">
        <v>1</v>
      </c>
    </row>
    <row r="110" spans="2:18" ht="15.75" thickBot="1" x14ac:dyDescent="0.2">
      <c r="B110" s="26" t="s">
        <v>255</v>
      </c>
      <c r="C110" s="43">
        <f>VLOOKUP(B110,[1]SYS!$F$5:$G$361,2,FALSE)</f>
        <v>286</v>
      </c>
      <c r="D110" s="5" t="s">
        <v>7</v>
      </c>
      <c r="E110" s="6" t="s">
        <v>140</v>
      </c>
      <c r="F110" s="6">
        <v>0</v>
      </c>
      <c r="G110" s="27">
        <v>7.5999999999999998E-2</v>
      </c>
      <c r="H110" s="1">
        <v>1</v>
      </c>
      <c r="I110" s="1">
        <v>0.7</v>
      </c>
      <c r="J110" s="1">
        <v>36</v>
      </c>
      <c r="K110" s="1" t="str">
        <f>VLOOKUP(J110,Reservoirs!B$2:D$41,3,FALSE)</f>
        <v>新成羽川</v>
      </c>
      <c r="L110" s="1">
        <v>0.5</v>
      </c>
      <c r="M110" s="6">
        <v>0.99</v>
      </c>
      <c r="N110" s="6">
        <v>0.2</v>
      </c>
      <c r="O110" s="6">
        <v>10</v>
      </c>
      <c r="P110" s="16">
        <v>1</v>
      </c>
      <c r="Q110" s="19">
        <v>1</v>
      </c>
    </row>
    <row r="111" spans="2:18" ht="15.75" thickBot="1" x14ac:dyDescent="0.2">
      <c r="B111" s="26" t="s">
        <v>255</v>
      </c>
      <c r="C111" s="43">
        <f>VLOOKUP(B111,[1]SYS!$F$5:$G$361,2,FALSE)</f>
        <v>286</v>
      </c>
      <c r="D111" s="5" t="s">
        <v>7</v>
      </c>
      <c r="E111" s="6" t="s">
        <v>141</v>
      </c>
      <c r="F111" s="6">
        <v>0</v>
      </c>
      <c r="G111" s="27">
        <v>7.4999999999999997E-2</v>
      </c>
      <c r="H111" s="1">
        <v>1</v>
      </c>
      <c r="I111" s="1">
        <v>0.7</v>
      </c>
      <c r="J111" s="1">
        <v>36</v>
      </c>
      <c r="K111" s="1" t="str">
        <f>VLOOKUP(J111,Reservoirs!B$2:D$41,3,FALSE)</f>
        <v>新成羽川</v>
      </c>
      <c r="L111" s="1">
        <v>0.5</v>
      </c>
      <c r="M111" s="6">
        <v>0.99</v>
      </c>
      <c r="N111" s="6">
        <v>0.2</v>
      </c>
      <c r="O111" s="6">
        <v>10</v>
      </c>
      <c r="P111" s="16">
        <v>1</v>
      </c>
      <c r="Q111" s="19">
        <v>1</v>
      </c>
      <c r="R111"/>
    </row>
    <row r="112" spans="2:18" ht="15.75" thickBot="1" x14ac:dyDescent="0.2">
      <c r="B112" s="26" t="s">
        <v>256</v>
      </c>
      <c r="C112" s="43">
        <f>VLOOKUP(B112,[1]SYS!$F$5:$G$361,2,FALSE)</f>
        <v>339</v>
      </c>
      <c r="D112" s="5" t="s">
        <v>7</v>
      </c>
      <c r="E112" s="6" t="s">
        <v>17</v>
      </c>
      <c r="F112" s="6">
        <v>0</v>
      </c>
      <c r="G112" s="27">
        <v>0.25</v>
      </c>
      <c r="H112" s="1">
        <v>1</v>
      </c>
      <c r="I112" s="1">
        <v>0.7</v>
      </c>
      <c r="J112" s="1">
        <v>37</v>
      </c>
      <c r="K112" s="1" t="str">
        <f>VLOOKUP(J112,Reservoirs!B$2:D$41,3,FALSE)</f>
        <v>大平</v>
      </c>
      <c r="L112" s="1">
        <v>0.5</v>
      </c>
      <c r="M112" s="6">
        <v>0.99</v>
      </c>
      <c r="N112" s="6">
        <v>0.2</v>
      </c>
      <c r="O112" s="6">
        <v>10</v>
      </c>
      <c r="P112" s="16">
        <v>1</v>
      </c>
      <c r="Q112" s="19">
        <v>1</v>
      </c>
      <c r="R112"/>
    </row>
    <row r="113" spans="2:18" ht="15.75" thickBot="1" x14ac:dyDescent="0.2">
      <c r="B113" s="26" t="s">
        <v>256</v>
      </c>
      <c r="C113" s="43">
        <f>VLOOKUP(B113,[1]SYS!$F$5:$G$361,2,FALSE)</f>
        <v>339</v>
      </c>
      <c r="D113" s="5" t="s">
        <v>7</v>
      </c>
      <c r="E113" s="6" t="s">
        <v>18</v>
      </c>
      <c r="F113" s="6">
        <v>0</v>
      </c>
      <c r="G113" s="27">
        <v>0.25</v>
      </c>
      <c r="H113" s="1">
        <v>1</v>
      </c>
      <c r="I113" s="1">
        <v>0.7</v>
      </c>
      <c r="J113" s="1">
        <v>37</v>
      </c>
      <c r="K113" s="1" t="str">
        <f>VLOOKUP(J113,Reservoirs!B$2:D$41,3,FALSE)</f>
        <v>大平</v>
      </c>
      <c r="L113" s="1">
        <v>0.5</v>
      </c>
      <c r="M113" s="6">
        <v>0.99</v>
      </c>
      <c r="N113" s="6">
        <v>0.2</v>
      </c>
      <c r="O113" s="6">
        <v>10</v>
      </c>
      <c r="P113" s="16">
        <v>1</v>
      </c>
      <c r="Q113" s="19">
        <v>1</v>
      </c>
      <c r="R113"/>
    </row>
    <row r="114" spans="2:18" ht="15.75" thickBot="1" x14ac:dyDescent="0.2">
      <c r="B114" s="26" t="s">
        <v>257</v>
      </c>
      <c r="C114" s="43">
        <f>VLOOKUP(B114,[1]SYS!$F$5:$G$361,2,FALSE)</f>
        <v>353</v>
      </c>
      <c r="D114" s="5" t="s">
        <v>7</v>
      </c>
      <c r="E114" s="6" t="s">
        <v>19</v>
      </c>
      <c r="F114" s="6">
        <v>0</v>
      </c>
      <c r="G114" s="27">
        <v>0.3</v>
      </c>
      <c r="H114" s="1">
        <v>1</v>
      </c>
      <c r="I114" s="1">
        <v>0.7</v>
      </c>
      <c r="J114" s="1">
        <v>38</v>
      </c>
      <c r="K114" s="1" t="str">
        <f>VLOOKUP(J114,Reservoirs!B$2:D$41,3,FALSE)</f>
        <v>天山</v>
      </c>
      <c r="L114" s="1">
        <v>0.5</v>
      </c>
      <c r="M114" s="6">
        <v>0.99</v>
      </c>
      <c r="N114" s="6">
        <v>0.2</v>
      </c>
      <c r="O114" s="6">
        <v>10</v>
      </c>
      <c r="P114" s="16">
        <v>1</v>
      </c>
      <c r="Q114" s="19">
        <v>1</v>
      </c>
      <c r="R114"/>
    </row>
    <row r="115" spans="2:18" ht="15.75" thickBot="1" x14ac:dyDescent="0.2">
      <c r="B115" s="26" t="s">
        <v>257</v>
      </c>
      <c r="C115" s="43">
        <f>VLOOKUP(B115,[1]SYS!$F$5:$G$361,2,FALSE)</f>
        <v>353</v>
      </c>
      <c r="D115" s="5" t="s">
        <v>7</v>
      </c>
      <c r="E115" s="6" t="s">
        <v>20</v>
      </c>
      <c r="F115" s="6">
        <v>0</v>
      </c>
      <c r="G115" s="27">
        <v>0.3</v>
      </c>
      <c r="H115" s="1">
        <v>1</v>
      </c>
      <c r="I115" s="1">
        <v>0.7</v>
      </c>
      <c r="J115" s="1">
        <v>38</v>
      </c>
      <c r="K115" s="1" t="str">
        <f>VLOOKUP(J115,Reservoirs!B$2:D$41,3,FALSE)</f>
        <v>天山</v>
      </c>
      <c r="L115" s="1">
        <v>0.5</v>
      </c>
      <c r="M115" s="6">
        <v>0.99</v>
      </c>
      <c r="N115" s="6">
        <v>0.2</v>
      </c>
      <c r="O115" s="6">
        <v>10</v>
      </c>
      <c r="P115" s="16">
        <v>1</v>
      </c>
      <c r="Q115" s="19">
        <v>1</v>
      </c>
      <c r="R115"/>
    </row>
    <row r="116" spans="2:18" ht="15.75" thickBot="1" x14ac:dyDescent="0.2">
      <c r="B116" s="26" t="s">
        <v>258</v>
      </c>
      <c r="C116" s="43">
        <f>VLOOKUP(B116,[1]SYS!$F$5:$G$361,2,FALSE)</f>
        <v>317</v>
      </c>
      <c r="D116" s="5" t="s">
        <v>11</v>
      </c>
      <c r="E116" s="6" t="s">
        <v>21</v>
      </c>
      <c r="F116" s="6">
        <v>0</v>
      </c>
      <c r="G116" s="27">
        <v>0.3</v>
      </c>
      <c r="H116" s="1">
        <v>1</v>
      </c>
      <c r="I116" s="1">
        <v>0.7</v>
      </c>
      <c r="J116" s="1">
        <v>39</v>
      </c>
      <c r="K116" s="1" t="str">
        <f>VLOOKUP(J116,Reservoirs!B$2:D$41,3,FALSE)</f>
        <v>小丸川</v>
      </c>
      <c r="L116" s="1">
        <v>0.5</v>
      </c>
      <c r="M116" s="6">
        <v>0.6</v>
      </c>
      <c r="N116" s="6">
        <v>0.2</v>
      </c>
      <c r="O116" s="6">
        <v>0</v>
      </c>
      <c r="P116" s="16">
        <v>1</v>
      </c>
      <c r="Q116" s="19">
        <v>1</v>
      </c>
      <c r="R116"/>
    </row>
    <row r="117" spans="2:18" ht="15.75" thickBot="1" x14ac:dyDescent="0.2">
      <c r="B117" s="26" t="s">
        <v>258</v>
      </c>
      <c r="C117" s="43">
        <f>VLOOKUP(B117,[1]SYS!$F$5:$G$361,2,FALSE)</f>
        <v>317</v>
      </c>
      <c r="D117" s="5" t="s">
        <v>11</v>
      </c>
      <c r="E117" s="6" t="s">
        <v>22</v>
      </c>
      <c r="F117" s="6">
        <v>0</v>
      </c>
      <c r="G117" s="27">
        <v>0.3</v>
      </c>
      <c r="H117" s="1">
        <v>1</v>
      </c>
      <c r="I117" s="1">
        <v>0.7</v>
      </c>
      <c r="J117" s="1">
        <v>39</v>
      </c>
      <c r="K117" s="1" t="str">
        <f>VLOOKUP(J117,Reservoirs!B$2:D$41,3,FALSE)</f>
        <v>小丸川</v>
      </c>
      <c r="L117" s="1">
        <v>0.5</v>
      </c>
      <c r="M117" s="6">
        <v>0.6</v>
      </c>
      <c r="N117" s="6">
        <v>0.2</v>
      </c>
      <c r="O117" s="6">
        <v>0</v>
      </c>
      <c r="P117" s="16">
        <v>1</v>
      </c>
      <c r="Q117" s="19">
        <v>1</v>
      </c>
      <c r="R117"/>
    </row>
    <row r="118" spans="2:18" ht="15.75" thickBot="1" x14ac:dyDescent="0.2">
      <c r="B118" s="26" t="s">
        <v>258</v>
      </c>
      <c r="C118" s="43">
        <f>VLOOKUP(B118,[1]SYS!$F$5:$G$361,2,FALSE)</f>
        <v>317</v>
      </c>
      <c r="D118" s="5" t="s">
        <v>11</v>
      </c>
      <c r="E118" s="6" t="s">
        <v>23</v>
      </c>
      <c r="F118" s="6">
        <v>0</v>
      </c>
      <c r="G118" s="27">
        <v>0.3</v>
      </c>
      <c r="H118" s="1">
        <v>1</v>
      </c>
      <c r="I118" s="1">
        <v>0.7</v>
      </c>
      <c r="J118" s="1">
        <v>39</v>
      </c>
      <c r="K118" s="1" t="str">
        <f>VLOOKUP(J118,Reservoirs!B$2:D$41,3,FALSE)</f>
        <v>小丸川</v>
      </c>
      <c r="L118" s="1">
        <v>0.5</v>
      </c>
      <c r="M118" s="6">
        <v>0.6</v>
      </c>
      <c r="N118" s="6">
        <v>0.2</v>
      </c>
      <c r="O118" s="6">
        <v>0</v>
      </c>
      <c r="P118" s="16">
        <v>1</v>
      </c>
      <c r="Q118" s="19">
        <v>1</v>
      </c>
      <c r="R118"/>
    </row>
    <row r="119" spans="2:18" ht="15.75" thickBot="1" x14ac:dyDescent="0.2">
      <c r="B119" s="26" t="s">
        <v>258</v>
      </c>
      <c r="C119" s="43">
        <f>VLOOKUP(B119,[1]SYS!$F$5:$G$361,2,FALSE)</f>
        <v>317</v>
      </c>
      <c r="D119" s="11" t="s">
        <v>7</v>
      </c>
      <c r="E119" s="12" t="s">
        <v>24</v>
      </c>
      <c r="F119" s="12">
        <v>0</v>
      </c>
      <c r="G119" s="29">
        <v>0.3</v>
      </c>
      <c r="H119" s="23">
        <v>1</v>
      </c>
      <c r="I119" s="23">
        <v>0.7</v>
      </c>
      <c r="J119" s="23">
        <v>39</v>
      </c>
      <c r="K119" s="23" t="str">
        <f>VLOOKUP(J119,Reservoirs!B$2:D$41,3,FALSE)</f>
        <v>小丸川</v>
      </c>
      <c r="L119" s="23">
        <v>0.5</v>
      </c>
      <c r="M119" s="12">
        <v>0.6</v>
      </c>
      <c r="N119" s="12">
        <v>0.2</v>
      </c>
      <c r="O119" s="6">
        <v>0</v>
      </c>
      <c r="P119" s="20">
        <v>1</v>
      </c>
      <c r="Q119" s="21">
        <v>1</v>
      </c>
      <c r="R119"/>
    </row>
    <row r="120" spans="2:18" x14ac:dyDescent="0.15">
      <c r="R120"/>
    </row>
  </sheetData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zoomScale="85" zoomScaleNormal="85" workbookViewId="0">
      <selection activeCell="E2" sqref="E2"/>
    </sheetView>
  </sheetViews>
  <sheetFormatPr defaultRowHeight="13.5" x14ac:dyDescent="0.15"/>
  <cols>
    <col min="2" max="2" width="14.875" customWidth="1"/>
    <col min="3" max="4" width="12.625" customWidth="1"/>
    <col min="5" max="5" width="15.125" customWidth="1"/>
  </cols>
  <sheetData>
    <row r="1" spans="1:5" ht="15.75" thickBot="1" x14ac:dyDescent="0.2">
      <c r="B1" s="22" t="s">
        <v>183</v>
      </c>
      <c r="C1" s="3" t="s">
        <v>184</v>
      </c>
      <c r="D1" s="34" t="s">
        <v>226</v>
      </c>
      <c r="E1" s="15" t="s">
        <v>185</v>
      </c>
    </row>
    <row r="2" spans="1:5" ht="15" x14ac:dyDescent="0.15">
      <c r="A2" s="40">
        <f>ROWS(RVC)</f>
        <v>40</v>
      </c>
      <c r="B2" s="7">
        <v>0</v>
      </c>
      <c r="C2" s="8" t="s">
        <v>143</v>
      </c>
      <c r="D2" s="30" t="s">
        <v>186</v>
      </c>
      <c r="E2" s="10">
        <v>1.6</v>
      </c>
    </row>
    <row r="3" spans="1:5" ht="15" x14ac:dyDescent="0.15">
      <c r="B3" s="5">
        <v>1</v>
      </c>
      <c r="C3" s="6" t="s">
        <v>144</v>
      </c>
      <c r="D3" s="31" t="s">
        <v>187</v>
      </c>
      <c r="E3" s="2">
        <v>1.712</v>
      </c>
    </row>
    <row r="4" spans="1:5" ht="15" x14ac:dyDescent="0.15">
      <c r="B4" s="5">
        <v>2</v>
      </c>
      <c r="C4" s="6" t="s">
        <v>145</v>
      </c>
      <c r="D4" s="31" t="s">
        <v>188</v>
      </c>
      <c r="E4" s="2">
        <v>4.8</v>
      </c>
    </row>
    <row r="5" spans="1:5" ht="15" x14ac:dyDescent="0.15">
      <c r="B5" s="5">
        <v>3</v>
      </c>
      <c r="C5" s="6" t="s">
        <v>146</v>
      </c>
      <c r="D5" s="31" t="s">
        <v>189</v>
      </c>
      <c r="E5" s="2">
        <v>3.68</v>
      </c>
    </row>
    <row r="6" spans="1:5" ht="15" x14ac:dyDescent="0.15">
      <c r="B6" s="5">
        <v>4</v>
      </c>
      <c r="C6" s="6" t="s">
        <v>147</v>
      </c>
      <c r="D6" s="31" t="s">
        <v>190</v>
      </c>
      <c r="E6" s="2">
        <v>8.4</v>
      </c>
    </row>
    <row r="7" spans="1:5" ht="15" x14ac:dyDescent="0.15">
      <c r="B7" s="5">
        <v>5</v>
      </c>
      <c r="C7" s="6" t="s">
        <v>148</v>
      </c>
      <c r="D7" s="31" t="s">
        <v>191</v>
      </c>
      <c r="E7" s="2">
        <v>1.92</v>
      </c>
    </row>
    <row r="8" spans="1:5" ht="15" x14ac:dyDescent="0.15">
      <c r="B8" s="5">
        <v>6</v>
      </c>
      <c r="C8" s="6" t="s">
        <v>149</v>
      </c>
      <c r="D8" s="31" t="s">
        <v>192</v>
      </c>
      <c r="E8" s="2">
        <v>9.6</v>
      </c>
    </row>
    <row r="9" spans="1:5" ht="15" x14ac:dyDescent="0.15">
      <c r="B9" s="5">
        <v>7</v>
      </c>
      <c r="C9" s="6" t="s">
        <v>150</v>
      </c>
      <c r="D9" s="31" t="s">
        <v>193</v>
      </c>
      <c r="E9" s="2">
        <v>7.2</v>
      </c>
    </row>
    <row r="10" spans="1:5" ht="15" x14ac:dyDescent="0.15">
      <c r="B10" s="5">
        <v>8</v>
      </c>
      <c r="C10" s="6" t="s">
        <v>151</v>
      </c>
      <c r="D10" s="31" t="s">
        <v>194</v>
      </c>
      <c r="E10" s="2">
        <v>4.984</v>
      </c>
    </row>
    <row r="11" spans="1:5" ht="15" x14ac:dyDescent="0.15">
      <c r="B11" s="5">
        <v>9</v>
      </c>
      <c r="C11" s="6" t="s">
        <v>152</v>
      </c>
      <c r="D11" s="31" t="s">
        <v>195</v>
      </c>
      <c r="E11" s="2">
        <v>1.96</v>
      </c>
    </row>
    <row r="12" spans="1:5" ht="15" x14ac:dyDescent="0.15">
      <c r="B12" s="5">
        <v>10</v>
      </c>
      <c r="C12" s="6" t="s">
        <v>153</v>
      </c>
      <c r="D12" s="31" t="s">
        <v>196</v>
      </c>
      <c r="E12" s="2">
        <v>10.24</v>
      </c>
    </row>
    <row r="13" spans="1:5" ht="15" x14ac:dyDescent="0.15">
      <c r="B13" s="5">
        <v>11</v>
      </c>
      <c r="C13" s="6" t="s">
        <v>154</v>
      </c>
      <c r="D13" s="31" t="s">
        <v>197</v>
      </c>
      <c r="E13" s="2">
        <v>12.8</v>
      </c>
    </row>
    <row r="14" spans="1:5" ht="15" x14ac:dyDescent="0.15">
      <c r="B14" s="5">
        <v>12</v>
      </c>
      <c r="C14" s="6" t="s">
        <v>155</v>
      </c>
      <c r="D14" s="31" t="s">
        <v>198</v>
      </c>
      <c r="E14" s="2">
        <v>7.52</v>
      </c>
    </row>
    <row r="15" spans="1:5" ht="15" x14ac:dyDescent="0.15">
      <c r="B15" s="5">
        <v>13</v>
      </c>
      <c r="C15" s="6" t="s">
        <v>156</v>
      </c>
      <c r="D15" s="31" t="s">
        <v>218</v>
      </c>
      <c r="E15" s="2">
        <v>5.4</v>
      </c>
    </row>
    <row r="16" spans="1:5" ht="15" x14ac:dyDescent="0.15">
      <c r="B16" s="5">
        <v>14</v>
      </c>
      <c r="C16" s="6" t="s">
        <v>157</v>
      </c>
      <c r="D16" s="31" t="s">
        <v>215</v>
      </c>
      <c r="E16" s="2">
        <v>9</v>
      </c>
    </row>
    <row r="17" spans="2:5" ht="15" x14ac:dyDescent="0.15">
      <c r="B17" s="5">
        <v>15</v>
      </c>
      <c r="C17" s="6" t="s">
        <v>158</v>
      </c>
      <c r="D17" s="31" t="s">
        <v>213</v>
      </c>
      <c r="E17" s="2">
        <v>8</v>
      </c>
    </row>
    <row r="18" spans="2:5" ht="15" x14ac:dyDescent="0.15">
      <c r="B18" s="5">
        <v>16</v>
      </c>
      <c r="C18" s="6" t="s">
        <v>159</v>
      </c>
      <c r="D18" s="31" t="s">
        <v>214</v>
      </c>
      <c r="E18" s="2">
        <v>4.8</v>
      </c>
    </row>
    <row r="19" spans="2:5" ht="15" x14ac:dyDescent="0.15">
      <c r="B19" s="5">
        <v>17</v>
      </c>
      <c r="C19" s="6" t="s">
        <v>160</v>
      </c>
      <c r="D19" s="33" t="s">
        <v>225</v>
      </c>
      <c r="E19" s="2">
        <v>2</v>
      </c>
    </row>
    <row r="20" spans="2:5" ht="15" x14ac:dyDescent="0.15">
      <c r="B20" s="5">
        <v>18</v>
      </c>
      <c r="C20" s="6" t="s">
        <v>161</v>
      </c>
      <c r="D20" s="31" t="s">
        <v>216</v>
      </c>
      <c r="E20" s="2">
        <v>8</v>
      </c>
    </row>
    <row r="21" spans="2:5" ht="15" x14ac:dyDescent="0.15">
      <c r="B21" s="5">
        <v>19</v>
      </c>
      <c r="C21" s="6" t="s">
        <v>162</v>
      </c>
      <c r="D21" s="31" t="s">
        <v>223</v>
      </c>
      <c r="E21" s="2">
        <v>0.68799999999999994</v>
      </c>
    </row>
    <row r="22" spans="2:5" ht="15" x14ac:dyDescent="0.15">
      <c r="B22" s="5">
        <v>20</v>
      </c>
      <c r="C22" s="6" t="s">
        <v>163</v>
      </c>
      <c r="D22" s="31" t="s">
        <v>224</v>
      </c>
      <c r="E22" s="2">
        <v>2.72</v>
      </c>
    </row>
    <row r="23" spans="2:5" ht="15" x14ac:dyDescent="0.15">
      <c r="B23" s="5">
        <v>21</v>
      </c>
      <c r="C23" s="6" t="s">
        <v>164</v>
      </c>
      <c r="D23" s="31" t="s">
        <v>199</v>
      </c>
      <c r="E23" s="2">
        <v>2.3039999999999998</v>
      </c>
    </row>
    <row r="24" spans="2:5" ht="15" x14ac:dyDescent="0.15">
      <c r="B24" s="5">
        <v>22</v>
      </c>
      <c r="C24" s="6" t="s">
        <v>165</v>
      </c>
      <c r="D24" s="31" t="s">
        <v>217</v>
      </c>
      <c r="E24" s="2">
        <v>8.8239999999999998</v>
      </c>
    </row>
    <row r="25" spans="2:5" ht="15" x14ac:dyDescent="0.15">
      <c r="B25" s="5">
        <v>23</v>
      </c>
      <c r="C25" s="6" t="s">
        <v>166</v>
      </c>
      <c r="D25" s="31" t="s">
        <v>205</v>
      </c>
      <c r="E25" s="2">
        <v>12</v>
      </c>
    </row>
    <row r="26" spans="2:5" ht="15" x14ac:dyDescent="0.15">
      <c r="B26" s="5">
        <v>24</v>
      </c>
      <c r="C26" s="6" t="s">
        <v>228</v>
      </c>
      <c r="D26" s="31" t="s">
        <v>219</v>
      </c>
      <c r="E26" s="2">
        <v>2.8</v>
      </c>
    </row>
    <row r="27" spans="2:5" ht="15" x14ac:dyDescent="0.15">
      <c r="B27" s="5">
        <v>25</v>
      </c>
      <c r="C27" s="6" t="s">
        <v>167</v>
      </c>
      <c r="D27" s="31" t="s">
        <v>204</v>
      </c>
      <c r="E27" s="2">
        <v>1.76</v>
      </c>
    </row>
    <row r="28" spans="2:5" ht="15" x14ac:dyDescent="0.15">
      <c r="B28" s="5">
        <v>26</v>
      </c>
      <c r="C28" s="6" t="s">
        <v>168</v>
      </c>
      <c r="D28" s="31" t="s">
        <v>203</v>
      </c>
      <c r="E28" s="2">
        <v>10.24</v>
      </c>
    </row>
    <row r="29" spans="2:5" ht="15" x14ac:dyDescent="0.15">
      <c r="B29" s="5">
        <v>27</v>
      </c>
      <c r="C29" s="6" t="s">
        <v>169</v>
      </c>
      <c r="D29" s="31" t="s">
        <v>202</v>
      </c>
      <c r="E29" s="2">
        <v>3.7280000000000002</v>
      </c>
    </row>
    <row r="30" spans="2:5" ht="15" x14ac:dyDescent="0.15">
      <c r="B30" s="5">
        <v>28</v>
      </c>
      <c r="C30" s="6" t="s">
        <v>170</v>
      </c>
      <c r="D30" s="31" t="s">
        <v>201</v>
      </c>
      <c r="E30" s="2">
        <v>9.6479999999999997</v>
      </c>
    </row>
    <row r="31" spans="2:5" ht="15" x14ac:dyDescent="0.15">
      <c r="B31" s="5">
        <v>29</v>
      </c>
      <c r="C31" s="6" t="s">
        <v>171</v>
      </c>
      <c r="D31" s="31" t="s">
        <v>200</v>
      </c>
      <c r="E31" s="2">
        <v>15.456</v>
      </c>
    </row>
    <row r="32" spans="2:5" ht="15" x14ac:dyDescent="0.15">
      <c r="B32" s="5">
        <v>30</v>
      </c>
      <c r="C32" s="6" t="s">
        <v>172</v>
      </c>
      <c r="D32" s="31" t="s">
        <v>220</v>
      </c>
      <c r="E32" s="2">
        <v>9.6000000000000002E-2</v>
      </c>
    </row>
    <row r="33" spans="2:5" ht="15" x14ac:dyDescent="0.15">
      <c r="B33" s="5">
        <v>31</v>
      </c>
      <c r="C33" s="6" t="s">
        <v>173</v>
      </c>
      <c r="D33" s="31" t="s">
        <v>221</v>
      </c>
      <c r="E33" s="2">
        <v>0.104</v>
      </c>
    </row>
    <row r="34" spans="2:5" ht="15" x14ac:dyDescent="0.15">
      <c r="B34" s="5">
        <v>32</v>
      </c>
      <c r="C34" s="6" t="s">
        <v>174</v>
      </c>
      <c r="D34" s="31" t="s">
        <v>222</v>
      </c>
      <c r="E34" s="2">
        <v>0.376</v>
      </c>
    </row>
    <row r="35" spans="2:5" ht="15" x14ac:dyDescent="0.15">
      <c r="B35" s="5">
        <v>33</v>
      </c>
      <c r="C35" s="6" t="s">
        <v>175</v>
      </c>
      <c r="D35" s="31" t="s">
        <v>206</v>
      </c>
      <c r="E35" s="2">
        <v>4.92</v>
      </c>
    </row>
    <row r="36" spans="2:5" ht="15" x14ac:dyDescent="0.15">
      <c r="B36" s="5">
        <v>34</v>
      </c>
      <c r="C36" s="6" t="s">
        <v>176</v>
      </c>
      <c r="D36" s="31" t="s">
        <v>207</v>
      </c>
      <c r="E36" s="2">
        <v>9.6</v>
      </c>
    </row>
    <row r="37" spans="2:5" ht="15" x14ac:dyDescent="0.15">
      <c r="B37" s="5">
        <v>35</v>
      </c>
      <c r="C37" s="6" t="s">
        <v>177</v>
      </c>
      <c r="D37" s="31" t="s">
        <v>208</v>
      </c>
      <c r="E37" s="2">
        <v>4.96</v>
      </c>
    </row>
    <row r="38" spans="2:5" ht="15" x14ac:dyDescent="0.15">
      <c r="B38" s="5">
        <v>36</v>
      </c>
      <c r="C38" s="6" t="s">
        <v>178</v>
      </c>
      <c r="D38" s="31" t="s">
        <v>209</v>
      </c>
      <c r="E38" s="2">
        <v>2.4239999999999999</v>
      </c>
    </row>
    <row r="39" spans="2:5" ht="15" x14ac:dyDescent="0.15">
      <c r="B39" s="5">
        <v>37</v>
      </c>
      <c r="C39" s="6" t="s">
        <v>179</v>
      </c>
      <c r="D39" s="31" t="s">
        <v>210</v>
      </c>
      <c r="E39" s="2">
        <v>4</v>
      </c>
    </row>
    <row r="40" spans="2:5" ht="15" x14ac:dyDescent="0.15">
      <c r="B40" s="5">
        <v>38</v>
      </c>
      <c r="C40" s="6" t="s">
        <v>180</v>
      </c>
      <c r="D40" s="31" t="s">
        <v>211</v>
      </c>
      <c r="E40" s="2">
        <v>4.8</v>
      </c>
    </row>
    <row r="41" spans="2:5" ht="15.75" thickBot="1" x14ac:dyDescent="0.2">
      <c r="B41" s="11">
        <v>39</v>
      </c>
      <c r="C41" s="12" t="s">
        <v>181</v>
      </c>
      <c r="D41" s="32" t="s">
        <v>212</v>
      </c>
      <c r="E41" s="13">
        <v>9.6</v>
      </c>
    </row>
  </sheetData>
  <phoneticPr fontId="18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zoomScaleNormal="100" workbookViewId="0">
      <selection activeCell="B4" sqref="B4"/>
    </sheetView>
  </sheetViews>
  <sheetFormatPr defaultColWidth="9" defaultRowHeight="15" x14ac:dyDescent="0.15"/>
  <cols>
    <col min="1" max="1" width="39.5" style="9" customWidth="1"/>
    <col min="2" max="2" width="12.75" style="4" customWidth="1"/>
    <col min="3" max="16" width="12.75" style="9" customWidth="1"/>
    <col min="17" max="16384" width="9" style="9"/>
  </cols>
  <sheetData>
    <row r="1" spans="1:2" ht="15.75" thickBot="1" x14ac:dyDescent="0.2">
      <c r="A1" s="42">
        <f>COLUMNS(US)</f>
        <v>1</v>
      </c>
      <c r="B1" s="25"/>
    </row>
    <row r="2" spans="1:2" x14ac:dyDescent="0.15">
      <c r="A2" s="7" t="s">
        <v>12</v>
      </c>
      <c r="B2" s="10">
        <v>0</v>
      </c>
    </row>
    <row r="3" spans="1:2" ht="30" x14ac:dyDescent="0.15">
      <c r="A3" s="5" t="s">
        <v>230</v>
      </c>
      <c r="B3" s="41" t="s">
        <v>13</v>
      </c>
    </row>
    <row r="4" spans="1:2" x14ac:dyDescent="0.15">
      <c r="A4" s="5" t="s">
        <v>0</v>
      </c>
      <c r="B4" s="2">
        <v>190</v>
      </c>
    </row>
    <row r="5" spans="1:2" x14ac:dyDescent="0.15">
      <c r="A5" s="5" t="s">
        <v>1</v>
      </c>
      <c r="B5" s="2">
        <v>60</v>
      </c>
    </row>
    <row r="6" spans="1:2" x14ac:dyDescent="0.15">
      <c r="A6" s="5" t="s">
        <v>6</v>
      </c>
      <c r="B6" s="2">
        <v>0.01</v>
      </c>
    </row>
    <row r="7" spans="1:2" x14ac:dyDescent="0.15">
      <c r="A7" s="5" t="s">
        <v>5</v>
      </c>
      <c r="B7" s="2">
        <v>1</v>
      </c>
    </row>
    <row r="8" spans="1:2" x14ac:dyDescent="0.15">
      <c r="A8" s="5" t="s">
        <v>1</v>
      </c>
      <c r="B8" s="2">
        <v>60</v>
      </c>
    </row>
    <row r="9" spans="1:2" x14ac:dyDescent="0.15">
      <c r="A9" s="5" t="s">
        <v>6</v>
      </c>
      <c r="B9" s="2">
        <v>0.01</v>
      </c>
    </row>
    <row r="10" spans="1:2" x14ac:dyDescent="0.15">
      <c r="A10" s="5" t="s">
        <v>14</v>
      </c>
      <c r="B10" s="2">
        <v>0.9</v>
      </c>
    </row>
    <row r="11" spans="1:2" x14ac:dyDescent="0.15">
      <c r="A11" s="5" t="s">
        <v>4</v>
      </c>
      <c r="B11" s="2">
        <v>-1</v>
      </c>
    </row>
    <row r="12" spans="1:2" x14ac:dyDescent="0.15">
      <c r="A12" s="5" t="s">
        <v>2</v>
      </c>
      <c r="B12" s="2">
        <v>0.7</v>
      </c>
    </row>
    <row r="13" spans="1:2" x14ac:dyDescent="0.15">
      <c r="A13" s="5" t="s">
        <v>3</v>
      </c>
      <c r="B13" s="2">
        <v>1E-3</v>
      </c>
    </row>
    <row r="14" spans="1:2" ht="15.75" thickBot="1" x14ac:dyDescent="0.2">
      <c r="A14" s="11" t="s">
        <v>10</v>
      </c>
      <c r="B14" s="13">
        <v>-1</v>
      </c>
    </row>
    <row r="17" customFormat="1" ht="13.5" x14ac:dyDescent="0.15"/>
    <row r="18" customFormat="1" ht="13.5" x14ac:dyDescent="0.15"/>
    <row r="19" customFormat="1" ht="13.5" x14ac:dyDescent="0.15"/>
    <row r="20" customFormat="1" ht="13.5" x14ac:dyDescent="0.15"/>
    <row r="21" customFormat="1" ht="13.5" x14ac:dyDescent="0.15"/>
    <row r="22" customFormat="1" ht="13.5" x14ac:dyDescent="0.15"/>
    <row r="23" customFormat="1" ht="13.5" x14ac:dyDescent="0.15"/>
    <row r="24" customFormat="1" ht="13.5" x14ac:dyDescent="0.15"/>
    <row r="25" customFormat="1" ht="13.5" x14ac:dyDescent="0.15"/>
    <row r="26" customFormat="1" ht="13.5" x14ac:dyDescent="0.15"/>
    <row r="27" customFormat="1" ht="13.5" x14ac:dyDescent="0.15"/>
    <row r="28" customFormat="1" ht="13.5" x14ac:dyDescent="0.15"/>
    <row r="29" customFormat="1" ht="13.5" x14ac:dyDescent="0.15"/>
    <row r="30" customFormat="1" ht="13.5" x14ac:dyDescent="0.15"/>
    <row r="31" customFormat="1" ht="13.5" x14ac:dyDescent="0.15"/>
    <row r="32" customFormat="1" ht="13.5" x14ac:dyDescent="0.15"/>
    <row r="33" customFormat="1" ht="13.5" x14ac:dyDescent="0.15"/>
    <row r="34" customFormat="1" ht="13.5" x14ac:dyDescent="0.15"/>
    <row r="35" customFormat="1" ht="13.5" x14ac:dyDescent="0.15"/>
    <row r="36" customFormat="1" ht="13.5" x14ac:dyDescent="0.15"/>
    <row r="37" customFormat="1" ht="13.5" x14ac:dyDescent="0.15"/>
    <row r="38" customFormat="1" ht="13.5" x14ac:dyDescent="0.15"/>
    <row r="39" customFormat="1" ht="13.5" x14ac:dyDescent="0.15"/>
    <row r="40" customFormat="1" ht="13.5" x14ac:dyDescent="0.15"/>
    <row r="41" customFormat="1" ht="13.5" x14ac:dyDescent="0.15"/>
    <row r="42" customFormat="1" ht="13.5" x14ac:dyDescent="0.15"/>
    <row r="43" customFormat="1" ht="13.5" x14ac:dyDescent="0.15"/>
    <row r="44" customFormat="1" ht="13.5" x14ac:dyDescent="0.15"/>
    <row r="45" customFormat="1" ht="13.5" x14ac:dyDescent="0.15"/>
    <row r="46" customFormat="1" ht="13.5" x14ac:dyDescent="0.15"/>
    <row r="47" customFormat="1" ht="13.5" x14ac:dyDescent="0.15"/>
    <row r="48" customFormat="1" ht="13.5" x14ac:dyDescent="0.15"/>
    <row r="49" customFormat="1" ht="13.5" x14ac:dyDescent="0.15"/>
    <row r="50" customFormat="1" ht="13.5" x14ac:dyDescent="0.15"/>
    <row r="51" customFormat="1" ht="13.5" x14ac:dyDescent="0.15"/>
    <row r="52" customFormat="1" ht="13.5" x14ac:dyDescent="0.15"/>
    <row r="53" customFormat="1" ht="13.5" x14ac:dyDescent="0.15"/>
    <row r="54" customFormat="1" ht="13.5" x14ac:dyDescent="0.15"/>
    <row r="55" customFormat="1" ht="13.5" x14ac:dyDescent="0.15"/>
    <row r="56" customFormat="1" ht="13.5" x14ac:dyDescent="0.15"/>
    <row r="57" customFormat="1" ht="13.5" x14ac:dyDescent="0.15"/>
    <row r="58" customFormat="1" ht="13.5" x14ac:dyDescent="0.15"/>
    <row r="59" customFormat="1" ht="13.5" x14ac:dyDescent="0.15"/>
    <row r="60" customFormat="1" ht="13.5" x14ac:dyDescent="0.15"/>
  </sheetData>
  <phoneticPr fontId="18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27</vt:i4>
      </vt:variant>
    </vt:vector>
  </HeadingPairs>
  <TitlesOfParts>
    <vt:vector size="30" baseType="lpstr">
      <vt:lpstr>PumpingUp</vt:lpstr>
      <vt:lpstr>Reservoirs</vt:lpstr>
      <vt:lpstr>Facility</vt:lpstr>
      <vt:lpstr>CEF</vt:lpstr>
      <vt:lpstr>CRT</vt:lpstr>
      <vt:lpstr>CYC</vt:lpstr>
      <vt:lpstr>MIR</vt:lpstr>
      <vt:lpstr>MOR</vt:lpstr>
      <vt:lpstr>MSR</vt:lpstr>
      <vt:lpstr>RR</vt:lpstr>
      <vt:lpstr>RVC</vt:lpstr>
      <vt:lpstr>RVN</vt:lpstr>
      <vt:lpstr>SDC</vt:lpstr>
      <vt:lpstr>SEXU</vt:lpstr>
      <vt:lpstr>SLFCR</vt:lpstr>
      <vt:lpstr>SLT_1</vt:lpstr>
      <vt:lpstr>SLT_2</vt:lpstr>
      <vt:lpstr>SMXU</vt:lpstr>
      <vt:lpstr>SN</vt:lpstr>
      <vt:lpstr>SOM_1</vt:lpstr>
      <vt:lpstr>SOM_2</vt:lpstr>
      <vt:lpstr>SS</vt:lpstr>
      <vt:lpstr>SSYN</vt:lpstr>
      <vt:lpstr>STY</vt:lpstr>
      <vt:lpstr>STYN</vt:lpstr>
      <vt:lpstr>SUC_1</vt:lpstr>
      <vt:lpstr>SUC_2</vt:lpstr>
      <vt:lpstr>UCAS</vt:lpstr>
      <vt:lpstr>UNS</vt:lpstr>
      <vt:lpstr>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康正</dc:creator>
  <cp:lastModifiedBy>田原 聡史</cp:lastModifiedBy>
  <cp:lastPrinted>2011-11-08T07:36:57Z</cp:lastPrinted>
  <dcterms:created xsi:type="dcterms:W3CDTF">2010-09-10T06:00:32Z</dcterms:created>
  <dcterms:modified xsi:type="dcterms:W3CDTF">2021-06-20T15:17:19Z</dcterms:modified>
</cp:coreProperties>
</file>