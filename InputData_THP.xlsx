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hara\Desktop\2021_OPGMDec\"/>
    </mc:Choice>
  </mc:AlternateContent>
  <bookViews>
    <workbookView xWindow="3150" yWindow="90" windowWidth="2880" windowHeight="7440"/>
  </bookViews>
  <sheets>
    <sheet name="UNIT" sheetId="39" r:id="rId1"/>
    <sheet name="THP2" sheetId="38" r:id="rId2"/>
    <sheet name="Fuel &amp; Resister" sheetId="36" r:id="rId3"/>
    <sheet name="Usage Rate" sheetId="37" r:id="rId4"/>
  </sheets>
  <externalReferences>
    <externalReference r:id="rId5"/>
  </externalReferences>
  <definedNames>
    <definedName name="BTY">'THP2'!$B$8:$J$8</definedName>
    <definedName name="CCSC">'THP2'!$B$15:$J$15</definedName>
    <definedName name="CCSEl">'THP2'!$B$17:$J$17</definedName>
    <definedName name="CCSLT">'THP2'!$B$16:$J$16</definedName>
    <definedName name="CO2F">UNIT!$M$2:$M$1393</definedName>
    <definedName name="COAL">UNIT!$A$5</definedName>
    <definedName name="EXIU">UNIT!$U$2:$U$1393</definedName>
    <definedName name="EXU">UNIT!$T$2:$T$1393</definedName>
    <definedName name="FCC">'Fuel &amp; Resister'!$B$6:$G$6</definedName>
    <definedName name="FCT">'Fuel &amp; Resister'!$B$4:$G$4</definedName>
    <definedName name="FF">'Fuel &amp; Resister'!$B$1</definedName>
    <definedName name="FHC">'Fuel &amp; Resister'!$B$5:$G$5</definedName>
    <definedName name="FTY">'Fuel &amp; Resister'!$B$3:$G$3</definedName>
    <definedName name="HR">UNIT!$K$2:$L$1393</definedName>
    <definedName name="LFC">'THP2'!$B$13:$J$13</definedName>
    <definedName name="LFCR">UNIT!$P$2:$P$1393</definedName>
    <definedName name="LNG">UNIT!$A$9</definedName>
    <definedName name="M">'Usage Rate'!$D$3</definedName>
    <definedName name="MDY">'THP2'!$B$14:$J$14</definedName>
    <definedName name="MO">'THP2'!$B$12:$J$12</definedName>
    <definedName name="MOL">UNIT!$H$2:$H$1393</definedName>
    <definedName name="MS">'THP2'!$B$11:$J$11</definedName>
    <definedName name="MSD">UNIT!$O$2:$O$1393</definedName>
    <definedName name="MXU">UNIT!$S$2:$S$1393</definedName>
    <definedName name="NUCLEAR">UNIT!$A$13</definedName>
    <definedName name="OCR">UNIT!$J$2:$J$1393</definedName>
    <definedName name="OIL">UNIT!$A$17</definedName>
    <definedName name="PEF">UNIT!$L$2:$L$1393</definedName>
    <definedName name="PLO">UNIT!$K$2:$K$1393</definedName>
    <definedName name="PLT">'THP2'!$B$6:$J$6</definedName>
    <definedName name="PN">UNIT!$C$2:$C$1393</definedName>
    <definedName name="POM">'THP2'!$B$7:$J$7</definedName>
    <definedName name="PP">UNIT!$A$2</definedName>
    <definedName name="PTY">UNIT!$G$2:$G$1393</definedName>
    <definedName name="PTYN">'THP2'!$A$3</definedName>
    <definedName name="PUC">'THP2'!$B$5:$J$5</definedName>
    <definedName name="REG">'THP2'!$B$9:$J$10</definedName>
    <definedName name="RFC">'Fuel &amp; Resister'!$J$2:$J$3</definedName>
    <definedName name="SC">'THP2'!$B$13:$J$13</definedName>
    <definedName name="STUC">UNIT!$N$2:$N$1393</definedName>
    <definedName name="SYN">UNIT!$Q$2:$Q$1393</definedName>
    <definedName name="UCAP">UNIT!$I$2:$I$1393</definedName>
    <definedName name="UR">'Usage Rate'!$F$5:$I$369</definedName>
    <definedName name="USR">'Usage Rate'!$E$5:$J$369</definedName>
  </definedNames>
  <calcPr calcId="162913" calcMode="manual"/>
</workbook>
</file>

<file path=xl/calcChain.xml><?xml version="1.0" encoding="utf-8"?>
<calcChain xmlns="http://schemas.openxmlformats.org/spreadsheetml/2006/main">
  <c r="AJ901" i="39" l="1"/>
  <c r="AI901" i="39"/>
  <c r="AH901" i="39"/>
  <c r="AF901" i="39"/>
  <c r="AG901" i="39" s="1"/>
  <c r="AE901" i="39"/>
  <c r="AD901" i="39"/>
  <c r="L901" i="39"/>
  <c r="K901" i="39"/>
  <c r="J901" i="39"/>
  <c r="I901" i="39"/>
  <c r="H901" i="39"/>
  <c r="C901" i="39"/>
  <c r="AJ900" i="39"/>
  <c r="AI900" i="39"/>
  <c r="AH900" i="39"/>
  <c r="AE900" i="39"/>
  <c r="AD900" i="39"/>
  <c r="L900" i="39"/>
  <c r="AF900" i="39" s="1"/>
  <c r="K900" i="39"/>
  <c r="J900" i="39"/>
  <c r="I900" i="39"/>
  <c r="H900" i="39"/>
  <c r="C900" i="39"/>
  <c r="AJ899" i="39"/>
  <c r="AI899" i="39"/>
  <c r="AH899" i="39"/>
  <c r="AE899" i="39"/>
  <c r="AD899" i="39"/>
  <c r="L899" i="39"/>
  <c r="K899" i="39"/>
  <c r="AF899" i="39" s="1"/>
  <c r="AG899" i="39" s="1"/>
  <c r="J899" i="39"/>
  <c r="I899" i="39"/>
  <c r="H899" i="39"/>
  <c r="C899" i="39"/>
  <c r="AJ898" i="39"/>
  <c r="AI898" i="39"/>
  <c r="AH898" i="39"/>
  <c r="AF898" i="39"/>
  <c r="AG898" i="39" s="1"/>
  <c r="AE898" i="39"/>
  <c r="AD898" i="39"/>
  <c r="L898" i="39"/>
  <c r="K898" i="39"/>
  <c r="J898" i="39"/>
  <c r="I898" i="39"/>
  <c r="H898" i="39"/>
  <c r="C898" i="39"/>
  <c r="AJ897" i="39"/>
  <c r="AI897" i="39"/>
  <c r="AH897" i="39"/>
  <c r="AE897" i="39"/>
  <c r="AD897" i="39"/>
  <c r="L897" i="39"/>
  <c r="AF897" i="39" s="1"/>
  <c r="K897" i="39"/>
  <c r="J897" i="39"/>
  <c r="I897" i="39"/>
  <c r="H897" i="39"/>
  <c r="C897" i="39"/>
  <c r="AJ896" i="39"/>
  <c r="AI896" i="39"/>
  <c r="AH896" i="39"/>
  <c r="AG896" i="39"/>
  <c r="AF896" i="39"/>
  <c r="AE896" i="39"/>
  <c r="AD896" i="39"/>
  <c r="L896" i="39"/>
  <c r="K896" i="39"/>
  <c r="J896" i="39"/>
  <c r="I896" i="39"/>
  <c r="H896" i="39"/>
  <c r="C896" i="39"/>
  <c r="AJ895" i="39"/>
  <c r="AI895" i="39"/>
  <c r="AH895" i="39"/>
  <c r="AE895" i="39"/>
  <c r="AD895" i="39"/>
  <c r="L895" i="39"/>
  <c r="K895" i="39"/>
  <c r="J895" i="39"/>
  <c r="I895" i="39"/>
  <c r="H895" i="39"/>
  <c r="C895" i="39"/>
  <c r="AJ894" i="39"/>
  <c r="AI894" i="39"/>
  <c r="AH894" i="39"/>
  <c r="AE894" i="39"/>
  <c r="AD894" i="39"/>
  <c r="L894" i="39"/>
  <c r="AF894" i="39" s="1"/>
  <c r="K894" i="39"/>
  <c r="J894" i="39"/>
  <c r="I894" i="39"/>
  <c r="H894" i="39"/>
  <c r="C894" i="39"/>
  <c r="AJ893" i="39"/>
  <c r="AI893" i="39"/>
  <c r="AH893" i="39"/>
  <c r="AF893" i="39"/>
  <c r="AE893" i="39"/>
  <c r="AD893" i="39"/>
  <c r="L893" i="39"/>
  <c r="K893" i="39"/>
  <c r="J893" i="39"/>
  <c r="I893" i="39"/>
  <c r="H893" i="39"/>
  <c r="C893" i="39"/>
  <c r="AJ892" i="39"/>
  <c r="AI892" i="39"/>
  <c r="AH892" i="39"/>
  <c r="AE892" i="39"/>
  <c r="AD892" i="39"/>
  <c r="N892" i="39"/>
  <c r="L892" i="39"/>
  <c r="K892" i="39"/>
  <c r="J892" i="39"/>
  <c r="I892" i="39"/>
  <c r="H892" i="39"/>
  <c r="C892" i="39"/>
  <c r="AJ891" i="39"/>
  <c r="AI891" i="39"/>
  <c r="AH891" i="39"/>
  <c r="AE891" i="39"/>
  <c r="AD891" i="39"/>
  <c r="N891" i="39"/>
  <c r="L891" i="39"/>
  <c r="AF891" i="39" s="1"/>
  <c r="K891" i="39"/>
  <c r="J891" i="39"/>
  <c r="I891" i="39"/>
  <c r="H891" i="39"/>
  <c r="C891" i="39"/>
  <c r="AJ890" i="39"/>
  <c r="AI890" i="39"/>
  <c r="AH890" i="39"/>
  <c r="AE890" i="39"/>
  <c r="AD890" i="39"/>
  <c r="N890" i="39"/>
  <c r="L890" i="39"/>
  <c r="K890" i="39"/>
  <c r="J890" i="39"/>
  <c r="I890" i="39"/>
  <c r="H890" i="39"/>
  <c r="AF890" i="39" s="1"/>
  <c r="AG890" i="39" s="1"/>
  <c r="C890" i="39"/>
  <c r="AJ889" i="39"/>
  <c r="AI889" i="39"/>
  <c r="AH889" i="39"/>
  <c r="AE889" i="39"/>
  <c r="AD889" i="39"/>
  <c r="N889" i="39"/>
  <c r="L889" i="39"/>
  <c r="K889" i="39"/>
  <c r="J889" i="39"/>
  <c r="I889" i="39"/>
  <c r="H889" i="39"/>
  <c r="AF889" i="39" s="1"/>
  <c r="C889" i="39"/>
  <c r="AJ888" i="39"/>
  <c r="AI888" i="39"/>
  <c r="AH888" i="39"/>
  <c r="AE888" i="39"/>
  <c r="AD888" i="39"/>
  <c r="N888" i="39"/>
  <c r="L888" i="39"/>
  <c r="AF888" i="39" s="1"/>
  <c r="K888" i="39"/>
  <c r="J888" i="39"/>
  <c r="I888" i="39"/>
  <c r="H888" i="39"/>
  <c r="C888" i="39"/>
  <c r="AJ887" i="39"/>
  <c r="AI887" i="39"/>
  <c r="AH887" i="39"/>
  <c r="AE887" i="39"/>
  <c r="AD887" i="39"/>
  <c r="N887" i="39"/>
  <c r="L887" i="39"/>
  <c r="AF887" i="39" s="1"/>
  <c r="K887" i="39"/>
  <c r="J887" i="39"/>
  <c r="I887" i="39"/>
  <c r="AG887" i="39" s="1"/>
  <c r="H887" i="39"/>
  <c r="C887" i="39"/>
  <c r="AJ886" i="39"/>
  <c r="AI886" i="39"/>
  <c r="AH886" i="39"/>
  <c r="AF886" i="39"/>
  <c r="AE886" i="39"/>
  <c r="AD886" i="39"/>
  <c r="N886" i="39"/>
  <c r="L886" i="39"/>
  <c r="K886" i="39"/>
  <c r="J886" i="39"/>
  <c r="I886" i="39"/>
  <c r="H886" i="39"/>
  <c r="C886" i="39"/>
  <c r="AJ885" i="39"/>
  <c r="AI885" i="39"/>
  <c r="AH885" i="39"/>
  <c r="AE885" i="39"/>
  <c r="AD885" i="39"/>
  <c r="N885" i="39"/>
  <c r="L885" i="39"/>
  <c r="AF885" i="39" s="1"/>
  <c r="K885" i="39"/>
  <c r="J885" i="39"/>
  <c r="I885" i="39"/>
  <c r="AG885" i="39" s="1"/>
  <c r="H885" i="39"/>
  <c r="C885" i="39"/>
  <c r="AJ884" i="39"/>
  <c r="AI884" i="39"/>
  <c r="AH884" i="39"/>
  <c r="AE884" i="39"/>
  <c r="AD884" i="39"/>
  <c r="N884" i="39"/>
  <c r="L884" i="39"/>
  <c r="AF884" i="39" s="1"/>
  <c r="K884" i="39"/>
  <c r="J884" i="39"/>
  <c r="I884" i="39"/>
  <c r="AG884" i="39" s="1"/>
  <c r="H884" i="39"/>
  <c r="C884" i="39"/>
  <c r="AJ883" i="39"/>
  <c r="AI883" i="39"/>
  <c r="AH883" i="39"/>
  <c r="AE883" i="39"/>
  <c r="AD883" i="39"/>
  <c r="N883" i="39"/>
  <c r="L883" i="39"/>
  <c r="AF883" i="39" s="1"/>
  <c r="K883" i="39"/>
  <c r="J883" i="39"/>
  <c r="I883" i="39"/>
  <c r="AG883" i="39" s="1"/>
  <c r="H883" i="39"/>
  <c r="C883" i="39"/>
  <c r="AJ882" i="39"/>
  <c r="AI882" i="39"/>
  <c r="AH882" i="39"/>
  <c r="AE882" i="39"/>
  <c r="AD882" i="39"/>
  <c r="N882" i="39"/>
  <c r="L882" i="39"/>
  <c r="AF882" i="39" s="1"/>
  <c r="K882" i="39"/>
  <c r="J882" i="39"/>
  <c r="I882" i="39"/>
  <c r="AG882" i="39" s="1"/>
  <c r="H882" i="39"/>
  <c r="C882" i="39"/>
  <c r="AJ881" i="39"/>
  <c r="AI881" i="39"/>
  <c r="AH881" i="39"/>
  <c r="AE881" i="39"/>
  <c r="AD881" i="39"/>
  <c r="N881" i="39"/>
  <c r="L881" i="39"/>
  <c r="AF881" i="39" s="1"/>
  <c r="K881" i="39"/>
  <c r="J881" i="39"/>
  <c r="I881" i="39"/>
  <c r="AG881" i="39" s="1"/>
  <c r="H881" i="39"/>
  <c r="C881" i="39"/>
  <c r="AJ880" i="39"/>
  <c r="AI880" i="39"/>
  <c r="AH880" i="39"/>
  <c r="AE880" i="39"/>
  <c r="AD880" i="39"/>
  <c r="N880" i="39"/>
  <c r="L880" i="39"/>
  <c r="K880" i="39"/>
  <c r="AF880" i="39" s="1"/>
  <c r="J880" i="39"/>
  <c r="I880" i="39"/>
  <c r="AG880" i="39" s="1"/>
  <c r="H880" i="39"/>
  <c r="C880" i="39"/>
  <c r="AJ879" i="39"/>
  <c r="AI879" i="39"/>
  <c r="AH879" i="39"/>
  <c r="AE879" i="39"/>
  <c r="AD879" i="39"/>
  <c r="N879" i="39"/>
  <c r="L879" i="39"/>
  <c r="K879" i="39"/>
  <c r="AF879" i="39" s="1"/>
  <c r="J879" i="39"/>
  <c r="I879" i="39"/>
  <c r="AG879" i="39" s="1"/>
  <c r="H879" i="39"/>
  <c r="C879" i="39"/>
  <c r="AJ878" i="39"/>
  <c r="AI878" i="39"/>
  <c r="AH878" i="39"/>
  <c r="AE878" i="39"/>
  <c r="AD878" i="39"/>
  <c r="N878" i="39"/>
  <c r="L878" i="39"/>
  <c r="K878" i="39"/>
  <c r="J878" i="39"/>
  <c r="I878" i="39"/>
  <c r="H878" i="39"/>
  <c r="AF878" i="39" s="1"/>
  <c r="C878" i="39"/>
  <c r="AJ877" i="39"/>
  <c r="AI877" i="39"/>
  <c r="AH877" i="39"/>
  <c r="AG877" i="39"/>
  <c r="AF877" i="39"/>
  <c r="AE877" i="39"/>
  <c r="AD877" i="39"/>
  <c r="N877" i="39"/>
  <c r="L877" i="39"/>
  <c r="K877" i="39"/>
  <c r="J877" i="39"/>
  <c r="I877" i="39"/>
  <c r="H877" i="39"/>
  <c r="C877" i="39"/>
  <c r="AJ876" i="39"/>
  <c r="AI876" i="39"/>
  <c r="AH876" i="39"/>
  <c r="AE876" i="39"/>
  <c r="AD876" i="39"/>
  <c r="N876" i="39"/>
  <c r="L876" i="39"/>
  <c r="K876" i="39"/>
  <c r="AF876" i="39" s="1"/>
  <c r="AG876" i="39" s="1"/>
  <c r="J876" i="39"/>
  <c r="I876" i="39"/>
  <c r="H876" i="39"/>
  <c r="C876" i="39"/>
  <c r="AJ875" i="39"/>
  <c r="AI875" i="39"/>
  <c r="AH875" i="39"/>
  <c r="AE875" i="39"/>
  <c r="AD875" i="39"/>
  <c r="N875" i="39"/>
  <c r="L875" i="39"/>
  <c r="K875" i="39"/>
  <c r="J875" i="39"/>
  <c r="I875" i="39"/>
  <c r="H875" i="39"/>
  <c r="C875" i="39"/>
  <c r="AJ874" i="39"/>
  <c r="AI874" i="39"/>
  <c r="AH874" i="39"/>
  <c r="AE874" i="39"/>
  <c r="AD874" i="39"/>
  <c r="N874" i="39"/>
  <c r="L874" i="39"/>
  <c r="AF874" i="39" s="1"/>
  <c r="AG874" i="39" s="1"/>
  <c r="K874" i="39"/>
  <c r="J874" i="39"/>
  <c r="I874" i="39"/>
  <c r="H874" i="39"/>
  <c r="C874" i="39"/>
  <c r="AJ873" i="39"/>
  <c r="AI873" i="39"/>
  <c r="AH873" i="39"/>
  <c r="AE873" i="39"/>
  <c r="AD873" i="39"/>
  <c r="N873" i="39"/>
  <c r="L873" i="39"/>
  <c r="AF873" i="39" s="1"/>
  <c r="K873" i="39"/>
  <c r="J873" i="39"/>
  <c r="I873" i="39"/>
  <c r="AG873" i="39" s="1"/>
  <c r="H873" i="39"/>
  <c r="C873" i="39"/>
  <c r="AJ872" i="39"/>
  <c r="AI872" i="39"/>
  <c r="AH872" i="39"/>
  <c r="AE872" i="39"/>
  <c r="AD872" i="39"/>
  <c r="N872" i="39"/>
  <c r="L872" i="39"/>
  <c r="K872" i="39"/>
  <c r="J872" i="39"/>
  <c r="I872" i="39"/>
  <c r="H872" i="39"/>
  <c r="C872" i="39"/>
  <c r="AJ871" i="39"/>
  <c r="AI871" i="39"/>
  <c r="AH871" i="39"/>
  <c r="AE871" i="39"/>
  <c r="AD871" i="39"/>
  <c r="N871" i="39"/>
  <c r="L871" i="39"/>
  <c r="AF871" i="39" s="1"/>
  <c r="K871" i="39"/>
  <c r="J871" i="39"/>
  <c r="I871" i="39"/>
  <c r="AG871" i="39" s="1"/>
  <c r="H871" i="39"/>
  <c r="C871" i="39"/>
  <c r="AJ870" i="39"/>
  <c r="AI870" i="39"/>
  <c r="AH870" i="39"/>
  <c r="AE870" i="39"/>
  <c r="AD870" i="39"/>
  <c r="N870" i="39"/>
  <c r="L870" i="39"/>
  <c r="K870" i="39"/>
  <c r="J870" i="39"/>
  <c r="I870" i="39"/>
  <c r="H870" i="39"/>
  <c r="AF870" i="39" s="1"/>
  <c r="AG870" i="39" s="1"/>
  <c r="C870" i="39"/>
  <c r="AJ869" i="39"/>
  <c r="AI869" i="39"/>
  <c r="AH869" i="39"/>
  <c r="AE869" i="39"/>
  <c r="AD869" i="39"/>
  <c r="N869" i="39"/>
  <c r="L869" i="39"/>
  <c r="K869" i="39"/>
  <c r="J869" i="39"/>
  <c r="H869" i="39"/>
  <c r="AF869" i="39" s="1"/>
  <c r="AG869" i="39" s="1"/>
  <c r="C869" i="39"/>
  <c r="AJ868" i="39"/>
  <c r="AI868" i="39"/>
  <c r="AH868" i="39"/>
  <c r="AE868" i="39"/>
  <c r="AD868" i="39"/>
  <c r="L868" i="39"/>
  <c r="K868" i="39"/>
  <c r="J868" i="39"/>
  <c r="I868" i="39"/>
  <c r="H868" i="39"/>
  <c r="AF868" i="39" s="1"/>
  <c r="C868" i="39"/>
  <c r="AJ867" i="39"/>
  <c r="AI867" i="39"/>
  <c r="AH867" i="39"/>
  <c r="AE867" i="39"/>
  <c r="AD867" i="39"/>
  <c r="L867" i="39"/>
  <c r="K867" i="39"/>
  <c r="J867" i="39"/>
  <c r="I867" i="39"/>
  <c r="H867" i="39"/>
  <c r="AF867" i="39" s="1"/>
  <c r="AG867" i="39" s="1"/>
  <c r="C867" i="39"/>
  <c r="AJ866" i="39"/>
  <c r="AI866" i="39"/>
  <c r="AH866" i="39"/>
  <c r="AE866" i="39"/>
  <c r="AD866" i="39"/>
  <c r="L866" i="39"/>
  <c r="K866" i="39"/>
  <c r="J866" i="39"/>
  <c r="I866" i="39"/>
  <c r="H866" i="39"/>
  <c r="C866" i="39"/>
  <c r="AJ865" i="39"/>
  <c r="AI865" i="39"/>
  <c r="AH865" i="39"/>
  <c r="AE865" i="39"/>
  <c r="AD865" i="39"/>
  <c r="L865" i="39"/>
  <c r="AF865" i="39" s="1"/>
  <c r="K865" i="39"/>
  <c r="J865" i="39"/>
  <c r="I865" i="39"/>
  <c r="AG865" i="39" s="1"/>
  <c r="H865" i="39"/>
  <c r="C865" i="39"/>
  <c r="AJ864" i="39"/>
  <c r="AI864" i="39"/>
  <c r="AH864" i="39"/>
  <c r="AF864" i="39"/>
  <c r="AE864" i="39"/>
  <c r="AD864" i="39"/>
  <c r="L864" i="39"/>
  <c r="K864" i="39"/>
  <c r="J864" i="39"/>
  <c r="I864" i="39"/>
  <c r="H864" i="39"/>
  <c r="C864" i="39"/>
  <c r="AJ863" i="39"/>
  <c r="AI863" i="39"/>
  <c r="AH863" i="39"/>
  <c r="AE863" i="39"/>
  <c r="AD863" i="39"/>
  <c r="L863" i="39"/>
  <c r="K863" i="39"/>
  <c r="J863" i="39"/>
  <c r="I863" i="39"/>
  <c r="H863" i="39"/>
  <c r="C863" i="39"/>
  <c r="AJ862" i="39"/>
  <c r="AI862" i="39"/>
  <c r="AH862" i="39"/>
  <c r="AE862" i="39"/>
  <c r="AD862" i="39"/>
  <c r="L862" i="39"/>
  <c r="K862" i="39"/>
  <c r="J862" i="39"/>
  <c r="I862" i="39"/>
  <c r="H862" i="39"/>
  <c r="AF862" i="39" s="1"/>
  <c r="C862" i="39"/>
  <c r="AJ861" i="39"/>
  <c r="AI861" i="39"/>
  <c r="AH861" i="39"/>
  <c r="AE861" i="39"/>
  <c r="AD861" i="39"/>
  <c r="L861" i="39"/>
  <c r="K861" i="39"/>
  <c r="J861" i="39"/>
  <c r="I861" i="39"/>
  <c r="H861" i="39"/>
  <c r="C861" i="39"/>
  <c r="AJ860" i="39"/>
  <c r="AI860" i="39"/>
  <c r="AH860" i="39"/>
  <c r="AE860" i="39"/>
  <c r="AD860" i="39"/>
  <c r="L860" i="39"/>
  <c r="K860" i="39"/>
  <c r="AF860" i="39" s="1"/>
  <c r="J860" i="39"/>
  <c r="I860" i="39"/>
  <c r="H860" i="39"/>
  <c r="C860" i="39"/>
  <c r="AJ859" i="39"/>
  <c r="AI859" i="39"/>
  <c r="AH859" i="39"/>
  <c r="AE859" i="39"/>
  <c r="AD859" i="39"/>
  <c r="L859" i="39"/>
  <c r="AF859" i="39" s="1"/>
  <c r="AG859" i="39" s="1"/>
  <c r="K859" i="39"/>
  <c r="J859" i="39"/>
  <c r="I859" i="39"/>
  <c r="H859" i="39"/>
  <c r="C859" i="39"/>
  <c r="AJ858" i="39"/>
  <c r="AI858" i="39"/>
  <c r="AH858" i="39"/>
  <c r="AE858" i="39"/>
  <c r="AD858" i="39"/>
  <c r="L858" i="39"/>
  <c r="AF858" i="39" s="1"/>
  <c r="AG858" i="39" s="1"/>
  <c r="K858" i="39"/>
  <c r="J858" i="39"/>
  <c r="I858" i="39"/>
  <c r="H858" i="39"/>
  <c r="C858" i="39"/>
  <c r="AJ857" i="39"/>
  <c r="AI857" i="39"/>
  <c r="AH857" i="39"/>
  <c r="AE857" i="39"/>
  <c r="AD857" i="39"/>
  <c r="L857" i="39"/>
  <c r="AF857" i="39" s="1"/>
  <c r="K857" i="39"/>
  <c r="J857" i="39"/>
  <c r="I857" i="39"/>
  <c r="H857" i="39"/>
  <c r="C857" i="39"/>
  <c r="AJ856" i="39"/>
  <c r="AI856" i="39"/>
  <c r="AH856" i="39"/>
  <c r="AG856" i="39"/>
  <c r="AF856" i="39"/>
  <c r="AE856" i="39"/>
  <c r="AD856" i="39"/>
  <c r="L856" i="39"/>
  <c r="K856" i="39"/>
  <c r="J856" i="39"/>
  <c r="I856" i="39"/>
  <c r="H856" i="39"/>
  <c r="C856" i="39"/>
  <c r="AJ855" i="39"/>
  <c r="AI855" i="39"/>
  <c r="AH855" i="39"/>
  <c r="AE855" i="39"/>
  <c r="AD855" i="39"/>
  <c r="L855" i="39"/>
  <c r="K855" i="39"/>
  <c r="J855" i="39"/>
  <c r="I855" i="39"/>
  <c r="H855" i="39"/>
  <c r="C855" i="39"/>
  <c r="AJ854" i="39"/>
  <c r="AI854" i="39"/>
  <c r="AH854" i="39"/>
  <c r="AE854" i="39"/>
  <c r="AD854" i="39"/>
  <c r="L854" i="39"/>
  <c r="K854" i="39"/>
  <c r="J854" i="39"/>
  <c r="I854" i="39"/>
  <c r="H854" i="39"/>
  <c r="AF854" i="39" s="1"/>
  <c r="AG854" i="39" s="1"/>
  <c r="C854" i="39"/>
  <c r="AJ853" i="39"/>
  <c r="AI853" i="39"/>
  <c r="AH853" i="39"/>
  <c r="AG853" i="39"/>
  <c r="AF853" i="39"/>
  <c r="AE853" i="39"/>
  <c r="AD853" i="39"/>
  <c r="L853" i="39"/>
  <c r="K853" i="39"/>
  <c r="J853" i="39"/>
  <c r="I853" i="39"/>
  <c r="H853" i="39"/>
  <c r="C853" i="39"/>
  <c r="AJ852" i="39"/>
  <c r="AI852" i="39"/>
  <c r="AH852" i="39"/>
  <c r="AE852" i="39"/>
  <c r="AD852" i="39"/>
  <c r="L852" i="39"/>
  <c r="K852" i="39"/>
  <c r="AF852" i="39" s="1"/>
  <c r="AG852" i="39" s="1"/>
  <c r="J852" i="39"/>
  <c r="I852" i="39"/>
  <c r="H852" i="39"/>
  <c r="C852" i="39"/>
  <c r="AJ851" i="39"/>
  <c r="AI851" i="39"/>
  <c r="AH851" i="39"/>
  <c r="AG851" i="39"/>
  <c r="AF851" i="39"/>
  <c r="AE851" i="39"/>
  <c r="AD851" i="39"/>
  <c r="L851" i="39"/>
  <c r="K851" i="39"/>
  <c r="J851" i="39"/>
  <c r="I851" i="39"/>
  <c r="H851" i="39"/>
  <c r="C851" i="39"/>
  <c r="AJ850" i="39"/>
  <c r="AI850" i="39"/>
  <c r="AH850" i="39"/>
  <c r="AF850" i="39"/>
  <c r="AG850" i="39" s="1"/>
  <c r="AE850" i="39"/>
  <c r="AD850" i="39"/>
  <c r="L850" i="39"/>
  <c r="K850" i="39"/>
  <c r="J850" i="39"/>
  <c r="I850" i="39"/>
  <c r="H850" i="39"/>
  <c r="C850" i="39"/>
  <c r="AJ849" i="39"/>
  <c r="AI849" i="39"/>
  <c r="AH849" i="39"/>
  <c r="AG849" i="39"/>
  <c r="AF849" i="39"/>
  <c r="AE849" i="39"/>
  <c r="AD849" i="39"/>
  <c r="L849" i="39"/>
  <c r="K849" i="39"/>
  <c r="J849" i="39"/>
  <c r="I849" i="39"/>
  <c r="H849" i="39"/>
  <c r="C849" i="39"/>
  <c r="AJ848" i="39"/>
  <c r="AI848" i="39"/>
  <c r="AH848" i="39"/>
  <c r="AF848" i="39"/>
  <c r="AE848" i="39"/>
  <c r="AD848" i="39"/>
  <c r="L848" i="39"/>
  <c r="K848" i="39"/>
  <c r="J848" i="39"/>
  <c r="I848" i="39"/>
  <c r="AG848" i="39" s="1"/>
  <c r="H848" i="39"/>
  <c r="C848" i="39"/>
  <c r="AJ847" i="39"/>
  <c r="AI847" i="39"/>
  <c r="AH847" i="39"/>
  <c r="AE847" i="39"/>
  <c r="AD847" i="39"/>
  <c r="L847" i="39"/>
  <c r="K847" i="39"/>
  <c r="J847" i="39"/>
  <c r="I847" i="39"/>
  <c r="H847" i="39"/>
  <c r="C847" i="39"/>
  <c r="AJ846" i="39"/>
  <c r="AI846" i="39"/>
  <c r="AH846" i="39"/>
  <c r="AF846" i="39"/>
  <c r="AE846" i="39"/>
  <c r="AD846" i="39"/>
  <c r="L846" i="39"/>
  <c r="K846" i="39"/>
  <c r="J846" i="39"/>
  <c r="I846" i="39"/>
  <c r="AG846" i="39" s="1"/>
  <c r="H846" i="39"/>
  <c r="C846" i="39"/>
  <c r="AJ845" i="39"/>
  <c r="AI845" i="39"/>
  <c r="AH845" i="39"/>
  <c r="AE845" i="39"/>
  <c r="AD845" i="39"/>
  <c r="L845" i="39"/>
  <c r="K845" i="39"/>
  <c r="J845" i="39"/>
  <c r="I845" i="39"/>
  <c r="H845" i="39"/>
  <c r="C845" i="39"/>
  <c r="AJ844" i="39"/>
  <c r="AI844" i="39"/>
  <c r="AH844" i="39"/>
  <c r="AE844" i="39"/>
  <c r="AD844" i="39"/>
  <c r="L844" i="39"/>
  <c r="K844" i="39"/>
  <c r="J844" i="39"/>
  <c r="I844" i="39"/>
  <c r="H844" i="39"/>
  <c r="C844" i="39"/>
  <c r="AJ843" i="39"/>
  <c r="AI843" i="39"/>
  <c r="AH843" i="39"/>
  <c r="AE843" i="39"/>
  <c r="AD843" i="39"/>
  <c r="L843" i="39"/>
  <c r="K843" i="39"/>
  <c r="J843" i="39"/>
  <c r="I843" i="39"/>
  <c r="H843" i="39"/>
  <c r="C843" i="39"/>
  <c r="AJ842" i="39"/>
  <c r="AI842" i="39"/>
  <c r="AH842" i="39"/>
  <c r="AE842" i="39"/>
  <c r="AD842" i="39"/>
  <c r="L842" i="39"/>
  <c r="K842" i="39"/>
  <c r="AF842" i="39" s="1"/>
  <c r="J842" i="39"/>
  <c r="I842" i="39"/>
  <c r="AG842" i="39" s="1"/>
  <c r="H842" i="39"/>
  <c r="C842" i="39"/>
  <c r="AJ841" i="39"/>
  <c r="AI841" i="39"/>
  <c r="AH841" i="39"/>
  <c r="AE841" i="39"/>
  <c r="AD841" i="39"/>
  <c r="L841" i="39"/>
  <c r="K841" i="39"/>
  <c r="J841" i="39"/>
  <c r="I841" i="39"/>
  <c r="H841" i="39"/>
  <c r="C841" i="39"/>
  <c r="AJ840" i="39"/>
  <c r="AI840" i="39"/>
  <c r="AH840" i="39"/>
  <c r="AE840" i="39"/>
  <c r="AD840" i="39"/>
  <c r="L840" i="39"/>
  <c r="AF840" i="39" s="1"/>
  <c r="K840" i="39"/>
  <c r="J840" i="39"/>
  <c r="I840" i="39"/>
  <c r="H840" i="39"/>
  <c r="C840" i="39"/>
  <c r="AJ839" i="39"/>
  <c r="AI839" i="39"/>
  <c r="AH839" i="39"/>
  <c r="AE839" i="39"/>
  <c r="AD839" i="39"/>
  <c r="L839" i="39"/>
  <c r="K839" i="39"/>
  <c r="J839" i="39"/>
  <c r="I839" i="39"/>
  <c r="H839" i="39"/>
  <c r="C839" i="39"/>
  <c r="AJ838" i="39"/>
  <c r="AI838" i="39"/>
  <c r="AH838" i="39"/>
  <c r="AE838" i="39"/>
  <c r="AD838" i="39"/>
  <c r="L838" i="39"/>
  <c r="K838" i="39"/>
  <c r="AF838" i="39" s="1"/>
  <c r="AG838" i="39" s="1"/>
  <c r="J838" i="39"/>
  <c r="I838" i="39"/>
  <c r="H838" i="39"/>
  <c r="C838" i="39"/>
  <c r="AJ837" i="39"/>
  <c r="AI837" i="39"/>
  <c r="AH837" i="39"/>
  <c r="AE837" i="39"/>
  <c r="AD837" i="39"/>
  <c r="L837" i="39"/>
  <c r="AF837" i="39" s="1"/>
  <c r="K837" i="39"/>
  <c r="J837" i="39"/>
  <c r="I837" i="39"/>
  <c r="AG837" i="39" s="1"/>
  <c r="H837" i="39"/>
  <c r="C837" i="39"/>
  <c r="AJ836" i="39"/>
  <c r="AI836" i="39"/>
  <c r="AH836" i="39"/>
  <c r="AE836" i="39"/>
  <c r="AD836" i="39"/>
  <c r="L836" i="39"/>
  <c r="K836" i="39"/>
  <c r="AF836" i="39" s="1"/>
  <c r="J836" i="39"/>
  <c r="I836" i="39"/>
  <c r="H836" i="39"/>
  <c r="C836" i="39"/>
  <c r="AJ835" i="39"/>
  <c r="AI835" i="39"/>
  <c r="AH835" i="39"/>
  <c r="AF835" i="39"/>
  <c r="AG835" i="39" s="1"/>
  <c r="AE835" i="39"/>
  <c r="AD835" i="39"/>
  <c r="L835" i="39"/>
  <c r="K835" i="39"/>
  <c r="J835" i="39"/>
  <c r="I835" i="39"/>
  <c r="H835" i="39"/>
  <c r="C835" i="39"/>
  <c r="AJ834" i="39"/>
  <c r="AI834" i="39"/>
  <c r="AH834" i="39"/>
  <c r="AE834" i="39"/>
  <c r="AD834" i="39"/>
  <c r="L834" i="39"/>
  <c r="AF834" i="39" s="1"/>
  <c r="K834" i="39"/>
  <c r="J834" i="39"/>
  <c r="I834" i="39"/>
  <c r="AG834" i="39" s="1"/>
  <c r="H834" i="39"/>
  <c r="C834" i="39"/>
  <c r="AJ833" i="39"/>
  <c r="AI833" i="39"/>
  <c r="AH833" i="39"/>
  <c r="AE833" i="39"/>
  <c r="AD833" i="39"/>
  <c r="L833" i="39"/>
  <c r="AF833" i="39" s="1"/>
  <c r="K833" i="39"/>
  <c r="J833" i="39"/>
  <c r="I833" i="39"/>
  <c r="H833" i="39"/>
  <c r="C833" i="39"/>
  <c r="AJ832" i="39"/>
  <c r="AI832" i="39"/>
  <c r="AH832" i="39"/>
  <c r="AF832" i="39"/>
  <c r="AE832" i="39"/>
  <c r="AD832" i="39"/>
  <c r="L832" i="39"/>
  <c r="K832" i="39"/>
  <c r="J832" i="39"/>
  <c r="I832" i="39"/>
  <c r="H832" i="39"/>
  <c r="C832" i="39"/>
  <c r="AJ831" i="39"/>
  <c r="AI831" i="39"/>
  <c r="AH831" i="39"/>
  <c r="AE831" i="39"/>
  <c r="AD831" i="39"/>
  <c r="L831" i="39"/>
  <c r="AF831" i="39" s="1"/>
  <c r="K831" i="39"/>
  <c r="J831" i="39"/>
  <c r="I831" i="39"/>
  <c r="AG831" i="39" s="1"/>
  <c r="H831" i="39"/>
  <c r="C831" i="39"/>
  <c r="AJ830" i="39"/>
  <c r="AI830" i="39"/>
  <c r="AH830" i="39"/>
  <c r="AE830" i="39"/>
  <c r="AD830" i="39"/>
  <c r="L830" i="39"/>
  <c r="K830" i="39"/>
  <c r="J830" i="39"/>
  <c r="I830" i="39"/>
  <c r="H830" i="39"/>
  <c r="AF830" i="39" s="1"/>
  <c r="C830" i="39"/>
  <c r="AJ829" i="39"/>
  <c r="AI829" i="39"/>
  <c r="AH829" i="39"/>
  <c r="AE829" i="39"/>
  <c r="AD829" i="39"/>
  <c r="L829" i="39"/>
  <c r="K829" i="39"/>
  <c r="J829" i="39"/>
  <c r="I829" i="39"/>
  <c r="H829" i="39"/>
  <c r="AF829" i="39" s="1"/>
  <c r="AG829" i="39" s="1"/>
  <c r="C829" i="39"/>
  <c r="AJ828" i="39"/>
  <c r="AI828" i="39"/>
  <c r="AH828" i="39"/>
  <c r="AE828" i="39"/>
  <c r="AD828" i="39"/>
  <c r="L828" i="39"/>
  <c r="K828" i="39"/>
  <c r="J828" i="39"/>
  <c r="I828" i="39"/>
  <c r="AG828" i="39" s="1"/>
  <c r="H828" i="39"/>
  <c r="AF828" i="39" s="1"/>
  <c r="C828" i="39"/>
  <c r="AJ827" i="39"/>
  <c r="AI827" i="39"/>
  <c r="AH827" i="39"/>
  <c r="AE827" i="39"/>
  <c r="AD827" i="39"/>
  <c r="L827" i="39"/>
  <c r="K827" i="39"/>
  <c r="J827" i="39"/>
  <c r="I827" i="39"/>
  <c r="H827" i="39"/>
  <c r="AF827" i="39" s="1"/>
  <c r="AG827" i="39" s="1"/>
  <c r="C827" i="39"/>
  <c r="AJ826" i="39"/>
  <c r="AI826" i="39"/>
  <c r="AH826" i="39"/>
  <c r="AE826" i="39"/>
  <c r="AD826" i="39"/>
  <c r="L826" i="39"/>
  <c r="K826" i="39"/>
  <c r="J826" i="39"/>
  <c r="I826" i="39"/>
  <c r="H826" i="39"/>
  <c r="C826" i="39"/>
  <c r="AJ825" i="39"/>
  <c r="AI825" i="39"/>
  <c r="AH825" i="39"/>
  <c r="AE825" i="39"/>
  <c r="AD825" i="39"/>
  <c r="L825" i="39"/>
  <c r="AF825" i="39" s="1"/>
  <c r="K825" i="39"/>
  <c r="J825" i="39"/>
  <c r="I825" i="39"/>
  <c r="AG825" i="39" s="1"/>
  <c r="H825" i="39"/>
  <c r="C825" i="39"/>
  <c r="AJ824" i="39"/>
  <c r="AI824" i="39"/>
  <c r="AH824" i="39"/>
  <c r="AF824" i="39"/>
  <c r="AE824" i="39"/>
  <c r="AD824" i="39"/>
  <c r="L824" i="39"/>
  <c r="K824" i="39"/>
  <c r="J824" i="39"/>
  <c r="I824" i="39"/>
  <c r="H824" i="39"/>
  <c r="C824" i="39"/>
  <c r="AJ823" i="39"/>
  <c r="AI823" i="39"/>
  <c r="AH823" i="39"/>
  <c r="AE823" i="39"/>
  <c r="AD823" i="39"/>
  <c r="L823" i="39"/>
  <c r="K823" i="39"/>
  <c r="J823" i="39"/>
  <c r="I823" i="39"/>
  <c r="H823" i="39"/>
  <c r="C823" i="39"/>
  <c r="AJ822" i="39"/>
  <c r="AI822" i="39"/>
  <c r="AH822" i="39"/>
  <c r="AE822" i="39"/>
  <c r="AD822" i="39"/>
  <c r="L822" i="39"/>
  <c r="K822" i="39"/>
  <c r="J822" i="39"/>
  <c r="I822" i="39"/>
  <c r="H822" i="39"/>
  <c r="AF822" i="39" s="1"/>
  <c r="C822" i="39"/>
  <c r="AJ821" i="39"/>
  <c r="AI821" i="39"/>
  <c r="AH821" i="39"/>
  <c r="AE821" i="39"/>
  <c r="AD821" i="39"/>
  <c r="L821" i="39"/>
  <c r="K821" i="39"/>
  <c r="J821" i="39"/>
  <c r="I821" i="39"/>
  <c r="H821" i="39"/>
  <c r="C821" i="39"/>
  <c r="AJ820" i="39"/>
  <c r="AI820" i="39"/>
  <c r="AH820" i="39"/>
  <c r="AE820" i="39"/>
  <c r="AD820" i="39"/>
  <c r="L820" i="39"/>
  <c r="K820" i="39"/>
  <c r="AF820" i="39" s="1"/>
  <c r="J820" i="39"/>
  <c r="I820" i="39"/>
  <c r="H820" i="39"/>
  <c r="C820" i="39"/>
  <c r="AJ819" i="39"/>
  <c r="AI819" i="39"/>
  <c r="AH819" i="39"/>
  <c r="AE819" i="39"/>
  <c r="AD819" i="39"/>
  <c r="L819" i="39"/>
  <c r="AF819" i="39" s="1"/>
  <c r="AG819" i="39" s="1"/>
  <c r="K819" i="39"/>
  <c r="J819" i="39"/>
  <c r="I819" i="39"/>
  <c r="H819" i="39"/>
  <c r="C819" i="39"/>
  <c r="AJ818" i="39"/>
  <c r="AI818" i="39"/>
  <c r="AH818" i="39"/>
  <c r="AE818" i="39"/>
  <c r="AD818" i="39"/>
  <c r="L818" i="39"/>
  <c r="AF818" i="39" s="1"/>
  <c r="AG818" i="39" s="1"/>
  <c r="K818" i="39"/>
  <c r="J818" i="39"/>
  <c r="I818" i="39"/>
  <c r="H818" i="39"/>
  <c r="C818" i="39"/>
  <c r="AJ817" i="39"/>
  <c r="AI817" i="39"/>
  <c r="AH817" i="39"/>
  <c r="AE817" i="39"/>
  <c r="AD817" i="39"/>
  <c r="L817" i="39"/>
  <c r="AF817" i="39" s="1"/>
  <c r="K817" i="39"/>
  <c r="J817" i="39"/>
  <c r="I817" i="39"/>
  <c r="H817" i="39"/>
  <c r="C817" i="39"/>
  <c r="AJ816" i="39"/>
  <c r="AI816" i="39"/>
  <c r="AH816" i="39"/>
  <c r="AG816" i="39"/>
  <c r="AF816" i="39"/>
  <c r="AE816" i="39"/>
  <c r="AD816" i="39"/>
  <c r="L816" i="39"/>
  <c r="K816" i="39"/>
  <c r="J816" i="39"/>
  <c r="I816" i="39"/>
  <c r="H816" i="39"/>
  <c r="C816" i="39"/>
  <c r="AJ815" i="39"/>
  <c r="AI815" i="39"/>
  <c r="AH815" i="39"/>
  <c r="AE815" i="39"/>
  <c r="AD815" i="39"/>
  <c r="L815" i="39"/>
  <c r="K815" i="39"/>
  <c r="J815" i="39"/>
  <c r="I815" i="39"/>
  <c r="H815" i="39"/>
  <c r="C815" i="39"/>
  <c r="AJ814" i="39"/>
  <c r="AI814" i="39"/>
  <c r="AH814" i="39"/>
  <c r="AE814" i="39"/>
  <c r="AD814" i="39"/>
  <c r="L814" i="39"/>
  <c r="K814" i="39"/>
  <c r="J814" i="39"/>
  <c r="I814" i="39"/>
  <c r="H814" i="39"/>
  <c r="AF814" i="39" s="1"/>
  <c r="AG814" i="39" s="1"/>
  <c r="C814" i="39"/>
  <c r="AJ813" i="39"/>
  <c r="AI813" i="39"/>
  <c r="AH813" i="39"/>
  <c r="AG813" i="39"/>
  <c r="AF813" i="39"/>
  <c r="AE813" i="39"/>
  <c r="AD813" i="39"/>
  <c r="L813" i="39"/>
  <c r="K813" i="39"/>
  <c r="J813" i="39"/>
  <c r="I813" i="39"/>
  <c r="H813" i="39"/>
  <c r="C813" i="39"/>
  <c r="AJ812" i="39"/>
  <c r="AI812" i="39"/>
  <c r="AH812" i="39"/>
  <c r="AE812" i="39"/>
  <c r="AD812" i="39"/>
  <c r="L812" i="39"/>
  <c r="K812" i="39"/>
  <c r="AF812" i="39" s="1"/>
  <c r="AG812" i="39" s="1"/>
  <c r="J812" i="39"/>
  <c r="I812" i="39"/>
  <c r="H812" i="39"/>
  <c r="C812" i="39"/>
  <c r="AJ811" i="39"/>
  <c r="AI811" i="39"/>
  <c r="AH811" i="39"/>
  <c r="AG811" i="39"/>
  <c r="AF811" i="39"/>
  <c r="AE811" i="39"/>
  <c r="AD811" i="39"/>
  <c r="L811" i="39"/>
  <c r="K811" i="39"/>
  <c r="J811" i="39"/>
  <c r="I811" i="39"/>
  <c r="H811" i="39"/>
  <c r="C811" i="39"/>
  <c r="AJ810" i="39"/>
  <c r="AI810" i="39"/>
  <c r="AH810" i="39"/>
  <c r="AF810" i="39"/>
  <c r="AG810" i="39" s="1"/>
  <c r="AE810" i="39"/>
  <c r="AD810" i="39"/>
  <c r="L810" i="39"/>
  <c r="K810" i="39"/>
  <c r="J810" i="39"/>
  <c r="I810" i="39"/>
  <c r="H810" i="39"/>
  <c r="C810" i="39"/>
  <c r="AJ809" i="39"/>
  <c r="AI809" i="39"/>
  <c r="AH809" i="39"/>
  <c r="AG809" i="39"/>
  <c r="AF809" i="39"/>
  <c r="AE809" i="39"/>
  <c r="AD809" i="39"/>
  <c r="L809" i="39"/>
  <c r="K809" i="39"/>
  <c r="J809" i="39"/>
  <c r="I809" i="39"/>
  <c r="H809" i="39"/>
  <c r="C809" i="39"/>
  <c r="AJ808" i="39"/>
  <c r="AI808" i="39"/>
  <c r="AH808" i="39"/>
  <c r="AF808" i="39"/>
  <c r="AE808" i="39"/>
  <c r="AD808" i="39"/>
  <c r="L808" i="39"/>
  <c r="K808" i="39"/>
  <c r="J808" i="39"/>
  <c r="I808" i="39"/>
  <c r="AG808" i="39" s="1"/>
  <c r="H808" i="39"/>
  <c r="C808" i="39"/>
  <c r="AJ807" i="39"/>
  <c r="AI807" i="39"/>
  <c r="AH807" i="39"/>
  <c r="AE807" i="39"/>
  <c r="AD807" i="39"/>
  <c r="L807" i="39"/>
  <c r="K807" i="39"/>
  <c r="J807" i="39"/>
  <c r="I807" i="39"/>
  <c r="H807" i="39"/>
  <c r="C807" i="39"/>
  <c r="AJ806" i="39"/>
  <c r="AI806" i="39"/>
  <c r="AH806" i="39"/>
  <c r="AF806" i="39"/>
  <c r="AE806" i="39"/>
  <c r="AD806" i="39"/>
  <c r="L806" i="39"/>
  <c r="K806" i="39"/>
  <c r="J806" i="39"/>
  <c r="I806" i="39"/>
  <c r="AG806" i="39" s="1"/>
  <c r="H806" i="39"/>
  <c r="C806" i="39"/>
  <c r="AJ805" i="39"/>
  <c r="AI805" i="39"/>
  <c r="AH805" i="39"/>
  <c r="AE805" i="39"/>
  <c r="AD805" i="39"/>
  <c r="L805" i="39"/>
  <c r="K805" i="39"/>
  <c r="J805" i="39"/>
  <c r="I805" i="39"/>
  <c r="H805" i="39"/>
  <c r="C805" i="39"/>
  <c r="AJ804" i="39"/>
  <c r="AI804" i="39"/>
  <c r="AH804" i="39"/>
  <c r="AE804" i="39"/>
  <c r="AD804" i="39"/>
  <c r="L804" i="39"/>
  <c r="K804" i="39"/>
  <c r="J804" i="39"/>
  <c r="I804" i="39"/>
  <c r="H804" i="39"/>
  <c r="C804" i="39"/>
  <c r="AJ803" i="39"/>
  <c r="AI803" i="39"/>
  <c r="AH803" i="39"/>
  <c r="AE803" i="39"/>
  <c r="AD803" i="39"/>
  <c r="L803" i="39"/>
  <c r="K803" i="39"/>
  <c r="J803" i="39"/>
  <c r="I803" i="39"/>
  <c r="H803" i="39"/>
  <c r="C803" i="39"/>
  <c r="AJ802" i="39"/>
  <c r="AI802" i="39"/>
  <c r="AH802" i="39"/>
  <c r="AE802" i="39"/>
  <c r="AD802" i="39"/>
  <c r="L802" i="39"/>
  <c r="K802" i="39"/>
  <c r="AF802" i="39" s="1"/>
  <c r="J802" i="39"/>
  <c r="I802" i="39"/>
  <c r="AG802" i="39" s="1"/>
  <c r="H802" i="39"/>
  <c r="C802" i="39"/>
  <c r="AJ801" i="39"/>
  <c r="AI801" i="39"/>
  <c r="AH801" i="39"/>
  <c r="AE801" i="39"/>
  <c r="AD801" i="39"/>
  <c r="L801" i="39"/>
  <c r="K801" i="39"/>
  <c r="J801" i="39"/>
  <c r="I801" i="39"/>
  <c r="H801" i="39"/>
  <c r="C801" i="39"/>
  <c r="AJ800" i="39"/>
  <c r="AI800" i="39"/>
  <c r="AH800" i="39"/>
  <c r="AE800" i="39"/>
  <c r="AD800" i="39"/>
  <c r="L800" i="39"/>
  <c r="AF800" i="39" s="1"/>
  <c r="K800" i="39"/>
  <c r="J800" i="39"/>
  <c r="I800" i="39"/>
  <c r="AG800" i="39" s="1"/>
  <c r="H800" i="39"/>
  <c r="C800" i="39"/>
  <c r="AJ799" i="39"/>
  <c r="AI799" i="39"/>
  <c r="AH799" i="39"/>
  <c r="AE799" i="39"/>
  <c r="AD799" i="39"/>
  <c r="L799" i="39"/>
  <c r="K799" i="39"/>
  <c r="J799" i="39"/>
  <c r="I799" i="39"/>
  <c r="H799" i="39"/>
  <c r="C799" i="39"/>
  <c r="AJ798" i="39"/>
  <c r="AI798" i="39"/>
  <c r="AH798" i="39"/>
  <c r="AE798" i="39"/>
  <c r="AD798" i="39"/>
  <c r="L798" i="39"/>
  <c r="K798" i="39"/>
  <c r="AF798" i="39" s="1"/>
  <c r="AG798" i="39" s="1"/>
  <c r="J798" i="39"/>
  <c r="I798" i="39"/>
  <c r="H798" i="39"/>
  <c r="C798" i="39"/>
  <c r="AJ797" i="39"/>
  <c r="AI797" i="39"/>
  <c r="AH797" i="39"/>
  <c r="AE797" i="39"/>
  <c r="AD797" i="39"/>
  <c r="L797" i="39"/>
  <c r="AF797" i="39" s="1"/>
  <c r="K797" i="39"/>
  <c r="J797" i="39"/>
  <c r="I797" i="39"/>
  <c r="AG797" i="39" s="1"/>
  <c r="H797" i="39"/>
  <c r="C797" i="39"/>
  <c r="AJ796" i="39"/>
  <c r="AI796" i="39"/>
  <c r="AH796" i="39"/>
  <c r="AE796" i="39"/>
  <c r="AD796" i="39"/>
  <c r="L796" i="39"/>
  <c r="K796" i="39"/>
  <c r="AF796" i="39" s="1"/>
  <c r="J796" i="39"/>
  <c r="I796" i="39"/>
  <c r="H796" i="39"/>
  <c r="C796" i="39"/>
  <c r="AJ795" i="39"/>
  <c r="AI795" i="39"/>
  <c r="AH795" i="39"/>
  <c r="AF795" i="39"/>
  <c r="AG795" i="39" s="1"/>
  <c r="AE795" i="39"/>
  <c r="AD795" i="39"/>
  <c r="L795" i="39"/>
  <c r="K795" i="39"/>
  <c r="J795" i="39"/>
  <c r="I795" i="39"/>
  <c r="H795" i="39"/>
  <c r="C795" i="39"/>
  <c r="AJ794" i="39"/>
  <c r="AI794" i="39"/>
  <c r="AH794" i="39"/>
  <c r="AE794" i="39"/>
  <c r="AD794" i="39"/>
  <c r="L794" i="39"/>
  <c r="AF794" i="39" s="1"/>
  <c r="K794" i="39"/>
  <c r="J794" i="39"/>
  <c r="I794" i="39"/>
  <c r="H794" i="39"/>
  <c r="C794" i="39"/>
  <c r="AJ793" i="39"/>
  <c r="AI793" i="39"/>
  <c r="AH793" i="39"/>
  <c r="AE793" i="39"/>
  <c r="AD793" i="39"/>
  <c r="L793" i="39"/>
  <c r="AF793" i="39" s="1"/>
  <c r="AG793" i="39" s="1"/>
  <c r="K793" i="39"/>
  <c r="J793" i="39"/>
  <c r="I793" i="39"/>
  <c r="H793" i="39"/>
  <c r="C793" i="39"/>
  <c r="AJ792" i="39"/>
  <c r="AI792" i="39"/>
  <c r="AH792" i="39"/>
  <c r="AF792" i="39"/>
  <c r="AE792" i="39"/>
  <c r="AD792" i="39"/>
  <c r="L792" i="39"/>
  <c r="K792" i="39"/>
  <c r="J792" i="39"/>
  <c r="I792" i="39"/>
  <c r="H792" i="39"/>
  <c r="C792" i="39"/>
  <c r="AJ791" i="39"/>
  <c r="AI791" i="39"/>
  <c r="AH791" i="39"/>
  <c r="AE791" i="39"/>
  <c r="AD791" i="39"/>
  <c r="L791" i="39"/>
  <c r="AF791" i="39" s="1"/>
  <c r="K791" i="39"/>
  <c r="J791" i="39"/>
  <c r="I791" i="39"/>
  <c r="AG791" i="39" s="1"/>
  <c r="H791" i="39"/>
  <c r="C791" i="39"/>
  <c r="AJ790" i="39"/>
  <c r="AI790" i="39"/>
  <c r="AH790" i="39"/>
  <c r="AF790" i="39"/>
  <c r="AE790" i="39"/>
  <c r="AD790" i="39"/>
  <c r="L790" i="39"/>
  <c r="K790" i="39"/>
  <c r="J790" i="39"/>
  <c r="I790" i="39"/>
  <c r="H790" i="39"/>
  <c r="C790" i="39"/>
  <c r="AJ789" i="39"/>
  <c r="AI789" i="39"/>
  <c r="N789" i="39"/>
  <c r="L789" i="39"/>
  <c r="K789" i="39"/>
  <c r="J789" i="39"/>
  <c r="I789" i="39"/>
  <c r="H789" i="39"/>
  <c r="C789" i="39"/>
  <c r="AJ788" i="39"/>
  <c r="AI788" i="39"/>
  <c r="N788" i="39"/>
  <c r="L788" i="39"/>
  <c r="K788" i="39"/>
  <c r="J788" i="39"/>
  <c r="I788" i="39"/>
  <c r="H788" i="39"/>
  <c r="C788" i="39"/>
  <c r="AJ787" i="39"/>
  <c r="AI787" i="39"/>
  <c r="AH787" i="39"/>
  <c r="AE787" i="39"/>
  <c r="AD787" i="39"/>
  <c r="L787" i="39"/>
  <c r="K787" i="39"/>
  <c r="J787" i="39"/>
  <c r="I787" i="39"/>
  <c r="H787" i="39"/>
  <c r="C787" i="39"/>
  <c r="AJ786" i="39"/>
  <c r="AI786" i="39"/>
  <c r="AH786" i="39"/>
  <c r="AE786" i="39"/>
  <c r="AD786" i="39"/>
  <c r="L786" i="39"/>
  <c r="K786" i="39"/>
  <c r="AF786" i="39" s="1"/>
  <c r="J786" i="39"/>
  <c r="I786" i="39"/>
  <c r="H786" i="39"/>
  <c r="C786" i="39"/>
  <c r="AJ785" i="39"/>
  <c r="AI785" i="39"/>
  <c r="AH785" i="39"/>
  <c r="AE785" i="39"/>
  <c r="AD785" i="39"/>
  <c r="L785" i="39"/>
  <c r="K785" i="39"/>
  <c r="J785" i="39"/>
  <c r="I785" i="39"/>
  <c r="H785" i="39"/>
  <c r="C785" i="39"/>
  <c r="AJ784" i="39"/>
  <c r="AI784" i="39"/>
  <c r="AH784" i="39"/>
  <c r="AE784" i="39"/>
  <c r="AD784" i="39"/>
  <c r="L784" i="39"/>
  <c r="AF784" i="39" s="1"/>
  <c r="K784" i="39"/>
  <c r="J784" i="39"/>
  <c r="I784" i="39"/>
  <c r="H784" i="39"/>
  <c r="C784" i="39"/>
  <c r="AJ783" i="39"/>
  <c r="AI783" i="39"/>
  <c r="AH783" i="39"/>
  <c r="AE783" i="39"/>
  <c r="AD783" i="39"/>
  <c r="L783" i="39"/>
  <c r="K783" i="39"/>
  <c r="J783" i="39"/>
  <c r="I783" i="39"/>
  <c r="H783" i="39"/>
  <c r="C783" i="39"/>
  <c r="AJ782" i="39"/>
  <c r="AI782" i="39"/>
  <c r="AH782" i="39"/>
  <c r="AE782" i="39"/>
  <c r="AD782" i="39"/>
  <c r="L782" i="39"/>
  <c r="K782" i="39"/>
  <c r="AF782" i="39" s="1"/>
  <c r="AG782" i="39" s="1"/>
  <c r="J782" i="39"/>
  <c r="I782" i="39"/>
  <c r="H782" i="39"/>
  <c r="C782" i="39"/>
  <c r="AJ781" i="39"/>
  <c r="AI781" i="39"/>
  <c r="AH781" i="39"/>
  <c r="AE781" i="39"/>
  <c r="AD781" i="39"/>
  <c r="L781" i="39"/>
  <c r="AF781" i="39" s="1"/>
  <c r="K781" i="39"/>
  <c r="J781" i="39"/>
  <c r="I781" i="39"/>
  <c r="H781" i="39"/>
  <c r="C781" i="39"/>
  <c r="AJ780" i="39"/>
  <c r="AI780" i="39"/>
  <c r="AH780" i="39"/>
  <c r="AE780" i="39"/>
  <c r="AD780" i="39"/>
  <c r="L780" i="39"/>
  <c r="K780" i="39"/>
  <c r="AF780" i="39" s="1"/>
  <c r="J780" i="39"/>
  <c r="I780" i="39"/>
  <c r="H780" i="39"/>
  <c r="C780" i="39"/>
  <c r="AJ779" i="39"/>
  <c r="AI779" i="39"/>
  <c r="AH779" i="39"/>
  <c r="AF779" i="39"/>
  <c r="AG779" i="39" s="1"/>
  <c r="AE779" i="39"/>
  <c r="AD779" i="39"/>
  <c r="L779" i="39"/>
  <c r="K779" i="39"/>
  <c r="J779" i="39"/>
  <c r="I779" i="39"/>
  <c r="H779" i="39"/>
  <c r="C779" i="39"/>
  <c r="AJ778" i="39"/>
  <c r="AI778" i="39"/>
  <c r="AH778" i="39"/>
  <c r="AE778" i="39"/>
  <c r="AD778" i="39"/>
  <c r="L778" i="39"/>
  <c r="AF778" i="39" s="1"/>
  <c r="K778" i="39"/>
  <c r="J778" i="39"/>
  <c r="I778" i="39"/>
  <c r="H778" i="39"/>
  <c r="C778" i="39"/>
  <c r="AJ777" i="39"/>
  <c r="AI777" i="39"/>
  <c r="AH777" i="39"/>
  <c r="AE777" i="39"/>
  <c r="AD777" i="39"/>
  <c r="L777" i="39"/>
  <c r="AF777" i="39" s="1"/>
  <c r="AG777" i="39" s="1"/>
  <c r="K777" i="39"/>
  <c r="J777" i="39"/>
  <c r="I777" i="39"/>
  <c r="H777" i="39"/>
  <c r="C777" i="39"/>
  <c r="AJ776" i="39"/>
  <c r="AI776" i="39"/>
  <c r="AH776" i="39"/>
  <c r="AF776" i="39"/>
  <c r="AE776" i="39"/>
  <c r="AD776" i="39"/>
  <c r="L776" i="39"/>
  <c r="K776" i="39"/>
  <c r="J776" i="39"/>
  <c r="I776" i="39"/>
  <c r="H776" i="39"/>
  <c r="C776" i="39"/>
  <c r="AJ775" i="39"/>
  <c r="AI775" i="39"/>
  <c r="N775" i="39"/>
  <c r="L775" i="39"/>
  <c r="K775" i="39"/>
  <c r="J775" i="39"/>
  <c r="I775" i="39"/>
  <c r="H775" i="39"/>
  <c r="C775" i="39"/>
  <c r="AJ774" i="39"/>
  <c r="AI774" i="39"/>
  <c r="N774" i="39"/>
  <c r="L774" i="39"/>
  <c r="K774" i="39"/>
  <c r="J774" i="39"/>
  <c r="I774" i="39"/>
  <c r="H774" i="39"/>
  <c r="C774" i="39"/>
  <c r="AJ773" i="39"/>
  <c r="AI773" i="39"/>
  <c r="AH773" i="39"/>
  <c r="AE773" i="39"/>
  <c r="AD773" i="39"/>
  <c r="L773" i="39"/>
  <c r="K773" i="39"/>
  <c r="J773" i="39"/>
  <c r="I773" i="39"/>
  <c r="H773" i="39"/>
  <c r="C773" i="39"/>
  <c r="AJ772" i="39"/>
  <c r="AI772" i="39"/>
  <c r="AH772" i="39"/>
  <c r="AE772" i="39"/>
  <c r="AD772" i="39"/>
  <c r="L772" i="39"/>
  <c r="AF772" i="39" s="1"/>
  <c r="K772" i="39"/>
  <c r="J772" i="39"/>
  <c r="I772" i="39"/>
  <c r="H772" i="39"/>
  <c r="C772" i="39"/>
  <c r="AJ771" i="39"/>
  <c r="AI771" i="39"/>
  <c r="AH771" i="39"/>
  <c r="AE771" i="39"/>
  <c r="AD771" i="39"/>
  <c r="L771" i="39"/>
  <c r="K771" i="39"/>
  <c r="J771" i="39"/>
  <c r="I771" i="39"/>
  <c r="H771" i="39"/>
  <c r="C771" i="39"/>
  <c r="AJ770" i="39"/>
  <c r="AI770" i="39"/>
  <c r="AH770" i="39"/>
  <c r="AE770" i="39"/>
  <c r="AD770" i="39"/>
  <c r="L770" i="39"/>
  <c r="K770" i="39"/>
  <c r="AF770" i="39" s="1"/>
  <c r="J770" i="39"/>
  <c r="I770" i="39"/>
  <c r="AG770" i="39" s="1"/>
  <c r="H770" i="39"/>
  <c r="C770" i="39"/>
  <c r="C902" i="39"/>
  <c r="H902" i="39"/>
  <c r="AF902" i="39" s="1"/>
  <c r="I902" i="39"/>
  <c r="J902" i="39"/>
  <c r="K902" i="39"/>
  <c r="L902" i="39"/>
  <c r="AD902" i="39"/>
  <c r="AE902" i="39"/>
  <c r="AH902" i="39"/>
  <c r="AI902" i="39"/>
  <c r="AJ902" i="39"/>
  <c r="C903" i="39"/>
  <c r="H903" i="39"/>
  <c r="I903" i="39"/>
  <c r="J903" i="39"/>
  <c r="K903" i="39"/>
  <c r="L903" i="39"/>
  <c r="AD903" i="39"/>
  <c r="AE903" i="39"/>
  <c r="AF903" i="39"/>
  <c r="AG903" i="39" s="1"/>
  <c r="AH903" i="39"/>
  <c r="AI903" i="39"/>
  <c r="AJ903" i="39"/>
  <c r="C904" i="39"/>
  <c r="H904" i="39"/>
  <c r="I904" i="39"/>
  <c r="J904" i="39"/>
  <c r="K904" i="39"/>
  <c r="L904" i="39"/>
  <c r="AF904" i="39" s="1"/>
  <c r="AG904" i="39" s="1"/>
  <c r="AD904" i="39"/>
  <c r="AE904" i="39"/>
  <c r="AH904" i="39"/>
  <c r="AI904" i="39"/>
  <c r="AJ904" i="39"/>
  <c r="C905" i="39"/>
  <c r="H905" i="39"/>
  <c r="I905" i="39"/>
  <c r="AG905" i="39" s="1"/>
  <c r="J905" i="39"/>
  <c r="K905" i="39"/>
  <c r="L905" i="39"/>
  <c r="AD905" i="39"/>
  <c r="AE905" i="39"/>
  <c r="AF905" i="39"/>
  <c r="AH905" i="39"/>
  <c r="AI905" i="39"/>
  <c r="AJ905" i="39"/>
  <c r="C906" i="39"/>
  <c r="H906" i="39"/>
  <c r="AF906" i="39" s="1"/>
  <c r="AG906" i="39" s="1"/>
  <c r="I906" i="39"/>
  <c r="J906" i="39"/>
  <c r="K906" i="39"/>
  <c r="L906" i="39"/>
  <c r="AD906" i="39"/>
  <c r="AE906" i="39"/>
  <c r="AH906" i="39"/>
  <c r="AI906" i="39"/>
  <c r="AJ906" i="39"/>
  <c r="C907" i="39"/>
  <c r="H907" i="39"/>
  <c r="AF907" i="39" s="1"/>
  <c r="I907" i="39"/>
  <c r="J907" i="39"/>
  <c r="K907" i="39"/>
  <c r="L907" i="39"/>
  <c r="AD907" i="39"/>
  <c r="AE907" i="39"/>
  <c r="AH907" i="39"/>
  <c r="AI907" i="39"/>
  <c r="AJ907" i="39"/>
  <c r="C908" i="39"/>
  <c r="H908" i="39"/>
  <c r="I908" i="39"/>
  <c r="J908" i="39"/>
  <c r="K908" i="39"/>
  <c r="L908" i="39"/>
  <c r="AF908" i="39" s="1"/>
  <c r="AG908" i="39" s="1"/>
  <c r="AD908" i="39"/>
  <c r="AE908" i="39"/>
  <c r="AH908" i="39"/>
  <c r="AI908" i="39"/>
  <c r="AJ908" i="39"/>
  <c r="C909" i="39"/>
  <c r="H909" i="39"/>
  <c r="AF909" i="39" s="1"/>
  <c r="I909" i="39"/>
  <c r="AG909" i="39" s="1"/>
  <c r="J909" i="39"/>
  <c r="K909" i="39"/>
  <c r="L909" i="39"/>
  <c r="AD909" i="39"/>
  <c r="AE909" i="39"/>
  <c r="AH909" i="39"/>
  <c r="AI909" i="39"/>
  <c r="AJ909" i="39"/>
  <c r="C910" i="39"/>
  <c r="H910" i="39"/>
  <c r="I910" i="39"/>
  <c r="J910" i="39"/>
  <c r="K910" i="39"/>
  <c r="L910" i="39"/>
  <c r="AF910" i="39" s="1"/>
  <c r="AD910" i="39"/>
  <c r="AE910" i="39"/>
  <c r="AH910" i="39"/>
  <c r="AI910" i="39"/>
  <c r="AJ910" i="39"/>
  <c r="C911" i="39"/>
  <c r="H911" i="39"/>
  <c r="I911" i="39"/>
  <c r="J911" i="39"/>
  <c r="K911" i="39"/>
  <c r="L911" i="39"/>
  <c r="AF911" i="39" s="1"/>
  <c r="AD911" i="39"/>
  <c r="AE911" i="39"/>
  <c r="AH911" i="39"/>
  <c r="AI911" i="39"/>
  <c r="AJ911" i="39"/>
  <c r="C912" i="39"/>
  <c r="H912" i="39"/>
  <c r="AF912" i="39" s="1"/>
  <c r="I912" i="39"/>
  <c r="AG912" i="39" s="1"/>
  <c r="J912" i="39"/>
  <c r="K912" i="39"/>
  <c r="L912" i="39"/>
  <c r="AD912" i="39"/>
  <c r="AE912" i="39"/>
  <c r="AH912" i="39"/>
  <c r="AI912" i="39"/>
  <c r="AJ912" i="39"/>
  <c r="C913" i="39"/>
  <c r="H913" i="39"/>
  <c r="I913" i="39"/>
  <c r="J913" i="39"/>
  <c r="K913" i="39"/>
  <c r="AF913" i="39" s="1"/>
  <c r="L913" i="39"/>
  <c r="AD913" i="39"/>
  <c r="AE913" i="39"/>
  <c r="AH913" i="39"/>
  <c r="AI913" i="39"/>
  <c r="AJ913" i="39"/>
  <c r="C914" i="39"/>
  <c r="H914" i="39"/>
  <c r="I914" i="39"/>
  <c r="J914" i="39"/>
  <c r="K914" i="39"/>
  <c r="L914" i="39"/>
  <c r="AF914" i="39" s="1"/>
  <c r="AD914" i="39"/>
  <c r="AE914" i="39"/>
  <c r="AH914" i="39"/>
  <c r="AI914" i="39"/>
  <c r="AJ914" i="39"/>
  <c r="C915" i="39"/>
  <c r="H915" i="39"/>
  <c r="AF915" i="39" s="1"/>
  <c r="I915" i="39"/>
  <c r="AG915" i="39" s="1"/>
  <c r="J915" i="39"/>
  <c r="K915" i="39"/>
  <c r="L915" i="39"/>
  <c r="AD915" i="39"/>
  <c r="AE915" i="39"/>
  <c r="AH915" i="39"/>
  <c r="AI915" i="39"/>
  <c r="AJ915" i="39"/>
  <c r="C916" i="39"/>
  <c r="H916" i="39"/>
  <c r="I916" i="39"/>
  <c r="J916" i="39"/>
  <c r="K916" i="39"/>
  <c r="L916" i="39"/>
  <c r="AF916" i="39" s="1"/>
  <c r="AD916" i="39"/>
  <c r="AE916" i="39"/>
  <c r="AH916" i="39"/>
  <c r="AI916" i="39"/>
  <c r="AJ916" i="39"/>
  <c r="C917" i="39"/>
  <c r="H917" i="39"/>
  <c r="I917" i="39"/>
  <c r="J917" i="39"/>
  <c r="K917" i="39"/>
  <c r="L917" i="39"/>
  <c r="AF917" i="39" s="1"/>
  <c r="AD917" i="39"/>
  <c r="AE917" i="39"/>
  <c r="AH917" i="39"/>
  <c r="AI917" i="39"/>
  <c r="AJ917" i="39"/>
  <c r="C918" i="39"/>
  <c r="H918" i="39"/>
  <c r="I918" i="39"/>
  <c r="J918" i="39"/>
  <c r="K918" i="39"/>
  <c r="L918" i="39"/>
  <c r="AF918" i="39" s="1"/>
  <c r="AD918" i="39"/>
  <c r="AE918" i="39"/>
  <c r="AH918" i="39"/>
  <c r="AI918" i="39"/>
  <c r="AJ918" i="39"/>
  <c r="C919" i="39"/>
  <c r="H919" i="39"/>
  <c r="I919" i="39"/>
  <c r="J919" i="39"/>
  <c r="K919" i="39"/>
  <c r="L919" i="39"/>
  <c r="AF919" i="39" s="1"/>
  <c r="AD919" i="39"/>
  <c r="AE919" i="39"/>
  <c r="AH919" i="39"/>
  <c r="AI919" i="39"/>
  <c r="AJ919" i="39"/>
  <c r="C920" i="39"/>
  <c r="H920" i="39"/>
  <c r="I920" i="39"/>
  <c r="AG920" i="39" s="1"/>
  <c r="J920" i="39"/>
  <c r="K920" i="39"/>
  <c r="L920" i="39"/>
  <c r="AD920" i="39"/>
  <c r="AE920" i="39"/>
  <c r="AF920" i="39"/>
  <c r="AH920" i="39"/>
  <c r="AI920" i="39"/>
  <c r="AJ920" i="39"/>
  <c r="C921" i="39"/>
  <c r="H921" i="39"/>
  <c r="I921" i="39"/>
  <c r="J921" i="39"/>
  <c r="K921" i="39"/>
  <c r="L921" i="39"/>
  <c r="AF921" i="39" s="1"/>
  <c r="AD921" i="39"/>
  <c r="AE921" i="39"/>
  <c r="AH921" i="39"/>
  <c r="AI921" i="39"/>
  <c r="AJ921" i="39"/>
  <c r="C922" i="39"/>
  <c r="H922" i="39"/>
  <c r="I922" i="39"/>
  <c r="J922" i="39"/>
  <c r="K922" i="39"/>
  <c r="L922" i="39"/>
  <c r="AF922" i="39" s="1"/>
  <c r="AD922" i="39"/>
  <c r="AE922" i="39"/>
  <c r="AH922" i="39"/>
  <c r="AI922" i="39"/>
  <c r="AJ922" i="39"/>
  <c r="C923" i="39"/>
  <c r="H923" i="39"/>
  <c r="I923" i="39"/>
  <c r="J923" i="39"/>
  <c r="K923" i="39"/>
  <c r="L923" i="39"/>
  <c r="N923" i="39"/>
  <c r="AI923" i="39"/>
  <c r="AJ923" i="39"/>
  <c r="C924" i="39"/>
  <c r="H924" i="39"/>
  <c r="I924" i="39"/>
  <c r="J924" i="39"/>
  <c r="K924" i="39"/>
  <c r="L924" i="39"/>
  <c r="N924" i="39"/>
  <c r="AI924" i="39"/>
  <c r="AJ924" i="39"/>
  <c r="C925" i="39"/>
  <c r="H925" i="39"/>
  <c r="I925" i="39"/>
  <c r="J925" i="39"/>
  <c r="K925" i="39"/>
  <c r="L925" i="39"/>
  <c r="N925" i="39"/>
  <c r="AI925" i="39"/>
  <c r="AJ925" i="39"/>
  <c r="C926" i="39"/>
  <c r="H926" i="39"/>
  <c r="I926" i="39"/>
  <c r="J926" i="39"/>
  <c r="K926" i="39"/>
  <c r="L926" i="39"/>
  <c r="N926" i="39"/>
  <c r="AI926" i="39"/>
  <c r="AJ926" i="39"/>
  <c r="C927" i="39"/>
  <c r="H927" i="39"/>
  <c r="I927" i="39"/>
  <c r="J927" i="39"/>
  <c r="K927" i="39"/>
  <c r="L927" i="39"/>
  <c r="N927" i="39"/>
  <c r="AI927" i="39"/>
  <c r="AJ927" i="39"/>
  <c r="C928" i="39"/>
  <c r="H928" i="39"/>
  <c r="I928" i="39"/>
  <c r="J928" i="39"/>
  <c r="K928" i="39"/>
  <c r="L928" i="39"/>
  <c r="N928" i="39"/>
  <c r="AI928" i="39"/>
  <c r="AJ928" i="39"/>
  <c r="C929" i="39"/>
  <c r="H929" i="39"/>
  <c r="I929" i="39"/>
  <c r="J929" i="39"/>
  <c r="K929" i="39"/>
  <c r="L929" i="39"/>
  <c r="N929" i="39"/>
  <c r="AI929" i="39"/>
  <c r="AJ929" i="39"/>
  <c r="C930" i="39"/>
  <c r="H930" i="39"/>
  <c r="I930" i="39"/>
  <c r="J930" i="39"/>
  <c r="K930" i="39"/>
  <c r="L930" i="39"/>
  <c r="N930" i="39"/>
  <c r="AI930" i="39"/>
  <c r="AJ930" i="39"/>
  <c r="C931" i="39"/>
  <c r="H931" i="39"/>
  <c r="I931" i="39"/>
  <c r="J931" i="39"/>
  <c r="K931" i="39"/>
  <c r="L931" i="39"/>
  <c r="N931" i="39"/>
  <c r="AI931" i="39"/>
  <c r="AJ931" i="39"/>
  <c r="C932" i="39"/>
  <c r="H932" i="39"/>
  <c r="I932" i="39"/>
  <c r="J932" i="39"/>
  <c r="K932" i="39"/>
  <c r="L932" i="39"/>
  <c r="N932" i="39"/>
  <c r="AI932" i="39"/>
  <c r="AJ932" i="39"/>
  <c r="C933" i="39"/>
  <c r="H933" i="39"/>
  <c r="I933" i="39"/>
  <c r="J933" i="39"/>
  <c r="K933" i="39"/>
  <c r="L933" i="39"/>
  <c r="N933" i="39"/>
  <c r="AI933" i="39"/>
  <c r="AJ933" i="39"/>
  <c r="C934" i="39"/>
  <c r="H934" i="39"/>
  <c r="I934" i="39"/>
  <c r="J934" i="39"/>
  <c r="K934" i="39"/>
  <c r="L934" i="39"/>
  <c r="N934" i="39"/>
  <c r="AI934" i="39"/>
  <c r="AJ934" i="39"/>
  <c r="C935" i="39"/>
  <c r="H935" i="39"/>
  <c r="I935" i="39"/>
  <c r="J935" i="39"/>
  <c r="K935" i="39"/>
  <c r="L935" i="39"/>
  <c r="N935" i="39"/>
  <c r="AI935" i="39"/>
  <c r="AJ935" i="39"/>
  <c r="C936" i="39"/>
  <c r="H936" i="39"/>
  <c r="I936" i="39"/>
  <c r="J936" i="39"/>
  <c r="K936" i="39"/>
  <c r="L936" i="39"/>
  <c r="N936" i="39"/>
  <c r="AI936" i="39"/>
  <c r="AJ936" i="39"/>
  <c r="C937" i="39"/>
  <c r="H937" i="39"/>
  <c r="I937" i="39"/>
  <c r="J937" i="39"/>
  <c r="K937" i="39"/>
  <c r="L937" i="39"/>
  <c r="N937" i="39"/>
  <c r="AI937" i="39"/>
  <c r="AJ937" i="39"/>
  <c r="C938" i="39"/>
  <c r="H938" i="39"/>
  <c r="I938" i="39"/>
  <c r="J938" i="39"/>
  <c r="K938" i="39"/>
  <c r="L938" i="39"/>
  <c r="N938" i="39"/>
  <c r="AI938" i="39"/>
  <c r="AJ938" i="39"/>
  <c r="C939" i="39"/>
  <c r="H939" i="39"/>
  <c r="I939" i="39"/>
  <c r="J939" i="39"/>
  <c r="K939" i="39"/>
  <c r="L939" i="39"/>
  <c r="N939" i="39"/>
  <c r="AI939" i="39"/>
  <c r="AJ939" i="39"/>
  <c r="C940" i="39"/>
  <c r="H940" i="39"/>
  <c r="I940" i="39"/>
  <c r="J940" i="39"/>
  <c r="K940" i="39"/>
  <c r="L940" i="39"/>
  <c r="N940" i="39"/>
  <c r="AI940" i="39"/>
  <c r="AJ940" i="39"/>
  <c r="C941" i="39"/>
  <c r="H941" i="39"/>
  <c r="I941" i="39"/>
  <c r="J941" i="39"/>
  <c r="K941" i="39"/>
  <c r="L941" i="39"/>
  <c r="N941" i="39"/>
  <c r="AI941" i="39"/>
  <c r="AJ941" i="39"/>
  <c r="C942" i="39"/>
  <c r="H942" i="39"/>
  <c r="I942" i="39"/>
  <c r="J942" i="39"/>
  <c r="K942" i="39"/>
  <c r="L942" i="39"/>
  <c r="N942" i="39"/>
  <c r="AI942" i="39"/>
  <c r="AJ942" i="39"/>
  <c r="C943" i="39"/>
  <c r="H943" i="39"/>
  <c r="I943" i="39"/>
  <c r="J943" i="39"/>
  <c r="K943" i="39"/>
  <c r="L943" i="39"/>
  <c r="N943" i="39"/>
  <c r="AI943" i="39"/>
  <c r="AJ943" i="39"/>
  <c r="C944" i="39"/>
  <c r="H944" i="39"/>
  <c r="I944" i="39"/>
  <c r="J944" i="39"/>
  <c r="K944" i="39"/>
  <c r="L944" i="39"/>
  <c r="AD944" i="39"/>
  <c r="AE944" i="39"/>
  <c r="AH944" i="39"/>
  <c r="AI944" i="39"/>
  <c r="AJ944" i="39"/>
  <c r="C945" i="39"/>
  <c r="H945" i="39"/>
  <c r="I945" i="39"/>
  <c r="J945" i="39"/>
  <c r="K945" i="39"/>
  <c r="L945" i="39"/>
  <c r="AG945" i="39" s="1"/>
  <c r="AD945" i="39"/>
  <c r="AE945" i="39"/>
  <c r="AF945" i="39"/>
  <c r="AH945" i="39"/>
  <c r="AI945" i="39"/>
  <c r="AJ945" i="39"/>
  <c r="C946" i="39"/>
  <c r="H946" i="39"/>
  <c r="I946" i="39"/>
  <c r="J946" i="39"/>
  <c r="K946" i="39"/>
  <c r="L946" i="39"/>
  <c r="AF946" i="39" s="1"/>
  <c r="AD946" i="39"/>
  <c r="AE946" i="39"/>
  <c r="AH946" i="39"/>
  <c r="AI946" i="39"/>
  <c r="AJ946" i="39"/>
  <c r="C947" i="39"/>
  <c r="H947" i="39"/>
  <c r="I947" i="39"/>
  <c r="J947" i="39"/>
  <c r="K947" i="39"/>
  <c r="L947" i="39"/>
  <c r="AD947" i="39"/>
  <c r="AE947" i="39"/>
  <c r="AH947" i="39"/>
  <c r="AI947" i="39"/>
  <c r="AJ947" i="39"/>
  <c r="C948" i="39"/>
  <c r="H948" i="39"/>
  <c r="I948" i="39"/>
  <c r="J948" i="39"/>
  <c r="K948" i="39"/>
  <c r="L948" i="39"/>
  <c r="AF948" i="39" s="1"/>
  <c r="AD948" i="39"/>
  <c r="AE948" i="39"/>
  <c r="AH948" i="39"/>
  <c r="AI948" i="39"/>
  <c r="AJ948" i="39"/>
  <c r="C949" i="39"/>
  <c r="H949" i="39"/>
  <c r="I949" i="39"/>
  <c r="J949" i="39"/>
  <c r="K949" i="39"/>
  <c r="L949" i="39"/>
  <c r="AF949" i="39" s="1"/>
  <c r="AG949" i="39" s="1"/>
  <c r="AD949" i="39"/>
  <c r="AE949" i="39"/>
  <c r="AH949" i="39"/>
  <c r="AI949" i="39"/>
  <c r="AJ949" i="39"/>
  <c r="C950" i="39"/>
  <c r="H950" i="39"/>
  <c r="I950" i="39"/>
  <c r="AG950" i="39" s="1"/>
  <c r="J950" i="39"/>
  <c r="K950" i="39"/>
  <c r="L950" i="39"/>
  <c r="AF950" i="39" s="1"/>
  <c r="AD950" i="39"/>
  <c r="AE950" i="39"/>
  <c r="AH950" i="39"/>
  <c r="AI950" i="39"/>
  <c r="AJ950" i="39"/>
  <c r="C951" i="39"/>
  <c r="H951" i="39"/>
  <c r="I951" i="39"/>
  <c r="J951" i="39"/>
  <c r="K951" i="39"/>
  <c r="L951" i="39"/>
  <c r="AF951" i="39" s="1"/>
  <c r="AD951" i="39"/>
  <c r="AE951" i="39"/>
  <c r="AH951" i="39"/>
  <c r="AI951" i="39"/>
  <c r="AJ951" i="39"/>
  <c r="C952" i="39"/>
  <c r="H952" i="39"/>
  <c r="I952" i="39"/>
  <c r="J952" i="39"/>
  <c r="K952" i="39"/>
  <c r="L952" i="39"/>
  <c r="AF952" i="39" s="1"/>
  <c r="AD952" i="39"/>
  <c r="AE952" i="39"/>
  <c r="AH952" i="39"/>
  <c r="AI952" i="39"/>
  <c r="AJ952" i="39"/>
  <c r="C953" i="39"/>
  <c r="H953" i="39"/>
  <c r="I953" i="39"/>
  <c r="J953" i="39"/>
  <c r="K953" i="39"/>
  <c r="L953" i="39"/>
  <c r="AF953" i="39" s="1"/>
  <c r="AG953" i="39" s="1"/>
  <c r="AD953" i="39"/>
  <c r="AE953" i="39"/>
  <c r="AH953" i="39"/>
  <c r="AI953" i="39"/>
  <c r="AJ953" i="39"/>
  <c r="C954" i="39"/>
  <c r="H954" i="39"/>
  <c r="AF954" i="39" s="1"/>
  <c r="AG954" i="39" s="1"/>
  <c r="I954" i="39"/>
  <c r="J954" i="39"/>
  <c r="K954" i="39"/>
  <c r="L954" i="39"/>
  <c r="AD954" i="39"/>
  <c r="AE954" i="39"/>
  <c r="AH954" i="39"/>
  <c r="AI954" i="39"/>
  <c r="AJ954" i="39"/>
  <c r="C955" i="39"/>
  <c r="H955" i="39"/>
  <c r="I955" i="39"/>
  <c r="J955" i="39"/>
  <c r="K955" i="39"/>
  <c r="L955" i="39"/>
  <c r="AF955" i="39" s="1"/>
  <c r="AD955" i="39"/>
  <c r="AE955" i="39"/>
  <c r="AH955" i="39"/>
  <c r="AI955" i="39"/>
  <c r="AJ955" i="39"/>
  <c r="C956" i="39"/>
  <c r="H956" i="39"/>
  <c r="AF956" i="39" s="1"/>
  <c r="I956" i="39"/>
  <c r="J956" i="39"/>
  <c r="K956" i="39"/>
  <c r="L956" i="39"/>
  <c r="AD956" i="39"/>
  <c r="AE956" i="39"/>
  <c r="AH956" i="39"/>
  <c r="AI956" i="39"/>
  <c r="AJ956" i="39"/>
  <c r="C957" i="39"/>
  <c r="H957" i="39"/>
  <c r="AF957" i="39" s="1"/>
  <c r="AG957" i="39" s="1"/>
  <c r="I957" i="39"/>
  <c r="J957" i="39"/>
  <c r="K957" i="39"/>
  <c r="L957" i="39"/>
  <c r="AD957" i="39"/>
  <c r="AE957" i="39"/>
  <c r="AH957" i="39"/>
  <c r="AI957" i="39"/>
  <c r="AJ957" i="39"/>
  <c r="C958" i="39"/>
  <c r="H958" i="39"/>
  <c r="I958" i="39"/>
  <c r="J958" i="39"/>
  <c r="K958" i="39"/>
  <c r="AF958" i="39" s="1"/>
  <c r="AG958" i="39" s="1"/>
  <c r="L958" i="39"/>
  <c r="AD958" i="39"/>
  <c r="AE958" i="39"/>
  <c r="AH958" i="39"/>
  <c r="AI958" i="39"/>
  <c r="AJ958" i="39"/>
  <c r="C959" i="39"/>
  <c r="H959" i="39"/>
  <c r="I959" i="39"/>
  <c r="J959" i="39"/>
  <c r="K959" i="39"/>
  <c r="L959" i="39"/>
  <c r="AD959" i="39"/>
  <c r="AE959" i="39"/>
  <c r="AF959" i="39"/>
  <c r="AG959" i="39"/>
  <c r="AH959" i="39"/>
  <c r="AI959" i="39"/>
  <c r="AJ959" i="39"/>
  <c r="C960" i="39"/>
  <c r="H960" i="39"/>
  <c r="I960" i="39"/>
  <c r="J960" i="39"/>
  <c r="K960" i="39"/>
  <c r="L960" i="39"/>
  <c r="AD960" i="39"/>
  <c r="AE960" i="39"/>
  <c r="AF960" i="39"/>
  <c r="AG960" i="39" s="1"/>
  <c r="AH960" i="39"/>
  <c r="AI960" i="39"/>
  <c r="AJ960" i="39"/>
  <c r="C961" i="39"/>
  <c r="H961" i="39"/>
  <c r="I961" i="39"/>
  <c r="J961" i="39"/>
  <c r="K961" i="39"/>
  <c r="L961" i="39"/>
  <c r="AD961" i="39"/>
  <c r="AE961" i="39"/>
  <c r="AF961" i="39"/>
  <c r="AH961" i="39"/>
  <c r="AI961" i="39"/>
  <c r="AJ961" i="39"/>
  <c r="C962" i="39"/>
  <c r="H962" i="39"/>
  <c r="I962" i="39"/>
  <c r="J962" i="39"/>
  <c r="K962" i="39"/>
  <c r="L962" i="39"/>
  <c r="AD962" i="39"/>
  <c r="AE962" i="39"/>
  <c r="AF962" i="39"/>
  <c r="AG962" i="39"/>
  <c r="AH962" i="39"/>
  <c r="AI962" i="39"/>
  <c r="AJ962" i="39"/>
  <c r="C963" i="39"/>
  <c r="H963" i="39"/>
  <c r="I963" i="39"/>
  <c r="J963" i="39"/>
  <c r="K963" i="39"/>
  <c r="L963" i="39"/>
  <c r="AF963" i="39" s="1"/>
  <c r="AG963" i="39" s="1"/>
  <c r="AD963" i="39"/>
  <c r="AE963" i="39"/>
  <c r="AH963" i="39"/>
  <c r="AI963" i="39"/>
  <c r="AJ963" i="39"/>
  <c r="C964" i="39"/>
  <c r="H964" i="39"/>
  <c r="I964" i="39"/>
  <c r="J964" i="39"/>
  <c r="K964" i="39"/>
  <c r="L964" i="39"/>
  <c r="AF964" i="39" s="1"/>
  <c r="AG964" i="39" s="1"/>
  <c r="AD964" i="39"/>
  <c r="AE964" i="39"/>
  <c r="AH964" i="39"/>
  <c r="AI964" i="39"/>
  <c r="AJ964" i="39"/>
  <c r="C965" i="39"/>
  <c r="H965" i="39"/>
  <c r="I965" i="39"/>
  <c r="J965" i="39"/>
  <c r="K965" i="39"/>
  <c r="L965" i="39"/>
  <c r="AD965" i="39"/>
  <c r="AE965" i="39"/>
  <c r="AF965" i="39"/>
  <c r="AG965" i="39" s="1"/>
  <c r="AH965" i="39"/>
  <c r="AI965" i="39"/>
  <c r="AJ965" i="39"/>
  <c r="C966" i="39"/>
  <c r="H966" i="39"/>
  <c r="I966" i="39"/>
  <c r="J966" i="39"/>
  <c r="K966" i="39"/>
  <c r="L966" i="39"/>
  <c r="AF966" i="39" s="1"/>
  <c r="AD966" i="39"/>
  <c r="AE966" i="39"/>
  <c r="AH966" i="39"/>
  <c r="AI966" i="39"/>
  <c r="AJ966" i="39"/>
  <c r="C967" i="39"/>
  <c r="H967" i="39"/>
  <c r="I967" i="39"/>
  <c r="J967" i="39"/>
  <c r="K967" i="39"/>
  <c r="L967" i="39"/>
  <c r="AF967" i="39" s="1"/>
  <c r="AD967" i="39"/>
  <c r="AE967" i="39"/>
  <c r="AH967" i="39"/>
  <c r="AI967" i="39"/>
  <c r="AJ967" i="39"/>
  <c r="C968" i="39"/>
  <c r="H968" i="39"/>
  <c r="I968" i="39"/>
  <c r="J968" i="39"/>
  <c r="K968" i="39"/>
  <c r="L968" i="39"/>
  <c r="AF968" i="39" s="1"/>
  <c r="AD968" i="39"/>
  <c r="AE968" i="39"/>
  <c r="AH968" i="39"/>
  <c r="AI968" i="39"/>
  <c r="AJ968" i="39"/>
  <c r="C969" i="39"/>
  <c r="H969" i="39"/>
  <c r="I969" i="39"/>
  <c r="J969" i="39"/>
  <c r="K969" i="39"/>
  <c r="L969" i="39"/>
  <c r="AF969" i="39" s="1"/>
  <c r="AG969" i="39" s="1"/>
  <c r="AD969" i="39"/>
  <c r="AE969" i="39"/>
  <c r="AH969" i="39"/>
  <c r="AI969" i="39"/>
  <c r="AJ969" i="39"/>
  <c r="C970" i="39"/>
  <c r="H970" i="39"/>
  <c r="I970" i="39"/>
  <c r="J970" i="39"/>
  <c r="K970" i="39"/>
  <c r="L970" i="39"/>
  <c r="AF970" i="39" s="1"/>
  <c r="AD970" i="39"/>
  <c r="AE970" i="39"/>
  <c r="AH970" i="39"/>
  <c r="AI970" i="39"/>
  <c r="AJ970" i="39"/>
  <c r="C971" i="39"/>
  <c r="H971" i="39"/>
  <c r="I971" i="39"/>
  <c r="J971" i="39"/>
  <c r="K971" i="39"/>
  <c r="L971" i="39"/>
  <c r="AF971" i="39" s="1"/>
  <c r="AD971" i="39"/>
  <c r="AE971" i="39"/>
  <c r="AH971" i="39"/>
  <c r="AI971" i="39"/>
  <c r="AJ971" i="39"/>
  <c r="C972" i="39"/>
  <c r="H972" i="39"/>
  <c r="I972" i="39"/>
  <c r="J972" i="39"/>
  <c r="K972" i="39"/>
  <c r="L972" i="39"/>
  <c r="AF972" i="39" s="1"/>
  <c r="AD972" i="39"/>
  <c r="AE972" i="39"/>
  <c r="AH972" i="39"/>
  <c r="AI972" i="39"/>
  <c r="AJ972" i="39"/>
  <c r="C973" i="39"/>
  <c r="H973" i="39"/>
  <c r="I973" i="39"/>
  <c r="J973" i="39"/>
  <c r="K973" i="39"/>
  <c r="L973" i="39"/>
  <c r="AF973" i="39" s="1"/>
  <c r="AD973" i="39"/>
  <c r="AE973" i="39"/>
  <c r="AH973" i="39"/>
  <c r="AI973" i="39"/>
  <c r="AJ973" i="39"/>
  <c r="C974" i="39"/>
  <c r="H974" i="39"/>
  <c r="I974" i="39"/>
  <c r="J974" i="39"/>
  <c r="K974" i="39"/>
  <c r="AF974" i="39" s="1"/>
  <c r="AG974" i="39" s="1"/>
  <c r="L974" i="39"/>
  <c r="AD974" i="39"/>
  <c r="AE974" i="39"/>
  <c r="AH974" i="39"/>
  <c r="AI974" i="39"/>
  <c r="AJ974" i="39"/>
  <c r="C975" i="39"/>
  <c r="H975" i="39"/>
  <c r="I975" i="39"/>
  <c r="J975" i="39"/>
  <c r="K975" i="39"/>
  <c r="L975" i="39"/>
  <c r="AF975" i="39" s="1"/>
  <c r="AD975" i="39"/>
  <c r="AE975" i="39"/>
  <c r="AH975" i="39"/>
  <c r="AI975" i="39"/>
  <c r="AJ975" i="39"/>
  <c r="C976" i="39"/>
  <c r="H976" i="39"/>
  <c r="AF976" i="39" s="1"/>
  <c r="I976" i="39"/>
  <c r="J976" i="39"/>
  <c r="K976" i="39"/>
  <c r="L976" i="39"/>
  <c r="AD976" i="39"/>
  <c r="AE976" i="39"/>
  <c r="AH976" i="39"/>
  <c r="AI976" i="39"/>
  <c r="AJ976" i="39"/>
  <c r="C977" i="39"/>
  <c r="H977" i="39"/>
  <c r="AF977" i="39" s="1"/>
  <c r="AG977" i="39" s="1"/>
  <c r="I977" i="39"/>
  <c r="J977" i="39"/>
  <c r="K977" i="39"/>
  <c r="L977" i="39"/>
  <c r="AD977" i="39"/>
  <c r="AE977" i="39"/>
  <c r="AH977" i="39"/>
  <c r="AI977" i="39"/>
  <c r="AJ977" i="39"/>
  <c r="C978" i="39"/>
  <c r="H978" i="39"/>
  <c r="I978" i="39"/>
  <c r="J978" i="39"/>
  <c r="K978" i="39"/>
  <c r="AF978" i="39" s="1"/>
  <c r="AG978" i="39" s="1"/>
  <c r="L978" i="39"/>
  <c r="AD978" i="39"/>
  <c r="AE978" i="39"/>
  <c r="AH978" i="39"/>
  <c r="AI978" i="39"/>
  <c r="AJ978" i="39"/>
  <c r="C979" i="39"/>
  <c r="H979" i="39"/>
  <c r="I979" i="39"/>
  <c r="J979" i="39"/>
  <c r="K979" i="39"/>
  <c r="L979" i="39"/>
  <c r="AD979" i="39"/>
  <c r="AE979" i="39"/>
  <c r="AF979" i="39"/>
  <c r="AG979" i="39"/>
  <c r="AH979" i="39"/>
  <c r="AI979" i="39"/>
  <c r="AJ979" i="39"/>
  <c r="C980" i="39"/>
  <c r="H980" i="39"/>
  <c r="I980" i="39"/>
  <c r="J980" i="39"/>
  <c r="K980" i="39"/>
  <c r="L980" i="39"/>
  <c r="AD980" i="39"/>
  <c r="AE980" i="39"/>
  <c r="AF980" i="39"/>
  <c r="AG980" i="39"/>
  <c r="AH980" i="39"/>
  <c r="AI980" i="39"/>
  <c r="AJ980" i="39"/>
  <c r="C981" i="39"/>
  <c r="H981" i="39"/>
  <c r="I981" i="39"/>
  <c r="J981" i="39"/>
  <c r="K981" i="39"/>
  <c r="L981" i="39"/>
  <c r="AD981" i="39"/>
  <c r="AE981" i="39"/>
  <c r="AF981" i="39"/>
  <c r="AH981" i="39"/>
  <c r="AI981" i="39"/>
  <c r="AJ981" i="39"/>
  <c r="C982" i="39"/>
  <c r="H982" i="39"/>
  <c r="I982" i="39"/>
  <c r="J982" i="39"/>
  <c r="K982" i="39"/>
  <c r="L982" i="39"/>
  <c r="AD982" i="39"/>
  <c r="AE982" i="39"/>
  <c r="AF982" i="39"/>
  <c r="AG982" i="39"/>
  <c r="AH982" i="39"/>
  <c r="AI982" i="39"/>
  <c r="AJ982" i="39"/>
  <c r="C983" i="39"/>
  <c r="H983" i="39"/>
  <c r="I983" i="39"/>
  <c r="J983" i="39"/>
  <c r="K983" i="39"/>
  <c r="L983" i="39"/>
  <c r="AF983" i="39" s="1"/>
  <c r="AG983" i="39" s="1"/>
  <c r="AD983" i="39"/>
  <c r="AE983" i="39"/>
  <c r="AH983" i="39"/>
  <c r="AI983" i="39"/>
  <c r="AJ983" i="39"/>
  <c r="C984" i="39"/>
  <c r="H984" i="39"/>
  <c r="I984" i="39"/>
  <c r="J984" i="39"/>
  <c r="K984" i="39"/>
  <c r="L984" i="39"/>
  <c r="AF984" i="39" s="1"/>
  <c r="AG984" i="39" s="1"/>
  <c r="AD984" i="39"/>
  <c r="AE984" i="39"/>
  <c r="AH984" i="39"/>
  <c r="AI984" i="39"/>
  <c r="AJ984" i="39"/>
  <c r="C985" i="39"/>
  <c r="H985" i="39"/>
  <c r="I985" i="39"/>
  <c r="J985" i="39"/>
  <c r="K985" i="39"/>
  <c r="L985" i="39"/>
  <c r="AD985" i="39"/>
  <c r="AE985" i="39"/>
  <c r="AF985" i="39"/>
  <c r="AG985" i="39" s="1"/>
  <c r="AH985" i="39"/>
  <c r="AI985" i="39"/>
  <c r="AJ985" i="39"/>
  <c r="C986" i="39"/>
  <c r="H986" i="39"/>
  <c r="I986" i="39"/>
  <c r="J986" i="39"/>
  <c r="K986" i="39"/>
  <c r="L986" i="39"/>
  <c r="AF986" i="39" s="1"/>
  <c r="AG986" i="39" s="1"/>
  <c r="AD986" i="39"/>
  <c r="AE986" i="39"/>
  <c r="AH986" i="39"/>
  <c r="AI986" i="39"/>
  <c r="AJ986" i="39"/>
  <c r="C987" i="39"/>
  <c r="H987" i="39"/>
  <c r="I987" i="39"/>
  <c r="J987" i="39"/>
  <c r="K987" i="39"/>
  <c r="L987" i="39"/>
  <c r="AF987" i="39" s="1"/>
  <c r="AG987" i="39" s="1"/>
  <c r="AD987" i="39"/>
  <c r="AE987" i="39"/>
  <c r="AH987" i="39"/>
  <c r="AI987" i="39"/>
  <c r="AJ987" i="39"/>
  <c r="C988" i="39"/>
  <c r="H988" i="39"/>
  <c r="I988" i="39"/>
  <c r="J988" i="39"/>
  <c r="K988" i="39"/>
  <c r="AF988" i="39" s="1"/>
  <c r="L988" i="39"/>
  <c r="AD988" i="39"/>
  <c r="AE988" i="39"/>
  <c r="AH988" i="39"/>
  <c r="AI988" i="39"/>
  <c r="AJ988" i="39"/>
  <c r="C989" i="39"/>
  <c r="H989" i="39"/>
  <c r="I989" i="39"/>
  <c r="J989" i="39"/>
  <c r="K989" i="39"/>
  <c r="L989" i="39"/>
  <c r="AF989" i="39" s="1"/>
  <c r="AG989" i="39" s="1"/>
  <c r="AD989" i="39"/>
  <c r="AE989" i="39"/>
  <c r="AH989" i="39"/>
  <c r="AI989" i="39"/>
  <c r="AJ989" i="39"/>
  <c r="C990" i="39"/>
  <c r="H990" i="39"/>
  <c r="I990" i="39"/>
  <c r="J990" i="39"/>
  <c r="K990" i="39"/>
  <c r="L990" i="39"/>
  <c r="AF990" i="39" s="1"/>
  <c r="AD990" i="39"/>
  <c r="AE990" i="39"/>
  <c r="AH990" i="39"/>
  <c r="AI990" i="39"/>
  <c r="AJ990" i="39"/>
  <c r="C991" i="39"/>
  <c r="H991" i="39"/>
  <c r="I991" i="39"/>
  <c r="J991" i="39"/>
  <c r="K991" i="39"/>
  <c r="L991" i="39"/>
  <c r="AD991" i="39"/>
  <c r="AE991" i="39"/>
  <c r="AH991" i="39"/>
  <c r="AI991" i="39"/>
  <c r="AJ991" i="39"/>
  <c r="C992" i="39"/>
  <c r="H992" i="39"/>
  <c r="I992" i="39"/>
  <c r="J992" i="39"/>
  <c r="K992" i="39"/>
  <c r="L992" i="39"/>
  <c r="AF992" i="39" s="1"/>
  <c r="AD992" i="39"/>
  <c r="AE992" i="39"/>
  <c r="AH992" i="39"/>
  <c r="AI992" i="39"/>
  <c r="AJ992" i="39"/>
  <c r="C993" i="39"/>
  <c r="H993" i="39"/>
  <c r="I993" i="39"/>
  <c r="J993" i="39"/>
  <c r="K993" i="39"/>
  <c r="L993" i="39"/>
  <c r="AF993" i="39" s="1"/>
  <c r="AD993" i="39"/>
  <c r="AE993" i="39"/>
  <c r="AH993" i="39"/>
  <c r="AI993" i="39"/>
  <c r="AJ993" i="39"/>
  <c r="C994" i="39"/>
  <c r="H994" i="39"/>
  <c r="I994" i="39"/>
  <c r="J994" i="39"/>
  <c r="K994" i="39"/>
  <c r="AF994" i="39" s="1"/>
  <c r="AG994" i="39" s="1"/>
  <c r="L994" i="39"/>
  <c r="AD994" i="39"/>
  <c r="AE994" i="39"/>
  <c r="AH994" i="39"/>
  <c r="AI994" i="39"/>
  <c r="AJ994" i="39"/>
  <c r="C995" i="39"/>
  <c r="H995" i="39"/>
  <c r="I995" i="39"/>
  <c r="J995" i="39"/>
  <c r="K995" i="39"/>
  <c r="L995" i="39"/>
  <c r="AF995" i="39" s="1"/>
  <c r="AD995" i="39"/>
  <c r="AE995" i="39"/>
  <c r="AH995" i="39"/>
  <c r="AI995" i="39"/>
  <c r="AJ995" i="39"/>
  <c r="C996" i="39"/>
  <c r="H996" i="39"/>
  <c r="AF996" i="39" s="1"/>
  <c r="I996" i="39"/>
  <c r="J996" i="39"/>
  <c r="K996" i="39"/>
  <c r="L996" i="39"/>
  <c r="AD996" i="39"/>
  <c r="AE996" i="39"/>
  <c r="AH996" i="39"/>
  <c r="AI996" i="39"/>
  <c r="AJ996" i="39"/>
  <c r="C997" i="39"/>
  <c r="H997" i="39"/>
  <c r="AF997" i="39" s="1"/>
  <c r="AG997" i="39" s="1"/>
  <c r="I997" i="39"/>
  <c r="J997" i="39"/>
  <c r="K997" i="39"/>
  <c r="L997" i="39"/>
  <c r="AD997" i="39"/>
  <c r="AE997" i="39"/>
  <c r="AH997" i="39"/>
  <c r="AI997" i="39"/>
  <c r="AJ997" i="39"/>
  <c r="C998" i="39"/>
  <c r="H998" i="39"/>
  <c r="I998" i="39"/>
  <c r="J998" i="39"/>
  <c r="K998" i="39"/>
  <c r="AF998" i="39" s="1"/>
  <c r="L998" i="39"/>
  <c r="AD998" i="39"/>
  <c r="AE998" i="39"/>
  <c r="AH998" i="39"/>
  <c r="AI998" i="39"/>
  <c r="AJ998" i="39"/>
  <c r="C999" i="39"/>
  <c r="H999" i="39"/>
  <c r="I999" i="39"/>
  <c r="J999" i="39"/>
  <c r="K999" i="39"/>
  <c r="L999" i="39"/>
  <c r="AD999" i="39"/>
  <c r="AE999" i="39"/>
  <c r="AF999" i="39"/>
  <c r="AG999" i="39"/>
  <c r="AH999" i="39"/>
  <c r="AI999" i="39"/>
  <c r="AJ999" i="39"/>
  <c r="C1000" i="39"/>
  <c r="H1000" i="39"/>
  <c r="I1000" i="39"/>
  <c r="J1000" i="39"/>
  <c r="K1000" i="39"/>
  <c r="L1000" i="39"/>
  <c r="AD1000" i="39"/>
  <c r="AE1000" i="39"/>
  <c r="AF1000" i="39"/>
  <c r="AG1000" i="39"/>
  <c r="AH1000" i="39"/>
  <c r="AI1000" i="39"/>
  <c r="AJ1000" i="39"/>
  <c r="C1001" i="39"/>
  <c r="H1001" i="39"/>
  <c r="I1001" i="39"/>
  <c r="J1001" i="39"/>
  <c r="K1001" i="39"/>
  <c r="AF1001" i="39" s="1"/>
  <c r="L1001" i="39"/>
  <c r="AD1001" i="39"/>
  <c r="AE1001" i="39"/>
  <c r="AH1001" i="39"/>
  <c r="AI1001" i="39"/>
  <c r="AJ1001" i="39"/>
  <c r="C1002" i="39"/>
  <c r="H1002" i="39"/>
  <c r="I1002" i="39"/>
  <c r="J1002" i="39"/>
  <c r="K1002" i="39"/>
  <c r="AF1002" i="39" s="1"/>
  <c r="AG1002" i="39" s="1"/>
  <c r="L1002" i="39"/>
  <c r="AD1002" i="39"/>
  <c r="AE1002" i="39"/>
  <c r="AH1002" i="39"/>
  <c r="AI1002" i="39"/>
  <c r="AJ1002" i="39"/>
  <c r="C1003" i="39"/>
  <c r="H1003" i="39"/>
  <c r="I1003" i="39"/>
  <c r="J1003" i="39"/>
  <c r="K1003" i="39"/>
  <c r="L1003" i="39"/>
  <c r="AF1003" i="39" s="1"/>
  <c r="AG1003" i="39" s="1"/>
  <c r="AD1003" i="39"/>
  <c r="AE1003" i="39"/>
  <c r="AH1003" i="39"/>
  <c r="AI1003" i="39"/>
  <c r="AJ1003" i="39"/>
  <c r="C1004" i="39"/>
  <c r="H1004" i="39"/>
  <c r="I1004" i="39"/>
  <c r="J1004" i="39"/>
  <c r="K1004" i="39"/>
  <c r="L1004" i="39"/>
  <c r="AF1004" i="39" s="1"/>
  <c r="AG1004" i="39" s="1"/>
  <c r="AD1004" i="39"/>
  <c r="AE1004" i="39"/>
  <c r="AH1004" i="39"/>
  <c r="AI1004" i="39"/>
  <c r="AJ1004" i="39"/>
  <c r="C1005" i="39"/>
  <c r="H1005" i="39"/>
  <c r="I1005" i="39"/>
  <c r="J1005" i="39"/>
  <c r="K1005" i="39"/>
  <c r="L1005" i="39"/>
  <c r="AD1005" i="39"/>
  <c r="AE1005" i="39"/>
  <c r="AF1005" i="39"/>
  <c r="AG1005" i="39"/>
  <c r="AH1005" i="39"/>
  <c r="AI1005" i="39"/>
  <c r="AJ1005" i="39"/>
  <c r="C1006" i="39"/>
  <c r="H1006" i="39"/>
  <c r="I1006" i="39"/>
  <c r="J1006" i="39"/>
  <c r="K1006" i="39"/>
  <c r="L1006" i="39"/>
  <c r="AF1006" i="39" s="1"/>
  <c r="AG1006" i="39" s="1"/>
  <c r="AD1006" i="39"/>
  <c r="AE1006" i="39"/>
  <c r="AH1006" i="39"/>
  <c r="AI1006" i="39"/>
  <c r="AJ1006" i="39"/>
  <c r="C1007" i="39"/>
  <c r="H1007" i="39"/>
  <c r="I1007" i="39"/>
  <c r="J1007" i="39"/>
  <c r="K1007" i="39"/>
  <c r="L1007" i="39"/>
  <c r="AF1007" i="39" s="1"/>
  <c r="AG1007" i="39" s="1"/>
  <c r="AD1007" i="39"/>
  <c r="AE1007" i="39"/>
  <c r="AH1007" i="39"/>
  <c r="AI1007" i="39"/>
  <c r="AJ1007" i="39"/>
  <c r="C1008" i="39"/>
  <c r="H1008" i="39"/>
  <c r="I1008" i="39"/>
  <c r="J1008" i="39"/>
  <c r="K1008" i="39"/>
  <c r="AF1008" i="39" s="1"/>
  <c r="AG1008" i="39" s="1"/>
  <c r="L1008" i="39"/>
  <c r="AD1008" i="39"/>
  <c r="AE1008" i="39"/>
  <c r="AH1008" i="39"/>
  <c r="AI1008" i="39"/>
  <c r="AJ1008" i="39"/>
  <c r="C1009" i="39"/>
  <c r="H1009" i="39"/>
  <c r="I1009" i="39"/>
  <c r="J1009" i="39"/>
  <c r="K1009" i="39"/>
  <c r="L1009" i="39"/>
  <c r="AF1009" i="39" s="1"/>
  <c r="AG1009" i="39" s="1"/>
  <c r="AD1009" i="39"/>
  <c r="AE1009" i="39"/>
  <c r="AH1009" i="39"/>
  <c r="AI1009" i="39"/>
  <c r="AJ1009" i="39"/>
  <c r="C1010" i="39"/>
  <c r="H1010" i="39"/>
  <c r="I1010" i="39"/>
  <c r="J1010" i="39"/>
  <c r="K1010" i="39"/>
  <c r="L1010" i="39"/>
  <c r="AF1010" i="39" s="1"/>
  <c r="AG1010" i="39" s="1"/>
  <c r="AD1010" i="39"/>
  <c r="AE1010" i="39"/>
  <c r="AH1010" i="39"/>
  <c r="AI1010" i="39"/>
  <c r="AJ1010" i="39"/>
  <c r="C1011" i="39"/>
  <c r="H1011" i="39"/>
  <c r="I1011" i="39"/>
  <c r="J1011" i="39"/>
  <c r="K1011" i="39"/>
  <c r="L1011" i="39"/>
  <c r="AF1011" i="39" s="1"/>
  <c r="AD1011" i="39"/>
  <c r="AE1011" i="39"/>
  <c r="AH1011" i="39"/>
  <c r="AI1011" i="39"/>
  <c r="AJ1011" i="39"/>
  <c r="C1012" i="39"/>
  <c r="H1012" i="39"/>
  <c r="I1012" i="39"/>
  <c r="J1012" i="39"/>
  <c r="K1012" i="39"/>
  <c r="L1012" i="39"/>
  <c r="AF1012" i="39" s="1"/>
  <c r="AD1012" i="39"/>
  <c r="AE1012" i="39"/>
  <c r="AH1012" i="39"/>
  <c r="AI1012" i="39"/>
  <c r="AJ1012" i="39"/>
  <c r="C1013" i="39"/>
  <c r="H1013" i="39"/>
  <c r="I1013" i="39"/>
  <c r="J1013" i="39"/>
  <c r="K1013" i="39"/>
  <c r="L1013" i="39"/>
  <c r="AF1013" i="39" s="1"/>
  <c r="AD1013" i="39"/>
  <c r="AE1013" i="39"/>
  <c r="AH1013" i="39"/>
  <c r="AI1013" i="39"/>
  <c r="AJ1013" i="39"/>
  <c r="C1014" i="39"/>
  <c r="H1014" i="39"/>
  <c r="I1014" i="39"/>
  <c r="J1014" i="39"/>
  <c r="K1014" i="39"/>
  <c r="AF1014" i="39" s="1"/>
  <c r="AG1014" i="39" s="1"/>
  <c r="L1014" i="39"/>
  <c r="AD1014" i="39"/>
  <c r="AE1014" i="39"/>
  <c r="AH1014" i="39"/>
  <c r="AI1014" i="39"/>
  <c r="AJ1014" i="39"/>
  <c r="C1015" i="39"/>
  <c r="H1015" i="39"/>
  <c r="I1015" i="39"/>
  <c r="J1015" i="39"/>
  <c r="K1015" i="39"/>
  <c r="L1015" i="39"/>
  <c r="AF1015" i="39" s="1"/>
  <c r="AD1015" i="39"/>
  <c r="AE1015" i="39"/>
  <c r="AH1015" i="39"/>
  <c r="AI1015" i="39"/>
  <c r="AJ1015" i="39"/>
  <c r="C1016" i="39"/>
  <c r="H1016" i="39"/>
  <c r="I1016" i="39"/>
  <c r="J1016" i="39"/>
  <c r="K1016" i="39"/>
  <c r="L1016" i="39"/>
  <c r="N1016" i="39"/>
  <c r="AD1016" i="39"/>
  <c r="AE1016" i="39"/>
  <c r="AF1016" i="39"/>
  <c r="AH1016" i="39"/>
  <c r="AI1016" i="39"/>
  <c r="AJ1016" i="39"/>
  <c r="C1017" i="39"/>
  <c r="H1017" i="39"/>
  <c r="AF1017" i="39" s="1"/>
  <c r="AG1017" i="39" s="1"/>
  <c r="I1017" i="39"/>
  <c r="J1017" i="39"/>
  <c r="K1017" i="39"/>
  <c r="L1017" i="39"/>
  <c r="N1017" i="39"/>
  <c r="AD1017" i="39"/>
  <c r="AE1017" i="39"/>
  <c r="AH1017" i="39"/>
  <c r="AI1017" i="39"/>
  <c r="AJ1017" i="39"/>
  <c r="C1018" i="39"/>
  <c r="H1018" i="39"/>
  <c r="I1018" i="39"/>
  <c r="J1018" i="39"/>
  <c r="K1018" i="39"/>
  <c r="L1018" i="39"/>
  <c r="N1018" i="39"/>
  <c r="AD1018" i="39"/>
  <c r="AE1018" i="39"/>
  <c r="AF1018" i="39"/>
  <c r="AH1018" i="39"/>
  <c r="AI1018" i="39"/>
  <c r="AJ1018" i="39"/>
  <c r="C1019" i="39"/>
  <c r="H1019" i="39"/>
  <c r="I1019" i="39"/>
  <c r="J1019" i="39"/>
  <c r="K1019" i="39"/>
  <c r="L1019" i="39"/>
  <c r="N1019" i="39"/>
  <c r="AD1019" i="39"/>
  <c r="AE1019" i="39"/>
  <c r="AF1019" i="39"/>
  <c r="AG1019" i="39"/>
  <c r="AH1019" i="39"/>
  <c r="AI1019" i="39"/>
  <c r="AJ1019" i="39"/>
  <c r="C1020" i="39"/>
  <c r="H1020" i="39"/>
  <c r="I1020" i="39"/>
  <c r="J1020" i="39"/>
  <c r="K1020" i="39"/>
  <c r="AF1020" i="39" s="1"/>
  <c r="L1020" i="39"/>
  <c r="N1020" i="39"/>
  <c r="AD1020" i="39"/>
  <c r="AE1020" i="39"/>
  <c r="AH1020" i="39"/>
  <c r="AI1020" i="39"/>
  <c r="AJ1020" i="39"/>
  <c r="C1021" i="39"/>
  <c r="H1021" i="39"/>
  <c r="I1021" i="39"/>
  <c r="J1021" i="39"/>
  <c r="K1021" i="39"/>
  <c r="L1021" i="39"/>
  <c r="N1021" i="39"/>
  <c r="AD1021" i="39"/>
  <c r="AE1021" i="39"/>
  <c r="AH1021" i="39"/>
  <c r="AI1021" i="39"/>
  <c r="AJ1021" i="39"/>
  <c r="C1022" i="39"/>
  <c r="H1022" i="39"/>
  <c r="I1022" i="39"/>
  <c r="J1022" i="39"/>
  <c r="K1022" i="39"/>
  <c r="L1022" i="39"/>
  <c r="AF1022" i="39" s="1"/>
  <c r="N1022" i="39"/>
  <c r="AD1022" i="39"/>
  <c r="AE1022" i="39"/>
  <c r="AH1022" i="39"/>
  <c r="AI1022" i="39"/>
  <c r="AJ1022" i="39"/>
  <c r="C1023" i="39"/>
  <c r="H1023" i="39"/>
  <c r="I1023" i="39"/>
  <c r="J1023" i="39"/>
  <c r="K1023" i="39"/>
  <c r="L1023" i="39"/>
  <c r="AF1023" i="39" s="1"/>
  <c r="AD1023" i="39"/>
  <c r="AE1023" i="39"/>
  <c r="AH1023" i="39"/>
  <c r="AI1023" i="39"/>
  <c r="AJ1023" i="39"/>
  <c r="C1024" i="39"/>
  <c r="H1024" i="39"/>
  <c r="I1024" i="39"/>
  <c r="J1024" i="39"/>
  <c r="K1024" i="39"/>
  <c r="L1024" i="39"/>
  <c r="AD1024" i="39"/>
  <c r="AE1024" i="39"/>
  <c r="AH1024" i="39"/>
  <c r="AI1024" i="39"/>
  <c r="AJ1024" i="39"/>
  <c r="C1025" i="39"/>
  <c r="H1025" i="39"/>
  <c r="I1025" i="39"/>
  <c r="J1025" i="39"/>
  <c r="K1025" i="39"/>
  <c r="L1025" i="39"/>
  <c r="AD1025" i="39"/>
  <c r="AE1025" i="39"/>
  <c r="AF1025" i="39"/>
  <c r="AH1025" i="39"/>
  <c r="AI1025" i="39"/>
  <c r="AJ1025" i="39"/>
  <c r="C1026" i="39"/>
  <c r="H1026" i="39"/>
  <c r="I1026" i="39"/>
  <c r="J1026" i="39"/>
  <c r="K1026" i="39"/>
  <c r="L1026" i="39"/>
  <c r="AF1026" i="39" s="1"/>
  <c r="AD1026" i="39"/>
  <c r="AE1026" i="39"/>
  <c r="AH1026" i="39"/>
  <c r="AI1026" i="39"/>
  <c r="AJ1026" i="39"/>
  <c r="C1027" i="39"/>
  <c r="H1027" i="39"/>
  <c r="AF1027" i="39" s="1"/>
  <c r="I1027" i="39"/>
  <c r="J1027" i="39"/>
  <c r="K1027" i="39"/>
  <c r="L1027" i="39"/>
  <c r="AD1027" i="39"/>
  <c r="AE1027" i="39"/>
  <c r="AH1027" i="39"/>
  <c r="AI1027" i="39"/>
  <c r="AJ1027" i="39"/>
  <c r="C1028" i="39"/>
  <c r="H1028" i="39"/>
  <c r="AF1028" i="39" s="1"/>
  <c r="AG1028" i="39" s="1"/>
  <c r="I1028" i="39"/>
  <c r="J1028" i="39"/>
  <c r="K1028" i="39"/>
  <c r="L1028" i="39"/>
  <c r="AD1028" i="39"/>
  <c r="AE1028" i="39"/>
  <c r="AH1028" i="39"/>
  <c r="AI1028" i="39"/>
  <c r="AJ1028" i="39"/>
  <c r="C1029" i="39"/>
  <c r="H1029" i="39"/>
  <c r="AF1029" i="39" s="1"/>
  <c r="AG1029" i="39" s="1"/>
  <c r="I1029" i="39"/>
  <c r="J1029" i="39"/>
  <c r="K1029" i="39"/>
  <c r="L1029" i="39"/>
  <c r="AD1029" i="39"/>
  <c r="AE1029" i="39"/>
  <c r="AH1029" i="39"/>
  <c r="AI1029" i="39"/>
  <c r="AJ1029" i="39"/>
  <c r="C1030" i="39"/>
  <c r="H1030" i="39"/>
  <c r="I1030" i="39"/>
  <c r="J1030" i="39"/>
  <c r="K1030" i="39"/>
  <c r="L1030" i="39"/>
  <c r="AD1030" i="39"/>
  <c r="AE1030" i="39"/>
  <c r="AF1030" i="39"/>
  <c r="AG1030" i="39" s="1"/>
  <c r="AH1030" i="39"/>
  <c r="AI1030" i="39"/>
  <c r="AJ1030" i="39"/>
  <c r="C1031" i="39"/>
  <c r="H1031" i="39"/>
  <c r="I1031" i="39"/>
  <c r="J1031" i="39"/>
  <c r="K1031" i="39"/>
  <c r="L1031" i="39"/>
  <c r="AD1031" i="39"/>
  <c r="AE1031" i="39"/>
  <c r="AF1031" i="39"/>
  <c r="AH1031" i="39"/>
  <c r="AI1031" i="39"/>
  <c r="AJ1031" i="39"/>
  <c r="C1032" i="39"/>
  <c r="H1032" i="39"/>
  <c r="AF1032" i="39" s="1"/>
  <c r="AG1032" i="39" s="1"/>
  <c r="I1032" i="39"/>
  <c r="J1032" i="39"/>
  <c r="K1032" i="39"/>
  <c r="L1032" i="39"/>
  <c r="AD1032" i="39"/>
  <c r="AE1032" i="39"/>
  <c r="AH1032" i="39"/>
  <c r="AI1032" i="39"/>
  <c r="AJ1032" i="39"/>
  <c r="A5" i="39"/>
  <c r="AG1020" i="39" l="1"/>
  <c r="AG917" i="39"/>
  <c r="AG844" i="39"/>
  <c r="AG872" i="39"/>
  <c r="AG805" i="39"/>
  <c r="AG862" i="39"/>
  <c r="AG889" i="39"/>
  <c r="AG995" i="39"/>
  <c r="AG902" i="39"/>
  <c r="AG970" i="39"/>
  <c r="AG855" i="39"/>
  <c r="AG783" i="39"/>
  <c r="AG799" i="39"/>
  <c r="AG845" i="39"/>
  <c r="AG820" i="39"/>
  <c r="AG952" i="39"/>
  <c r="AG1022" i="39"/>
  <c r="AG919" i="39"/>
  <c r="AG785" i="39"/>
  <c r="AG992" i="39"/>
  <c r="AG990" i="39"/>
  <c r="AG955" i="39"/>
  <c r="AG922" i="39"/>
  <c r="AG821" i="39"/>
  <c r="AG1015" i="39"/>
  <c r="AG1011" i="39"/>
  <c r="AG1001" i="39"/>
  <c r="AG911" i="39"/>
  <c r="AG860" i="39"/>
  <c r="AG972" i="39"/>
  <c r="AG918" i="39"/>
  <c r="AG843" i="39"/>
  <c r="AG988" i="39"/>
  <c r="AG968" i="39"/>
  <c r="AG794" i="39"/>
  <c r="AG822" i="39"/>
  <c r="AG914" i="39"/>
  <c r="AG801" i="39"/>
  <c r="AG840" i="39"/>
  <c r="AG868" i="39"/>
  <c r="AG1027" i="39"/>
  <c r="AG847" i="39"/>
  <c r="AG888" i="39"/>
  <c r="AG991" i="39"/>
  <c r="AG1012" i="39"/>
  <c r="AG975" i="39"/>
  <c r="AG921" i="39"/>
  <c r="AG833" i="39"/>
  <c r="AG886" i="39"/>
  <c r="AG966" i="39"/>
  <c r="AG946" i="39"/>
  <c r="AG776" i="39"/>
  <c r="AG792" i="39"/>
  <c r="AG832" i="39"/>
  <c r="AF826" i="39"/>
  <c r="AG826" i="39" s="1"/>
  <c r="AF866" i="39"/>
  <c r="AG866" i="39" s="1"/>
  <c r="AF895" i="39"/>
  <c r="AG895" i="39" s="1"/>
  <c r="AF823" i="39"/>
  <c r="AG823" i="39" s="1"/>
  <c r="AF863" i="39"/>
  <c r="AG863" i="39" s="1"/>
  <c r="AF872" i="39"/>
  <c r="AF892" i="39"/>
  <c r="AG892" i="39" s="1"/>
  <c r="AG1031" i="39"/>
  <c r="AF875" i="39"/>
  <c r="AG875" i="39" s="1"/>
  <c r="AG817" i="39"/>
  <c r="AG857" i="39"/>
  <c r="AG907" i="39"/>
  <c r="AG1025" i="39"/>
  <c r="AG910" i="39"/>
  <c r="AG878" i="39"/>
  <c r="AG913" i="39"/>
  <c r="AF773" i="39"/>
  <c r="AG773" i="39" s="1"/>
  <c r="AF805" i="39"/>
  <c r="AF845" i="39"/>
  <c r="AG916" i="39"/>
  <c r="AG971" i="39"/>
  <c r="AG951" i="39"/>
  <c r="AF783" i="39"/>
  <c r="AG786" i="39"/>
  <c r="AF799" i="39"/>
  <c r="AF839" i="39"/>
  <c r="AG839" i="39" s="1"/>
  <c r="AF991" i="39"/>
  <c r="AG948" i="39"/>
  <c r="AG780" i="39"/>
  <c r="AG796" i="39"/>
  <c r="AG836" i="39"/>
  <c r="AG790" i="39"/>
  <c r="AG830" i="39"/>
  <c r="AF821" i="39"/>
  <c r="AG824" i="39"/>
  <c r="AF861" i="39"/>
  <c r="AG861" i="39" s="1"/>
  <c r="AG864" i="39"/>
  <c r="AG893" i="39"/>
  <c r="AF815" i="39"/>
  <c r="AG815" i="39" s="1"/>
  <c r="AF855" i="39"/>
  <c r="AG1016" i="39"/>
  <c r="AG996" i="39"/>
  <c r="AG956" i="39"/>
  <c r="AG973" i="39"/>
  <c r="AF771" i="39"/>
  <c r="AG771" i="39" s="1"/>
  <c r="AF787" i="39"/>
  <c r="AG787" i="39" s="1"/>
  <c r="AF803" i="39"/>
  <c r="AG803" i="39" s="1"/>
  <c r="AF843" i="39"/>
  <c r="AG976" i="39"/>
  <c r="AF1024" i="39"/>
  <c r="AG1024" i="39" s="1"/>
  <c r="AG1013" i="39"/>
  <c r="AG993" i="39"/>
  <c r="AG784" i="39"/>
  <c r="AF1021" i="39"/>
  <c r="AG1021" i="39" s="1"/>
  <c r="AG781" i="39"/>
  <c r="AG967" i="39"/>
  <c r="AG778" i="39"/>
  <c r="AF947" i="39"/>
  <c r="AG947" i="39" s="1"/>
  <c r="AG900" i="39"/>
  <c r="AG897" i="39"/>
  <c r="AG1018" i="39"/>
  <c r="AF944" i="39"/>
  <c r="AG944" i="39" s="1"/>
  <c r="AG891" i="39"/>
  <c r="AG894" i="39"/>
  <c r="AG981" i="39"/>
  <c r="AG961" i="39"/>
  <c r="AG1026" i="39"/>
  <c r="AF807" i="39"/>
  <c r="AG807" i="39" s="1"/>
  <c r="AF847" i="39"/>
  <c r="AG1023" i="39"/>
  <c r="AF804" i="39"/>
  <c r="AG804" i="39" s="1"/>
  <c r="AF844" i="39"/>
  <c r="AG998" i="39"/>
  <c r="AG772" i="39"/>
  <c r="AF785" i="39"/>
  <c r="AF801" i="39"/>
  <c r="AF841" i="39"/>
  <c r="AG841" i="39" s="1"/>
  <c r="U16" i="36"/>
  <c r="U15" i="36"/>
  <c r="U14" i="36"/>
  <c r="G15" i="36"/>
  <c r="G14" i="36"/>
  <c r="F14" i="36"/>
  <c r="G13" i="36" l="1"/>
  <c r="F13" i="36"/>
  <c r="G12" i="36"/>
  <c r="F12" i="36"/>
  <c r="G11" i="36"/>
  <c r="I6" i="36"/>
  <c r="G5" i="36"/>
  <c r="F11" i="36" s="1"/>
  <c r="F5" i="36" l="1"/>
  <c r="G6" i="36" l="1"/>
  <c r="F6" i="36"/>
  <c r="H15" i="38"/>
  <c r="AJ769" i="39"/>
  <c r="AI769" i="39"/>
  <c r="AH769" i="39"/>
  <c r="AE769" i="39"/>
  <c r="AD769" i="39"/>
  <c r="L769" i="39"/>
  <c r="K769" i="39"/>
  <c r="J769" i="39"/>
  <c r="I769" i="39"/>
  <c r="M769" i="39" s="1"/>
  <c r="H769" i="39"/>
  <c r="C769" i="39"/>
  <c r="AJ768" i="39"/>
  <c r="AI768" i="39"/>
  <c r="AH768" i="39"/>
  <c r="AE768" i="39"/>
  <c r="AD768" i="39"/>
  <c r="L768" i="39"/>
  <c r="K768" i="39"/>
  <c r="J768" i="39"/>
  <c r="I768" i="39"/>
  <c r="M768" i="39" s="1"/>
  <c r="H768" i="39"/>
  <c r="C768" i="39"/>
  <c r="AJ767" i="39"/>
  <c r="AI767" i="39"/>
  <c r="AH767" i="39"/>
  <c r="AE767" i="39"/>
  <c r="AD767" i="39"/>
  <c r="L767" i="39"/>
  <c r="K767" i="39"/>
  <c r="J767" i="39"/>
  <c r="I767" i="39"/>
  <c r="H767" i="39"/>
  <c r="C767" i="39"/>
  <c r="AJ766" i="39"/>
  <c r="AI766" i="39"/>
  <c r="AH766" i="39"/>
  <c r="AE766" i="39"/>
  <c r="AD766" i="39"/>
  <c r="L766" i="39"/>
  <c r="K766" i="39"/>
  <c r="J766" i="39"/>
  <c r="I766" i="39"/>
  <c r="H766" i="39"/>
  <c r="AF766" i="39" s="1"/>
  <c r="C766" i="39"/>
  <c r="AJ765" i="39"/>
  <c r="AI765" i="39"/>
  <c r="AH765" i="39"/>
  <c r="AE765" i="39"/>
  <c r="AD765" i="39"/>
  <c r="L765" i="39"/>
  <c r="K765" i="39"/>
  <c r="J765" i="39"/>
  <c r="I765" i="39"/>
  <c r="M765" i="39" s="1"/>
  <c r="H765" i="39"/>
  <c r="C765" i="39"/>
  <c r="AJ764" i="39"/>
  <c r="AI764" i="39"/>
  <c r="AH764" i="39"/>
  <c r="AE764" i="39"/>
  <c r="AD764" i="39"/>
  <c r="L764" i="39"/>
  <c r="K764" i="39"/>
  <c r="J764" i="39"/>
  <c r="I764" i="39"/>
  <c r="M764" i="39" s="1"/>
  <c r="H764" i="39"/>
  <c r="C764" i="39"/>
  <c r="AJ763" i="39"/>
  <c r="AI763" i="39"/>
  <c r="AH763" i="39"/>
  <c r="AE763" i="39"/>
  <c r="AD763" i="39"/>
  <c r="L763" i="39"/>
  <c r="K763" i="39"/>
  <c r="J763" i="39"/>
  <c r="I763" i="39"/>
  <c r="M763" i="39" s="1"/>
  <c r="H763" i="39"/>
  <c r="C763" i="39"/>
  <c r="AJ762" i="39"/>
  <c r="AI762" i="39"/>
  <c r="AH762" i="39"/>
  <c r="AE762" i="39"/>
  <c r="AD762" i="39"/>
  <c r="L762" i="39"/>
  <c r="K762" i="39"/>
  <c r="J762" i="39"/>
  <c r="I762" i="39"/>
  <c r="M762" i="39" s="1"/>
  <c r="H762" i="39"/>
  <c r="C762" i="39"/>
  <c r="AJ761" i="39"/>
  <c r="AI761" i="39"/>
  <c r="AH761" i="39"/>
  <c r="AE761" i="39"/>
  <c r="AD761" i="39"/>
  <c r="L761" i="39"/>
  <c r="K761" i="39"/>
  <c r="AF761" i="39" s="1"/>
  <c r="AG761" i="39" s="1"/>
  <c r="J761" i="39"/>
  <c r="I761" i="39"/>
  <c r="M761" i="39" s="1"/>
  <c r="H761" i="39"/>
  <c r="C761" i="39"/>
  <c r="AJ760" i="39"/>
  <c r="AI760" i="39"/>
  <c r="AH760" i="39"/>
  <c r="AE760" i="39"/>
  <c r="AD760" i="39"/>
  <c r="L760" i="39"/>
  <c r="K760" i="39"/>
  <c r="J760" i="39"/>
  <c r="I760" i="39"/>
  <c r="H760" i="39"/>
  <c r="C760" i="39"/>
  <c r="AJ759" i="39"/>
  <c r="AI759" i="39"/>
  <c r="AH759" i="39"/>
  <c r="AE759" i="39"/>
  <c r="AD759" i="39"/>
  <c r="L759" i="39"/>
  <c r="K759" i="39"/>
  <c r="J759" i="39"/>
  <c r="I759" i="39"/>
  <c r="H759" i="39"/>
  <c r="C759" i="39"/>
  <c r="AJ758" i="39"/>
  <c r="AI758" i="39"/>
  <c r="AH758" i="39"/>
  <c r="AE758" i="39"/>
  <c r="AD758" i="39"/>
  <c r="L758" i="39"/>
  <c r="AF758" i="39" s="1"/>
  <c r="K758" i="39"/>
  <c r="J758" i="39"/>
  <c r="I758" i="39"/>
  <c r="AG758" i="39" s="1"/>
  <c r="H758" i="39"/>
  <c r="C758" i="39"/>
  <c r="AJ757" i="39"/>
  <c r="AI757" i="39"/>
  <c r="AH757" i="39"/>
  <c r="AE757" i="39"/>
  <c r="AD757" i="39"/>
  <c r="L757" i="39"/>
  <c r="K757" i="39"/>
  <c r="J757" i="39"/>
  <c r="I757" i="39"/>
  <c r="H757" i="39"/>
  <c r="C757" i="39"/>
  <c r="AJ756" i="39"/>
  <c r="M756" i="39" s="1"/>
  <c r="AI756" i="39"/>
  <c r="AH756" i="39"/>
  <c r="AE756" i="39"/>
  <c r="AD756" i="39"/>
  <c r="L756" i="39"/>
  <c r="K756" i="39"/>
  <c r="J756" i="39"/>
  <c r="I756" i="39"/>
  <c r="H756" i="39"/>
  <c r="C756" i="39"/>
  <c r="AJ755" i="39"/>
  <c r="M755" i="39" s="1"/>
  <c r="AI755" i="39"/>
  <c r="AH755" i="39"/>
  <c r="AF755" i="39"/>
  <c r="AE755" i="39"/>
  <c r="AD755" i="39"/>
  <c r="L755" i="39"/>
  <c r="K755" i="39"/>
  <c r="J755" i="39"/>
  <c r="I755" i="39"/>
  <c r="AG755" i="39" s="1"/>
  <c r="H755" i="39"/>
  <c r="C755" i="39"/>
  <c r="AJ754" i="39"/>
  <c r="AI754" i="39"/>
  <c r="AH754" i="39"/>
  <c r="AE754" i="39"/>
  <c r="AD754" i="39"/>
  <c r="L754" i="39"/>
  <c r="K754" i="39"/>
  <c r="J754" i="39"/>
  <c r="I754" i="39"/>
  <c r="H754" i="39"/>
  <c r="C754" i="39"/>
  <c r="AJ753" i="39"/>
  <c r="AI753" i="39"/>
  <c r="AH753" i="39"/>
  <c r="AE753" i="39"/>
  <c r="AD753" i="39"/>
  <c r="L753" i="39"/>
  <c r="AF753" i="39" s="1"/>
  <c r="AG753" i="39" s="1"/>
  <c r="K753" i="39"/>
  <c r="J753" i="39"/>
  <c r="I753" i="39"/>
  <c r="H753" i="39"/>
  <c r="C753" i="39"/>
  <c r="AJ752" i="39"/>
  <c r="AI752" i="39"/>
  <c r="AH752" i="39"/>
  <c r="AF752" i="39"/>
  <c r="AG752" i="39" s="1"/>
  <c r="AE752" i="39"/>
  <c r="AD752" i="39"/>
  <c r="L752" i="39"/>
  <c r="K752" i="39"/>
  <c r="J752" i="39"/>
  <c r="I752" i="39"/>
  <c r="H752" i="39"/>
  <c r="C752" i="39"/>
  <c r="AJ751" i="39"/>
  <c r="AI751" i="39"/>
  <c r="AH751" i="39"/>
  <c r="AF751" i="39"/>
  <c r="AE751" i="39"/>
  <c r="AD751" i="39"/>
  <c r="L751" i="39"/>
  <c r="K751" i="39"/>
  <c r="J751" i="39"/>
  <c r="I751" i="39"/>
  <c r="H751" i="39"/>
  <c r="C751" i="39"/>
  <c r="AJ750" i="39"/>
  <c r="AI750" i="39"/>
  <c r="AH750" i="39"/>
  <c r="AE750" i="39"/>
  <c r="AD750" i="39"/>
  <c r="L750" i="39"/>
  <c r="K750" i="39"/>
  <c r="AF750" i="39" s="1"/>
  <c r="J750" i="39"/>
  <c r="I750" i="39"/>
  <c r="AG750" i="39" s="1"/>
  <c r="H750" i="39"/>
  <c r="C750" i="39"/>
  <c r="AJ749" i="39"/>
  <c r="AI749" i="39"/>
  <c r="AH749" i="39"/>
  <c r="AE749" i="39"/>
  <c r="AD749" i="39"/>
  <c r="L749" i="39"/>
  <c r="AF749" i="39" s="1"/>
  <c r="AG749" i="39" s="1"/>
  <c r="K749" i="39"/>
  <c r="J749" i="39"/>
  <c r="I749" i="39"/>
  <c r="H749" i="39"/>
  <c r="C749" i="39"/>
  <c r="AJ748" i="39"/>
  <c r="AI748" i="39"/>
  <c r="AH748" i="39"/>
  <c r="AE748" i="39"/>
  <c r="AD748" i="39"/>
  <c r="L748" i="39"/>
  <c r="AF748" i="39" s="1"/>
  <c r="K748" i="39"/>
  <c r="J748" i="39"/>
  <c r="I748" i="39"/>
  <c r="AG748" i="39" s="1"/>
  <c r="H748" i="39"/>
  <c r="C748" i="39"/>
  <c r="AJ747" i="39"/>
  <c r="AI747" i="39"/>
  <c r="AH747" i="39"/>
  <c r="AE747" i="39"/>
  <c r="AD747" i="39"/>
  <c r="L747" i="39"/>
  <c r="AF747" i="39" s="1"/>
  <c r="AG747" i="39" s="1"/>
  <c r="K747" i="39"/>
  <c r="J747" i="39"/>
  <c r="I747" i="39"/>
  <c r="H747" i="39"/>
  <c r="C747" i="39"/>
  <c r="AJ746" i="39"/>
  <c r="AI746" i="39"/>
  <c r="AH746" i="39"/>
  <c r="AE746" i="39"/>
  <c r="AD746" i="39"/>
  <c r="L746" i="39"/>
  <c r="K746" i="39"/>
  <c r="J746" i="39"/>
  <c r="I746" i="39"/>
  <c r="H746" i="39"/>
  <c r="C746" i="39"/>
  <c r="AJ745" i="39"/>
  <c r="AI745" i="39"/>
  <c r="AH745" i="39"/>
  <c r="AE745" i="39"/>
  <c r="AD745" i="39"/>
  <c r="L745" i="39"/>
  <c r="AF745" i="39" s="1"/>
  <c r="AG745" i="39" s="1"/>
  <c r="K745" i="39"/>
  <c r="J745" i="39"/>
  <c r="I745" i="39"/>
  <c r="H745" i="39"/>
  <c r="C745" i="39"/>
  <c r="AJ744" i="39"/>
  <c r="AI744" i="39"/>
  <c r="AH744" i="39"/>
  <c r="AE744" i="39"/>
  <c r="AD744" i="39"/>
  <c r="L744" i="39"/>
  <c r="K744" i="39"/>
  <c r="J744" i="39"/>
  <c r="I744" i="39"/>
  <c r="M744" i="39" s="1"/>
  <c r="H744" i="39"/>
  <c r="C744" i="39"/>
  <c r="AJ743" i="39"/>
  <c r="AI743" i="39"/>
  <c r="AH743" i="39"/>
  <c r="AE743" i="39"/>
  <c r="AD743" i="39"/>
  <c r="L743" i="39"/>
  <c r="K743" i="39"/>
  <c r="J743" i="39"/>
  <c r="I743" i="39"/>
  <c r="H743" i="39"/>
  <c r="AF743" i="39" s="1"/>
  <c r="C743" i="39"/>
  <c r="AJ742" i="39"/>
  <c r="AI742" i="39"/>
  <c r="AH742" i="39"/>
  <c r="AE742" i="39"/>
  <c r="AD742" i="39"/>
  <c r="L742" i="39"/>
  <c r="K742" i="39"/>
  <c r="J742" i="39"/>
  <c r="I742" i="39"/>
  <c r="H742" i="39"/>
  <c r="C742" i="39"/>
  <c r="AJ741" i="39"/>
  <c r="AI741" i="39"/>
  <c r="AH741" i="39"/>
  <c r="AE741" i="39"/>
  <c r="AD741" i="39"/>
  <c r="L741" i="39"/>
  <c r="K741" i="39"/>
  <c r="J741" i="39"/>
  <c r="I741" i="39"/>
  <c r="M741" i="39" s="1"/>
  <c r="H741" i="39"/>
  <c r="C741" i="39"/>
  <c r="AJ740" i="39"/>
  <c r="AI740" i="39"/>
  <c r="AH740" i="39"/>
  <c r="AE740" i="39"/>
  <c r="AD740" i="39"/>
  <c r="L740" i="39"/>
  <c r="K740" i="39"/>
  <c r="J740" i="39"/>
  <c r="I740" i="39"/>
  <c r="H740" i="39"/>
  <c r="C740" i="39"/>
  <c r="AJ739" i="39"/>
  <c r="AI739" i="39"/>
  <c r="AH739" i="39"/>
  <c r="AE739" i="39"/>
  <c r="AD739" i="39"/>
  <c r="L739" i="39"/>
  <c r="K739" i="39"/>
  <c r="J739" i="39"/>
  <c r="I739" i="39"/>
  <c r="H739" i="39"/>
  <c r="C739" i="39"/>
  <c r="AJ738" i="39"/>
  <c r="AI738" i="39"/>
  <c r="AH738" i="39"/>
  <c r="AE738" i="39"/>
  <c r="AD738" i="39"/>
  <c r="L738" i="39"/>
  <c r="K738" i="39"/>
  <c r="J738" i="39"/>
  <c r="I738" i="39"/>
  <c r="H738" i="39"/>
  <c r="C738" i="39"/>
  <c r="AJ737" i="39"/>
  <c r="AI737" i="39"/>
  <c r="AH737" i="39"/>
  <c r="AE737" i="39"/>
  <c r="AD737" i="39"/>
  <c r="L737" i="39"/>
  <c r="K737" i="39"/>
  <c r="J737" i="39"/>
  <c r="I737" i="39"/>
  <c r="H737" i="39"/>
  <c r="C737" i="39"/>
  <c r="AJ736" i="39"/>
  <c r="AI736" i="39"/>
  <c r="AH736" i="39"/>
  <c r="AE736" i="39"/>
  <c r="AD736" i="39"/>
  <c r="L736" i="39"/>
  <c r="K736" i="39"/>
  <c r="J736" i="39"/>
  <c r="I736" i="39"/>
  <c r="H736" i="39"/>
  <c r="C736" i="39"/>
  <c r="AJ735" i="39"/>
  <c r="AI735" i="39"/>
  <c r="AH735" i="39"/>
  <c r="AE735" i="39"/>
  <c r="AD735" i="39"/>
  <c r="L735" i="39"/>
  <c r="K735" i="39"/>
  <c r="J735" i="39"/>
  <c r="I735" i="39"/>
  <c r="H735" i="39"/>
  <c r="C735" i="39"/>
  <c r="AJ734" i="39"/>
  <c r="AI734" i="39"/>
  <c r="AH734" i="39"/>
  <c r="AE734" i="39"/>
  <c r="AD734" i="39"/>
  <c r="L734" i="39"/>
  <c r="K734" i="39"/>
  <c r="J734" i="39"/>
  <c r="I734" i="39"/>
  <c r="H734" i="39"/>
  <c r="C734" i="39"/>
  <c r="AJ733" i="39"/>
  <c r="AI733" i="39"/>
  <c r="AH733" i="39"/>
  <c r="AE733" i="39"/>
  <c r="AD733" i="39"/>
  <c r="L733" i="39"/>
  <c r="AF733" i="39" s="1"/>
  <c r="K733" i="39"/>
  <c r="J733" i="39"/>
  <c r="I733" i="39"/>
  <c r="H733" i="39"/>
  <c r="C733" i="39"/>
  <c r="AJ732" i="39"/>
  <c r="AI732" i="39"/>
  <c r="AH732" i="39"/>
  <c r="AE732" i="39"/>
  <c r="AD732" i="39"/>
  <c r="L732" i="39"/>
  <c r="K732" i="39"/>
  <c r="J732" i="39"/>
  <c r="I732" i="39"/>
  <c r="H732" i="39"/>
  <c r="C732" i="39"/>
  <c r="AJ731" i="39"/>
  <c r="AI731" i="39"/>
  <c r="AH731" i="39"/>
  <c r="AE731" i="39"/>
  <c r="AD731" i="39"/>
  <c r="L731" i="39"/>
  <c r="K731" i="39"/>
  <c r="J731" i="39"/>
  <c r="I731" i="39"/>
  <c r="H731" i="39"/>
  <c r="C731" i="39"/>
  <c r="AJ730" i="39"/>
  <c r="AI730" i="39"/>
  <c r="AH730" i="39"/>
  <c r="AE730" i="39"/>
  <c r="AD730" i="39"/>
  <c r="L730" i="39"/>
  <c r="K730" i="39"/>
  <c r="J730" i="39"/>
  <c r="I730" i="39"/>
  <c r="H730" i="39"/>
  <c r="C730" i="39"/>
  <c r="AJ729" i="39"/>
  <c r="AI729" i="39"/>
  <c r="AH729" i="39"/>
  <c r="AE729" i="39"/>
  <c r="AD729" i="39"/>
  <c r="L729" i="39"/>
  <c r="K729" i="39"/>
  <c r="J729" i="39"/>
  <c r="I729" i="39"/>
  <c r="H729" i="39"/>
  <c r="C729" i="39"/>
  <c r="AJ728" i="39"/>
  <c r="AI728" i="39"/>
  <c r="AH728" i="39"/>
  <c r="AE728" i="39"/>
  <c r="AD728" i="39"/>
  <c r="L728" i="39"/>
  <c r="K728" i="39"/>
  <c r="J728" i="39"/>
  <c r="I728" i="39"/>
  <c r="H728" i="39"/>
  <c r="C728" i="39"/>
  <c r="AJ727" i="39"/>
  <c r="AI727" i="39"/>
  <c r="AH727" i="39"/>
  <c r="AE727" i="39"/>
  <c r="AD727" i="39"/>
  <c r="L727" i="39"/>
  <c r="K727" i="39"/>
  <c r="J727" i="39"/>
  <c r="I727" i="39"/>
  <c r="H727" i="39"/>
  <c r="AF727" i="39" s="1"/>
  <c r="C727" i="39"/>
  <c r="AJ726" i="39"/>
  <c r="AI726" i="39"/>
  <c r="AH726" i="39"/>
  <c r="AE726" i="39"/>
  <c r="AD726" i="39"/>
  <c r="L726" i="39"/>
  <c r="K726" i="39"/>
  <c r="J726" i="39"/>
  <c r="I726" i="39"/>
  <c r="H726" i="39"/>
  <c r="AF726" i="39" s="1"/>
  <c r="C726" i="39"/>
  <c r="AJ725" i="39"/>
  <c r="AI725" i="39"/>
  <c r="AH725" i="39"/>
  <c r="AE725" i="39"/>
  <c r="AD725" i="39"/>
  <c r="L725" i="39"/>
  <c r="K725" i="39"/>
  <c r="J725" i="39"/>
  <c r="I725" i="39"/>
  <c r="H725" i="39"/>
  <c r="C725" i="39"/>
  <c r="AJ724" i="39"/>
  <c r="AI724" i="39"/>
  <c r="AH724" i="39"/>
  <c r="AE724" i="39"/>
  <c r="AD724" i="39"/>
  <c r="L724" i="39"/>
  <c r="K724" i="39"/>
  <c r="J724" i="39"/>
  <c r="I724" i="39"/>
  <c r="H724" i="39"/>
  <c r="C724" i="39"/>
  <c r="AJ723" i="39"/>
  <c r="AI723" i="39"/>
  <c r="AH723" i="39"/>
  <c r="AE723" i="39"/>
  <c r="AD723" i="39"/>
  <c r="L723" i="39"/>
  <c r="AF723" i="39" s="1"/>
  <c r="K723" i="39"/>
  <c r="J723" i="39"/>
  <c r="I723" i="39"/>
  <c r="H723" i="39"/>
  <c r="C723" i="39"/>
  <c r="AJ722" i="39"/>
  <c r="AI722" i="39"/>
  <c r="AH722" i="39"/>
  <c r="AE722" i="39"/>
  <c r="AD722" i="39"/>
  <c r="L722" i="39"/>
  <c r="AF722" i="39" s="1"/>
  <c r="K722" i="39"/>
  <c r="J722" i="39"/>
  <c r="I722" i="39"/>
  <c r="H722" i="39"/>
  <c r="C722" i="39"/>
  <c r="AJ721" i="39"/>
  <c r="AI721" i="39"/>
  <c r="AH721" i="39"/>
  <c r="AE721" i="39"/>
  <c r="AD721" i="39"/>
  <c r="L721" i="39"/>
  <c r="K721" i="39"/>
  <c r="J721" i="39"/>
  <c r="I721" i="39"/>
  <c r="H721" i="39"/>
  <c r="AF721" i="39" s="1"/>
  <c r="AG721" i="39" s="1"/>
  <c r="C721" i="39"/>
  <c r="AJ720" i="39"/>
  <c r="AI720" i="39"/>
  <c r="AH720" i="39"/>
  <c r="AE720" i="39"/>
  <c r="AD720" i="39"/>
  <c r="L720" i="39"/>
  <c r="K720" i="39"/>
  <c r="J720" i="39"/>
  <c r="I720" i="39"/>
  <c r="H720" i="39"/>
  <c r="C720" i="39"/>
  <c r="AJ719" i="39"/>
  <c r="AI719" i="39"/>
  <c r="AH719" i="39"/>
  <c r="AE719" i="39"/>
  <c r="AD719" i="39"/>
  <c r="L719" i="39"/>
  <c r="K719" i="39"/>
  <c r="J719" i="39"/>
  <c r="I719" i="39"/>
  <c r="H719" i="39"/>
  <c r="C719" i="39"/>
  <c r="AJ718" i="39"/>
  <c r="AI718" i="39"/>
  <c r="AH718" i="39"/>
  <c r="AE718" i="39"/>
  <c r="AD718" i="39"/>
  <c r="L718" i="39"/>
  <c r="AF718" i="39" s="1"/>
  <c r="K718" i="39"/>
  <c r="J718" i="39"/>
  <c r="I718" i="39"/>
  <c r="AG718" i="39" s="1"/>
  <c r="H718" i="39"/>
  <c r="C718" i="39"/>
  <c r="AJ717" i="39"/>
  <c r="AI717" i="39"/>
  <c r="AH717" i="39"/>
  <c r="AE717" i="39"/>
  <c r="AD717" i="39"/>
  <c r="L717" i="39"/>
  <c r="AF717" i="39" s="1"/>
  <c r="K717" i="39"/>
  <c r="J717" i="39"/>
  <c r="I717" i="39"/>
  <c r="H717" i="39"/>
  <c r="C717" i="39"/>
  <c r="AJ716" i="39"/>
  <c r="AI716" i="39"/>
  <c r="AH716" i="39"/>
  <c r="AE716" i="39"/>
  <c r="AD716" i="39"/>
  <c r="L716" i="39"/>
  <c r="K716" i="39"/>
  <c r="J716" i="39"/>
  <c r="I716" i="39"/>
  <c r="H716" i="39"/>
  <c r="C716" i="39"/>
  <c r="AJ715" i="39"/>
  <c r="AI715" i="39"/>
  <c r="AH715" i="39"/>
  <c r="AE715" i="39"/>
  <c r="AD715" i="39"/>
  <c r="L715" i="39"/>
  <c r="K715" i="39"/>
  <c r="J715" i="39"/>
  <c r="I715" i="39"/>
  <c r="H715" i="39"/>
  <c r="AF715" i="39" s="1"/>
  <c r="AG715" i="39" s="1"/>
  <c r="C715" i="39"/>
  <c r="AJ714" i="39"/>
  <c r="AI714" i="39"/>
  <c r="AH714" i="39"/>
  <c r="AE714" i="39"/>
  <c r="AD714" i="39"/>
  <c r="L714" i="39"/>
  <c r="K714" i="39"/>
  <c r="J714" i="39"/>
  <c r="I714" i="39"/>
  <c r="H714" i="39"/>
  <c r="C714" i="39"/>
  <c r="AJ713" i="39"/>
  <c r="AI713" i="39"/>
  <c r="AH713" i="39"/>
  <c r="AE713" i="39"/>
  <c r="AD713" i="39"/>
  <c r="L713" i="39"/>
  <c r="AF713" i="39" s="1"/>
  <c r="AG713" i="39" s="1"/>
  <c r="K713" i="39"/>
  <c r="J713" i="39"/>
  <c r="I713" i="39"/>
  <c r="M713" i="39" s="1"/>
  <c r="H713" i="39"/>
  <c r="C713" i="39"/>
  <c r="AJ712" i="39"/>
  <c r="AI712" i="39"/>
  <c r="AH712" i="39"/>
  <c r="AE712" i="39"/>
  <c r="AD712" i="39"/>
  <c r="L712" i="39"/>
  <c r="AF712" i="39" s="1"/>
  <c r="K712" i="39"/>
  <c r="J712" i="39"/>
  <c r="I712" i="39"/>
  <c r="M712" i="39" s="1"/>
  <c r="H712" i="39"/>
  <c r="C712" i="39"/>
  <c r="AJ711" i="39"/>
  <c r="AI711" i="39"/>
  <c r="AH711" i="39"/>
  <c r="AE711" i="39"/>
  <c r="AD711" i="39"/>
  <c r="L711" i="39"/>
  <c r="K711" i="39"/>
  <c r="AF711" i="39" s="1"/>
  <c r="AG711" i="39" s="1"/>
  <c r="J711" i="39"/>
  <c r="I711" i="39"/>
  <c r="H711" i="39"/>
  <c r="C711" i="39"/>
  <c r="AJ710" i="39"/>
  <c r="AI710" i="39"/>
  <c r="AH710" i="39"/>
  <c r="AE710" i="39"/>
  <c r="AD710" i="39"/>
  <c r="L710" i="39"/>
  <c r="AF710" i="39" s="1"/>
  <c r="K710" i="39"/>
  <c r="J710" i="39"/>
  <c r="I710" i="39"/>
  <c r="AG710" i="39" s="1"/>
  <c r="H710" i="39"/>
  <c r="C710" i="39"/>
  <c r="AJ709" i="39"/>
  <c r="AI709" i="39"/>
  <c r="AH709" i="39"/>
  <c r="AE709" i="39"/>
  <c r="AD709" i="39"/>
  <c r="L709" i="39"/>
  <c r="AF709" i="39" s="1"/>
  <c r="AG709" i="39" s="1"/>
  <c r="K709" i="39"/>
  <c r="J709" i="39"/>
  <c r="I709" i="39"/>
  <c r="M709" i="39" s="1"/>
  <c r="H709" i="39"/>
  <c r="C709" i="39"/>
  <c r="AJ708" i="39"/>
  <c r="AI708" i="39"/>
  <c r="AH708" i="39"/>
  <c r="AE708" i="39"/>
  <c r="AD708" i="39"/>
  <c r="L708" i="39"/>
  <c r="K708" i="39"/>
  <c r="J708" i="39"/>
  <c r="I708" i="39"/>
  <c r="AG708" i="39" s="1"/>
  <c r="H708" i="39"/>
  <c r="AF708" i="39" s="1"/>
  <c r="C708" i="39"/>
  <c r="AJ707" i="39"/>
  <c r="AI707" i="39"/>
  <c r="AH707" i="39"/>
  <c r="AE707" i="39"/>
  <c r="AD707" i="39"/>
  <c r="L707" i="39"/>
  <c r="AF707" i="39" s="1"/>
  <c r="AG707" i="39" s="1"/>
  <c r="K707" i="39"/>
  <c r="J707" i="39"/>
  <c r="I707" i="39"/>
  <c r="H707" i="39"/>
  <c r="C707" i="39"/>
  <c r="AJ706" i="39"/>
  <c r="AI706" i="39"/>
  <c r="AH706" i="39"/>
  <c r="AE706" i="39"/>
  <c r="AD706" i="39"/>
  <c r="L706" i="39"/>
  <c r="K706" i="39"/>
  <c r="J706" i="39"/>
  <c r="I706" i="39"/>
  <c r="H706" i="39"/>
  <c r="AF706" i="39" s="1"/>
  <c r="AG706" i="39" s="1"/>
  <c r="C706" i="39"/>
  <c r="AJ705" i="39"/>
  <c r="AI705" i="39"/>
  <c r="AH705" i="39"/>
  <c r="AE705" i="39"/>
  <c r="AD705" i="39"/>
  <c r="L705" i="39"/>
  <c r="AF705" i="39" s="1"/>
  <c r="AG705" i="39" s="1"/>
  <c r="K705" i="39"/>
  <c r="J705" i="39"/>
  <c r="I705" i="39"/>
  <c r="H705" i="39"/>
  <c r="C705" i="39"/>
  <c r="AJ704" i="39"/>
  <c r="AI704" i="39"/>
  <c r="AH704" i="39"/>
  <c r="AE704" i="39"/>
  <c r="AD704" i="39"/>
  <c r="L704" i="39"/>
  <c r="K704" i="39"/>
  <c r="J704" i="39"/>
  <c r="I704" i="39"/>
  <c r="H704" i="39"/>
  <c r="C704" i="39"/>
  <c r="AJ703" i="39"/>
  <c r="AI703" i="39"/>
  <c r="AH703" i="39"/>
  <c r="AE703" i="39"/>
  <c r="AD703" i="39"/>
  <c r="L703" i="39"/>
  <c r="K703" i="39"/>
  <c r="J703" i="39"/>
  <c r="I703" i="39"/>
  <c r="M703" i="39" s="1"/>
  <c r="H703" i="39"/>
  <c r="C703" i="39"/>
  <c r="AJ702" i="39"/>
  <c r="AI702" i="39"/>
  <c r="AH702" i="39"/>
  <c r="AF702" i="39"/>
  <c r="AE702" i="39"/>
  <c r="AD702" i="39"/>
  <c r="L702" i="39"/>
  <c r="K702" i="39"/>
  <c r="J702" i="39"/>
  <c r="I702" i="39"/>
  <c r="H702" i="39"/>
  <c r="C702" i="39"/>
  <c r="AJ701" i="39"/>
  <c r="AI701" i="39"/>
  <c r="AH701" i="39"/>
  <c r="AE701" i="39"/>
  <c r="AD701" i="39"/>
  <c r="L701" i="39"/>
  <c r="K701" i="39"/>
  <c r="J701" i="39"/>
  <c r="I701" i="39"/>
  <c r="H701" i="39"/>
  <c r="C701" i="39"/>
  <c r="AJ700" i="39"/>
  <c r="AI700" i="39"/>
  <c r="AH700" i="39"/>
  <c r="AE700" i="39"/>
  <c r="AD700" i="39"/>
  <c r="L700" i="39"/>
  <c r="K700" i="39"/>
  <c r="J700" i="39"/>
  <c r="I700" i="39"/>
  <c r="H700" i="39"/>
  <c r="C700" i="39"/>
  <c r="AJ699" i="39"/>
  <c r="AI699" i="39"/>
  <c r="AH699" i="39"/>
  <c r="AE699" i="39"/>
  <c r="AD699" i="39"/>
  <c r="L699" i="39"/>
  <c r="K699" i="39"/>
  <c r="J699" i="39"/>
  <c r="I699" i="39"/>
  <c r="H699" i="39"/>
  <c r="C699" i="39"/>
  <c r="AJ698" i="39"/>
  <c r="AI698" i="39"/>
  <c r="AH698" i="39"/>
  <c r="AE698" i="39"/>
  <c r="AD698" i="39"/>
  <c r="L698" i="39"/>
  <c r="K698" i="39"/>
  <c r="J698" i="39"/>
  <c r="I698" i="39"/>
  <c r="H698" i="39"/>
  <c r="C698" i="39"/>
  <c r="AJ697" i="39"/>
  <c r="AI697" i="39"/>
  <c r="AH697" i="39"/>
  <c r="AE697" i="39"/>
  <c r="AD697" i="39"/>
  <c r="L697" i="39"/>
  <c r="K697" i="39"/>
  <c r="J697" i="39"/>
  <c r="I697" i="39"/>
  <c r="H697" i="39"/>
  <c r="C697" i="39"/>
  <c r="AJ696" i="39"/>
  <c r="AI696" i="39"/>
  <c r="AH696" i="39"/>
  <c r="AE696" i="39"/>
  <c r="AD696" i="39"/>
  <c r="L696" i="39"/>
  <c r="AF696" i="39" s="1"/>
  <c r="K696" i="39"/>
  <c r="J696" i="39"/>
  <c r="I696" i="39"/>
  <c r="M696" i="39" s="1"/>
  <c r="H696" i="39"/>
  <c r="C696" i="39"/>
  <c r="AJ695" i="39"/>
  <c r="AI695" i="39"/>
  <c r="AH695" i="39"/>
  <c r="AE695" i="39"/>
  <c r="AD695" i="39"/>
  <c r="L695" i="39"/>
  <c r="AF695" i="39" s="1"/>
  <c r="K695" i="39"/>
  <c r="J695" i="39"/>
  <c r="I695" i="39"/>
  <c r="H695" i="39"/>
  <c r="C695" i="39"/>
  <c r="AJ694" i="39"/>
  <c r="AI694" i="39"/>
  <c r="AH694" i="39"/>
  <c r="AE694" i="39"/>
  <c r="AD694" i="39"/>
  <c r="L694" i="39"/>
  <c r="K694" i="39"/>
  <c r="J694" i="39"/>
  <c r="I694" i="39"/>
  <c r="H694" i="39"/>
  <c r="C694" i="39"/>
  <c r="AJ693" i="39"/>
  <c r="AI693" i="39"/>
  <c r="AH693" i="39"/>
  <c r="AF693" i="39"/>
  <c r="AE693" i="39"/>
  <c r="AD693" i="39"/>
  <c r="L693" i="39"/>
  <c r="K693" i="39"/>
  <c r="J693" i="39"/>
  <c r="I693" i="39"/>
  <c r="H693" i="39"/>
  <c r="C693" i="39"/>
  <c r="AJ692" i="39"/>
  <c r="AI692" i="39"/>
  <c r="AH692" i="39"/>
  <c r="AE692" i="39"/>
  <c r="AD692" i="39"/>
  <c r="L692" i="39"/>
  <c r="K692" i="39"/>
  <c r="J692" i="39"/>
  <c r="I692" i="39"/>
  <c r="H692" i="39"/>
  <c r="C692" i="39"/>
  <c r="AJ691" i="39"/>
  <c r="AI691" i="39"/>
  <c r="AH691" i="39"/>
  <c r="AE691" i="39"/>
  <c r="AD691" i="39"/>
  <c r="L691" i="39"/>
  <c r="K691" i="39"/>
  <c r="J691" i="39"/>
  <c r="I691" i="39"/>
  <c r="H691" i="39"/>
  <c r="C691" i="39"/>
  <c r="AJ690" i="39"/>
  <c r="AI690" i="39"/>
  <c r="AH690" i="39"/>
  <c r="AE690" i="39"/>
  <c r="AD690" i="39"/>
  <c r="L690" i="39"/>
  <c r="K690" i="39"/>
  <c r="J690" i="39"/>
  <c r="I690" i="39"/>
  <c r="H690" i="39"/>
  <c r="C690" i="39"/>
  <c r="AJ689" i="39"/>
  <c r="AI689" i="39"/>
  <c r="AH689" i="39"/>
  <c r="AE689" i="39"/>
  <c r="AD689" i="39"/>
  <c r="L689" i="39"/>
  <c r="K689" i="39"/>
  <c r="J689" i="39"/>
  <c r="I689" i="39"/>
  <c r="H689" i="39"/>
  <c r="C689" i="39"/>
  <c r="AJ688" i="39"/>
  <c r="AI688" i="39"/>
  <c r="AH688" i="39"/>
  <c r="AE688" i="39"/>
  <c r="AD688" i="39"/>
  <c r="L688" i="39"/>
  <c r="K688" i="39"/>
  <c r="J688" i="39"/>
  <c r="I688" i="39"/>
  <c r="H688" i="39"/>
  <c r="C688" i="39"/>
  <c r="AJ687" i="39"/>
  <c r="AI687" i="39"/>
  <c r="AH687" i="39"/>
  <c r="AE687" i="39"/>
  <c r="AD687" i="39"/>
  <c r="L687" i="39"/>
  <c r="K687" i="39"/>
  <c r="J687" i="39"/>
  <c r="I687" i="39"/>
  <c r="H687" i="39"/>
  <c r="C687" i="39"/>
  <c r="AJ686" i="39"/>
  <c r="AI686" i="39"/>
  <c r="AH686" i="39"/>
  <c r="AE686" i="39"/>
  <c r="AD686" i="39"/>
  <c r="L686" i="39"/>
  <c r="K686" i="39"/>
  <c r="J686" i="39"/>
  <c r="I686" i="39"/>
  <c r="H686" i="39"/>
  <c r="C686" i="39"/>
  <c r="AJ685" i="39"/>
  <c r="AI685" i="39"/>
  <c r="AH685" i="39"/>
  <c r="AE685" i="39"/>
  <c r="AD685" i="39"/>
  <c r="L685" i="39"/>
  <c r="K685" i="39"/>
  <c r="J685" i="39"/>
  <c r="I685" i="39"/>
  <c r="M685" i="39" s="1"/>
  <c r="H685" i="39"/>
  <c r="C685" i="39"/>
  <c r="AJ684" i="39"/>
  <c r="AI684" i="39"/>
  <c r="AH684" i="39"/>
  <c r="AE684" i="39"/>
  <c r="AD684" i="39"/>
  <c r="L684" i="39"/>
  <c r="K684" i="39"/>
  <c r="J684" i="39"/>
  <c r="I684" i="39"/>
  <c r="H684" i="39"/>
  <c r="C684" i="39"/>
  <c r="AJ683" i="39"/>
  <c r="AI683" i="39"/>
  <c r="AH683" i="39"/>
  <c r="AE683" i="39"/>
  <c r="AD683" i="39"/>
  <c r="L683" i="39"/>
  <c r="K683" i="39"/>
  <c r="J683" i="39"/>
  <c r="I683" i="39"/>
  <c r="H683" i="39"/>
  <c r="C683" i="39"/>
  <c r="AJ682" i="39"/>
  <c r="AI682" i="39"/>
  <c r="AH682" i="39"/>
  <c r="AE682" i="39"/>
  <c r="AD682" i="39"/>
  <c r="L682" i="39"/>
  <c r="K682" i="39"/>
  <c r="J682" i="39"/>
  <c r="I682" i="39"/>
  <c r="H682" i="39"/>
  <c r="C682" i="39"/>
  <c r="AJ681" i="39"/>
  <c r="AI681" i="39"/>
  <c r="AH681" i="39"/>
  <c r="AE681" i="39"/>
  <c r="AD681" i="39"/>
  <c r="L681" i="39"/>
  <c r="K681" i="39"/>
  <c r="J681" i="39"/>
  <c r="I681" i="39"/>
  <c r="H681" i="39"/>
  <c r="C681" i="39"/>
  <c r="AJ680" i="39"/>
  <c r="AI680" i="39"/>
  <c r="AH680" i="39"/>
  <c r="AE680" i="39"/>
  <c r="AD680" i="39"/>
  <c r="L680" i="39"/>
  <c r="K680" i="39"/>
  <c r="J680" i="39"/>
  <c r="I680" i="39"/>
  <c r="H680" i="39"/>
  <c r="AF680" i="39" s="1"/>
  <c r="C680" i="39"/>
  <c r="AJ679" i="39"/>
  <c r="AI679" i="39"/>
  <c r="AH679" i="39"/>
  <c r="AE679" i="39"/>
  <c r="AD679" i="39"/>
  <c r="L679" i="39"/>
  <c r="AF679" i="39" s="1"/>
  <c r="K679" i="39"/>
  <c r="J679" i="39"/>
  <c r="I679" i="39"/>
  <c r="H679" i="39"/>
  <c r="C679" i="39"/>
  <c r="AJ678" i="39"/>
  <c r="AI678" i="39"/>
  <c r="AH678" i="39"/>
  <c r="AE678" i="39"/>
  <c r="AD678" i="39"/>
  <c r="L678" i="39"/>
  <c r="K678" i="39"/>
  <c r="J678" i="39"/>
  <c r="I678" i="39"/>
  <c r="H678" i="39"/>
  <c r="AF678" i="39" s="1"/>
  <c r="AG678" i="39" s="1"/>
  <c r="C678" i="39"/>
  <c r="AJ677" i="39"/>
  <c r="AI677" i="39"/>
  <c r="AH677" i="39"/>
  <c r="AE677" i="39"/>
  <c r="AD677" i="39"/>
  <c r="L677" i="39"/>
  <c r="K677" i="39"/>
  <c r="J677" i="39"/>
  <c r="I677" i="39"/>
  <c r="H677" i="39"/>
  <c r="C677" i="39"/>
  <c r="AJ676" i="39"/>
  <c r="AI676" i="39"/>
  <c r="AH676" i="39"/>
  <c r="AE676" i="39"/>
  <c r="AD676" i="39"/>
  <c r="L676" i="39"/>
  <c r="K676" i="39"/>
  <c r="J676" i="39"/>
  <c r="I676" i="39"/>
  <c r="H676" i="39"/>
  <c r="C676" i="39"/>
  <c r="AJ675" i="39"/>
  <c r="AI675" i="39"/>
  <c r="AH675" i="39"/>
  <c r="AF675" i="39"/>
  <c r="AG675" i="39" s="1"/>
  <c r="AE675" i="39"/>
  <c r="AD675" i="39"/>
  <c r="L675" i="39"/>
  <c r="K675" i="39"/>
  <c r="J675" i="39"/>
  <c r="I675" i="39"/>
  <c r="H675" i="39"/>
  <c r="C675" i="39"/>
  <c r="AJ674" i="39"/>
  <c r="AI674" i="39"/>
  <c r="AH674" i="39"/>
  <c r="AE674" i="39"/>
  <c r="AD674" i="39"/>
  <c r="L674" i="39"/>
  <c r="K674" i="39"/>
  <c r="J674" i="39"/>
  <c r="I674" i="39"/>
  <c r="H674" i="39"/>
  <c r="C674" i="39"/>
  <c r="AJ673" i="39"/>
  <c r="AI673" i="39"/>
  <c r="AH673" i="39"/>
  <c r="AF673" i="39"/>
  <c r="AE673" i="39"/>
  <c r="AD673" i="39"/>
  <c r="L673" i="39"/>
  <c r="K673" i="39"/>
  <c r="J673" i="39"/>
  <c r="I673" i="39"/>
  <c r="H673" i="39"/>
  <c r="C673" i="39"/>
  <c r="AJ672" i="39"/>
  <c r="AI672" i="39"/>
  <c r="AH672" i="39"/>
  <c r="AE672" i="39"/>
  <c r="AD672" i="39"/>
  <c r="L672" i="39"/>
  <c r="K672" i="39"/>
  <c r="AF672" i="39" s="1"/>
  <c r="AG672" i="39" s="1"/>
  <c r="J672" i="39"/>
  <c r="I672" i="39"/>
  <c r="H672" i="39"/>
  <c r="C672" i="39"/>
  <c r="AJ671" i="39"/>
  <c r="AI671" i="39"/>
  <c r="AH671" i="39"/>
  <c r="AE671" i="39"/>
  <c r="AD671" i="39"/>
  <c r="L671" i="39"/>
  <c r="K671" i="39"/>
  <c r="AF671" i="39" s="1"/>
  <c r="AG671" i="39" s="1"/>
  <c r="J671" i="39"/>
  <c r="I671" i="39"/>
  <c r="M671" i="39" s="1"/>
  <c r="H671" i="39"/>
  <c r="C671" i="39"/>
  <c r="AJ670" i="39"/>
  <c r="AI670" i="39"/>
  <c r="AH670" i="39"/>
  <c r="AE670" i="39"/>
  <c r="AD670" i="39"/>
  <c r="L670" i="39"/>
  <c r="K670" i="39"/>
  <c r="J670" i="39"/>
  <c r="I670" i="39"/>
  <c r="M670" i="39" s="1"/>
  <c r="H670" i="39"/>
  <c r="C670" i="39"/>
  <c r="AJ669" i="39"/>
  <c r="AI669" i="39"/>
  <c r="AH669" i="39"/>
  <c r="AE669" i="39"/>
  <c r="AD669" i="39"/>
  <c r="L669" i="39"/>
  <c r="K669" i="39"/>
  <c r="AF669" i="39" s="1"/>
  <c r="AG669" i="39" s="1"/>
  <c r="J669" i="39"/>
  <c r="I669" i="39"/>
  <c r="H669" i="39"/>
  <c r="C669" i="39"/>
  <c r="AJ668" i="39"/>
  <c r="AI668" i="39"/>
  <c r="AH668" i="39"/>
  <c r="AE668" i="39"/>
  <c r="AD668" i="39"/>
  <c r="L668" i="39"/>
  <c r="K668" i="39"/>
  <c r="J668" i="39"/>
  <c r="I668" i="39"/>
  <c r="H668" i="39"/>
  <c r="AF668" i="39" s="1"/>
  <c r="C668" i="39"/>
  <c r="AJ667" i="39"/>
  <c r="AI667" i="39"/>
  <c r="AH667" i="39"/>
  <c r="AE667" i="39"/>
  <c r="AD667" i="39"/>
  <c r="L667" i="39"/>
  <c r="AF667" i="39" s="1"/>
  <c r="K667" i="39"/>
  <c r="J667" i="39"/>
  <c r="I667" i="39"/>
  <c r="H667" i="39"/>
  <c r="C667" i="39"/>
  <c r="AJ666" i="39"/>
  <c r="AI666" i="39"/>
  <c r="AH666" i="39"/>
  <c r="AE666" i="39"/>
  <c r="AD666" i="39"/>
  <c r="L666" i="39"/>
  <c r="AF666" i="39" s="1"/>
  <c r="AG666" i="39" s="1"/>
  <c r="K666" i="39"/>
  <c r="J666" i="39"/>
  <c r="I666" i="39"/>
  <c r="H666" i="39"/>
  <c r="C666" i="39"/>
  <c r="AJ665" i="39"/>
  <c r="AI665" i="39"/>
  <c r="AH665" i="39"/>
  <c r="AF665" i="39"/>
  <c r="AG665" i="39" s="1"/>
  <c r="AE665" i="39"/>
  <c r="AD665" i="39"/>
  <c r="L665" i="39"/>
  <c r="K665" i="39"/>
  <c r="J665" i="39"/>
  <c r="I665" i="39"/>
  <c r="H665" i="39"/>
  <c r="C665" i="39"/>
  <c r="AJ664" i="39"/>
  <c r="AI664" i="39"/>
  <c r="AH664" i="39"/>
  <c r="AE664" i="39"/>
  <c r="AD664" i="39"/>
  <c r="L664" i="39"/>
  <c r="AF664" i="39" s="1"/>
  <c r="K664" i="39"/>
  <c r="J664" i="39"/>
  <c r="I664" i="39"/>
  <c r="H664" i="39"/>
  <c r="C664" i="39"/>
  <c r="AJ663" i="39"/>
  <c r="AI663" i="39"/>
  <c r="AH663" i="39"/>
  <c r="AE663" i="39"/>
  <c r="AD663" i="39"/>
  <c r="L663" i="39"/>
  <c r="AF663" i="39" s="1"/>
  <c r="K663" i="39"/>
  <c r="J663" i="39"/>
  <c r="I663" i="39"/>
  <c r="H663" i="39"/>
  <c r="C663" i="39"/>
  <c r="AJ662" i="39"/>
  <c r="AI662" i="39"/>
  <c r="AH662" i="39"/>
  <c r="AE662" i="39"/>
  <c r="AD662" i="39"/>
  <c r="L662" i="39"/>
  <c r="K662" i="39"/>
  <c r="J662" i="39"/>
  <c r="I662" i="39"/>
  <c r="H662" i="39"/>
  <c r="C662" i="39"/>
  <c r="AJ661" i="39"/>
  <c r="AI661" i="39"/>
  <c r="AH661" i="39"/>
  <c r="AE661" i="39"/>
  <c r="AD661" i="39"/>
  <c r="L661" i="39"/>
  <c r="K661" i="39"/>
  <c r="J661" i="39"/>
  <c r="I661" i="39"/>
  <c r="H661" i="39"/>
  <c r="C661" i="39"/>
  <c r="AJ660" i="39"/>
  <c r="AI660" i="39"/>
  <c r="AH660" i="39"/>
  <c r="AE660" i="39"/>
  <c r="AD660" i="39"/>
  <c r="L660" i="39"/>
  <c r="K660" i="39"/>
  <c r="J660" i="39"/>
  <c r="I660" i="39"/>
  <c r="H660" i="39"/>
  <c r="C660" i="39"/>
  <c r="AJ659" i="39"/>
  <c r="AI659" i="39"/>
  <c r="AH659" i="39"/>
  <c r="AE659" i="39"/>
  <c r="AD659" i="39"/>
  <c r="L659" i="39"/>
  <c r="K659" i="39"/>
  <c r="J659" i="39"/>
  <c r="I659" i="39"/>
  <c r="H659" i="39"/>
  <c r="C659" i="39"/>
  <c r="AJ658" i="39"/>
  <c r="AI658" i="39"/>
  <c r="AH658" i="39"/>
  <c r="AE658" i="39"/>
  <c r="AD658" i="39"/>
  <c r="L658" i="39"/>
  <c r="K658" i="39"/>
  <c r="J658" i="39"/>
  <c r="I658" i="39"/>
  <c r="H658" i="39"/>
  <c r="C658" i="39"/>
  <c r="AJ657" i="39"/>
  <c r="AI657" i="39"/>
  <c r="AH657" i="39"/>
  <c r="AE657" i="39"/>
  <c r="AD657" i="39"/>
  <c r="L657" i="39"/>
  <c r="K657" i="39"/>
  <c r="J657" i="39"/>
  <c r="I657" i="39"/>
  <c r="M657" i="39" s="1"/>
  <c r="H657" i="39"/>
  <c r="C657" i="39"/>
  <c r="AJ656" i="39"/>
  <c r="AI656" i="39"/>
  <c r="AH656" i="39"/>
  <c r="AE656" i="39"/>
  <c r="AD656" i="39"/>
  <c r="L656" i="39"/>
  <c r="K656" i="39"/>
  <c r="J656" i="39"/>
  <c r="I656" i="39"/>
  <c r="M656" i="39" s="1"/>
  <c r="H656" i="39"/>
  <c r="C656" i="39"/>
  <c r="AJ655" i="39"/>
  <c r="AI655" i="39"/>
  <c r="AH655" i="39"/>
  <c r="AE655" i="39"/>
  <c r="AD655" i="39"/>
  <c r="L655" i="39"/>
  <c r="K655" i="39"/>
  <c r="J655" i="39"/>
  <c r="I655" i="39"/>
  <c r="H655" i="39"/>
  <c r="C655" i="39"/>
  <c r="AJ654" i="39"/>
  <c r="AI654" i="39"/>
  <c r="AH654" i="39"/>
  <c r="AE654" i="39"/>
  <c r="AD654" i="39"/>
  <c r="L654" i="39"/>
  <c r="K654" i="39"/>
  <c r="J654" i="39"/>
  <c r="I654" i="39"/>
  <c r="H654" i="39"/>
  <c r="C654" i="39"/>
  <c r="AJ653" i="39"/>
  <c r="AI653" i="39"/>
  <c r="AH653" i="39"/>
  <c r="AE653" i="39"/>
  <c r="AD653" i="39"/>
  <c r="L653" i="39"/>
  <c r="K653" i="39"/>
  <c r="J653" i="39"/>
  <c r="I653" i="39"/>
  <c r="H653" i="39"/>
  <c r="C653" i="39"/>
  <c r="AJ652" i="39"/>
  <c r="AI652" i="39"/>
  <c r="AH652" i="39"/>
  <c r="AE652" i="39"/>
  <c r="AD652" i="39"/>
  <c r="L652" i="39"/>
  <c r="K652" i="39"/>
  <c r="J652" i="39"/>
  <c r="I652" i="39"/>
  <c r="H652" i="39"/>
  <c r="C652" i="39"/>
  <c r="AJ651" i="39"/>
  <c r="AI651" i="39"/>
  <c r="AH651" i="39"/>
  <c r="AE651" i="39"/>
  <c r="AD651" i="39"/>
  <c r="L651" i="39"/>
  <c r="AF651" i="39" s="1"/>
  <c r="K651" i="39"/>
  <c r="J651" i="39"/>
  <c r="I651" i="39"/>
  <c r="H651" i="39"/>
  <c r="C651" i="39"/>
  <c r="AJ650" i="39"/>
  <c r="AI650" i="39"/>
  <c r="AH650" i="39"/>
  <c r="AE650" i="39"/>
  <c r="AD650" i="39"/>
  <c r="L650" i="39"/>
  <c r="K650" i="39"/>
  <c r="J650" i="39"/>
  <c r="I650" i="39"/>
  <c r="H650" i="39"/>
  <c r="C650" i="39"/>
  <c r="AJ649" i="39"/>
  <c r="AI649" i="39"/>
  <c r="AH649" i="39"/>
  <c r="AE649" i="39"/>
  <c r="AD649" i="39"/>
  <c r="L649" i="39"/>
  <c r="K649" i="39"/>
  <c r="J649" i="39"/>
  <c r="I649" i="39"/>
  <c r="M649" i="39" s="1"/>
  <c r="H649" i="39"/>
  <c r="C649" i="39"/>
  <c r="AJ648" i="39"/>
  <c r="AI648" i="39"/>
  <c r="AH648" i="39"/>
  <c r="AE648" i="39"/>
  <c r="AD648" i="39"/>
  <c r="L648" i="39"/>
  <c r="K648" i="39"/>
  <c r="J648" i="39"/>
  <c r="I648" i="39"/>
  <c r="H648" i="39"/>
  <c r="C648" i="39"/>
  <c r="AJ647" i="39"/>
  <c r="AI647" i="39"/>
  <c r="AH647" i="39"/>
  <c r="AE647" i="39"/>
  <c r="AD647" i="39"/>
  <c r="L647" i="39"/>
  <c r="K647" i="39"/>
  <c r="J647" i="39"/>
  <c r="I647" i="39"/>
  <c r="H647" i="39"/>
  <c r="C647" i="39"/>
  <c r="AJ646" i="39"/>
  <c r="AI646" i="39"/>
  <c r="AH646" i="39"/>
  <c r="AE646" i="39"/>
  <c r="AD646" i="39"/>
  <c r="L646" i="39"/>
  <c r="AF646" i="39" s="1"/>
  <c r="K646" i="39"/>
  <c r="J646" i="39"/>
  <c r="I646" i="39"/>
  <c r="H646" i="39"/>
  <c r="C646" i="39"/>
  <c r="AJ645" i="39"/>
  <c r="AI645" i="39"/>
  <c r="AH645" i="39"/>
  <c r="AE645" i="39"/>
  <c r="AD645" i="39"/>
  <c r="L645" i="39"/>
  <c r="K645" i="39"/>
  <c r="J645" i="39"/>
  <c r="I645" i="39"/>
  <c r="H645" i="39"/>
  <c r="C645" i="39"/>
  <c r="AJ644" i="39"/>
  <c r="AI644" i="39"/>
  <c r="AH644" i="39"/>
  <c r="AE644" i="39"/>
  <c r="AD644" i="39"/>
  <c r="L644" i="39"/>
  <c r="K644" i="39"/>
  <c r="J644" i="39"/>
  <c r="I644" i="39"/>
  <c r="H644" i="39"/>
  <c r="C644" i="39"/>
  <c r="AJ643" i="39"/>
  <c r="AI643" i="39"/>
  <c r="AH643" i="39"/>
  <c r="AE643" i="39"/>
  <c r="AD643" i="39"/>
  <c r="L643" i="39"/>
  <c r="K643" i="39"/>
  <c r="J643" i="39"/>
  <c r="I643" i="39"/>
  <c r="H643" i="39"/>
  <c r="C643" i="39"/>
  <c r="AJ642" i="39"/>
  <c r="AI642" i="39"/>
  <c r="AH642" i="39"/>
  <c r="AE642" i="39"/>
  <c r="AD642" i="39"/>
  <c r="L642" i="39"/>
  <c r="K642" i="39"/>
  <c r="J642" i="39"/>
  <c r="I642" i="39"/>
  <c r="M642" i="39" s="1"/>
  <c r="H642" i="39"/>
  <c r="C642" i="39"/>
  <c r="AJ641" i="39"/>
  <c r="AI641" i="39"/>
  <c r="AH641" i="39"/>
  <c r="AE641" i="39"/>
  <c r="AD641" i="39"/>
  <c r="L641" i="39"/>
  <c r="K641" i="39"/>
  <c r="J641" i="39"/>
  <c r="I641" i="39"/>
  <c r="H641" i="39"/>
  <c r="C641" i="39"/>
  <c r="AJ640" i="39"/>
  <c r="AI640" i="39"/>
  <c r="AH640" i="39"/>
  <c r="AE640" i="39"/>
  <c r="AD640" i="39"/>
  <c r="L640" i="39"/>
  <c r="K640" i="39"/>
  <c r="J640" i="39"/>
  <c r="I640" i="39"/>
  <c r="H640" i="39"/>
  <c r="C640" i="39"/>
  <c r="AJ639" i="39"/>
  <c r="AI639" i="39"/>
  <c r="AH639" i="39"/>
  <c r="AE639" i="39"/>
  <c r="AD639" i="39"/>
  <c r="L639" i="39"/>
  <c r="AF639" i="39" s="1"/>
  <c r="K639" i="39"/>
  <c r="J639" i="39"/>
  <c r="I639" i="39"/>
  <c r="M639" i="39" s="1"/>
  <c r="H639" i="39"/>
  <c r="C639" i="39"/>
  <c r="AJ638" i="39"/>
  <c r="AI638" i="39"/>
  <c r="AH638" i="39"/>
  <c r="AE638" i="39"/>
  <c r="AD638" i="39"/>
  <c r="L638" i="39"/>
  <c r="K638" i="39"/>
  <c r="J638" i="39"/>
  <c r="I638" i="39"/>
  <c r="M638" i="39" s="1"/>
  <c r="H638" i="39"/>
  <c r="AF638" i="39" s="1"/>
  <c r="AG638" i="39" s="1"/>
  <c r="C638" i="39"/>
  <c r="AJ637" i="39"/>
  <c r="AI637" i="39"/>
  <c r="AH637" i="39"/>
  <c r="AE637" i="39"/>
  <c r="AD637" i="39"/>
  <c r="L637" i="39"/>
  <c r="K637" i="39"/>
  <c r="J637" i="39"/>
  <c r="I637" i="39"/>
  <c r="H637" i="39"/>
  <c r="C637" i="39"/>
  <c r="M3" i="36"/>
  <c r="M6" i="36" s="1"/>
  <c r="AG668" i="39" l="1"/>
  <c r="AF759" i="39"/>
  <c r="AF728" i="39"/>
  <c r="AF732" i="39"/>
  <c r="AF640" i="39"/>
  <c r="AG640" i="39" s="1"/>
  <c r="M746" i="39"/>
  <c r="AF725" i="39"/>
  <c r="AF763" i="39"/>
  <c r="AF644" i="39"/>
  <c r="AF746" i="39"/>
  <c r="AG746" i="39" s="1"/>
  <c r="AF756" i="39"/>
  <c r="AG756" i="39" s="1"/>
  <c r="M714" i="39"/>
  <c r="AF760" i="39"/>
  <c r="AG760" i="39" s="1"/>
  <c r="AF694" i="39"/>
  <c r="AF767" i="39"/>
  <c r="AG767" i="39" s="1"/>
  <c r="AF736" i="39"/>
  <c r="AG736" i="39" s="1"/>
  <c r="AF676" i="39"/>
  <c r="AG676" i="39" s="1"/>
  <c r="AF729" i="39"/>
  <c r="M747" i="39"/>
  <c r="AG655" i="39"/>
  <c r="M652" i="39"/>
  <c r="AG673" i="39"/>
  <c r="M680" i="39"/>
  <c r="AF691" i="39"/>
  <c r="M663" i="39"/>
  <c r="AG733" i="39"/>
  <c r="AF648" i="39"/>
  <c r="AF687" i="39"/>
  <c r="AG687" i="39" s="1"/>
  <c r="M691" i="39"/>
  <c r="AF641" i="39"/>
  <c r="AG641" i="39" s="1"/>
  <c r="AF652" i="39"/>
  <c r="AG652" i="39" s="1"/>
  <c r="AF670" i="39"/>
  <c r="AG670" i="39" s="1"/>
  <c r="AF683" i="39"/>
  <c r="AG684" i="39"/>
  <c r="M753" i="39"/>
  <c r="M695" i="39"/>
  <c r="AG702" i="39"/>
  <c r="AG644" i="39"/>
  <c r="AF645" i="39"/>
  <c r="AF684" i="39"/>
  <c r="AF768" i="39"/>
  <c r="AF677" i="39"/>
  <c r="AF754" i="39"/>
  <c r="AG754" i="39" s="1"/>
  <c r="AF655" i="39"/>
  <c r="AF765" i="39"/>
  <c r="AG667" i="39"/>
  <c r="AF649" i="39"/>
  <c r="AG649" i="39" s="1"/>
  <c r="AF674" i="39"/>
  <c r="AG674" i="39" s="1"/>
  <c r="AF688" i="39"/>
  <c r="AG688" i="39" s="1"/>
  <c r="AF692" i="39"/>
  <c r="AG712" i="39"/>
  <c r="M723" i="39"/>
  <c r="AF730" i="39"/>
  <c r="AF719" i="39"/>
  <c r="AG719" i="39" s="1"/>
  <c r="AF642" i="39"/>
  <c r="AG642" i="39" s="1"/>
  <c r="AF653" i="39"/>
  <c r="AG653" i="39" s="1"/>
  <c r="AF681" i="39"/>
  <c r="AG681" i="39" s="1"/>
  <c r="AF716" i="39"/>
  <c r="AG716" i="39" s="1"/>
  <c r="M754" i="39"/>
  <c r="AF734" i="39"/>
  <c r="AG751" i="39"/>
  <c r="M738" i="39"/>
  <c r="AF657" i="39"/>
  <c r="AG657" i="39" s="1"/>
  <c r="M678" i="39"/>
  <c r="AF685" i="39"/>
  <c r="AF703" i="39"/>
  <c r="AG703" i="39" s="1"/>
  <c r="AF720" i="39"/>
  <c r="AG720" i="39" s="1"/>
  <c r="AF731" i="39"/>
  <c r="AG731" i="39" s="1"/>
  <c r="M674" i="39"/>
  <c r="AG696" i="39"/>
  <c r="M751" i="39"/>
  <c r="AF769" i="39"/>
  <c r="AG769" i="39" s="1"/>
  <c r="AF650" i="39"/>
  <c r="AG650" i="39" s="1"/>
  <c r="AG730" i="39"/>
  <c r="AF637" i="39"/>
  <c r="AG637" i="39" s="1"/>
  <c r="AF689" i="39"/>
  <c r="AG693" i="39"/>
  <c r="AF762" i="39"/>
  <c r="AF662" i="39"/>
  <c r="AF643" i="39"/>
  <c r="AG717" i="39"/>
  <c r="M758" i="39"/>
  <c r="AG677" i="39"/>
  <c r="AF654" i="39"/>
  <c r="AF682" i="39"/>
  <c r="AG682" i="39" s="1"/>
  <c r="AF686" i="39"/>
  <c r="AF724" i="39"/>
  <c r="AG724" i="39" s="1"/>
  <c r="AF690" i="39"/>
  <c r="AG690" i="39" s="1"/>
  <c r="AF647" i="39"/>
  <c r="AG647" i="39" s="1"/>
  <c r="AF714" i="39"/>
  <c r="AG714" i="39" s="1"/>
  <c r="AF735" i="39"/>
  <c r="AF742" i="39"/>
  <c r="AG742" i="39" s="1"/>
  <c r="M675" i="39"/>
  <c r="M752" i="39"/>
  <c r="M715" i="39"/>
  <c r="M757" i="39"/>
  <c r="M707" i="39"/>
  <c r="M742" i="39"/>
  <c r="M766" i="39"/>
  <c r="M728" i="39"/>
  <c r="M759" i="39"/>
  <c r="M722" i="39"/>
  <c r="M645" i="39"/>
  <c r="M702" i="39"/>
  <c r="M740" i="39"/>
  <c r="M726" i="39"/>
  <c r="M737" i="39"/>
  <c r="M660" i="39"/>
  <c r="M688" i="39"/>
  <c r="M719" i="39"/>
  <c r="M750" i="39"/>
  <c r="M699" i="39"/>
  <c r="M706" i="39"/>
  <c r="M716" i="39"/>
  <c r="M664" i="39"/>
  <c r="M692" i="39"/>
  <c r="M646" i="39"/>
  <c r="M734" i="39"/>
  <c r="M661" i="39"/>
  <c r="M668" i="39"/>
  <c r="M689" i="39"/>
  <c r="M710" i="39"/>
  <c r="M720" i="39"/>
  <c r="M731" i="39"/>
  <c r="M745" i="39"/>
  <c r="M700" i="39"/>
  <c r="M654" i="39"/>
  <c r="M682" i="39"/>
  <c r="M665" i="39"/>
  <c r="M748" i="39"/>
  <c r="M643" i="39"/>
  <c r="M735" i="39"/>
  <c r="M658" i="39"/>
  <c r="M686" i="39"/>
  <c r="M704" i="39"/>
  <c r="M640" i="39"/>
  <c r="M697" i="39"/>
  <c r="M679" i="39"/>
  <c r="M651" i="39"/>
  <c r="M662" i="39"/>
  <c r="M672" i="39"/>
  <c r="M721" i="39"/>
  <c r="M732" i="39"/>
  <c r="M711" i="39"/>
  <c r="M683" i="39"/>
  <c r="M708" i="39"/>
  <c r="M725" i="39"/>
  <c r="M637" i="39"/>
  <c r="M666" i="39"/>
  <c r="M694" i="39"/>
  <c r="M718" i="39"/>
  <c r="M749" i="39"/>
  <c r="M767" i="39"/>
  <c r="M648" i="39"/>
  <c r="M676" i="39"/>
  <c r="M736" i="39"/>
  <c r="M669" i="39"/>
  <c r="M701" i="39"/>
  <c r="M659" i="39"/>
  <c r="M705" i="39"/>
  <c r="M743" i="39"/>
  <c r="M729" i="39"/>
  <c r="M760" i="39"/>
  <c r="M698" i="39"/>
  <c r="AG727" i="39"/>
  <c r="AG704" i="39"/>
  <c r="M717" i="39"/>
  <c r="M677" i="39"/>
  <c r="M673" i="39"/>
  <c r="AF660" i="39"/>
  <c r="AG660" i="39" s="1"/>
  <c r="AG663" i="39"/>
  <c r="AF700" i="39"/>
  <c r="AG700" i="39" s="1"/>
  <c r="AF740" i="39"/>
  <c r="AG743" i="39"/>
  <c r="AF697" i="39"/>
  <c r="AG697" i="39" s="1"/>
  <c r="AF737" i="39"/>
  <c r="AG737" i="39" s="1"/>
  <c r="AG740" i="39"/>
  <c r="AG694" i="39"/>
  <c r="AG734" i="39"/>
  <c r="AG654" i="39"/>
  <c r="AG651" i="39"/>
  <c r="AG691" i="39"/>
  <c r="AG648" i="39"/>
  <c r="AG728" i="39"/>
  <c r="AG768" i="39"/>
  <c r="M667" i="39"/>
  <c r="AG685" i="39"/>
  <c r="AG725" i="39"/>
  <c r="AG765" i="39"/>
  <c r="AG722" i="39"/>
  <c r="AG762" i="39"/>
  <c r="AG645" i="39"/>
  <c r="AG639" i="39"/>
  <c r="AG679" i="39"/>
  <c r="AG759" i="39"/>
  <c r="AF704" i="39"/>
  <c r="AF744" i="39"/>
  <c r="AG744" i="39" s="1"/>
  <c r="AF661" i="39"/>
  <c r="AG661" i="39" s="1"/>
  <c r="AG664" i="39"/>
  <c r="AF701" i="39"/>
  <c r="AG701" i="39" s="1"/>
  <c r="AF741" i="39"/>
  <c r="AG741" i="39" s="1"/>
  <c r="M739" i="39"/>
  <c r="AF658" i="39"/>
  <c r="AG658" i="39" s="1"/>
  <c r="AF698" i="39"/>
  <c r="AG698" i="39" s="1"/>
  <c r="AF738" i="39"/>
  <c r="AG738" i="39" s="1"/>
  <c r="AG695" i="39"/>
  <c r="AG735" i="39"/>
  <c r="AG692" i="39"/>
  <c r="AG732" i="39"/>
  <c r="M655" i="39"/>
  <c r="AG689" i="39"/>
  <c r="AG729" i="39"/>
  <c r="AG646" i="39"/>
  <c r="AG686" i="39"/>
  <c r="AG726" i="39"/>
  <c r="AG766" i="39"/>
  <c r="M733" i="39"/>
  <c r="M693" i="39"/>
  <c r="M653" i="39"/>
  <c r="AG643" i="39"/>
  <c r="AG683" i="39"/>
  <c r="AG723" i="39"/>
  <c r="AG763" i="39"/>
  <c r="AG680" i="39"/>
  <c r="AF757" i="39"/>
  <c r="AG757" i="39" s="1"/>
  <c r="M730" i="39"/>
  <c r="M690" i="39"/>
  <c r="M650" i="39"/>
  <c r="M727" i="39"/>
  <c r="M687" i="39"/>
  <c r="M647" i="39"/>
  <c r="AF659" i="39"/>
  <c r="AG659" i="39" s="1"/>
  <c r="AG662" i="39"/>
  <c r="AF699" i="39"/>
  <c r="AG699" i="39" s="1"/>
  <c r="AF739" i="39"/>
  <c r="AG739" i="39" s="1"/>
  <c r="AF656" i="39"/>
  <c r="AG656" i="39" s="1"/>
  <c r="M724" i="39"/>
  <c r="M684" i="39"/>
  <c r="M644" i="39"/>
  <c r="M681" i="39"/>
  <c r="M641" i="39"/>
  <c r="AF764" i="39"/>
  <c r="AG764" i="39" s="1"/>
  <c r="AJ3" i="39" l="1"/>
  <c r="AJ4" i="39"/>
  <c r="AJ5" i="39"/>
  <c r="AJ6" i="39"/>
  <c r="AJ7" i="39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J25" i="39"/>
  <c r="AJ26" i="39"/>
  <c r="AJ27" i="39"/>
  <c r="AJ28" i="39"/>
  <c r="AJ29" i="39"/>
  <c r="AJ30" i="39"/>
  <c r="AJ31" i="39"/>
  <c r="AJ32" i="39"/>
  <c r="AJ33" i="39"/>
  <c r="AJ34" i="39"/>
  <c r="AJ35" i="39"/>
  <c r="AJ36" i="39"/>
  <c r="AJ37" i="39"/>
  <c r="AJ38" i="39"/>
  <c r="AJ39" i="39"/>
  <c r="AJ40" i="39"/>
  <c r="AJ41" i="39"/>
  <c r="AJ42" i="39"/>
  <c r="AJ43" i="39"/>
  <c r="AJ44" i="39"/>
  <c r="AJ45" i="39"/>
  <c r="AJ46" i="39"/>
  <c r="AJ47" i="39"/>
  <c r="AJ48" i="39"/>
  <c r="AJ49" i="39"/>
  <c r="AJ50" i="39"/>
  <c r="AJ51" i="39"/>
  <c r="AJ52" i="39"/>
  <c r="AJ53" i="39"/>
  <c r="AJ54" i="39"/>
  <c r="AJ55" i="39"/>
  <c r="AJ56" i="39"/>
  <c r="AJ57" i="39"/>
  <c r="AJ58" i="39"/>
  <c r="AJ59" i="39"/>
  <c r="AJ60" i="39"/>
  <c r="AJ61" i="39"/>
  <c r="AJ62" i="39"/>
  <c r="AJ63" i="39"/>
  <c r="AJ64" i="39"/>
  <c r="AJ65" i="39"/>
  <c r="AJ66" i="39"/>
  <c r="AJ67" i="39"/>
  <c r="AJ68" i="39"/>
  <c r="AJ69" i="39"/>
  <c r="AJ70" i="39"/>
  <c r="AJ71" i="39"/>
  <c r="AJ72" i="39"/>
  <c r="AJ73" i="39"/>
  <c r="AJ74" i="39"/>
  <c r="AJ75" i="39"/>
  <c r="AJ76" i="39"/>
  <c r="AJ77" i="39"/>
  <c r="AJ78" i="39"/>
  <c r="AJ79" i="39"/>
  <c r="AJ80" i="39"/>
  <c r="AJ81" i="39"/>
  <c r="AJ82" i="39"/>
  <c r="AJ83" i="39"/>
  <c r="AJ84" i="39"/>
  <c r="AJ85" i="39"/>
  <c r="AJ86" i="39"/>
  <c r="AJ87" i="39"/>
  <c r="AJ88" i="39"/>
  <c r="AJ89" i="39"/>
  <c r="AJ90" i="39"/>
  <c r="AJ91" i="39"/>
  <c r="AJ92" i="39"/>
  <c r="AJ93" i="39"/>
  <c r="AJ94" i="39"/>
  <c r="AJ95" i="39"/>
  <c r="AJ96" i="39"/>
  <c r="AJ97" i="39"/>
  <c r="AJ98" i="39"/>
  <c r="AJ99" i="39"/>
  <c r="AJ100" i="39"/>
  <c r="AJ101" i="39"/>
  <c r="AJ102" i="39"/>
  <c r="AJ103" i="39"/>
  <c r="AJ104" i="39"/>
  <c r="AJ105" i="39"/>
  <c r="AJ106" i="39"/>
  <c r="AJ107" i="39"/>
  <c r="AJ108" i="39"/>
  <c r="AJ109" i="39"/>
  <c r="AJ110" i="39"/>
  <c r="AJ111" i="39"/>
  <c r="AJ112" i="39"/>
  <c r="AJ113" i="39"/>
  <c r="AJ114" i="39"/>
  <c r="AJ115" i="39"/>
  <c r="AJ116" i="39"/>
  <c r="AJ117" i="39"/>
  <c r="AJ118" i="39"/>
  <c r="AJ119" i="39"/>
  <c r="AJ120" i="39"/>
  <c r="AJ121" i="39"/>
  <c r="AJ122" i="39"/>
  <c r="AJ123" i="39"/>
  <c r="AJ124" i="39"/>
  <c r="AJ125" i="39"/>
  <c r="AJ126" i="39"/>
  <c r="AJ127" i="39"/>
  <c r="AJ128" i="39"/>
  <c r="AJ129" i="39"/>
  <c r="AJ130" i="39"/>
  <c r="AJ131" i="39"/>
  <c r="AJ132" i="39"/>
  <c r="AJ133" i="39"/>
  <c r="AJ134" i="39"/>
  <c r="AJ135" i="39"/>
  <c r="AJ136" i="39"/>
  <c r="AJ137" i="39"/>
  <c r="AJ138" i="39"/>
  <c r="AJ139" i="39"/>
  <c r="AJ140" i="39"/>
  <c r="AJ141" i="39"/>
  <c r="AJ142" i="39"/>
  <c r="AJ143" i="39"/>
  <c r="AJ144" i="39"/>
  <c r="AJ145" i="39"/>
  <c r="AJ146" i="39"/>
  <c r="AJ147" i="39"/>
  <c r="AJ148" i="39"/>
  <c r="AJ149" i="39"/>
  <c r="AJ150" i="39"/>
  <c r="AJ151" i="39"/>
  <c r="AJ152" i="39"/>
  <c r="AJ153" i="39"/>
  <c r="AJ154" i="39"/>
  <c r="AJ155" i="39"/>
  <c r="AJ156" i="39"/>
  <c r="AJ157" i="39"/>
  <c r="AJ158" i="39"/>
  <c r="AJ159" i="39"/>
  <c r="AJ160" i="39"/>
  <c r="AJ161" i="39"/>
  <c r="AJ162" i="39"/>
  <c r="AJ163" i="39"/>
  <c r="AJ164" i="39"/>
  <c r="AJ165" i="39"/>
  <c r="AJ166" i="39"/>
  <c r="AJ167" i="39"/>
  <c r="AJ168" i="39"/>
  <c r="AJ169" i="39"/>
  <c r="AJ170" i="39"/>
  <c r="AJ171" i="39"/>
  <c r="AJ172" i="39"/>
  <c r="AJ173" i="39"/>
  <c r="AJ174" i="39"/>
  <c r="AJ175" i="39"/>
  <c r="AJ176" i="39"/>
  <c r="AJ177" i="39"/>
  <c r="AJ178" i="39"/>
  <c r="AJ179" i="39"/>
  <c r="AJ180" i="39"/>
  <c r="AJ181" i="39"/>
  <c r="AJ182" i="39"/>
  <c r="AJ183" i="39"/>
  <c r="AJ184" i="39"/>
  <c r="AJ185" i="39"/>
  <c r="AJ186" i="39"/>
  <c r="AJ187" i="39"/>
  <c r="AJ188" i="39"/>
  <c r="AJ189" i="39"/>
  <c r="AJ190" i="39"/>
  <c r="AJ191" i="39"/>
  <c r="AJ192" i="39"/>
  <c r="AJ193" i="39"/>
  <c r="AJ194" i="39"/>
  <c r="AJ195" i="39"/>
  <c r="AJ196" i="39"/>
  <c r="AJ197" i="39"/>
  <c r="AJ198" i="39"/>
  <c r="AJ199" i="39"/>
  <c r="AJ200" i="39"/>
  <c r="AJ201" i="39"/>
  <c r="AJ202" i="39"/>
  <c r="AJ203" i="39"/>
  <c r="AJ204" i="39"/>
  <c r="AJ205" i="39"/>
  <c r="AJ206" i="39"/>
  <c r="AJ207" i="39"/>
  <c r="AJ208" i="39"/>
  <c r="AJ209" i="39"/>
  <c r="AJ210" i="39"/>
  <c r="AJ211" i="39"/>
  <c r="AJ212" i="39"/>
  <c r="AJ213" i="39"/>
  <c r="AJ214" i="39"/>
  <c r="AJ215" i="39"/>
  <c r="AJ216" i="39"/>
  <c r="AJ217" i="39"/>
  <c r="AJ218" i="39"/>
  <c r="AJ219" i="39"/>
  <c r="AJ220" i="39"/>
  <c r="AJ221" i="39"/>
  <c r="AJ222" i="39"/>
  <c r="AJ223" i="39"/>
  <c r="AJ224" i="39"/>
  <c r="AJ225" i="39"/>
  <c r="AJ226" i="39"/>
  <c r="AJ227" i="39"/>
  <c r="AJ228" i="39"/>
  <c r="AJ229" i="39"/>
  <c r="AJ230" i="39"/>
  <c r="AJ231" i="39"/>
  <c r="AJ232" i="39"/>
  <c r="AJ233" i="39"/>
  <c r="AJ234" i="39"/>
  <c r="AJ235" i="39"/>
  <c r="AJ236" i="39"/>
  <c r="AJ237" i="39"/>
  <c r="AJ238" i="39"/>
  <c r="AJ239" i="39"/>
  <c r="AJ240" i="39"/>
  <c r="AJ241" i="39"/>
  <c r="AJ242" i="39"/>
  <c r="AJ243" i="39"/>
  <c r="AJ244" i="39"/>
  <c r="AJ245" i="39"/>
  <c r="AJ246" i="39"/>
  <c r="AJ247" i="39"/>
  <c r="AJ248" i="39"/>
  <c r="AJ249" i="39"/>
  <c r="AJ250" i="39"/>
  <c r="AJ251" i="39"/>
  <c r="AJ252" i="39"/>
  <c r="AJ253" i="39"/>
  <c r="AJ254" i="39"/>
  <c r="AJ255" i="39"/>
  <c r="AJ256" i="39"/>
  <c r="AJ257" i="39"/>
  <c r="AJ258" i="39"/>
  <c r="AJ259" i="39"/>
  <c r="AJ260" i="39"/>
  <c r="AJ261" i="39"/>
  <c r="AJ262" i="39"/>
  <c r="AJ263" i="39"/>
  <c r="AJ264" i="39"/>
  <c r="AJ265" i="39"/>
  <c r="AJ266" i="39"/>
  <c r="AJ267" i="39"/>
  <c r="AJ268" i="39"/>
  <c r="AJ269" i="39"/>
  <c r="AJ270" i="39"/>
  <c r="AJ271" i="39"/>
  <c r="AJ272" i="39"/>
  <c r="AJ273" i="39"/>
  <c r="AJ274" i="39"/>
  <c r="AJ275" i="39"/>
  <c r="AJ276" i="39"/>
  <c r="AJ277" i="39"/>
  <c r="AJ278" i="39"/>
  <c r="AJ279" i="39"/>
  <c r="AJ280" i="39"/>
  <c r="AJ281" i="39"/>
  <c r="AJ282" i="39"/>
  <c r="AJ283" i="39"/>
  <c r="AJ284" i="39"/>
  <c r="AJ285" i="39"/>
  <c r="AJ286" i="39"/>
  <c r="AJ287" i="39"/>
  <c r="AJ288" i="39"/>
  <c r="AJ289" i="39"/>
  <c r="AJ290" i="39"/>
  <c r="AJ291" i="39"/>
  <c r="AJ292" i="39"/>
  <c r="AJ293" i="39"/>
  <c r="AJ294" i="39"/>
  <c r="AJ295" i="39"/>
  <c r="AJ296" i="39"/>
  <c r="AJ297" i="39"/>
  <c r="AJ298" i="39"/>
  <c r="AJ299" i="39"/>
  <c r="AJ300" i="39"/>
  <c r="AJ301" i="39"/>
  <c r="AJ302" i="39"/>
  <c r="AJ303" i="39"/>
  <c r="AJ304" i="39"/>
  <c r="AJ305" i="39"/>
  <c r="AJ306" i="39"/>
  <c r="AJ307" i="39"/>
  <c r="AJ308" i="39"/>
  <c r="AJ309" i="39"/>
  <c r="AJ310" i="39"/>
  <c r="AJ311" i="39"/>
  <c r="AJ312" i="39"/>
  <c r="AJ313" i="39"/>
  <c r="AJ314" i="39"/>
  <c r="AJ315" i="39"/>
  <c r="AJ316" i="39"/>
  <c r="AJ317" i="39"/>
  <c r="AJ318" i="39"/>
  <c r="AJ319" i="39"/>
  <c r="AJ320" i="39"/>
  <c r="AJ321" i="39"/>
  <c r="AJ322" i="39"/>
  <c r="AJ323" i="39"/>
  <c r="AJ324" i="39"/>
  <c r="AJ325" i="39"/>
  <c r="AJ326" i="39"/>
  <c r="AJ327" i="39"/>
  <c r="AJ328" i="39"/>
  <c r="AJ329" i="39"/>
  <c r="AJ330" i="39"/>
  <c r="AJ331" i="39"/>
  <c r="AJ332" i="39"/>
  <c r="AJ333" i="39"/>
  <c r="AJ334" i="39"/>
  <c r="AJ335" i="39"/>
  <c r="AJ336" i="39"/>
  <c r="AJ337" i="39"/>
  <c r="AJ338" i="39"/>
  <c r="AJ339" i="39"/>
  <c r="AJ340" i="39"/>
  <c r="AJ341" i="39"/>
  <c r="AJ342" i="39"/>
  <c r="AJ343" i="39"/>
  <c r="AJ344" i="39"/>
  <c r="AJ345" i="39"/>
  <c r="AJ346" i="39"/>
  <c r="AJ347" i="39"/>
  <c r="AJ348" i="39"/>
  <c r="AJ349" i="39"/>
  <c r="AJ350" i="39"/>
  <c r="AJ351" i="39"/>
  <c r="AJ352" i="39"/>
  <c r="AJ353" i="39"/>
  <c r="AJ354" i="39"/>
  <c r="AJ355" i="39"/>
  <c r="AJ356" i="39"/>
  <c r="AJ357" i="39"/>
  <c r="AJ358" i="39"/>
  <c r="AJ359" i="39"/>
  <c r="AJ360" i="39"/>
  <c r="AJ361" i="39"/>
  <c r="AJ362" i="39"/>
  <c r="AJ363" i="39"/>
  <c r="AJ364" i="39"/>
  <c r="AJ365" i="39"/>
  <c r="AJ366" i="39"/>
  <c r="AJ367" i="39"/>
  <c r="AJ368" i="39"/>
  <c r="AJ369" i="39"/>
  <c r="AJ370" i="39"/>
  <c r="AJ371" i="39"/>
  <c r="AJ372" i="39"/>
  <c r="AJ373" i="39"/>
  <c r="AJ374" i="39"/>
  <c r="AJ375" i="39"/>
  <c r="AJ376" i="39"/>
  <c r="AJ377" i="39"/>
  <c r="AJ378" i="39"/>
  <c r="AJ379" i="39"/>
  <c r="AJ380" i="39"/>
  <c r="AJ381" i="39"/>
  <c r="AJ382" i="39"/>
  <c r="AJ383" i="39"/>
  <c r="AJ384" i="39"/>
  <c r="AJ385" i="39"/>
  <c r="AJ386" i="39"/>
  <c r="AJ387" i="39"/>
  <c r="AJ388" i="39"/>
  <c r="AJ389" i="39"/>
  <c r="AJ390" i="39"/>
  <c r="AJ391" i="39"/>
  <c r="AJ392" i="39"/>
  <c r="AJ393" i="39"/>
  <c r="AJ394" i="39"/>
  <c r="AJ395" i="39"/>
  <c r="AJ396" i="39"/>
  <c r="AJ397" i="39"/>
  <c r="AJ398" i="39"/>
  <c r="AJ399" i="39"/>
  <c r="AJ400" i="39"/>
  <c r="AJ401" i="39"/>
  <c r="AJ402" i="39"/>
  <c r="AJ403" i="39"/>
  <c r="AJ404" i="39"/>
  <c r="AJ405" i="39"/>
  <c r="AJ406" i="39"/>
  <c r="AJ407" i="39"/>
  <c r="AJ408" i="39"/>
  <c r="AJ409" i="39"/>
  <c r="AJ410" i="39"/>
  <c r="AJ411" i="39"/>
  <c r="AJ412" i="39"/>
  <c r="AJ413" i="39"/>
  <c r="AJ414" i="39"/>
  <c r="AJ415" i="39"/>
  <c r="AJ416" i="39"/>
  <c r="AJ417" i="39"/>
  <c r="AJ418" i="39"/>
  <c r="AJ419" i="39"/>
  <c r="AJ420" i="39"/>
  <c r="AJ421" i="39"/>
  <c r="AJ422" i="39"/>
  <c r="AJ423" i="39"/>
  <c r="AJ424" i="39"/>
  <c r="AJ425" i="39"/>
  <c r="AJ426" i="39"/>
  <c r="AJ427" i="39"/>
  <c r="AJ428" i="39"/>
  <c r="AJ429" i="39"/>
  <c r="AJ430" i="39"/>
  <c r="AJ431" i="39"/>
  <c r="AJ432" i="39"/>
  <c r="AJ433" i="39"/>
  <c r="AJ434" i="39"/>
  <c r="AJ435" i="39"/>
  <c r="AJ436" i="39"/>
  <c r="AJ437" i="39"/>
  <c r="AJ438" i="39"/>
  <c r="AJ439" i="39"/>
  <c r="AJ440" i="39"/>
  <c r="AJ441" i="39"/>
  <c r="AJ442" i="39"/>
  <c r="AJ443" i="39"/>
  <c r="AJ444" i="39"/>
  <c r="AJ445" i="39"/>
  <c r="AJ446" i="39"/>
  <c r="AJ447" i="39"/>
  <c r="AJ448" i="39"/>
  <c r="AJ449" i="39"/>
  <c r="AJ450" i="39"/>
  <c r="AJ451" i="39"/>
  <c r="AJ452" i="39"/>
  <c r="AJ453" i="39"/>
  <c r="AJ454" i="39"/>
  <c r="AJ455" i="39"/>
  <c r="AJ456" i="39"/>
  <c r="AJ457" i="39"/>
  <c r="AJ458" i="39"/>
  <c r="AJ459" i="39"/>
  <c r="AJ460" i="39"/>
  <c r="AJ461" i="39"/>
  <c r="AJ462" i="39"/>
  <c r="AJ463" i="39"/>
  <c r="AJ464" i="39"/>
  <c r="AJ465" i="39"/>
  <c r="AJ466" i="39"/>
  <c r="AJ467" i="39"/>
  <c r="AJ468" i="39"/>
  <c r="AJ469" i="39"/>
  <c r="AJ470" i="39"/>
  <c r="AJ471" i="39"/>
  <c r="AJ472" i="39"/>
  <c r="AJ473" i="39"/>
  <c r="AJ474" i="39"/>
  <c r="AJ475" i="39"/>
  <c r="AJ476" i="39"/>
  <c r="AJ477" i="39"/>
  <c r="AJ478" i="39"/>
  <c r="AJ479" i="39"/>
  <c r="AJ480" i="39"/>
  <c r="AJ481" i="39"/>
  <c r="AJ482" i="39"/>
  <c r="AJ483" i="39"/>
  <c r="AJ484" i="39"/>
  <c r="AJ485" i="39"/>
  <c r="AJ486" i="39"/>
  <c r="AJ487" i="39"/>
  <c r="AJ488" i="39"/>
  <c r="AJ489" i="39"/>
  <c r="AJ490" i="39"/>
  <c r="AJ491" i="39"/>
  <c r="AJ492" i="39"/>
  <c r="AJ493" i="39"/>
  <c r="AJ494" i="39"/>
  <c r="AJ495" i="39"/>
  <c r="AJ496" i="39"/>
  <c r="AJ497" i="39"/>
  <c r="AJ498" i="39"/>
  <c r="AJ499" i="39"/>
  <c r="AJ500" i="39"/>
  <c r="AJ501" i="39"/>
  <c r="AJ502" i="39"/>
  <c r="AJ503" i="39"/>
  <c r="AJ504" i="39"/>
  <c r="AJ505" i="39"/>
  <c r="AJ506" i="39"/>
  <c r="AJ507" i="39"/>
  <c r="AJ508" i="39"/>
  <c r="AJ509" i="39"/>
  <c r="AJ510" i="39"/>
  <c r="AJ511" i="39"/>
  <c r="AJ512" i="39"/>
  <c r="AJ513" i="39"/>
  <c r="AJ514" i="39"/>
  <c r="AJ515" i="39"/>
  <c r="AJ516" i="39"/>
  <c r="AJ517" i="39"/>
  <c r="AJ518" i="39"/>
  <c r="AJ519" i="39"/>
  <c r="AJ520" i="39"/>
  <c r="AJ521" i="39"/>
  <c r="AJ522" i="39"/>
  <c r="AJ523" i="39"/>
  <c r="AJ524" i="39"/>
  <c r="AJ525" i="39"/>
  <c r="AJ526" i="39"/>
  <c r="AJ527" i="39"/>
  <c r="AJ528" i="39"/>
  <c r="AJ529" i="39"/>
  <c r="AJ530" i="39"/>
  <c r="AJ531" i="39"/>
  <c r="AJ532" i="39"/>
  <c r="AJ533" i="39"/>
  <c r="AJ534" i="39"/>
  <c r="AJ535" i="39"/>
  <c r="AJ536" i="39"/>
  <c r="AJ537" i="39"/>
  <c r="AJ538" i="39"/>
  <c r="AJ539" i="39"/>
  <c r="AJ540" i="39"/>
  <c r="AJ541" i="39"/>
  <c r="AJ542" i="39"/>
  <c r="AJ543" i="39"/>
  <c r="AJ544" i="39"/>
  <c r="AJ545" i="39"/>
  <c r="AJ546" i="39"/>
  <c r="AJ547" i="39"/>
  <c r="AJ548" i="39"/>
  <c r="AJ549" i="39"/>
  <c r="AJ550" i="39"/>
  <c r="AJ551" i="39"/>
  <c r="AJ552" i="39"/>
  <c r="AJ553" i="39"/>
  <c r="AJ554" i="39"/>
  <c r="AJ555" i="39"/>
  <c r="AJ556" i="39"/>
  <c r="AJ557" i="39"/>
  <c r="AJ558" i="39"/>
  <c r="AJ559" i="39"/>
  <c r="AJ560" i="39"/>
  <c r="AJ561" i="39"/>
  <c r="AJ562" i="39"/>
  <c r="AJ563" i="39"/>
  <c r="AJ564" i="39"/>
  <c r="AJ565" i="39"/>
  <c r="AJ566" i="39"/>
  <c r="AJ567" i="39"/>
  <c r="AJ568" i="39"/>
  <c r="AJ569" i="39"/>
  <c r="AJ570" i="39"/>
  <c r="AJ571" i="39"/>
  <c r="AJ572" i="39"/>
  <c r="AJ573" i="39"/>
  <c r="AJ574" i="39"/>
  <c r="AJ575" i="39"/>
  <c r="AJ576" i="39"/>
  <c r="AJ577" i="39"/>
  <c r="AJ578" i="39"/>
  <c r="AJ579" i="39"/>
  <c r="AJ580" i="39"/>
  <c r="AJ581" i="39"/>
  <c r="AJ582" i="39"/>
  <c r="AJ583" i="39"/>
  <c r="AJ584" i="39"/>
  <c r="AJ585" i="39"/>
  <c r="AJ586" i="39"/>
  <c r="AJ587" i="39"/>
  <c r="AJ588" i="39"/>
  <c r="AJ589" i="39"/>
  <c r="AJ590" i="39"/>
  <c r="AJ591" i="39"/>
  <c r="AJ592" i="39"/>
  <c r="AJ593" i="39"/>
  <c r="AJ594" i="39"/>
  <c r="AJ595" i="39"/>
  <c r="AJ596" i="39"/>
  <c r="AJ597" i="39"/>
  <c r="AJ598" i="39"/>
  <c r="AJ599" i="39"/>
  <c r="AJ600" i="39"/>
  <c r="AJ601" i="39"/>
  <c r="AJ602" i="39"/>
  <c r="AJ603" i="39"/>
  <c r="AJ604" i="39"/>
  <c r="AJ605" i="39"/>
  <c r="AJ606" i="39"/>
  <c r="AJ607" i="39"/>
  <c r="AJ608" i="39"/>
  <c r="AJ609" i="39"/>
  <c r="AJ610" i="39"/>
  <c r="AJ611" i="39"/>
  <c r="AJ612" i="39"/>
  <c r="AJ613" i="39"/>
  <c r="AJ614" i="39"/>
  <c r="AJ615" i="39"/>
  <c r="AJ616" i="39"/>
  <c r="AJ617" i="39"/>
  <c r="AJ618" i="39"/>
  <c r="AJ619" i="39"/>
  <c r="AJ620" i="39"/>
  <c r="AJ621" i="39"/>
  <c r="AJ622" i="39"/>
  <c r="AJ623" i="39"/>
  <c r="AJ624" i="39"/>
  <c r="AJ625" i="39"/>
  <c r="AJ626" i="39"/>
  <c r="AJ627" i="39"/>
  <c r="AJ628" i="39"/>
  <c r="AJ629" i="39"/>
  <c r="AJ630" i="39"/>
  <c r="AJ631" i="39"/>
  <c r="AJ632" i="39"/>
  <c r="AJ633" i="39"/>
  <c r="AJ634" i="39"/>
  <c r="AJ635" i="39"/>
  <c r="AJ636" i="39"/>
  <c r="AJ1033" i="39"/>
  <c r="AJ1034" i="39"/>
  <c r="AJ1035" i="39"/>
  <c r="AJ1036" i="39"/>
  <c r="AJ1037" i="39"/>
  <c r="AJ1038" i="39"/>
  <c r="AJ1039" i="39"/>
  <c r="AJ1040" i="39"/>
  <c r="AJ1041" i="39"/>
  <c r="AJ1042" i="39"/>
  <c r="AJ1043" i="39"/>
  <c r="AJ1044" i="39"/>
  <c r="AJ1045" i="39"/>
  <c r="AJ1046" i="39"/>
  <c r="AJ1047" i="39"/>
  <c r="AJ1048" i="39"/>
  <c r="AJ1049" i="39"/>
  <c r="AJ1050" i="39"/>
  <c r="AJ1051" i="39"/>
  <c r="AJ1052" i="39"/>
  <c r="AJ1053" i="39"/>
  <c r="AJ1054" i="39"/>
  <c r="AJ1055" i="39"/>
  <c r="AJ1056" i="39"/>
  <c r="AJ1057" i="39"/>
  <c r="AJ1058" i="39"/>
  <c r="AJ1059" i="39"/>
  <c r="AJ1060" i="39"/>
  <c r="AJ1061" i="39"/>
  <c r="AJ1062" i="39"/>
  <c r="AJ1063" i="39"/>
  <c r="AJ1064" i="39"/>
  <c r="AJ1065" i="39"/>
  <c r="AJ1066" i="39"/>
  <c r="AJ1067" i="39"/>
  <c r="AJ1068" i="39"/>
  <c r="AJ1069" i="39"/>
  <c r="AJ1070" i="39"/>
  <c r="AJ1071" i="39"/>
  <c r="AJ1072" i="39"/>
  <c r="AJ1073" i="39"/>
  <c r="AJ1074" i="39"/>
  <c r="AJ1075" i="39"/>
  <c r="AJ1076" i="39"/>
  <c r="AJ1077" i="39"/>
  <c r="AJ1078" i="39"/>
  <c r="AJ1079" i="39"/>
  <c r="AJ1080" i="39"/>
  <c r="AJ1081" i="39"/>
  <c r="AJ1082" i="39"/>
  <c r="AJ1083" i="39"/>
  <c r="AJ1084" i="39"/>
  <c r="AJ1085" i="39"/>
  <c r="AJ1086" i="39"/>
  <c r="AJ1087" i="39"/>
  <c r="AJ1088" i="39"/>
  <c r="AJ1089" i="39"/>
  <c r="AJ1090" i="39"/>
  <c r="AJ1091" i="39"/>
  <c r="AJ1092" i="39"/>
  <c r="AJ1093" i="39"/>
  <c r="AJ1094" i="39"/>
  <c r="AJ1095" i="39"/>
  <c r="AJ1096" i="39"/>
  <c r="AJ1097" i="39"/>
  <c r="AJ1098" i="39"/>
  <c r="AJ1099" i="39"/>
  <c r="AJ1100" i="39"/>
  <c r="AJ1101" i="39"/>
  <c r="AJ1102" i="39"/>
  <c r="AJ1103" i="39"/>
  <c r="AJ1104" i="39"/>
  <c r="AJ1105" i="39"/>
  <c r="AJ1106" i="39"/>
  <c r="AJ1107" i="39"/>
  <c r="AJ1108" i="39"/>
  <c r="AJ1109" i="39"/>
  <c r="AJ1110" i="39"/>
  <c r="AJ1111" i="39"/>
  <c r="AJ1112" i="39"/>
  <c r="AJ1113" i="39"/>
  <c r="AJ1114" i="39"/>
  <c r="AJ1115" i="39"/>
  <c r="AJ1116" i="39"/>
  <c r="AJ1117" i="39"/>
  <c r="AJ1118" i="39"/>
  <c r="AJ1119" i="39"/>
  <c r="AJ1120" i="39"/>
  <c r="AJ1121" i="39"/>
  <c r="AJ1122" i="39"/>
  <c r="AJ1123" i="39"/>
  <c r="AJ1124" i="39"/>
  <c r="AJ1125" i="39"/>
  <c r="AJ1126" i="39"/>
  <c r="AJ1127" i="39"/>
  <c r="AJ1128" i="39"/>
  <c r="AJ1129" i="39"/>
  <c r="AJ1130" i="39"/>
  <c r="AJ1131" i="39"/>
  <c r="AJ1132" i="39"/>
  <c r="AJ1133" i="39"/>
  <c r="AJ1134" i="39"/>
  <c r="AJ1135" i="39"/>
  <c r="AJ1136" i="39"/>
  <c r="AJ1137" i="39"/>
  <c r="AJ1138" i="39"/>
  <c r="AJ1139" i="39"/>
  <c r="AJ1140" i="39"/>
  <c r="AJ1141" i="39"/>
  <c r="AJ1142" i="39"/>
  <c r="AJ1143" i="39"/>
  <c r="AJ1144" i="39"/>
  <c r="AJ1145" i="39"/>
  <c r="AJ1146" i="39"/>
  <c r="AJ1147" i="39"/>
  <c r="AJ1148" i="39"/>
  <c r="AJ1149" i="39"/>
  <c r="AJ1150" i="39"/>
  <c r="AJ1151" i="39"/>
  <c r="AJ1152" i="39"/>
  <c r="AJ1153" i="39"/>
  <c r="AJ1154" i="39"/>
  <c r="AJ1155" i="39"/>
  <c r="AJ1156" i="39"/>
  <c r="AJ1157" i="39"/>
  <c r="AJ1158" i="39"/>
  <c r="AJ1159" i="39"/>
  <c r="AJ1160" i="39"/>
  <c r="AJ1161" i="39"/>
  <c r="AJ1162" i="39"/>
  <c r="AJ1163" i="39"/>
  <c r="AJ1164" i="39"/>
  <c r="AJ1165" i="39"/>
  <c r="AJ1166" i="39"/>
  <c r="AJ1167" i="39"/>
  <c r="AJ1168" i="39"/>
  <c r="AJ1169" i="39"/>
  <c r="AJ1170" i="39"/>
  <c r="AJ1171" i="39"/>
  <c r="AJ1172" i="39"/>
  <c r="AJ1173" i="39"/>
  <c r="AJ1174" i="39"/>
  <c r="AJ1175" i="39"/>
  <c r="AJ1176" i="39"/>
  <c r="AJ1177" i="39"/>
  <c r="AJ1178" i="39"/>
  <c r="AJ1179" i="39"/>
  <c r="AJ1180" i="39"/>
  <c r="AJ1181" i="39"/>
  <c r="AJ1182" i="39"/>
  <c r="AJ1183" i="39"/>
  <c r="AJ1184" i="39"/>
  <c r="AJ1185" i="39"/>
  <c r="AJ1186" i="39"/>
  <c r="AJ1187" i="39"/>
  <c r="AJ1188" i="39"/>
  <c r="AJ1189" i="39"/>
  <c r="AJ1190" i="39"/>
  <c r="AJ1191" i="39"/>
  <c r="AJ1192" i="39"/>
  <c r="AJ1193" i="39"/>
  <c r="AJ1194" i="39"/>
  <c r="AJ1195" i="39"/>
  <c r="AJ1196" i="39"/>
  <c r="AJ1197" i="39"/>
  <c r="AJ1198" i="39"/>
  <c r="AJ1199" i="39"/>
  <c r="AJ1200" i="39"/>
  <c r="AJ1201" i="39"/>
  <c r="AJ1202" i="39"/>
  <c r="AJ1203" i="39"/>
  <c r="AJ1204" i="39"/>
  <c r="AJ1205" i="39"/>
  <c r="AJ1206" i="39"/>
  <c r="AJ1207" i="39"/>
  <c r="AJ1208" i="39"/>
  <c r="AJ1209" i="39"/>
  <c r="AJ1210" i="39"/>
  <c r="AJ1211" i="39"/>
  <c r="AJ1212" i="39"/>
  <c r="AJ1213" i="39"/>
  <c r="AJ1214" i="39"/>
  <c r="AJ1215" i="39"/>
  <c r="AJ1216" i="39"/>
  <c r="AJ1217" i="39"/>
  <c r="AJ1218" i="39"/>
  <c r="AJ1219" i="39"/>
  <c r="AJ1220" i="39"/>
  <c r="AJ1221" i="39"/>
  <c r="AJ1222" i="39"/>
  <c r="AJ1223" i="39"/>
  <c r="AJ1224" i="39"/>
  <c r="AJ1225" i="39"/>
  <c r="AJ1226" i="39"/>
  <c r="AJ1227" i="39"/>
  <c r="AJ1228" i="39"/>
  <c r="AJ1229" i="39"/>
  <c r="AJ1230" i="39"/>
  <c r="AJ1231" i="39"/>
  <c r="AJ1232" i="39"/>
  <c r="AJ1233" i="39"/>
  <c r="AJ1234" i="39"/>
  <c r="AJ1235" i="39"/>
  <c r="AJ1236" i="39"/>
  <c r="AJ1237" i="39"/>
  <c r="AJ1238" i="39"/>
  <c r="AJ1239" i="39"/>
  <c r="AJ1240" i="39"/>
  <c r="AJ1241" i="39"/>
  <c r="AJ1242" i="39"/>
  <c r="AJ1243" i="39"/>
  <c r="AJ1244" i="39"/>
  <c r="AJ1245" i="39"/>
  <c r="AJ1246" i="39"/>
  <c r="AJ1247" i="39"/>
  <c r="AJ1248" i="39"/>
  <c r="AJ1249" i="39"/>
  <c r="AJ1250" i="39"/>
  <c r="AJ1251" i="39"/>
  <c r="AJ1252" i="39"/>
  <c r="AJ1253" i="39"/>
  <c r="AJ1254" i="39"/>
  <c r="AJ1255" i="39"/>
  <c r="AJ1256" i="39"/>
  <c r="AJ1257" i="39"/>
  <c r="AJ1258" i="39"/>
  <c r="AJ1259" i="39"/>
  <c r="AJ1260" i="39"/>
  <c r="AJ1261" i="39"/>
  <c r="AJ1262" i="39"/>
  <c r="AJ1263" i="39"/>
  <c r="AJ1264" i="39"/>
  <c r="AJ1265" i="39"/>
  <c r="AJ1266" i="39"/>
  <c r="AJ1267" i="39"/>
  <c r="AJ1268" i="39"/>
  <c r="AJ1269" i="39"/>
  <c r="AJ1270" i="39"/>
  <c r="AJ1271" i="39"/>
  <c r="AJ1272" i="39"/>
  <c r="AJ1273" i="39"/>
  <c r="AJ1274" i="39"/>
  <c r="AJ1275" i="39"/>
  <c r="AJ1276" i="39"/>
  <c r="AJ1277" i="39"/>
  <c r="AJ1278" i="39"/>
  <c r="AJ1279" i="39"/>
  <c r="AJ1280" i="39"/>
  <c r="AJ1281" i="39"/>
  <c r="AJ1282" i="39"/>
  <c r="AJ1283" i="39"/>
  <c r="AJ1284" i="39"/>
  <c r="AJ1285" i="39"/>
  <c r="AJ1286" i="39"/>
  <c r="AJ1287" i="39"/>
  <c r="AJ1288" i="39"/>
  <c r="AJ1289" i="39"/>
  <c r="AJ1290" i="39"/>
  <c r="AJ1291" i="39"/>
  <c r="AJ1292" i="39"/>
  <c r="AJ1293" i="39"/>
  <c r="AJ1294" i="39"/>
  <c r="AJ1295" i="39"/>
  <c r="AJ1296" i="39"/>
  <c r="AJ1297" i="39"/>
  <c r="AJ1298" i="39"/>
  <c r="AJ1299" i="39"/>
  <c r="AJ1300" i="39"/>
  <c r="AJ1301" i="39"/>
  <c r="AJ1302" i="39"/>
  <c r="AJ1303" i="39"/>
  <c r="AJ1304" i="39"/>
  <c r="AJ1305" i="39"/>
  <c r="AJ1306" i="39"/>
  <c r="AJ1307" i="39"/>
  <c r="AJ1308" i="39"/>
  <c r="AJ1309" i="39"/>
  <c r="AJ1310" i="39"/>
  <c r="AJ1311" i="39"/>
  <c r="AJ1312" i="39"/>
  <c r="AJ1313" i="39"/>
  <c r="AJ1314" i="39"/>
  <c r="AJ1315" i="39"/>
  <c r="AJ1316" i="39"/>
  <c r="AJ1317" i="39"/>
  <c r="AJ1318" i="39"/>
  <c r="AJ1319" i="39"/>
  <c r="AJ1320" i="39"/>
  <c r="AJ1321" i="39"/>
  <c r="AJ1322" i="39"/>
  <c r="AJ1323" i="39"/>
  <c r="AJ1324" i="39"/>
  <c r="AJ1325" i="39"/>
  <c r="AJ1326" i="39"/>
  <c r="AJ1327" i="39"/>
  <c r="AJ1328" i="39"/>
  <c r="AJ1329" i="39"/>
  <c r="AJ1330" i="39"/>
  <c r="AJ1331" i="39"/>
  <c r="AJ1332" i="39"/>
  <c r="AJ1333" i="39"/>
  <c r="AJ1334" i="39"/>
  <c r="AJ1335" i="39"/>
  <c r="AJ1336" i="39"/>
  <c r="AJ1337" i="39"/>
  <c r="AJ1338" i="39"/>
  <c r="AJ1339" i="39"/>
  <c r="AJ1340" i="39"/>
  <c r="AJ1341" i="39"/>
  <c r="AJ1342" i="39"/>
  <c r="AJ1343" i="39"/>
  <c r="AJ1344" i="39"/>
  <c r="AJ1345" i="39"/>
  <c r="AJ1346" i="39"/>
  <c r="AJ1347" i="39"/>
  <c r="AJ1348" i="39"/>
  <c r="AJ1349" i="39"/>
  <c r="AJ1350" i="39"/>
  <c r="AJ1351" i="39"/>
  <c r="AJ1352" i="39"/>
  <c r="AJ1353" i="39"/>
  <c r="AJ1354" i="39"/>
  <c r="AJ1355" i="39"/>
  <c r="AJ1356" i="39"/>
  <c r="AJ1357" i="39"/>
  <c r="AJ1358" i="39"/>
  <c r="AJ1359" i="39"/>
  <c r="AJ1360" i="39"/>
  <c r="AJ1361" i="39"/>
  <c r="AJ1362" i="39"/>
  <c r="AJ1363" i="39"/>
  <c r="AJ1364" i="39"/>
  <c r="AJ1365" i="39"/>
  <c r="AJ1366" i="39"/>
  <c r="AJ1367" i="39"/>
  <c r="AJ1368" i="39"/>
  <c r="AJ1369" i="39"/>
  <c r="AJ1370" i="39"/>
  <c r="AJ1371" i="39"/>
  <c r="AJ1372" i="39"/>
  <c r="AJ1373" i="39"/>
  <c r="AJ1374" i="39"/>
  <c r="AJ1375" i="39"/>
  <c r="AJ1376" i="39"/>
  <c r="AJ1377" i="39"/>
  <c r="AJ1378" i="39"/>
  <c r="AJ1379" i="39"/>
  <c r="AJ1380" i="39"/>
  <c r="AJ1381" i="39"/>
  <c r="AJ1382" i="39"/>
  <c r="AJ1383" i="39"/>
  <c r="AJ1384" i="39"/>
  <c r="AJ1385" i="39"/>
  <c r="AJ1386" i="39"/>
  <c r="AJ1387" i="39"/>
  <c r="AJ1388" i="39"/>
  <c r="AJ1389" i="39"/>
  <c r="AJ1390" i="39"/>
  <c r="AJ1391" i="39"/>
  <c r="AJ1392" i="39"/>
  <c r="AJ1393" i="39"/>
  <c r="AJ2" i="39"/>
  <c r="AI3" i="39"/>
  <c r="AI4" i="39"/>
  <c r="AI5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I25" i="39"/>
  <c r="AI26" i="39"/>
  <c r="AI27" i="39"/>
  <c r="AI28" i="39"/>
  <c r="AI29" i="39"/>
  <c r="AI30" i="39"/>
  <c r="AI31" i="39"/>
  <c r="AI32" i="39"/>
  <c r="AI33" i="39"/>
  <c r="AI34" i="39"/>
  <c r="AI35" i="39"/>
  <c r="AI36" i="39"/>
  <c r="AI37" i="39"/>
  <c r="AI38" i="39"/>
  <c r="AI39" i="39"/>
  <c r="AI40" i="39"/>
  <c r="AI41" i="39"/>
  <c r="AI42" i="39"/>
  <c r="AI43" i="39"/>
  <c r="AI44" i="39"/>
  <c r="AI45" i="39"/>
  <c r="AI46" i="39"/>
  <c r="AI47" i="39"/>
  <c r="AI48" i="39"/>
  <c r="AI49" i="39"/>
  <c r="AI50" i="39"/>
  <c r="AI51" i="39"/>
  <c r="AI52" i="39"/>
  <c r="AI53" i="39"/>
  <c r="AI54" i="39"/>
  <c r="AI55" i="39"/>
  <c r="AI56" i="39"/>
  <c r="AI57" i="39"/>
  <c r="AI58" i="39"/>
  <c r="AI59" i="39"/>
  <c r="AI60" i="39"/>
  <c r="AI61" i="39"/>
  <c r="AI62" i="39"/>
  <c r="AI63" i="39"/>
  <c r="AI64" i="39"/>
  <c r="AI65" i="39"/>
  <c r="AI66" i="39"/>
  <c r="AI67" i="39"/>
  <c r="AI68" i="39"/>
  <c r="AI69" i="39"/>
  <c r="AI70" i="39"/>
  <c r="AI71" i="39"/>
  <c r="AI72" i="39"/>
  <c r="AI73" i="39"/>
  <c r="AI74" i="39"/>
  <c r="AI75" i="39"/>
  <c r="AI76" i="39"/>
  <c r="AI77" i="39"/>
  <c r="AI78" i="39"/>
  <c r="AI79" i="39"/>
  <c r="AI80" i="39"/>
  <c r="AI81" i="39"/>
  <c r="AI82" i="39"/>
  <c r="AI83" i="39"/>
  <c r="AI84" i="39"/>
  <c r="AI85" i="39"/>
  <c r="AI86" i="39"/>
  <c r="AI87" i="39"/>
  <c r="AI88" i="39"/>
  <c r="AI89" i="39"/>
  <c r="AI90" i="39"/>
  <c r="AI91" i="39"/>
  <c r="AI92" i="39"/>
  <c r="AI93" i="39"/>
  <c r="AI94" i="39"/>
  <c r="AI95" i="39"/>
  <c r="AI96" i="39"/>
  <c r="AI97" i="39"/>
  <c r="AI98" i="39"/>
  <c r="AI99" i="39"/>
  <c r="AI100" i="39"/>
  <c r="AI101" i="39"/>
  <c r="AI102" i="39"/>
  <c r="AI103" i="39"/>
  <c r="AI104" i="39"/>
  <c r="AI105" i="39"/>
  <c r="AI106" i="39"/>
  <c r="AI107" i="39"/>
  <c r="AI108" i="39"/>
  <c r="AI109" i="39"/>
  <c r="AI110" i="39"/>
  <c r="AI111" i="39"/>
  <c r="AI112" i="39"/>
  <c r="AI113" i="39"/>
  <c r="AI114" i="39"/>
  <c r="AI115" i="39"/>
  <c r="AI116" i="39"/>
  <c r="AI117" i="39"/>
  <c r="AI118" i="39"/>
  <c r="AI119" i="39"/>
  <c r="AI120" i="39"/>
  <c r="AI121" i="39"/>
  <c r="AI122" i="39"/>
  <c r="AI123" i="39"/>
  <c r="AI124" i="39"/>
  <c r="AI125" i="39"/>
  <c r="AI126" i="39"/>
  <c r="AI127" i="39"/>
  <c r="AI128" i="39"/>
  <c r="AI129" i="39"/>
  <c r="AI130" i="39"/>
  <c r="AI131" i="39"/>
  <c r="AI132" i="39"/>
  <c r="AI133" i="39"/>
  <c r="AI134" i="39"/>
  <c r="AI135" i="39"/>
  <c r="AI136" i="39"/>
  <c r="AI137" i="39"/>
  <c r="AI138" i="39"/>
  <c r="AI139" i="39"/>
  <c r="AI140" i="39"/>
  <c r="AI141" i="39"/>
  <c r="AI142" i="39"/>
  <c r="AI143" i="39"/>
  <c r="AI144" i="39"/>
  <c r="AI145" i="39"/>
  <c r="AI146" i="39"/>
  <c r="AI147" i="39"/>
  <c r="AI148" i="39"/>
  <c r="AI149" i="39"/>
  <c r="AI150" i="39"/>
  <c r="AI151" i="39"/>
  <c r="AI152" i="39"/>
  <c r="AI153" i="39"/>
  <c r="AI154" i="39"/>
  <c r="AI155" i="39"/>
  <c r="AI156" i="39"/>
  <c r="AI157" i="39"/>
  <c r="AI158" i="39"/>
  <c r="AI159" i="39"/>
  <c r="AI160" i="39"/>
  <c r="AI161" i="39"/>
  <c r="AI162" i="39"/>
  <c r="AI163" i="39"/>
  <c r="AI164" i="39"/>
  <c r="AI165" i="39"/>
  <c r="AI166" i="39"/>
  <c r="AI167" i="39"/>
  <c r="AI168" i="39"/>
  <c r="AI169" i="39"/>
  <c r="AI170" i="39"/>
  <c r="AI171" i="39"/>
  <c r="AI172" i="39"/>
  <c r="AI173" i="39"/>
  <c r="AI174" i="39"/>
  <c r="AI175" i="39"/>
  <c r="AI176" i="39"/>
  <c r="AI177" i="39"/>
  <c r="AI178" i="39"/>
  <c r="AI179" i="39"/>
  <c r="AI180" i="39"/>
  <c r="AI181" i="39"/>
  <c r="AI182" i="39"/>
  <c r="AI183" i="39"/>
  <c r="AI184" i="39"/>
  <c r="AI185" i="39"/>
  <c r="AI186" i="39"/>
  <c r="AI187" i="39"/>
  <c r="AI188" i="39"/>
  <c r="AI189" i="39"/>
  <c r="AI190" i="39"/>
  <c r="AI191" i="39"/>
  <c r="AI192" i="39"/>
  <c r="AI193" i="39"/>
  <c r="AI194" i="39"/>
  <c r="AI195" i="39"/>
  <c r="AI196" i="39"/>
  <c r="AI197" i="39"/>
  <c r="AI198" i="39"/>
  <c r="AI199" i="39"/>
  <c r="AI200" i="39"/>
  <c r="AI201" i="39"/>
  <c r="AI202" i="39"/>
  <c r="AI203" i="39"/>
  <c r="AI204" i="39"/>
  <c r="AI205" i="39"/>
  <c r="AI206" i="39"/>
  <c r="AI207" i="39"/>
  <c r="AI208" i="39"/>
  <c r="AI209" i="39"/>
  <c r="AI210" i="39"/>
  <c r="AI211" i="39"/>
  <c r="AI212" i="39"/>
  <c r="AI213" i="39"/>
  <c r="AI214" i="39"/>
  <c r="AI215" i="39"/>
  <c r="AI216" i="39"/>
  <c r="AI217" i="39"/>
  <c r="AI218" i="39"/>
  <c r="AI219" i="39"/>
  <c r="AI220" i="39"/>
  <c r="AI221" i="39"/>
  <c r="AI222" i="39"/>
  <c r="AI223" i="39"/>
  <c r="AI224" i="39"/>
  <c r="AI225" i="39"/>
  <c r="AI226" i="39"/>
  <c r="AI227" i="39"/>
  <c r="AI228" i="39"/>
  <c r="AI229" i="39"/>
  <c r="AI230" i="39"/>
  <c r="AI231" i="39"/>
  <c r="AI232" i="39"/>
  <c r="AI233" i="39"/>
  <c r="AI234" i="39"/>
  <c r="AI235" i="39"/>
  <c r="AI236" i="39"/>
  <c r="AI237" i="39"/>
  <c r="AI238" i="39"/>
  <c r="AI239" i="39"/>
  <c r="AI240" i="39"/>
  <c r="AI241" i="39"/>
  <c r="AI242" i="39"/>
  <c r="AI243" i="39"/>
  <c r="AI244" i="39"/>
  <c r="AI245" i="39"/>
  <c r="AI246" i="39"/>
  <c r="AI247" i="39"/>
  <c r="AI248" i="39"/>
  <c r="AI249" i="39"/>
  <c r="AI250" i="39"/>
  <c r="AI251" i="39"/>
  <c r="AI252" i="39"/>
  <c r="AI253" i="39"/>
  <c r="AI254" i="39"/>
  <c r="AI255" i="39"/>
  <c r="AI256" i="39"/>
  <c r="AI257" i="39"/>
  <c r="AI258" i="39"/>
  <c r="AI259" i="39"/>
  <c r="AI260" i="39"/>
  <c r="AI261" i="39"/>
  <c r="AI262" i="39"/>
  <c r="AI263" i="39"/>
  <c r="AI264" i="39"/>
  <c r="AI265" i="39"/>
  <c r="AI266" i="39"/>
  <c r="AI267" i="39"/>
  <c r="AI268" i="39"/>
  <c r="AI269" i="39"/>
  <c r="AI270" i="39"/>
  <c r="AI271" i="39"/>
  <c r="AI272" i="39"/>
  <c r="AI273" i="39"/>
  <c r="AI274" i="39"/>
  <c r="AI275" i="39"/>
  <c r="AI276" i="39"/>
  <c r="AI277" i="39"/>
  <c r="AI278" i="39"/>
  <c r="AI279" i="39"/>
  <c r="AI280" i="39"/>
  <c r="AI281" i="39"/>
  <c r="AI282" i="39"/>
  <c r="AI283" i="39"/>
  <c r="AI284" i="39"/>
  <c r="AI285" i="39"/>
  <c r="AI286" i="39"/>
  <c r="AI287" i="39"/>
  <c r="AI288" i="39"/>
  <c r="AI289" i="39"/>
  <c r="AI290" i="39"/>
  <c r="AI291" i="39"/>
  <c r="AI292" i="39"/>
  <c r="AI293" i="39"/>
  <c r="AI294" i="39"/>
  <c r="AI295" i="39"/>
  <c r="AI296" i="39"/>
  <c r="AI297" i="39"/>
  <c r="AI298" i="39"/>
  <c r="AI299" i="39"/>
  <c r="AI300" i="39"/>
  <c r="AI301" i="39"/>
  <c r="AI302" i="39"/>
  <c r="AI303" i="39"/>
  <c r="AI304" i="39"/>
  <c r="AI305" i="39"/>
  <c r="AI306" i="39"/>
  <c r="AI307" i="39"/>
  <c r="AI308" i="39"/>
  <c r="AI309" i="39"/>
  <c r="AI310" i="39"/>
  <c r="AI311" i="39"/>
  <c r="AI312" i="39"/>
  <c r="AI313" i="39"/>
  <c r="AI314" i="39"/>
  <c r="AI315" i="39"/>
  <c r="AI316" i="39"/>
  <c r="AI317" i="39"/>
  <c r="AI318" i="39"/>
  <c r="AI319" i="39"/>
  <c r="AI320" i="39"/>
  <c r="AI321" i="39"/>
  <c r="AI322" i="39"/>
  <c r="AI323" i="39"/>
  <c r="AI324" i="39"/>
  <c r="AI325" i="39"/>
  <c r="AI326" i="39"/>
  <c r="AI327" i="39"/>
  <c r="AI328" i="39"/>
  <c r="AI329" i="39"/>
  <c r="AI330" i="39"/>
  <c r="AI331" i="39"/>
  <c r="AI332" i="39"/>
  <c r="AI333" i="39"/>
  <c r="AI334" i="39"/>
  <c r="AI335" i="39"/>
  <c r="AI336" i="39"/>
  <c r="AI337" i="39"/>
  <c r="AI338" i="39"/>
  <c r="AI339" i="39"/>
  <c r="AI340" i="39"/>
  <c r="AI341" i="39"/>
  <c r="AI342" i="39"/>
  <c r="AI343" i="39"/>
  <c r="AI344" i="39"/>
  <c r="AI345" i="39"/>
  <c r="AI346" i="39"/>
  <c r="AI347" i="39"/>
  <c r="AI348" i="39"/>
  <c r="AI349" i="39"/>
  <c r="AI350" i="39"/>
  <c r="AI351" i="39"/>
  <c r="AI352" i="39"/>
  <c r="AI353" i="39"/>
  <c r="AI354" i="39"/>
  <c r="AI355" i="39"/>
  <c r="AI356" i="39"/>
  <c r="AI357" i="39"/>
  <c r="AI358" i="39"/>
  <c r="AI359" i="39"/>
  <c r="AI360" i="39"/>
  <c r="AI361" i="39"/>
  <c r="AI362" i="39"/>
  <c r="AI363" i="39"/>
  <c r="AI364" i="39"/>
  <c r="AI365" i="39"/>
  <c r="AI366" i="39"/>
  <c r="AI367" i="39"/>
  <c r="AI368" i="39"/>
  <c r="AI369" i="39"/>
  <c r="AI370" i="39"/>
  <c r="AI371" i="39"/>
  <c r="AI372" i="39"/>
  <c r="AI373" i="39"/>
  <c r="AI374" i="39"/>
  <c r="AI375" i="39"/>
  <c r="AI376" i="39"/>
  <c r="AI377" i="39"/>
  <c r="AI378" i="39"/>
  <c r="AI379" i="39"/>
  <c r="AI380" i="39"/>
  <c r="AI381" i="39"/>
  <c r="AI382" i="39"/>
  <c r="AI383" i="39"/>
  <c r="AI384" i="39"/>
  <c r="AI385" i="39"/>
  <c r="AI386" i="39"/>
  <c r="AI387" i="39"/>
  <c r="AI388" i="39"/>
  <c r="AI389" i="39"/>
  <c r="AI390" i="39"/>
  <c r="AI391" i="39"/>
  <c r="AI392" i="39"/>
  <c r="AI393" i="39"/>
  <c r="AI394" i="39"/>
  <c r="AI395" i="39"/>
  <c r="AI396" i="39"/>
  <c r="AI397" i="39"/>
  <c r="AI398" i="39"/>
  <c r="AI399" i="39"/>
  <c r="AI400" i="39"/>
  <c r="AI401" i="39"/>
  <c r="AI402" i="39"/>
  <c r="AI403" i="39"/>
  <c r="AI404" i="39"/>
  <c r="AI405" i="39"/>
  <c r="AI406" i="39"/>
  <c r="AI407" i="39"/>
  <c r="AI408" i="39"/>
  <c r="AI409" i="39"/>
  <c r="AI410" i="39"/>
  <c r="AI411" i="39"/>
  <c r="AI412" i="39"/>
  <c r="AI413" i="39"/>
  <c r="AI414" i="39"/>
  <c r="AI415" i="39"/>
  <c r="AI416" i="39"/>
  <c r="AI417" i="39"/>
  <c r="AI418" i="39"/>
  <c r="AI419" i="39"/>
  <c r="AI420" i="39"/>
  <c r="AI421" i="39"/>
  <c r="AI422" i="39"/>
  <c r="AI423" i="39"/>
  <c r="AI424" i="39"/>
  <c r="AI425" i="39"/>
  <c r="AI426" i="39"/>
  <c r="AI427" i="39"/>
  <c r="AI428" i="39"/>
  <c r="AI429" i="39"/>
  <c r="AI430" i="39"/>
  <c r="AI431" i="39"/>
  <c r="AI432" i="39"/>
  <c r="AI433" i="39"/>
  <c r="AI434" i="39"/>
  <c r="AI435" i="39"/>
  <c r="AI436" i="39"/>
  <c r="AI437" i="39"/>
  <c r="AI438" i="39"/>
  <c r="AI439" i="39"/>
  <c r="AI440" i="39"/>
  <c r="AI441" i="39"/>
  <c r="AI442" i="39"/>
  <c r="AI443" i="39"/>
  <c r="AI444" i="39"/>
  <c r="AI445" i="39"/>
  <c r="AI446" i="39"/>
  <c r="AI447" i="39"/>
  <c r="AI448" i="39"/>
  <c r="AI449" i="39"/>
  <c r="AI450" i="39"/>
  <c r="AI451" i="39"/>
  <c r="AI452" i="39"/>
  <c r="AI453" i="39"/>
  <c r="AI454" i="39"/>
  <c r="AI455" i="39"/>
  <c r="AI456" i="39"/>
  <c r="AI457" i="39"/>
  <c r="AI458" i="39"/>
  <c r="AI459" i="39"/>
  <c r="AI460" i="39"/>
  <c r="AI461" i="39"/>
  <c r="AI462" i="39"/>
  <c r="AI463" i="39"/>
  <c r="AI464" i="39"/>
  <c r="AI465" i="39"/>
  <c r="AI466" i="39"/>
  <c r="AI467" i="39"/>
  <c r="AI468" i="39"/>
  <c r="AI469" i="39"/>
  <c r="AI470" i="39"/>
  <c r="AI471" i="39"/>
  <c r="AI472" i="39"/>
  <c r="AI473" i="39"/>
  <c r="AI474" i="39"/>
  <c r="AI475" i="39"/>
  <c r="AI476" i="39"/>
  <c r="AI477" i="39"/>
  <c r="AI478" i="39"/>
  <c r="AI479" i="39"/>
  <c r="AI480" i="39"/>
  <c r="AI481" i="39"/>
  <c r="AI482" i="39"/>
  <c r="AI483" i="39"/>
  <c r="AI484" i="39"/>
  <c r="AI485" i="39"/>
  <c r="AI486" i="39"/>
  <c r="AI487" i="39"/>
  <c r="AI488" i="39"/>
  <c r="AI489" i="39"/>
  <c r="AI490" i="39"/>
  <c r="AI491" i="39"/>
  <c r="AI492" i="39"/>
  <c r="AI493" i="39"/>
  <c r="AI494" i="39"/>
  <c r="AI495" i="39"/>
  <c r="AI496" i="39"/>
  <c r="AI497" i="39"/>
  <c r="AI498" i="39"/>
  <c r="AI499" i="39"/>
  <c r="AI500" i="39"/>
  <c r="AI501" i="39"/>
  <c r="AI502" i="39"/>
  <c r="AI503" i="39"/>
  <c r="AI504" i="39"/>
  <c r="AI505" i="39"/>
  <c r="AI506" i="39"/>
  <c r="AI507" i="39"/>
  <c r="AI508" i="39"/>
  <c r="AI509" i="39"/>
  <c r="AI510" i="39"/>
  <c r="AI511" i="39"/>
  <c r="AI512" i="39"/>
  <c r="AI513" i="39"/>
  <c r="AI514" i="39"/>
  <c r="AI515" i="39"/>
  <c r="AI516" i="39"/>
  <c r="AI517" i="39"/>
  <c r="AI518" i="39"/>
  <c r="AI519" i="39"/>
  <c r="AI520" i="39"/>
  <c r="AI521" i="39"/>
  <c r="AI522" i="39"/>
  <c r="AI523" i="39"/>
  <c r="AI524" i="39"/>
  <c r="AI525" i="39"/>
  <c r="AI526" i="39"/>
  <c r="AI527" i="39"/>
  <c r="AI528" i="39"/>
  <c r="AI529" i="39"/>
  <c r="AI530" i="39"/>
  <c r="AI531" i="39"/>
  <c r="AI532" i="39"/>
  <c r="AI533" i="39"/>
  <c r="AI534" i="39"/>
  <c r="AI535" i="39"/>
  <c r="AI536" i="39"/>
  <c r="AI537" i="39"/>
  <c r="AI538" i="39"/>
  <c r="AI539" i="39"/>
  <c r="AI540" i="39"/>
  <c r="AI541" i="39"/>
  <c r="AI542" i="39"/>
  <c r="AI543" i="39"/>
  <c r="AI544" i="39"/>
  <c r="AI545" i="39"/>
  <c r="AI546" i="39"/>
  <c r="AI547" i="39"/>
  <c r="AI548" i="39"/>
  <c r="AI549" i="39"/>
  <c r="AI550" i="39"/>
  <c r="AI551" i="39"/>
  <c r="AI552" i="39"/>
  <c r="AI553" i="39"/>
  <c r="AI554" i="39"/>
  <c r="AI555" i="39"/>
  <c r="AI556" i="39"/>
  <c r="AI557" i="39"/>
  <c r="AI558" i="39"/>
  <c r="AI559" i="39"/>
  <c r="AI560" i="39"/>
  <c r="AI561" i="39"/>
  <c r="AI562" i="39"/>
  <c r="AI563" i="39"/>
  <c r="AI564" i="39"/>
  <c r="AI565" i="39"/>
  <c r="AI566" i="39"/>
  <c r="AI567" i="39"/>
  <c r="AI568" i="39"/>
  <c r="AI569" i="39"/>
  <c r="AI570" i="39"/>
  <c r="AI571" i="39"/>
  <c r="AI572" i="39"/>
  <c r="AI573" i="39"/>
  <c r="AI574" i="39"/>
  <c r="AI575" i="39"/>
  <c r="AI576" i="39"/>
  <c r="AI577" i="39"/>
  <c r="AI578" i="39"/>
  <c r="AI579" i="39"/>
  <c r="AI580" i="39"/>
  <c r="AI581" i="39"/>
  <c r="AI582" i="39"/>
  <c r="AI583" i="39"/>
  <c r="AI584" i="39"/>
  <c r="AI585" i="39"/>
  <c r="AI586" i="39"/>
  <c r="AI587" i="39"/>
  <c r="AI588" i="39"/>
  <c r="AI589" i="39"/>
  <c r="AI590" i="39"/>
  <c r="AI591" i="39"/>
  <c r="AI592" i="39"/>
  <c r="AI593" i="39"/>
  <c r="AI594" i="39"/>
  <c r="AI595" i="39"/>
  <c r="AI596" i="39"/>
  <c r="AI597" i="39"/>
  <c r="AI598" i="39"/>
  <c r="AI599" i="39"/>
  <c r="AI600" i="39"/>
  <c r="AI601" i="39"/>
  <c r="AI602" i="39"/>
  <c r="AI603" i="39"/>
  <c r="AI604" i="39"/>
  <c r="AI605" i="39"/>
  <c r="AI606" i="39"/>
  <c r="AI607" i="39"/>
  <c r="AI608" i="39"/>
  <c r="AI609" i="39"/>
  <c r="AI610" i="39"/>
  <c r="AI611" i="39"/>
  <c r="AI612" i="39"/>
  <c r="AI613" i="39"/>
  <c r="AI614" i="39"/>
  <c r="AI615" i="39"/>
  <c r="AI616" i="39"/>
  <c r="AI617" i="39"/>
  <c r="AI618" i="39"/>
  <c r="AI619" i="39"/>
  <c r="AI620" i="39"/>
  <c r="AI621" i="39"/>
  <c r="AI622" i="39"/>
  <c r="AI623" i="39"/>
  <c r="AI624" i="39"/>
  <c r="AI625" i="39"/>
  <c r="AI626" i="39"/>
  <c r="AI627" i="39"/>
  <c r="AI628" i="39"/>
  <c r="AI629" i="39"/>
  <c r="AI630" i="39"/>
  <c r="AI631" i="39"/>
  <c r="AI632" i="39"/>
  <c r="AI633" i="39"/>
  <c r="AI634" i="39"/>
  <c r="AI635" i="39"/>
  <c r="AI636" i="39"/>
  <c r="AI1033" i="39"/>
  <c r="AI1034" i="39"/>
  <c r="AI1035" i="39"/>
  <c r="AI1036" i="39"/>
  <c r="AI1037" i="39"/>
  <c r="AI1038" i="39"/>
  <c r="AI1039" i="39"/>
  <c r="AI1040" i="39"/>
  <c r="AI1041" i="39"/>
  <c r="AI1042" i="39"/>
  <c r="AI1043" i="39"/>
  <c r="AI1044" i="39"/>
  <c r="AI1045" i="39"/>
  <c r="AI1046" i="39"/>
  <c r="AI1047" i="39"/>
  <c r="AI1048" i="39"/>
  <c r="AI1049" i="39"/>
  <c r="AI1050" i="39"/>
  <c r="AI1051" i="39"/>
  <c r="AI1052" i="39"/>
  <c r="AI1053" i="39"/>
  <c r="AI1054" i="39"/>
  <c r="AI1055" i="39"/>
  <c r="AI1056" i="39"/>
  <c r="AI1057" i="39"/>
  <c r="AI1058" i="39"/>
  <c r="AI1059" i="39"/>
  <c r="AI1060" i="39"/>
  <c r="AI1061" i="39"/>
  <c r="AI1062" i="39"/>
  <c r="AI1063" i="39"/>
  <c r="AI1064" i="39"/>
  <c r="AI1065" i="39"/>
  <c r="AI1066" i="39"/>
  <c r="AI1067" i="39"/>
  <c r="AI1068" i="39"/>
  <c r="AI1069" i="39"/>
  <c r="AI1070" i="39"/>
  <c r="AI1071" i="39"/>
  <c r="AI1072" i="39"/>
  <c r="AI1073" i="39"/>
  <c r="AI1074" i="39"/>
  <c r="AI1075" i="39"/>
  <c r="AI1076" i="39"/>
  <c r="AI1077" i="39"/>
  <c r="AI1078" i="39"/>
  <c r="AI1079" i="39"/>
  <c r="AI1080" i="39"/>
  <c r="AI1081" i="39"/>
  <c r="AI1082" i="39"/>
  <c r="AI1083" i="39"/>
  <c r="AI1084" i="39"/>
  <c r="AI1085" i="39"/>
  <c r="AI1086" i="39"/>
  <c r="AI1087" i="39"/>
  <c r="AI1088" i="39"/>
  <c r="AI1089" i="39"/>
  <c r="AI1090" i="39"/>
  <c r="AI1091" i="39"/>
  <c r="AI1092" i="39"/>
  <c r="AI1093" i="39"/>
  <c r="AI1094" i="39"/>
  <c r="AI1095" i="39"/>
  <c r="AI1096" i="39"/>
  <c r="AI1097" i="39"/>
  <c r="AI1098" i="39"/>
  <c r="AI1099" i="39"/>
  <c r="AI1100" i="39"/>
  <c r="AI1101" i="39"/>
  <c r="AI1102" i="39"/>
  <c r="AI1103" i="39"/>
  <c r="AI1104" i="39"/>
  <c r="AI1105" i="39"/>
  <c r="AI1106" i="39"/>
  <c r="AI1107" i="39"/>
  <c r="AI1108" i="39"/>
  <c r="AI1109" i="39"/>
  <c r="AI1110" i="39"/>
  <c r="AI1111" i="39"/>
  <c r="AI1112" i="39"/>
  <c r="AI1113" i="39"/>
  <c r="AI1114" i="39"/>
  <c r="AI1115" i="39"/>
  <c r="AI1116" i="39"/>
  <c r="AI1117" i="39"/>
  <c r="AI1118" i="39"/>
  <c r="AI1119" i="39"/>
  <c r="AI1120" i="39"/>
  <c r="AI1121" i="39"/>
  <c r="AI1122" i="39"/>
  <c r="AI1123" i="39"/>
  <c r="AI1124" i="39"/>
  <c r="AI1125" i="39"/>
  <c r="AI1126" i="39"/>
  <c r="AI1127" i="39"/>
  <c r="AI1128" i="39"/>
  <c r="AI1129" i="39"/>
  <c r="AI1130" i="39"/>
  <c r="AI1131" i="39"/>
  <c r="AI1132" i="39"/>
  <c r="AI1133" i="39"/>
  <c r="AI1134" i="39"/>
  <c r="AI1135" i="39"/>
  <c r="AI1136" i="39"/>
  <c r="AI1137" i="39"/>
  <c r="AI1138" i="39"/>
  <c r="AI1139" i="39"/>
  <c r="AI1140" i="39"/>
  <c r="AI1141" i="39"/>
  <c r="AI1142" i="39"/>
  <c r="AI1143" i="39"/>
  <c r="AI1144" i="39"/>
  <c r="AI1145" i="39"/>
  <c r="AI1146" i="39"/>
  <c r="AI1147" i="39"/>
  <c r="AI1148" i="39"/>
  <c r="AI1149" i="39"/>
  <c r="AI1150" i="39"/>
  <c r="AI1151" i="39"/>
  <c r="AI1152" i="39"/>
  <c r="AI1153" i="39"/>
  <c r="AI1154" i="39"/>
  <c r="AI1155" i="39"/>
  <c r="AI1156" i="39"/>
  <c r="AI1157" i="39"/>
  <c r="AI1158" i="39"/>
  <c r="AI1159" i="39"/>
  <c r="AI1160" i="39"/>
  <c r="AI1161" i="39"/>
  <c r="AI1162" i="39"/>
  <c r="AI1163" i="39"/>
  <c r="AI1164" i="39"/>
  <c r="AI1165" i="39"/>
  <c r="AI1166" i="39"/>
  <c r="AI1167" i="39"/>
  <c r="AI1168" i="39"/>
  <c r="AI1169" i="39"/>
  <c r="AI1170" i="39"/>
  <c r="AI1171" i="39"/>
  <c r="AI1172" i="39"/>
  <c r="AI1173" i="39"/>
  <c r="AI1174" i="39"/>
  <c r="AI1175" i="39"/>
  <c r="AI1176" i="39"/>
  <c r="AI1177" i="39"/>
  <c r="AI1178" i="39"/>
  <c r="AI1179" i="39"/>
  <c r="AI1180" i="39"/>
  <c r="AI1181" i="39"/>
  <c r="AI1182" i="39"/>
  <c r="AI1183" i="39"/>
  <c r="AI1184" i="39"/>
  <c r="AI1185" i="39"/>
  <c r="AI1186" i="39"/>
  <c r="AI1187" i="39"/>
  <c r="AI1188" i="39"/>
  <c r="AI1189" i="39"/>
  <c r="AI1190" i="39"/>
  <c r="AI1191" i="39"/>
  <c r="AI1192" i="39"/>
  <c r="AI1193" i="39"/>
  <c r="AI1194" i="39"/>
  <c r="AI1195" i="39"/>
  <c r="AI1196" i="39"/>
  <c r="AI1197" i="39"/>
  <c r="AI1198" i="39"/>
  <c r="AI1199" i="39"/>
  <c r="AI1200" i="39"/>
  <c r="AI1201" i="39"/>
  <c r="AI1202" i="39"/>
  <c r="AI1203" i="39"/>
  <c r="AI1204" i="39"/>
  <c r="AI1205" i="39"/>
  <c r="AI1206" i="39"/>
  <c r="AI1207" i="39"/>
  <c r="AI1208" i="39"/>
  <c r="AI1209" i="39"/>
  <c r="AI1210" i="39"/>
  <c r="AI1211" i="39"/>
  <c r="AI1212" i="39"/>
  <c r="AI1213" i="39"/>
  <c r="AI1214" i="39"/>
  <c r="AI1215" i="39"/>
  <c r="AI1216" i="39"/>
  <c r="AI1217" i="39"/>
  <c r="AI1218" i="39"/>
  <c r="AI1219" i="39"/>
  <c r="AI1220" i="39"/>
  <c r="AI1221" i="39"/>
  <c r="AI1222" i="39"/>
  <c r="AI1223" i="39"/>
  <c r="AI1224" i="39"/>
  <c r="AI1225" i="39"/>
  <c r="AI1226" i="39"/>
  <c r="AI1227" i="39"/>
  <c r="AI1228" i="39"/>
  <c r="AI1229" i="39"/>
  <c r="AI1230" i="39"/>
  <c r="AI1231" i="39"/>
  <c r="AI1232" i="39"/>
  <c r="AI1233" i="39"/>
  <c r="AI1234" i="39"/>
  <c r="AI1235" i="39"/>
  <c r="AI1236" i="39"/>
  <c r="AI1237" i="39"/>
  <c r="AI1238" i="39"/>
  <c r="AI1239" i="39"/>
  <c r="AI1240" i="39"/>
  <c r="AI1241" i="39"/>
  <c r="AI1242" i="39"/>
  <c r="AI1243" i="39"/>
  <c r="AI1244" i="39"/>
  <c r="AI1245" i="39"/>
  <c r="AI1246" i="39"/>
  <c r="AI1247" i="39"/>
  <c r="AI1248" i="39"/>
  <c r="AI1249" i="39"/>
  <c r="AI1250" i="39"/>
  <c r="AI1251" i="39"/>
  <c r="AI1252" i="39"/>
  <c r="AI1253" i="39"/>
  <c r="AI1254" i="39"/>
  <c r="AI1255" i="39"/>
  <c r="AI1256" i="39"/>
  <c r="AI1257" i="39"/>
  <c r="AI1258" i="39"/>
  <c r="AI1259" i="39"/>
  <c r="AI1260" i="39"/>
  <c r="AI1261" i="39"/>
  <c r="AI1262" i="39"/>
  <c r="AI1263" i="39"/>
  <c r="AI1264" i="39"/>
  <c r="AI1265" i="39"/>
  <c r="AI1266" i="39"/>
  <c r="AI1267" i="39"/>
  <c r="AI1268" i="39"/>
  <c r="AI1269" i="39"/>
  <c r="AI1270" i="39"/>
  <c r="AI1271" i="39"/>
  <c r="AI1272" i="39"/>
  <c r="AI1273" i="39"/>
  <c r="AI1274" i="39"/>
  <c r="AI1275" i="39"/>
  <c r="AI1276" i="39"/>
  <c r="AI1277" i="39"/>
  <c r="AI1278" i="39"/>
  <c r="AI1279" i="39"/>
  <c r="AI1280" i="39"/>
  <c r="AI1281" i="39"/>
  <c r="AI1282" i="39"/>
  <c r="AI1283" i="39"/>
  <c r="AI1284" i="39"/>
  <c r="AI1285" i="39"/>
  <c r="AI1286" i="39"/>
  <c r="AI1287" i="39"/>
  <c r="AI1288" i="39"/>
  <c r="AI1289" i="39"/>
  <c r="AI1290" i="39"/>
  <c r="AI1291" i="39"/>
  <c r="AI1292" i="39"/>
  <c r="AI1293" i="39"/>
  <c r="AI1294" i="39"/>
  <c r="AI1295" i="39"/>
  <c r="AI1296" i="39"/>
  <c r="AI1297" i="39"/>
  <c r="AI1298" i="39"/>
  <c r="AI1299" i="39"/>
  <c r="AI1300" i="39"/>
  <c r="AI1301" i="39"/>
  <c r="AI1302" i="39"/>
  <c r="AI1303" i="39"/>
  <c r="AI1304" i="39"/>
  <c r="AI1305" i="39"/>
  <c r="AI1306" i="39"/>
  <c r="AI1307" i="39"/>
  <c r="AI1308" i="39"/>
  <c r="AI1309" i="39"/>
  <c r="AI1310" i="39"/>
  <c r="AI1311" i="39"/>
  <c r="AI1312" i="39"/>
  <c r="AI1313" i="39"/>
  <c r="AI1314" i="39"/>
  <c r="AI1315" i="39"/>
  <c r="AI1316" i="39"/>
  <c r="AI1317" i="39"/>
  <c r="AI1318" i="39"/>
  <c r="AI1319" i="39"/>
  <c r="AI1320" i="39"/>
  <c r="AI1321" i="39"/>
  <c r="AI1322" i="39"/>
  <c r="AI1323" i="39"/>
  <c r="AI1324" i="39"/>
  <c r="AI1325" i="39"/>
  <c r="AI1326" i="39"/>
  <c r="AI1327" i="39"/>
  <c r="AI1328" i="39"/>
  <c r="AI1329" i="39"/>
  <c r="AI1330" i="39"/>
  <c r="AI1331" i="39"/>
  <c r="AI1332" i="39"/>
  <c r="AI1333" i="39"/>
  <c r="AI1334" i="39"/>
  <c r="AI1335" i="39"/>
  <c r="AI1336" i="39"/>
  <c r="AI1337" i="39"/>
  <c r="AI1338" i="39"/>
  <c r="AI1339" i="39"/>
  <c r="AI1340" i="39"/>
  <c r="AI1341" i="39"/>
  <c r="AI1342" i="39"/>
  <c r="AI1343" i="39"/>
  <c r="AI1344" i="39"/>
  <c r="AI1345" i="39"/>
  <c r="AI1346" i="39"/>
  <c r="AI1347" i="39"/>
  <c r="AI1348" i="39"/>
  <c r="AI1349" i="39"/>
  <c r="AI1350" i="39"/>
  <c r="AI1351" i="39"/>
  <c r="AI1352" i="39"/>
  <c r="AI1353" i="39"/>
  <c r="AI1354" i="39"/>
  <c r="AI1355" i="39"/>
  <c r="AI1356" i="39"/>
  <c r="AI1357" i="39"/>
  <c r="AI1358" i="39"/>
  <c r="AI1359" i="39"/>
  <c r="AI1360" i="39"/>
  <c r="AI1361" i="39"/>
  <c r="AI1362" i="39"/>
  <c r="AI1363" i="39"/>
  <c r="AI1364" i="39"/>
  <c r="AI1365" i="39"/>
  <c r="AI1366" i="39"/>
  <c r="AI1367" i="39"/>
  <c r="AI1368" i="39"/>
  <c r="AI1369" i="39"/>
  <c r="AI1370" i="39"/>
  <c r="AI1371" i="39"/>
  <c r="AI1372" i="39"/>
  <c r="AI1373" i="39"/>
  <c r="AI1374" i="39"/>
  <c r="AI1375" i="39"/>
  <c r="AI1376" i="39"/>
  <c r="AI1377" i="39"/>
  <c r="AI1378" i="39"/>
  <c r="AI1379" i="39"/>
  <c r="AI1380" i="39"/>
  <c r="AI1381" i="39"/>
  <c r="AI1382" i="39"/>
  <c r="AI1383" i="39"/>
  <c r="AI1384" i="39"/>
  <c r="AI1385" i="39"/>
  <c r="AI1386" i="39"/>
  <c r="AI1387" i="39"/>
  <c r="AI1388" i="39"/>
  <c r="AI1389" i="39"/>
  <c r="AI1390" i="39"/>
  <c r="AI1391" i="39"/>
  <c r="AI1392" i="39"/>
  <c r="AI1393" i="39"/>
  <c r="AI2" i="39"/>
  <c r="J15" i="38"/>
  <c r="I15" i="38"/>
  <c r="G15" i="38"/>
  <c r="M15" i="36"/>
  <c r="A17" i="39"/>
  <c r="A13" i="39"/>
  <c r="A9" i="39"/>
  <c r="A772" i="39"/>
  <c r="AH1393" i="39"/>
  <c r="AF1393" i="39"/>
  <c r="AG1393" i="39" s="1"/>
  <c r="AE1393" i="39"/>
  <c r="AD1393" i="39"/>
  <c r="N1393" i="39"/>
  <c r="L1393" i="39"/>
  <c r="K1393" i="39"/>
  <c r="J1393" i="39"/>
  <c r="I1393" i="39"/>
  <c r="H1393" i="39"/>
  <c r="C1393" i="39"/>
  <c r="AH1392" i="39"/>
  <c r="AE1392" i="39"/>
  <c r="AD1392" i="39"/>
  <c r="N1392" i="39"/>
  <c r="L1392" i="39"/>
  <c r="K1392" i="39"/>
  <c r="J1392" i="39"/>
  <c r="I1392" i="39"/>
  <c r="H1392" i="39"/>
  <c r="C1392" i="39"/>
  <c r="AH1391" i="39"/>
  <c r="AE1391" i="39"/>
  <c r="AD1391" i="39"/>
  <c r="N1391" i="39"/>
  <c r="L1391" i="39"/>
  <c r="K1391" i="39"/>
  <c r="J1391" i="39"/>
  <c r="I1391" i="39"/>
  <c r="H1391" i="39"/>
  <c r="C1391" i="39"/>
  <c r="AH1390" i="39"/>
  <c r="AE1390" i="39"/>
  <c r="AD1390" i="39"/>
  <c r="N1390" i="39"/>
  <c r="L1390" i="39"/>
  <c r="K1390" i="39"/>
  <c r="J1390" i="39"/>
  <c r="I1390" i="39"/>
  <c r="H1390" i="39"/>
  <c r="C1390" i="39"/>
  <c r="AH1389" i="39"/>
  <c r="AE1389" i="39"/>
  <c r="AD1389" i="39"/>
  <c r="N1389" i="39"/>
  <c r="L1389" i="39"/>
  <c r="K1389" i="39"/>
  <c r="J1389" i="39"/>
  <c r="I1389" i="39"/>
  <c r="H1389" i="39"/>
  <c r="C1389" i="39"/>
  <c r="AH1388" i="39"/>
  <c r="AE1388" i="39"/>
  <c r="AD1388" i="39"/>
  <c r="N1388" i="39"/>
  <c r="L1388" i="39"/>
  <c r="K1388" i="39"/>
  <c r="J1388" i="39"/>
  <c r="I1388" i="39"/>
  <c r="H1388" i="39"/>
  <c r="C1388" i="39"/>
  <c r="AH1387" i="39"/>
  <c r="AE1387" i="39"/>
  <c r="AD1387" i="39"/>
  <c r="N1387" i="39"/>
  <c r="L1387" i="39"/>
  <c r="K1387" i="39"/>
  <c r="J1387" i="39"/>
  <c r="I1387" i="39"/>
  <c r="H1387" i="39"/>
  <c r="C1387" i="39"/>
  <c r="AH1386" i="39"/>
  <c r="AE1386" i="39"/>
  <c r="AD1386" i="39"/>
  <c r="N1386" i="39"/>
  <c r="L1386" i="39"/>
  <c r="K1386" i="39"/>
  <c r="J1386" i="39"/>
  <c r="I1386" i="39"/>
  <c r="H1386" i="39"/>
  <c r="C1386" i="39"/>
  <c r="AH1385" i="39"/>
  <c r="AE1385" i="39"/>
  <c r="AD1385" i="39"/>
  <c r="N1385" i="39"/>
  <c r="L1385" i="39"/>
  <c r="K1385" i="39"/>
  <c r="J1385" i="39"/>
  <c r="I1385" i="39"/>
  <c r="H1385" i="39"/>
  <c r="C1385" i="39"/>
  <c r="AH1384" i="39"/>
  <c r="AE1384" i="39"/>
  <c r="AD1384" i="39"/>
  <c r="N1384" i="39"/>
  <c r="L1384" i="39"/>
  <c r="K1384" i="39"/>
  <c r="J1384" i="39"/>
  <c r="I1384" i="39"/>
  <c r="H1384" i="39"/>
  <c r="C1384" i="39"/>
  <c r="AH1383" i="39"/>
  <c r="AE1383" i="39"/>
  <c r="AD1383" i="39"/>
  <c r="N1383" i="39"/>
  <c r="L1383" i="39"/>
  <c r="K1383" i="39"/>
  <c r="J1383" i="39"/>
  <c r="I1383" i="39"/>
  <c r="H1383" i="39"/>
  <c r="C1383" i="39"/>
  <c r="AH1382" i="39"/>
  <c r="AE1382" i="39"/>
  <c r="AD1382" i="39"/>
  <c r="N1382" i="39"/>
  <c r="L1382" i="39"/>
  <c r="K1382" i="39"/>
  <c r="J1382" i="39"/>
  <c r="I1382" i="39"/>
  <c r="H1382" i="39"/>
  <c r="C1382" i="39"/>
  <c r="AH1381" i="39"/>
  <c r="AE1381" i="39"/>
  <c r="AD1381" i="39"/>
  <c r="N1381" i="39"/>
  <c r="L1381" i="39"/>
  <c r="K1381" i="39"/>
  <c r="J1381" i="39"/>
  <c r="I1381" i="39"/>
  <c r="H1381" i="39"/>
  <c r="C1381" i="39"/>
  <c r="AH1380" i="39"/>
  <c r="AE1380" i="39"/>
  <c r="AD1380" i="39"/>
  <c r="N1380" i="39"/>
  <c r="L1380" i="39"/>
  <c r="K1380" i="39"/>
  <c r="J1380" i="39"/>
  <c r="I1380" i="39"/>
  <c r="H1380" i="39"/>
  <c r="C1380" i="39"/>
  <c r="AH1379" i="39"/>
  <c r="AE1379" i="39"/>
  <c r="AD1379" i="39"/>
  <c r="N1379" i="39"/>
  <c r="L1379" i="39"/>
  <c r="K1379" i="39"/>
  <c r="J1379" i="39"/>
  <c r="I1379" i="39"/>
  <c r="H1379" i="39"/>
  <c r="C1379" i="39"/>
  <c r="AH1378" i="39"/>
  <c r="AE1378" i="39"/>
  <c r="AD1378" i="39"/>
  <c r="N1378" i="39"/>
  <c r="L1378" i="39"/>
  <c r="K1378" i="39"/>
  <c r="J1378" i="39"/>
  <c r="I1378" i="39"/>
  <c r="H1378" i="39"/>
  <c r="C1378" i="39"/>
  <c r="AH1377" i="39"/>
  <c r="AE1377" i="39"/>
  <c r="AD1377" i="39"/>
  <c r="L1377" i="39"/>
  <c r="K1377" i="39"/>
  <c r="J1377" i="39"/>
  <c r="I1377" i="39"/>
  <c r="H1377" i="39"/>
  <c r="C1377" i="39"/>
  <c r="AH1376" i="39"/>
  <c r="AE1376" i="39"/>
  <c r="AD1376" i="39"/>
  <c r="L1376" i="39"/>
  <c r="AF1376" i="39" s="1"/>
  <c r="K1376" i="39"/>
  <c r="J1376" i="39"/>
  <c r="I1376" i="39"/>
  <c r="H1376" i="39"/>
  <c r="C1376" i="39"/>
  <c r="AH1375" i="39"/>
  <c r="AE1375" i="39"/>
  <c r="AD1375" i="39"/>
  <c r="L1375" i="39"/>
  <c r="K1375" i="39"/>
  <c r="J1375" i="39"/>
  <c r="I1375" i="39"/>
  <c r="H1375" i="39"/>
  <c r="C1375" i="39"/>
  <c r="AH1374" i="39"/>
  <c r="AE1374" i="39"/>
  <c r="AD1374" i="39"/>
  <c r="L1374" i="39"/>
  <c r="K1374" i="39"/>
  <c r="J1374" i="39"/>
  <c r="I1374" i="39"/>
  <c r="H1374" i="39"/>
  <c r="C1374" i="39"/>
  <c r="AH1373" i="39"/>
  <c r="AE1373" i="39"/>
  <c r="AD1373" i="39"/>
  <c r="L1373" i="39"/>
  <c r="AF1373" i="39" s="1"/>
  <c r="K1373" i="39"/>
  <c r="J1373" i="39"/>
  <c r="I1373" i="39"/>
  <c r="H1373" i="39"/>
  <c r="C1373" i="39"/>
  <c r="AH1372" i="39"/>
  <c r="AE1372" i="39"/>
  <c r="AD1372" i="39"/>
  <c r="L1372" i="39"/>
  <c r="K1372" i="39"/>
  <c r="J1372" i="39"/>
  <c r="I1372" i="39"/>
  <c r="H1372" i="39"/>
  <c r="C1372" i="39"/>
  <c r="AH1371" i="39"/>
  <c r="AE1371" i="39"/>
  <c r="AD1371" i="39"/>
  <c r="L1371" i="39"/>
  <c r="K1371" i="39"/>
  <c r="J1371" i="39"/>
  <c r="I1371" i="39"/>
  <c r="H1371" i="39"/>
  <c r="C1371" i="39"/>
  <c r="AH1370" i="39"/>
  <c r="AE1370" i="39"/>
  <c r="AD1370" i="39"/>
  <c r="L1370" i="39"/>
  <c r="K1370" i="39"/>
  <c r="J1370" i="39"/>
  <c r="I1370" i="39"/>
  <c r="H1370" i="39"/>
  <c r="C1370" i="39"/>
  <c r="AH1369" i="39"/>
  <c r="AE1369" i="39"/>
  <c r="AD1369" i="39"/>
  <c r="L1369" i="39"/>
  <c r="K1369" i="39"/>
  <c r="J1369" i="39"/>
  <c r="I1369" i="39"/>
  <c r="H1369" i="39"/>
  <c r="C1369" i="39"/>
  <c r="AH1368" i="39"/>
  <c r="AE1368" i="39"/>
  <c r="AD1368" i="39"/>
  <c r="L1368" i="39"/>
  <c r="K1368" i="39"/>
  <c r="J1368" i="39"/>
  <c r="I1368" i="39"/>
  <c r="H1368" i="39"/>
  <c r="C1368" i="39"/>
  <c r="AH1367" i="39"/>
  <c r="AE1367" i="39"/>
  <c r="AD1367" i="39"/>
  <c r="L1367" i="39"/>
  <c r="K1367" i="39"/>
  <c r="J1367" i="39"/>
  <c r="I1367" i="39"/>
  <c r="H1367" i="39"/>
  <c r="C1367" i="39"/>
  <c r="AH1366" i="39"/>
  <c r="AE1366" i="39"/>
  <c r="AD1366" i="39"/>
  <c r="L1366" i="39"/>
  <c r="K1366" i="39"/>
  <c r="J1366" i="39"/>
  <c r="I1366" i="39"/>
  <c r="H1366" i="39"/>
  <c r="C1366" i="39"/>
  <c r="AH1365" i="39"/>
  <c r="AE1365" i="39"/>
  <c r="AD1365" i="39"/>
  <c r="L1365" i="39"/>
  <c r="K1365" i="39"/>
  <c r="J1365" i="39"/>
  <c r="I1365" i="39"/>
  <c r="H1365" i="39"/>
  <c r="C1365" i="39"/>
  <c r="AH1364" i="39"/>
  <c r="AE1364" i="39"/>
  <c r="AD1364" i="39"/>
  <c r="L1364" i="39"/>
  <c r="AF1364" i="39" s="1"/>
  <c r="K1364" i="39"/>
  <c r="J1364" i="39"/>
  <c r="I1364" i="39"/>
  <c r="H1364" i="39"/>
  <c r="C1364" i="39"/>
  <c r="AH1363" i="39"/>
  <c r="AE1363" i="39"/>
  <c r="AD1363" i="39"/>
  <c r="L1363" i="39"/>
  <c r="AF1363" i="39" s="1"/>
  <c r="AG1363" i="39" s="1"/>
  <c r="K1363" i="39"/>
  <c r="J1363" i="39"/>
  <c r="I1363" i="39"/>
  <c r="H1363" i="39"/>
  <c r="C1363" i="39"/>
  <c r="AH1362" i="39"/>
  <c r="AE1362" i="39"/>
  <c r="AD1362" i="39"/>
  <c r="L1362" i="39"/>
  <c r="K1362" i="39"/>
  <c r="J1362" i="39"/>
  <c r="I1362" i="39"/>
  <c r="H1362" i="39"/>
  <c r="C1362" i="39"/>
  <c r="AH1361" i="39"/>
  <c r="AE1361" i="39"/>
  <c r="AD1361" i="39"/>
  <c r="L1361" i="39"/>
  <c r="K1361" i="39"/>
  <c r="J1361" i="39"/>
  <c r="I1361" i="39"/>
  <c r="H1361" i="39"/>
  <c r="C1361" i="39"/>
  <c r="AH1360" i="39"/>
  <c r="AE1360" i="39"/>
  <c r="AD1360" i="39"/>
  <c r="L1360" i="39"/>
  <c r="K1360" i="39"/>
  <c r="J1360" i="39"/>
  <c r="I1360" i="39"/>
  <c r="H1360" i="39"/>
  <c r="C1360" i="39"/>
  <c r="AH1359" i="39"/>
  <c r="AE1359" i="39"/>
  <c r="AD1359" i="39"/>
  <c r="N1359" i="39"/>
  <c r="L1359" i="39"/>
  <c r="K1359" i="39"/>
  <c r="AF1359" i="39" s="1"/>
  <c r="J1359" i="39"/>
  <c r="I1359" i="39"/>
  <c r="H1359" i="39"/>
  <c r="C1359" i="39"/>
  <c r="AH1358" i="39"/>
  <c r="AE1358" i="39"/>
  <c r="AD1358" i="39"/>
  <c r="N1358" i="39"/>
  <c r="L1358" i="39"/>
  <c r="K1358" i="39"/>
  <c r="J1358" i="39"/>
  <c r="I1358" i="39"/>
  <c r="H1358" i="39"/>
  <c r="C1358" i="39"/>
  <c r="AH1357" i="39"/>
  <c r="AE1357" i="39"/>
  <c r="AD1357" i="39"/>
  <c r="N1357" i="39"/>
  <c r="L1357" i="39"/>
  <c r="K1357" i="39"/>
  <c r="J1357" i="39"/>
  <c r="I1357" i="39"/>
  <c r="H1357" i="39"/>
  <c r="C1357" i="39"/>
  <c r="AH1356" i="39"/>
  <c r="AE1356" i="39"/>
  <c r="AD1356" i="39"/>
  <c r="N1356" i="39"/>
  <c r="L1356" i="39"/>
  <c r="K1356" i="39"/>
  <c r="J1356" i="39"/>
  <c r="I1356" i="39"/>
  <c r="H1356" i="39"/>
  <c r="C1356" i="39"/>
  <c r="AH1355" i="39"/>
  <c r="AE1355" i="39"/>
  <c r="AD1355" i="39"/>
  <c r="N1355" i="39"/>
  <c r="L1355" i="39"/>
  <c r="K1355" i="39"/>
  <c r="J1355" i="39"/>
  <c r="I1355" i="39"/>
  <c r="H1355" i="39"/>
  <c r="C1355" i="39"/>
  <c r="AH1354" i="39"/>
  <c r="AE1354" i="39"/>
  <c r="AD1354" i="39"/>
  <c r="N1354" i="39"/>
  <c r="L1354" i="39"/>
  <c r="K1354" i="39"/>
  <c r="J1354" i="39"/>
  <c r="I1354" i="39"/>
  <c r="H1354" i="39"/>
  <c r="C1354" i="39"/>
  <c r="AH1353" i="39"/>
  <c r="AE1353" i="39"/>
  <c r="AD1353" i="39"/>
  <c r="N1353" i="39"/>
  <c r="L1353" i="39"/>
  <c r="K1353" i="39"/>
  <c r="J1353" i="39"/>
  <c r="I1353" i="39"/>
  <c r="H1353" i="39"/>
  <c r="C1353" i="39"/>
  <c r="AH1352" i="39"/>
  <c r="AE1352" i="39"/>
  <c r="AD1352" i="39"/>
  <c r="N1352" i="39"/>
  <c r="L1352" i="39"/>
  <c r="K1352" i="39"/>
  <c r="J1352" i="39"/>
  <c r="I1352" i="39"/>
  <c r="H1352" i="39"/>
  <c r="C1352" i="39"/>
  <c r="AH1351" i="39"/>
  <c r="AE1351" i="39"/>
  <c r="AD1351" i="39"/>
  <c r="N1351" i="39"/>
  <c r="L1351" i="39"/>
  <c r="K1351" i="39"/>
  <c r="J1351" i="39"/>
  <c r="I1351" i="39"/>
  <c r="H1351" i="39"/>
  <c r="C1351" i="39"/>
  <c r="AH1350" i="39"/>
  <c r="AE1350" i="39"/>
  <c r="AD1350" i="39"/>
  <c r="N1350" i="39"/>
  <c r="L1350" i="39"/>
  <c r="K1350" i="39"/>
  <c r="J1350" i="39"/>
  <c r="I1350" i="39"/>
  <c r="H1350" i="39"/>
  <c r="C1350" i="39"/>
  <c r="AH1349" i="39"/>
  <c r="AE1349" i="39"/>
  <c r="AD1349" i="39"/>
  <c r="N1349" i="39"/>
  <c r="L1349" i="39"/>
  <c r="K1349" i="39"/>
  <c r="J1349" i="39"/>
  <c r="I1349" i="39"/>
  <c r="H1349" i="39"/>
  <c r="C1349" i="39"/>
  <c r="AH1348" i="39"/>
  <c r="AE1348" i="39"/>
  <c r="AD1348" i="39"/>
  <c r="N1348" i="39"/>
  <c r="L1348" i="39"/>
  <c r="K1348" i="39"/>
  <c r="J1348" i="39"/>
  <c r="I1348" i="39"/>
  <c r="H1348" i="39"/>
  <c r="C1348" i="39"/>
  <c r="AH1347" i="39"/>
  <c r="AE1347" i="39"/>
  <c r="AD1347" i="39"/>
  <c r="N1347" i="39"/>
  <c r="L1347" i="39"/>
  <c r="K1347" i="39"/>
  <c r="J1347" i="39"/>
  <c r="I1347" i="39"/>
  <c r="H1347" i="39"/>
  <c r="C1347" i="39"/>
  <c r="AH1346" i="39"/>
  <c r="AE1346" i="39"/>
  <c r="AD1346" i="39"/>
  <c r="L1346" i="39"/>
  <c r="K1346" i="39"/>
  <c r="J1346" i="39"/>
  <c r="I1346" i="39"/>
  <c r="H1346" i="39"/>
  <c r="C1346" i="39"/>
  <c r="AH1345" i="39"/>
  <c r="AE1345" i="39"/>
  <c r="AD1345" i="39"/>
  <c r="L1345" i="39"/>
  <c r="K1345" i="39"/>
  <c r="J1345" i="39"/>
  <c r="I1345" i="39"/>
  <c r="H1345" i="39"/>
  <c r="C1345" i="39"/>
  <c r="AH1344" i="39"/>
  <c r="AE1344" i="39"/>
  <c r="AD1344" i="39"/>
  <c r="L1344" i="39"/>
  <c r="K1344" i="39"/>
  <c r="J1344" i="39"/>
  <c r="I1344" i="39"/>
  <c r="H1344" i="39"/>
  <c r="C1344" i="39"/>
  <c r="AH1343" i="39"/>
  <c r="AE1343" i="39"/>
  <c r="AD1343" i="39"/>
  <c r="L1343" i="39"/>
  <c r="K1343" i="39"/>
  <c r="J1343" i="39"/>
  <c r="I1343" i="39"/>
  <c r="H1343" i="39"/>
  <c r="C1343" i="39"/>
  <c r="AH1342" i="39"/>
  <c r="AE1342" i="39"/>
  <c r="AD1342" i="39"/>
  <c r="L1342" i="39"/>
  <c r="K1342" i="39"/>
  <c r="J1342" i="39"/>
  <c r="I1342" i="39"/>
  <c r="H1342" i="39"/>
  <c r="C1342" i="39"/>
  <c r="AH1341" i="39"/>
  <c r="AE1341" i="39"/>
  <c r="AD1341" i="39"/>
  <c r="L1341" i="39"/>
  <c r="K1341" i="39"/>
  <c r="J1341" i="39"/>
  <c r="I1341" i="39"/>
  <c r="H1341" i="39"/>
  <c r="C1341" i="39"/>
  <c r="AH1340" i="39"/>
  <c r="AE1340" i="39"/>
  <c r="AD1340" i="39"/>
  <c r="L1340" i="39"/>
  <c r="K1340" i="39"/>
  <c r="J1340" i="39"/>
  <c r="I1340" i="39"/>
  <c r="H1340" i="39"/>
  <c r="C1340" i="39"/>
  <c r="AH1339" i="39"/>
  <c r="AE1339" i="39"/>
  <c r="AD1339" i="39"/>
  <c r="L1339" i="39"/>
  <c r="K1339" i="39"/>
  <c r="J1339" i="39"/>
  <c r="I1339" i="39"/>
  <c r="H1339" i="39"/>
  <c r="C1339" i="39"/>
  <c r="AH1338" i="39"/>
  <c r="AE1338" i="39"/>
  <c r="AD1338" i="39"/>
  <c r="L1338" i="39"/>
  <c r="K1338" i="39"/>
  <c r="J1338" i="39"/>
  <c r="I1338" i="39"/>
  <c r="H1338" i="39"/>
  <c r="C1338" i="39"/>
  <c r="AH1337" i="39"/>
  <c r="AE1337" i="39"/>
  <c r="AD1337" i="39"/>
  <c r="L1337" i="39"/>
  <c r="K1337" i="39"/>
  <c r="J1337" i="39"/>
  <c r="I1337" i="39"/>
  <c r="H1337" i="39"/>
  <c r="C1337" i="39"/>
  <c r="AH1336" i="39"/>
  <c r="AE1336" i="39"/>
  <c r="AD1336" i="39"/>
  <c r="L1336" i="39"/>
  <c r="K1336" i="39"/>
  <c r="J1336" i="39"/>
  <c r="I1336" i="39"/>
  <c r="H1336" i="39"/>
  <c r="C1336" i="39"/>
  <c r="AH1335" i="39"/>
  <c r="AE1335" i="39"/>
  <c r="AD1335" i="39"/>
  <c r="L1335" i="39"/>
  <c r="K1335" i="39"/>
  <c r="J1335" i="39"/>
  <c r="I1335" i="39"/>
  <c r="H1335" i="39"/>
  <c r="C1335" i="39"/>
  <c r="AH1334" i="39"/>
  <c r="AE1334" i="39"/>
  <c r="AD1334" i="39"/>
  <c r="N1334" i="39"/>
  <c r="L1334" i="39"/>
  <c r="K1334" i="39"/>
  <c r="J1334" i="39"/>
  <c r="I1334" i="39"/>
  <c r="H1334" i="39"/>
  <c r="C1334" i="39"/>
  <c r="AH1333" i="39"/>
  <c r="AE1333" i="39"/>
  <c r="AD1333" i="39"/>
  <c r="N1333" i="39"/>
  <c r="L1333" i="39"/>
  <c r="K1333" i="39"/>
  <c r="J1333" i="39"/>
  <c r="I1333" i="39"/>
  <c r="H1333" i="39"/>
  <c r="C1333" i="39"/>
  <c r="AH1332" i="39"/>
  <c r="AE1332" i="39"/>
  <c r="AD1332" i="39"/>
  <c r="N1332" i="39"/>
  <c r="L1332" i="39"/>
  <c r="K1332" i="39"/>
  <c r="J1332" i="39"/>
  <c r="I1332" i="39"/>
  <c r="H1332" i="39"/>
  <c r="C1332" i="39"/>
  <c r="AH1331" i="39"/>
  <c r="AE1331" i="39"/>
  <c r="AD1331" i="39"/>
  <c r="N1331" i="39"/>
  <c r="L1331" i="39"/>
  <c r="K1331" i="39"/>
  <c r="J1331" i="39"/>
  <c r="I1331" i="39"/>
  <c r="H1331" i="39"/>
  <c r="C1331" i="39"/>
  <c r="AH1330" i="39"/>
  <c r="AE1330" i="39"/>
  <c r="AD1330" i="39"/>
  <c r="N1330" i="39"/>
  <c r="L1330" i="39"/>
  <c r="K1330" i="39"/>
  <c r="J1330" i="39"/>
  <c r="I1330" i="39"/>
  <c r="H1330" i="39"/>
  <c r="C1330" i="39"/>
  <c r="AH1329" i="39"/>
  <c r="AE1329" i="39"/>
  <c r="AD1329" i="39"/>
  <c r="N1329" i="39"/>
  <c r="L1329" i="39"/>
  <c r="K1329" i="39"/>
  <c r="J1329" i="39"/>
  <c r="I1329" i="39"/>
  <c r="H1329" i="39"/>
  <c r="C1329" i="39"/>
  <c r="AH1328" i="39"/>
  <c r="AE1328" i="39"/>
  <c r="AD1328" i="39"/>
  <c r="N1328" i="39"/>
  <c r="L1328" i="39"/>
  <c r="K1328" i="39"/>
  <c r="J1328" i="39"/>
  <c r="I1328" i="39"/>
  <c r="H1328" i="39"/>
  <c r="C1328" i="39"/>
  <c r="AH1327" i="39"/>
  <c r="AE1327" i="39"/>
  <c r="AD1327" i="39"/>
  <c r="L1327" i="39"/>
  <c r="K1327" i="39"/>
  <c r="J1327" i="39"/>
  <c r="I1327" i="39"/>
  <c r="H1327" i="39"/>
  <c r="C1327" i="39"/>
  <c r="AH1326" i="39"/>
  <c r="AE1326" i="39"/>
  <c r="AD1326" i="39"/>
  <c r="L1326" i="39"/>
  <c r="K1326" i="39"/>
  <c r="J1326" i="39"/>
  <c r="I1326" i="39"/>
  <c r="H1326" i="39"/>
  <c r="C1326" i="39"/>
  <c r="AH1325" i="39"/>
  <c r="AF1325" i="39"/>
  <c r="AE1325" i="39"/>
  <c r="AD1325" i="39"/>
  <c r="L1325" i="39"/>
  <c r="K1325" i="39"/>
  <c r="J1325" i="39"/>
  <c r="I1325" i="39"/>
  <c r="H1325" i="39"/>
  <c r="C1325" i="39"/>
  <c r="AH1324" i="39"/>
  <c r="AE1324" i="39"/>
  <c r="AD1324" i="39"/>
  <c r="L1324" i="39"/>
  <c r="K1324" i="39"/>
  <c r="J1324" i="39"/>
  <c r="I1324" i="39"/>
  <c r="H1324" i="39"/>
  <c r="C1324" i="39"/>
  <c r="AH1323" i="39"/>
  <c r="AE1323" i="39"/>
  <c r="AD1323" i="39"/>
  <c r="L1323" i="39"/>
  <c r="K1323" i="39"/>
  <c r="J1323" i="39"/>
  <c r="I1323" i="39"/>
  <c r="H1323" i="39"/>
  <c r="C1323" i="39"/>
  <c r="AH1322" i="39"/>
  <c r="AE1322" i="39"/>
  <c r="AD1322" i="39"/>
  <c r="L1322" i="39"/>
  <c r="AF1322" i="39" s="1"/>
  <c r="K1322" i="39"/>
  <c r="J1322" i="39"/>
  <c r="I1322" i="39"/>
  <c r="H1322" i="39"/>
  <c r="C1322" i="39"/>
  <c r="AH1321" i="39"/>
  <c r="AE1321" i="39"/>
  <c r="AD1321" i="39"/>
  <c r="L1321" i="39"/>
  <c r="K1321" i="39"/>
  <c r="J1321" i="39"/>
  <c r="I1321" i="39"/>
  <c r="H1321" i="39"/>
  <c r="C1321" i="39"/>
  <c r="AH1320" i="39"/>
  <c r="AE1320" i="39"/>
  <c r="AD1320" i="39"/>
  <c r="L1320" i="39"/>
  <c r="K1320" i="39"/>
  <c r="J1320" i="39"/>
  <c r="I1320" i="39"/>
  <c r="H1320" i="39"/>
  <c r="C1320" i="39"/>
  <c r="AH1319" i="39"/>
  <c r="AE1319" i="39"/>
  <c r="AD1319" i="39"/>
  <c r="L1319" i="39"/>
  <c r="K1319" i="39"/>
  <c r="J1319" i="39"/>
  <c r="I1319" i="39"/>
  <c r="H1319" i="39"/>
  <c r="C1319" i="39"/>
  <c r="AH1318" i="39"/>
  <c r="AE1318" i="39"/>
  <c r="AD1318" i="39"/>
  <c r="L1318" i="39"/>
  <c r="K1318" i="39"/>
  <c r="J1318" i="39"/>
  <c r="I1318" i="39"/>
  <c r="H1318" i="39"/>
  <c r="C1318" i="39"/>
  <c r="AH1317" i="39"/>
  <c r="AE1317" i="39"/>
  <c r="AD1317" i="39"/>
  <c r="L1317" i="39"/>
  <c r="K1317" i="39"/>
  <c r="J1317" i="39"/>
  <c r="I1317" i="39"/>
  <c r="H1317" i="39"/>
  <c r="C1317" i="39"/>
  <c r="AH1316" i="39"/>
  <c r="AE1316" i="39"/>
  <c r="AD1316" i="39"/>
  <c r="L1316" i="39"/>
  <c r="K1316" i="39"/>
  <c r="J1316" i="39"/>
  <c r="I1316" i="39"/>
  <c r="H1316" i="39"/>
  <c r="C1316" i="39"/>
  <c r="AH1315" i="39"/>
  <c r="AE1315" i="39"/>
  <c r="AD1315" i="39"/>
  <c r="L1315" i="39"/>
  <c r="K1315" i="39"/>
  <c r="J1315" i="39"/>
  <c r="I1315" i="39"/>
  <c r="H1315" i="39"/>
  <c r="C1315" i="39"/>
  <c r="AH1314" i="39"/>
  <c r="AE1314" i="39"/>
  <c r="AD1314" i="39"/>
  <c r="L1314" i="39"/>
  <c r="K1314" i="39"/>
  <c r="J1314" i="39"/>
  <c r="I1314" i="39"/>
  <c r="H1314" i="39"/>
  <c r="C1314" i="39"/>
  <c r="AH1313" i="39"/>
  <c r="AE1313" i="39"/>
  <c r="AD1313" i="39"/>
  <c r="L1313" i="39"/>
  <c r="K1313" i="39"/>
  <c r="J1313" i="39"/>
  <c r="I1313" i="39"/>
  <c r="H1313" i="39"/>
  <c r="C1313" i="39"/>
  <c r="AH1312" i="39"/>
  <c r="AE1312" i="39"/>
  <c r="AD1312" i="39"/>
  <c r="L1312" i="39"/>
  <c r="K1312" i="39"/>
  <c r="J1312" i="39"/>
  <c r="I1312" i="39"/>
  <c r="H1312" i="39"/>
  <c r="C1312" i="39"/>
  <c r="AH1311" i="39"/>
  <c r="AE1311" i="39"/>
  <c r="AD1311" i="39"/>
  <c r="L1311" i="39"/>
  <c r="K1311" i="39"/>
  <c r="J1311" i="39"/>
  <c r="I1311" i="39"/>
  <c r="H1311" i="39"/>
  <c r="C1311" i="39"/>
  <c r="AH1310" i="39"/>
  <c r="AE1310" i="39"/>
  <c r="AD1310" i="39"/>
  <c r="L1310" i="39"/>
  <c r="K1310" i="39"/>
  <c r="J1310" i="39"/>
  <c r="I1310" i="39"/>
  <c r="H1310" i="39"/>
  <c r="C1310" i="39"/>
  <c r="AH1309" i="39"/>
  <c r="AE1309" i="39"/>
  <c r="AD1309" i="39"/>
  <c r="L1309" i="39"/>
  <c r="K1309" i="39"/>
  <c r="J1309" i="39"/>
  <c r="I1309" i="39"/>
  <c r="H1309" i="39"/>
  <c r="C1309" i="39"/>
  <c r="AH1308" i="39"/>
  <c r="AE1308" i="39"/>
  <c r="AD1308" i="39"/>
  <c r="L1308" i="39"/>
  <c r="K1308" i="39"/>
  <c r="J1308" i="39"/>
  <c r="I1308" i="39"/>
  <c r="H1308" i="39"/>
  <c r="C1308" i="39"/>
  <c r="AH1307" i="39"/>
  <c r="AE1307" i="39"/>
  <c r="AD1307" i="39"/>
  <c r="L1307" i="39"/>
  <c r="K1307" i="39"/>
  <c r="J1307" i="39"/>
  <c r="I1307" i="39"/>
  <c r="H1307" i="39"/>
  <c r="C1307" i="39"/>
  <c r="AH1306" i="39"/>
  <c r="AE1306" i="39"/>
  <c r="AD1306" i="39"/>
  <c r="L1306" i="39"/>
  <c r="K1306" i="39"/>
  <c r="J1306" i="39"/>
  <c r="I1306" i="39"/>
  <c r="H1306" i="39"/>
  <c r="C1306" i="39"/>
  <c r="AH1305" i="39"/>
  <c r="AE1305" i="39"/>
  <c r="AD1305" i="39"/>
  <c r="L1305" i="39"/>
  <c r="K1305" i="39"/>
  <c r="J1305" i="39"/>
  <c r="I1305" i="39"/>
  <c r="H1305" i="39"/>
  <c r="C1305" i="39"/>
  <c r="AH1304" i="39"/>
  <c r="AE1304" i="39"/>
  <c r="AD1304" i="39"/>
  <c r="L1304" i="39"/>
  <c r="K1304" i="39"/>
  <c r="J1304" i="39"/>
  <c r="I1304" i="39"/>
  <c r="H1304" i="39"/>
  <c r="C1304" i="39"/>
  <c r="AH1303" i="39"/>
  <c r="AE1303" i="39"/>
  <c r="AD1303" i="39"/>
  <c r="L1303" i="39"/>
  <c r="K1303" i="39"/>
  <c r="J1303" i="39"/>
  <c r="I1303" i="39"/>
  <c r="H1303" i="39"/>
  <c r="C1303" i="39"/>
  <c r="AH1302" i="39"/>
  <c r="AE1302" i="39"/>
  <c r="AD1302" i="39"/>
  <c r="L1302" i="39"/>
  <c r="K1302" i="39"/>
  <c r="AF1302" i="39" s="1"/>
  <c r="AG1302" i="39" s="1"/>
  <c r="J1302" i="39"/>
  <c r="I1302" i="39"/>
  <c r="H1302" i="39"/>
  <c r="C1302" i="39"/>
  <c r="AH1301" i="39"/>
  <c r="AE1301" i="39"/>
  <c r="AD1301" i="39"/>
  <c r="L1301" i="39"/>
  <c r="K1301" i="39"/>
  <c r="J1301" i="39"/>
  <c r="I1301" i="39"/>
  <c r="H1301" i="39"/>
  <c r="C1301" i="39"/>
  <c r="AH1300" i="39"/>
  <c r="AE1300" i="39"/>
  <c r="AD1300" i="39"/>
  <c r="L1300" i="39"/>
  <c r="K1300" i="39"/>
  <c r="J1300" i="39"/>
  <c r="I1300" i="39"/>
  <c r="H1300" i="39"/>
  <c r="C1300" i="39"/>
  <c r="AH1299" i="39"/>
  <c r="AE1299" i="39"/>
  <c r="AD1299" i="39"/>
  <c r="L1299" i="39"/>
  <c r="K1299" i="39"/>
  <c r="J1299" i="39"/>
  <c r="I1299" i="39"/>
  <c r="H1299" i="39"/>
  <c r="C1299" i="39"/>
  <c r="AH1298" i="39"/>
  <c r="AE1298" i="39"/>
  <c r="AD1298" i="39"/>
  <c r="L1298" i="39"/>
  <c r="K1298" i="39"/>
  <c r="J1298" i="39"/>
  <c r="I1298" i="39"/>
  <c r="H1298" i="39"/>
  <c r="C1298" i="39"/>
  <c r="AH1297" i="39"/>
  <c r="AE1297" i="39"/>
  <c r="AD1297" i="39"/>
  <c r="L1297" i="39"/>
  <c r="K1297" i="39"/>
  <c r="J1297" i="39"/>
  <c r="I1297" i="39"/>
  <c r="H1297" i="39"/>
  <c r="C1297" i="39"/>
  <c r="AH1296" i="39"/>
  <c r="AE1296" i="39"/>
  <c r="AD1296" i="39"/>
  <c r="L1296" i="39"/>
  <c r="K1296" i="39"/>
  <c r="J1296" i="39"/>
  <c r="I1296" i="39"/>
  <c r="H1296" i="39"/>
  <c r="C1296" i="39"/>
  <c r="AH1295" i="39"/>
  <c r="AE1295" i="39"/>
  <c r="AD1295" i="39"/>
  <c r="L1295" i="39"/>
  <c r="K1295" i="39"/>
  <c r="J1295" i="39"/>
  <c r="I1295" i="39"/>
  <c r="H1295" i="39"/>
  <c r="C1295" i="39"/>
  <c r="AH1294" i="39"/>
  <c r="AE1294" i="39"/>
  <c r="AD1294" i="39"/>
  <c r="L1294" i="39"/>
  <c r="K1294" i="39"/>
  <c r="J1294" i="39"/>
  <c r="I1294" i="39"/>
  <c r="H1294" i="39"/>
  <c r="C1294" i="39"/>
  <c r="AH1293" i="39"/>
  <c r="AE1293" i="39"/>
  <c r="AD1293" i="39"/>
  <c r="L1293" i="39"/>
  <c r="K1293" i="39"/>
  <c r="J1293" i="39"/>
  <c r="I1293" i="39"/>
  <c r="H1293" i="39"/>
  <c r="C1293" i="39"/>
  <c r="AH1292" i="39"/>
  <c r="AE1292" i="39"/>
  <c r="AD1292" i="39"/>
  <c r="L1292" i="39"/>
  <c r="AF1292" i="39" s="1"/>
  <c r="K1292" i="39"/>
  <c r="J1292" i="39"/>
  <c r="I1292" i="39"/>
  <c r="H1292" i="39"/>
  <c r="C1292" i="39"/>
  <c r="AH1291" i="39"/>
  <c r="AE1291" i="39"/>
  <c r="AD1291" i="39"/>
  <c r="L1291" i="39"/>
  <c r="K1291" i="39"/>
  <c r="AF1291" i="39" s="1"/>
  <c r="AG1291" i="39" s="1"/>
  <c r="J1291" i="39"/>
  <c r="I1291" i="39"/>
  <c r="H1291" i="39"/>
  <c r="C1291" i="39"/>
  <c r="AH1290" i="39"/>
  <c r="AE1290" i="39"/>
  <c r="AD1290" i="39"/>
  <c r="L1290" i="39"/>
  <c r="K1290" i="39"/>
  <c r="J1290" i="39"/>
  <c r="I1290" i="39"/>
  <c r="H1290" i="39"/>
  <c r="C1290" i="39"/>
  <c r="AH1289" i="39"/>
  <c r="AE1289" i="39"/>
  <c r="AD1289" i="39"/>
  <c r="L1289" i="39"/>
  <c r="K1289" i="39"/>
  <c r="J1289" i="39"/>
  <c r="I1289" i="39"/>
  <c r="H1289" i="39"/>
  <c r="C1289" i="39"/>
  <c r="AH1288" i="39"/>
  <c r="AE1288" i="39"/>
  <c r="AD1288" i="39"/>
  <c r="L1288" i="39"/>
  <c r="K1288" i="39"/>
  <c r="AF1288" i="39" s="1"/>
  <c r="J1288" i="39"/>
  <c r="I1288" i="39"/>
  <c r="H1288" i="39"/>
  <c r="C1288" i="39"/>
  <c r="AH1287" i="39"/>
  <c r="AE1287" i="39"/>
  <c r="AD1287" i="39"/>
  <c r="L1287" i="39"/>
  <c r="K1287" i="39"/>
  <c r="J1287" i="39"/>
  <c r="I1287" i="39"/>
  <c r="H1287" i="39"/>
  <c r="C1287" i="39"/>
  <c r="AH1286" i="39"/>
  <c r="AE1286" i="39"/>
  <c r="AD1286" i="39"/>
  <c r="L1286" i="39"/>
  <c r="K1286" i="39"/>
  <c r="AF1286" i="39" s="1"/>
  <c r="J1286" i="39"/>
  <c r="I1286" i="39"/>
  <c r="H1286" i="39"/>
  <c r="C1286" i="39"/>
  <c r="AH1285" i="39"/>
  <c r="AE1285" i="39"/>
  <c r="AD1285" i="39"/>
  <c r="L1285" i="39"/>
  <c r="K1285" i="39"/>
  <c r="J1285" i="39"/>
  <c r="I1285" i="39"/>
  <c r="H1285" i="39"/>
  <c r="C1285" i="39"/>
  <c r="AH1284" i="39"/>
  <c r="AE1284" i="39"/>
  <c r="AD1284" i="39"/>
  <c r="L1284" i="39"/>
  <c r="K1284" i="39"/>
  <c r="J1284" i="39"/>
  <c r="I1284" i="39"/>
  <c r="H1284" i="39"/>
  <c r="C1284" i="39"/>
  <c r="AH1283" i="39"/>
  <c r="AE1283" i="39"/>
  <c r="AD1283" i="39"/>
  <c r="L1283" i="39"/>
  <c r="K1283" i="39"/>
  <c r="J1283" i="39"/>
  <c r="I1283" i="39"/>
  <c r="H1283" i="39"/>
  <c r="C1283" i="39"/>
  <c r="AH1282" i="39"/>
  <c r="AE1282" i="39"/>
  <c r="AD1282" i="39"/>
  <c r="L1282" i="39"/>
  <c r="K1282" i="39"/>
  <c r="J1282" i="39"/>
  <c r="I1282" i="39"/>
  <c r="H1282" i="39"/>
  <c r="C1282" i="39"/>
  <c r="AH1281" i="39"/>
  <c r="AE1281" i="39"/>
  <c r="AD1281" i="39"/>
  <c r="L1281" i="39"/>
  <c r="K1281" i="39"/>
  <c r="J1281" i="39"/>
  <c r="I1281" i="39"/>
  <c r="H1281" i="39"/>
  <c r="C1281" i="39"/>
  <c r="AH1280" i="39"/>
  <c r="AE1280" i="39"/>
  <c r="AD1280" i="39"/>
  <c r="L1280" i="39"/>
  <c r="K1280" i="39"/>
  <c r="J1280" i="39"/>
  <c r="I1280" i="39"/>
  <c r="H1280" i="39"/>
  <c r="C1280" i="39"/>
  <c r="AH1279" i="39"/>
  <c r="AE1279" i="39"/>
  <c r="AD1279" i="39"/>
  <c r="L1279" i="39"/>
  <c r="K1279" i="39"/>
  <c r="J1279" i="39"/>
  <c r="I1279" i="39"/>
  <c r="H1279" i="39"/>
  <c r="C1279" i="39"/>
  <c r="AH1278" i="39"/>
  <c r="AE1278" i="39"/>
  <c r="AD1278" i="39"/>
  <c r="L1278" i="39"/>
  <c r="K1278" i="39"/>
  <c r="J1278" i="39"/>
  <c r="I1278" i="39"/>
  <c r="H1278" i="39"/>
  <c r="C1278" i="39"/>
  <c r="AH1277" i="39"/>
  <c r="AE1277" i="39"/>
  <c r="AD1277" i="39"/>
  <c r="L1277" i="39"/>
  <c r="K1277" i="39"/>
  <c r="J1277" i="39"/>
  <c r="I1277" i="39"/>
  <c r="H1277" i="39"/>
  <c r="C1277" i="39"/>
  <c r="AH1276" i="39"/>
  <c r="AE1276" i="39"/>
  <c r="AD1276" i="39"/>
  <c r="L1276" i="39"/>
  <c r="K1276" i="39"/>
  <c r="J1276" i="39"/>
  <c r="I1276" i="39"/>
  <c r="H1276" i="39"/>
  <c r="C1276" i="39"/>
  <c r="AH1275" i="39"/>
  <c r="AE1275" i="39"/>
  <c r="AD1275" i="39"/>
  <c r="L1275" i="39"/>
  <c r="K1275" i="39"/>
  <c r="J1275" i="39"/>
  <c r="I1275" i="39"/>
  <c r="H1275" i="39"/>
  <c r="C1275" i="39"/>
  <c r="AH1274" i="39"/>
  <c r="AE1274" i="39"/>
  <c r="AD1274" i="39"/>
  <c r="L1274" i="39"/>
  <c r="K1274" i="39"/>
  <c r="J1274" i="39"/>
  <c r="I1274" i="39"/>
  <c r="H1274" i="39"/>
  <c r="C1274" i="39"/>
  <c r="AH1273" i="39"/>
  <c r="AE1273" i="39"/>
  <c r="AD1273" i="39"/>
  <c r="L1273" i="39"/>
  <c r="K1273" i="39"/>
  <c r="J1273" i="39"/>
  <c r="I1273" i="39"/>
  <c r="H1273" i="39"/>
  <c r="C1273" i="39"/>
  <c r="AH1272" i="39"/>
  <c r="AE1272" i="39"/>
  <c r="AD1272" i="39"/>
  <c r="L1272" i="39"/>
  <c r="K1272" i="39"/>
  <c r="J1272" i="39"/>
  <c r="I1272" i="39"/>
  <c r="H1272" i="39"/>
  <c r="C1272" i="39"/>
  <c r="AH1271" i="39"/>
  <c r="AE1271" i="39"/>
  <c r="AD1271" i="39"/>
  <c r="L1271" i="39"/>
  <c r="K1271" i="39"/>
  <c r="J1271" i="39"/>
  <c r="I1271" i="39"/>
  <c r="H1271" i="39"/>
  <c r="C1271" i="39"/>
  <c r="AH1270" i="39"/>
  <c r="AE1270" i="39"/>
  <c r="AD1270" i="39"/>
  <c r="L1270" i="39"/>
  <c r="K1270" i="39"/>
  <c r="J1270" i="39"/>
  <c r="I1270" i="39"/>
  <c r="H1270" i="39"/>
  <c r="C1270" i="39"/>
  <c r="AH1269" i="39"/>
  <c r="AE1269" i="39"/>
  <c r="AD1269" i="39"/>
  <c r="L1269" i="39"/>
  <c r="K1269" i="39"/>
  <c r="J1269" i="39"/>
  <c r="I1269" i="39"/>
  <c r="H1269" i="39"/>
  <c r="C1269" i="39"/>
  <c r="AH1268" i="39"/>
  <c r="AE1268" i="39"/>
  <c r="AD1268" i="39"/>
  <c r="L1268" i="39"/>
  <c r="AF1268" i="39" s="1"/>
  <c r="K1268" i="39"/>
  <c r="J1268" i="39"/>
  <c r="I1268" i="39"/>
  <c r="H1268" i="39"/>
  <c r="C1268" i="39"/>
  <c r="AH1267" i="39"/>
  <c r="AE1267" i="39"/>
  <c r="AD1267" i="39"/>
  <c r="L1267" i="39"/>
  <c r="K1267" i="39"/>
  <c r="J1267" i="39"/>
  <c r="I1267" i="39"/>
  <c r="H1267" i="39"/>
  <c r="C1267" i="39"/>
  <c r="AH1266" i="39"/>
  <c r="AE1266" i="39"/>
  <c r="AD1266" i="39"/>
  <c r="L1266" i="39"/>
  <c r="K1266" i="39"/>
  <c r="J1266" i="39"/>
  <c r="I1266" i="39"/>
  <c r="H1266" i="39"/>
  <c r="C1266" i="39"/>
  <c r="AH1265" i="39"/>
  <c r="AE1265" i="39"/>
  <c r="AD1265" i="39"/>
  <c r="L1265" i="39"/>
  <c r="K1265" i="39"/>
  <c r="J1265" i="39"/>
  <c r="I1265" i="39"/>
  <c r="H1265" i="39"/>
  <c r="C1265" i="39"/>
  <c r="AH1264" i="39"/>
  <c r="AE1264" i="39"/>
  <c r="AD1264" i="39"/>
  <c r="L1264" i="39"/>
  <c r="K1264" i="39"/>
  <c r="J1264" i="39"/>
  <c r="I1264" i="39"/>
  <c r="H1264" i="39"/>
  <c r="C1264" i="39"/>
  <c r="AH1263" i="39"/>
  <c r="AE1263" i="39"/>
  <c r="AD1263" i="39"/>
  <c r="L1263" i="39"/>
  <c r="K1263" i="39"/>
  <c r="J1263" i="39"/>
  <c r="I1263" i="39"/>
  <c r="H1263" i="39"/>
  <c r="C1263" i="39"/>
  <c r="AH1262" i="39"/>
  <c r="AE1262" i="39"/>
  <c r="AD1262" i="39"/>
  <c r="L1262" i="39"/>
  <c r="K1262" i="39"/>
  <c r="J1262" i="39"/>
  <c r="I1262" i="39"/>
  <c r="H1262" i="39"/>
  <c r="C1262" i="39"/>
  <c r="AH1261" i="39"/>
  <c r="AE1261" i="39"/>
  <c r="AD1261" i="39"/>
  <c r="L1261" i="39"/>
  <c r="K1261" i="39"/>
  <c r="J1261" i="39"/>
  <c r="I1261" i="39"/>
  <c r="H1261" i="39"/>
  <c r="C1261" i="39"/>
  <c r="AH1260" i="39"/>
  <c r="AE1260" i="39"/>
  <c r="AD1260" i="39"/>
  <c r="L1260" i="39"/>
  <c r="K1260" i="39"/>
  <c r="J1260" i="39"/>
  <c r="I1260" i="39"/>
  <c r="H1260" i="39"/>
  <c r="C1260" i="39"/>
  <c r="AH1259" i="39"/>
  <c r="AE1259" i="39"/>
  <c r="AD1259" i="39"/>
  <c r="L1259" i="39"/>
  <c r="K1259" i="39"/>
  <c r="J1259" i="39"/>
  <c r="I1259" i="39"/>
  <c r="H1259" i="39"/>
  <c r="C1259" i="39"/>
  <c r="AH1258" i="39"/>
  <c r="AE1258" i="39"/>
  <c r="AD1258" i="39"/>
  <c r="L1258" i="39"/>
  <c r="K1258" i="39"/>
  <c r="AF1258" i="39" s="1"/>
  <c r="J1258" i="39"/>
  <c r="I1258" i="39"/>
  <c r="H1258" i="39"/>
  <c r="C1258" i="39"/>
  <c r="AH1257" i="39"/>
  <c r="AE1257" i="39"/>
  <c r="AD1257" i="39"/>
  <c r="L1257" i="39"/>
  <c r="K1257" i="39"/>
  <c r="J1257" i="39"/>
  <c r="I1257" i="39"/>
  <c r="H1257" i="39"/>
  <c r="C1257" i="39"/>
  <c r="AH1256" i="39"/>
  <c r="AE1256" i="39"/>
  <c r="AD1256" i="39"/>
  <c r="L1256" i="39"/>
  <c r="K1256" i="39"/>
  <c r="J1256" i="39"/>
  <c r="I1256" i="39"/>
  <c r="H1256" i="39"/>
  <c r="C1256" i="39"/>
  <c r="N1255" i="39"/>
  <c r="L1255" i="39"/>
  <c r="K1255" i="39"/>
  <c r="J1255" i="39"/>
  <c r="I1255" i="39"/>
  <c r="H1255" i="39"/>
  <c r="C1255" i="39"/>
  <c r="N1254" i="39"/>
  <c r="L1254" i="39"/>
  <c r="K1254" i="39"/>
  <c r="J1254" i="39"/>
  <c r="I1254" i="39"/>
  <c r="H1254" i="39"/>
  <c r="C1254" i="39"/>
  <c r="N1253" i="39"/>
  <c r="L1253" i="39"/>
  <c r="K1253" i="39"/>
  <c r="J1253" i="39"/>
  <c r="I1253" i="39"/>
  <c r="H1253" i="39"/>
  <c r="C1253" i="39"/>
  <c r="N1252" i="39"/>
  <c r="L1252" i="39"/>
  <c r="K1252" i="39"/>
  <c r="J1252" i="39"/>
  <c r="I1252" i="39"/>
  <c r="H1252" i="39"/>
  <c r="C1252" i="39"/>
  <c r="N1251" i="39"/>
  <c r="L1251" i="39"/>
  <c r="K1251" i="39"/>
  <c r="J1251" i="39"/>
  <c r="I1251" i="39"/>
  <c r="H1251" i="39"/>
  <c r="C1251" i="39"/>
  <c r="N1250" i="39"/>
  <c r="L1250" i="39"/>
  <c r="K1250" i="39"/>
  <c r="J1250" i="39"/>
  <c r="I1250" i="39"/>
  <c r="H1250" i="39"/>
  <c r="C1250" i="39"/>
  <c r="N1249" i="39"/>
  <c r="L1249" i="39"/>
  <c r="K1249" i="39"/>
  <c r="J1249" i="39"/>
  <c r="I1249" i="39"/>
  <c r="H1249" i="39"/>
  <c r="C1249" i="39"/>
  <c r="N1248" i="39"/>
  <c r="L1248" i="39"/>
  <c r="K1248" i="39"/>
  <c r="J1248" i="39"/>
  <c r="I1248" i="39"/>
  <c r="H1248" i="39"/>
  <c r="C1248" i="39"/>
  <c r="N1247" i="39"/>
  <c r="L1247" i="39"/>
  <c r="K1247" i="39"/>
  <c r="J1247" i="39"/>
  <c r="I1247" i="39"/>
  <c r="H1247" i="39"/>
  <c r="C1247" i="39"/>
  <c r="N1246" i="39"/>
  <c r="L1246" i="39"/>
  <c r="K1246" i="39"/>
  <c r="J1246" i="39"/>
  <c r="I1246" i="39"/>
  <c r="H1246" i="39"/>
  <c r="C1246" i="39"/>
  <c r="N1245" i="39"/>
  <c r="L1245" i="39"/>
  <c r="K1245" i="39"/>
  <c r="J1245" i="39"/>
  <c r="I1245" i="39"/>
  <c r="H1245" i="39"/>
  <c r="C1245" i="39"/>
  <c r="N1244" i="39"/>
  <c r="L1244" i="39"/>
  <c r="K1244" i="39"/>
  <c r="J1244" i="39"/>
  <c r="I1244" i="39"/>
  <c r="H1244" i="39"/>
  <c r="C1244" i="39"/>
  <c r="N1243" i="39"/>
  <c r="L1243" i="39"/>
  <c r="K1243" i="39"/>
  <c r="J1243" i="39"/>
  <c r="I1243" i="39"/>
  <c r="H1243" i="39"/>
  <c r="C1243" i="39"/>
  <c r="N1242" i="39"/>
  <c r="L1242" i="39"/>
  <c r="K1242" i="39"/>
  <c r="J1242" i="39"/>
  <c r="I1242" i="39"/>
  <c r="H1242" i="39"/>
  <c r="C1242" i="39"/>
  <c r="N1241" i="39"/>
  <c r="L1241" i="39"/>
  <c r="K1241" i="39"/>
  <c r="J1241" i="39"/>
  <c r="I1241" i="39"/>
  <c r="H1241" i="39"/>
  <c r="C1241" i="39"/>
  <c r="N1240" i="39"/>
  <c r="L1240" i="39"/>
  <c r="K1240" i="39"/>
  <c r="J1240" i="39"/>
  <c r="I1240" i="39"/>
  <c r="H1240" i="39"/>
  <c r="C1240" i="39"/>
  <c r="N1239" i="39"/>
  <c r="L1239" i="39"/>
  <c r="K1239" i="39"/>
  <c r="J1239" i="39"/>
  <c r="I1239" i="39"/>
  <c r="H1239" i="39"/>
  <c r="C1239" i="39"/>
  <c r="N1238" i="39"/>
  <c r="L1238" i="39"/>
  <c r="K1238" i="39"/>
  <c r="J1238" i="39"/>
  <c r="I1238" i="39"/>
  <c r="H1238" i="39"/>
  <c r="C1238" i="39"/>
  <c r="N1237" i="39"/>
  <c r="L1237" i="39"/>
  <c r="K1237" i="39"/>
  <c r="J1237" i="39"/>
  <c r="I1237" i="39"/>
  <c r="H1237" i="39"/>
  <c r="C1237" i="39"/>
  <c r="N1236" i="39"/>
  <c r="L1236" i="39"/>
  <c r="K1236" i="39"/>
  <c r="J1236" i="39"/>
  <c r="I1236" i="39"/>
  <c r="H1236" i="39"/>
  <c r="C1236" i="39"/>
  <c r="N1235" i="39"/>
  <c r="L1235" i="39"/>
  <c r="K1235" i="39"/>
  <c r="J1235" i="39"/>
  <c r="I1235" i="39"/>
  <c r="H1235" i="39"/>
  <c r="C1235" i="39"/>
  <c r="AH1234" i="39"/>
  <c r="AE1234" i="39"/>
  <c r="AD1234" i="39"/>
  <c r="L1234" i="39"/>
  <c r="AF1234" i="39" s="1"/>
  <c r="AG1234" i="39" s="1"/>
  <c r="K1234" i="39"/>
  <c r="J1234" i="39"/>
  <c r="I1234" i="39"/>
  <c r="H1234" i="39"/>
  <c r="C1234" i="39"/>
  <c r="AH1233" i="39"/>
  <c r="AE1233" i="39"/>
  <c r="AD1233" i="39"/>
  <c r="L1233" i="39"/>
  <c r="K1233" i="39"/>
  <c r="J1233" i="39"/>
  <c r="I1233" i="39"/>
  <c r="H1233" i="39"/>
  <c r="C1233" i="39"/>
  <c r="AH1232" i="39"/>
  <c r="AF1232" i="39"/>
  <c r="AE1232" i="39"/>
  <c r="AD1232" i="39"/>
  <c r="L1232" i="39"/>
  <c r="K1232" i="39"/>
  <c r="J1232" i="39"/>
  <c r="I1232" i="39"/>
  <c r="H1232" i="39"/>
  <c r="C1232" i="39"/>
  <c r="AH1231" i="39"/>
  <c r="AE1231" i="39"/>
  <c r="AD1231" i="39"/>
  <c r="L1231" i="39"/>
  <c r="K1231" i="39"/>
  <c r="J1231" i="39"/>
  <c r="I1231" i="39"/>
  <c r="H1231" i="39"/>
  <c r="C1231" i="39"/>
  <c r="AH1230" i="39"/>
  <c r="AE1230" i="39"/>
  <c r="AD1230" i="39"/>
  <c r="L1230" i="39"/>
  <c r="K1230" i="39"/>
  <c r="J1230" i="39"/>
  <c r="I1230" i="39"/>
  <c r="H1230" i="39"/>
  <c r="C1230" i="39"/>
  <c r="AH1229" i="39"/>
  <c r="AE1229" i="39"/>
  <c r="AD1229" i="39"/>
  <c r="L1229" i="39"/>
  <c r="K1229" i="39"/>
  <c r="J1229" i="39"/>
  <c r="I1229" i="39"/>
  <c r="H1229" i="39"/>
  <c r="C1229" i="39"/>
  <c r="AH1228" i="39"/>
  <c r="AE1228" i="39"/>
  <c r="AD1228" i="39"/>
  <c r="L1228" i="39"/>
  <c r="K1228" i="39"/>
  <c r="AF1228" i="39" s="1"/>
  <c r="AG1228" i="39" s="1"/>
  <c r="J1228" i="39"/>
  <c r="I1228" i="39"/>
  <c r="H1228" i="39"/>
  <c r="C1228" i="39"/>
  <c r="AH1227" i="39"/>
  <c r="AE1227" i="39"/>
  <c r="AD1227" i="39"/>
  <c r="L1227" i="39"/>
  <c r="K1227" i="39"/>
  <c r="J1227" i="39"/>
  <c r="I1227" i="39"/>
  <c r="H1227" i="39"/>
  <c r="C1227" i="39"/>
  <c r="AH1226" i="39"/>
  <c r="AE1226" i="39"/>
  <c r="AD1226" i="39"/>
  <c r="L1226" i="39"/>
  <c r="K1226" i="39"/>
  <c r="AF1226" i="39" s="1"/>
  <c r="J1226" i="39"/>
  <c r="I1226" i="39"/>
  <c r="H1226" i="39"/>
  <c r="C1226" i="39"/>
  <c r="AH1225" i="39"/>
  <c r="AE1225" i="39"/>
  <c r="AD1225" i="39"/>
  <c r="L1225" i="39"/>
  <c r="K1225" i="39"/>
  <c r="J1225" i="39"/>
  <c r="I1225" i="39"/>
  <c r="H1225" i="39"/>
  <c r="C1225" i="39"/>
  <c r="AH1224" i="39"/>
  <c r="AE1224" i="39"/>
  <c r="AD1224" i="39"/>
  <c r="L1224" i="39"/>
  <c r="AF1224" i="39" s="1"/>
  <c r="K1224" i="39"/>
  <c r="J1224" i="39"/>
  <c r="I1224" i="39"/>
  <c r="H1224" i="39"/>
  <c r="C1224" i="39"/>
  <c r="AH1223" i="39"/>
  <c r="AE1223" i="39"/>
  <c r="AD1223" i="39"/>
  <c r="L1223" i="39"/>
  <c r="K1223" i="39"/>
  <c r="J1223" i="39"/>
  <c r="I1223" i="39"/>
  <c r="H1223" i="39"/>
  <c r="C1223" i="39"/>
  <c r="AH1222" i="39"/>
  <c r="AE1222" i="39"/>
  <c r="AD1222" i="39"/>
  <c r="L1222" i="39"/>
  <c r="K1222" i="39"/>
  <c r="J1222" i="39"/>
  <c r="I1222" i="39"/>
  <c r="H1222" i="39"/>
  <c r="C1222" i="39"/>
  <c r="AH1221" i="39"/>
  <c r="AE1221" i="39"/>
  <c r="AD1221" i="39"/>
  <c r="L1221" i="39"/>
  <c r="K1221" i="39"/>
  <c r="J1221" i="39"/>
  <c r="I1221" i="39"/>
  <c r="H1221" i="39"/>
  <c r="C1221" i="39"/>
  <c r="AH1220" i="39"/>
  <c r="AE1220" i="39"/>
  <c r="AD1220" i="39"/>
  <c r="L1220" i="39"/>
  <c r="K1220" i="39"/>
  <c r="J1220" i="39"/>
  <c r="I1220" i="39"/>
  <c r="H1220" i="39"/>
  <c r="AF1220" i="39" s="1"/>
  <c r="AG1220" i="39" s="1"/>
  <c r="C1220" i="39"/>
  <c r="AH1219" i="39"/>
  <c r="AE1219" i="39"/>
  <c r="AD1219" i="39"/>
  <c r="L1219" i="39"/>
  <c r="K1219" i="39"/>
  <c r="J1219" i="39"/>
  <c r="I1219" i="39"/>
  <c r="H1219" i="39"/>
  <c r="C1219" i="39"/>
  <c r="AH1218" i="39"/>
  <c r="AE1218" i="39"/>
  <c r="AD1218" i="39"/>
  <c r="L1218" i="39"/>
  <c r="K1218" i="39"/>
  <c r="J1218" i="39"/>
  <c r="I1218" i="39"/>
  <c r="H1218" i="39"/>
  <c r="C1218" i="39"/>
  <c r="AH1217" i="39"/>
  <c r="AE1217" i="39"/>
  <c r="AD1217" i="39"/>
  <c r="L1217" i="39"/>
  <c r="AF1217" i="39" s="1"/>
  <c r="K1217" i="39"/>
  <c r="J1217" i="39"/>
  <c r="I1217" i="39"/>
  <c r="H1217" i="39"/>
  <c r="C1217" i="39"/>
  <c r="AH1216" i="39"/>
  <c r="AE1216" i="39"/>
  <c r="AD1216" i="39"/>
  <c r="L1216" i="39"/>
  <c r="K1216" i="39"/>
  <c r="AF1216" i="39" s="1"/>
  <c r="J1216" i="39"/>
  <c r="I1216" i="39"/>
  <c r="H1216" i="39"/>
  <c r="C1216" i="39"/>
  <c r="AH1215" i="39"/>
  <c r="AE1215" i="39"/>
  <c r="AD1215" i="39"/>
  <c r="L1215" i="39"/>
  <c r="K1215" i="39"/>
  <c r="J1215" i="39"/>
  <c r="I1215" i="39"/>
  <c r="H1215" i="39"/>
  <c r="C1215" i="39"/>
  <c r="AH1214" i="39"/>
  <c r="AE1214" i="39"/>
  <c r="AD1214" i="39"/>
  <c r="L1214" i="39"/>
  <c r="K1214" i="39"/>
  <c r="J1214" i="39"/>
  <c r="I1214" i="39"/>
  <c r="H1214" i="39"/>
  <c r="C1214" i="39"/>
  <c r="AH1213" i="39"/>
  <c r="AE1213" i="39"/>
  <c r="AD1213" i="39"/>
  <c r="L1213" i="39"/>
  <c r="K1213" i="39"/>
  <c r="J1213" i="39"/>
  <c r="I1213" i="39"/>
  <c r="H1213" i="39"/>
  <c r="C1213" i="39"/>
  <c r="AH1212" i="39"/>
  <c r="AE1212" i="39"/>
  <c r="AD1212" i="39"/>
  <c r="L1212" i="39"/>
  <c r="K1212" i="39"/>
  <c r="J1212" i="39"/>
  <c r="I1212" i="39"/>
  <c r="H1212" i="39"/>
  <c r="C1212" i="39"/>
  <c r="AH1211" i="39"/>
  <c r="AE1211" i="39"/>
  <c r="AD1211" i="39"/>
  <c r="L1211" i="39"/>
  <c r="K1211" i="39"/>
  <c r="J1211" i="39"/>
  <c r="I1211" i="39"/>
  <c r="H1211" i="39"/>
  <c r="C1211" i="39"/>
  <c r="AH1210" i="39"/>
  <c r="AE1210" i="39"/>
  <c r="AD1210" i="39"/>
  <c r="L1210" i="39"/>
  <c r="AF1210" i="39" s="1"/>
  <c r="K1210" i="39"/>
  <c r="J1210" i="39"/>
  <c r="I1210" i="39"/>
  <c r="H1210" i="39"/>
  <c r="C1210" i="39"/>
  <c r="AH1209" i="39"/>
  <c r="AE1209" i="39"/>
  <c r="AD1209" i="39"/>
  <c r="L1209" i="39"/>
  <c r="K1209" i="39"/>
  <c r="J1209" i="39"/>
  <c r="I1209" i="39"/>
  <c r="H1209" i="39"/>
  <c r="C1209" i="39"/>
  <c r="AH1208" i="39"/>
  <c r="AE1208" i="39"/>
  <c r="AD1208" i="39"/>
  <c r="L1208" i="39"/>
  <c r="K1208" i="39"/>
  <c r="J1208" i="39"/>
  <c r="I1208" i="39"/>
  <c r="H1208" i="39"/>
  <c r="C1208" i="39"/>
  <c r="AH1207" i="39"/>
  <c r="AE1207" i="39"/>
  <c r="AD1207" i="39"/>
  <c r="L1207" i="39"/>
  <c r="K1207" i="39"/>
  <c r="J1207" i="39"/>
  <c r="I1207" i="39"/>
  <c r="H1207" i="39"/>
  <c r="C1207" i="39"/>
  <c r="AH1206" i="39"/>
  <c r="AE1206" i="39"/>
  <c r="AD1206" i="39"/>
  <c r="L1206" i="39"/>
  <c r="K1206" i="39"/>
  <c r="J1206" i="39"/>
  <c r="I1206" i="39"/>
  <c r="H1206" i="39"/>
  <c r="C1206" i="39"/>
  <c r="AH1205" i="39"/>
  <c r="AE1205" i="39"/>
  <c r="AD1205" i="39"/>
  <c r="L1205" i="39"/>
  <c r="K1205" i="39"/>
  <c r="J1205" i="39"/>
  <c r="I1205" i="39"/>
  <c r="H1205" i="39"/>
  <c r="C1205" i="39"/>
  <c r="AH1204" i="39"/>
  <c r="AE1204" i="39"/>
  <c r="AD1204" i="39"/>
  <c r="N1204" i="39"/>
  <c r="L1204" i="39"/>
  <c r="K1204" i="39"/>
  <c r="J1204" i="39"/>
  <c r="I1204" i="39"/>
  <c r="H1204" i="39"/>
  <c r="C1204" i="39"/>
  <c r="AH1203" i="39"/>
  <c r="AE1203" i="39"/>
  <c r="AD1203" i="39"/>
  <c r="N1203" i="39"/>
  <c r="L1203" i="39"/>
  <c r="AF1203" i="39" s="1"/>
  <c r="K1203" i="39"/>
  <c r="J1203" i="39"/>
  <c r="I1203" i="39"/>
  <c r="H1203" i="39"/>
  <c r="C1203" i="39"/>
  <c r="AH1202" i="39"/>
  <c r="AE1202" i="39"/>
  <c r="AD1202" i="39"/>
  <c r="N1202" i="39"/>
  <c r="L1202" i="39"/>
  <c r="K1202" i="39"/>
  <c r="J1202" i="39"/>
  <c r="I1202" i="39"/>
  <c r="H1202" i="39"/>
  <c r="C1202" i="39"/>
  <c r="AH1201" i="39"/>
  <c r="AE1201" i="39"/>
  <c r="AD1201" i="39"/>
  <c r="N1201" i="39"/>
  <c r="L1201" i="39"/>
  <c r="K1201" i="39"/>
  <c r="J1201" i="39"/>
  <c r="I1201" i="39"/>
  <c r="H1201" i="39"/>
  <c r="C1201" i="39"/>
  <c r="AH1200" i="39"/>
  <c r="AE1200" i="39"/>
  <c r="AD1200" i="39"/>
  <c r="N1200" i="39"/>
  <c r="L1200" i="39"/>
  <c r="K1200" i="39"/>
  <c r="J1200" i="39"/>
  <c r="I1200" i="39"/>
  <c r="H1200" i="39"/>
  <c r="C1200" i="39"/>
  <c r="AH1199" i="39"/>
  <c r="AE1199" i="39"/>
  <c r="AD1199" i="39"/>
  <c r="N1199" i="39"/>
  <c r="L1199" i="39"/>
  <c r="AF1199" i="39" s="1"/>
  <c r="K1199" i="39"/>
  <c r="J1199" i="39"/>
  <c r="I1199" i="39"/>
  <c r="H1199" i="39"/>
  <c r="C1199" i="39"/>
  <c r="AH1198" i="39"/>
  <c r="AE1198" i="39"/>
  <c r="AD1198" i="39"/>
  <c r="N1198" i="39"/>
  <c r="L1198" i="39"/>
  <c r="K1198" i="39"/>
  <c r="J1198" i="39"/>
  <c r="I1198" i="39"/>
  <c r="H1198" i="39"/>
  <c r="C1198" i="39"/>
  <c r="AH1197" i="39"/>
  <c r="AE1197" i="39"/>
  <c r="AD1197" i="39"/>
  <c r="N1197" i="39"/>
  <c r="L1197" i="39"/>
  <c r="K1197" i="39"/>
  <c r="J1197" i="39"/>
  <c r="I1197" i="39"/>
  <c r="H1197" i="39"/>
  <c r="C1197" i="39"/>
  <c r="AH1196" i="39"/>
  <c r="AE1196" i="39"/>
  <c r="AD1196" i="39"/>
  <c r="N1196" i="39"/>
  <c r="L1196" i="39"/>
  <c r="K1196" i="39"/>
  <c r="J1196" i="39"/>
  <c r="I1196" i="39"/>
  <c r="H1196" i="39"/>
  <c r="AF1196" i="39" s="1"/>
  <c r="AG1196" i="39" s="1"/>
  <c r="C1196" i="39"/>
  <c r="AH1195" i="39"/>
  <c r="AE1195" i="39"/>
  <c r="AD1195" i="39"/>
  <c r="N1195" i="39"/>
  <c r="L1195" i="39"/>
  <c r="K1195" i="39"/>
  <c r="J1195" i="39"/>
  <c r="I1195" i="39"/>
  <c r="H1195" i="39"/>
  <c r="C1195" i="39"/>
  <c r="AH1194" i="39"/>
  <c r="AE1194" i="39"/>
  <c r="AD1194" i="39"/>
  <c r="N1194" i="39"/>
  <c r="L1194" i="39"/>
  <c r="K1194" i="39"/>
  <c r="J1194" i="39"/>
  <c r="I1194" i="39"/>
  <c r="H1194" i="39"/>
  <c r="C1194" i="39"/>
  <c r="AH1193" i="39"/>
  <c r="AE1193" i="39"/>
  <c r="AD1193" i="39"/>
  <c r="N1193" i="39"/>
  <c r="L1193" i="39"/>
  <c r="K1193" i="39"/>
  <c r="J1193" i="39"/>
  <c r="I1193" i="39"/>
  <c r="H1193" i="39"/>
  <c r="C1193" i="39"/>
  <c r="AH1192" i="39"/>
  <c r="AE1192" i="39"/>
  <c r="AD1192" i="39"/>
  <c r="N1192" i="39"/>
  <c r="L1192" i="39"/>
  <c r="K1192" i="39"/>
  <c r="J1192" i="39"/>
  <c r="I1192" i="39"/>
  <c r="H1192" i="39"/>
  <c r="C1192" i="39"/>
  <c r="AH1191" i="39"/>
  <c r="AE1191" i="39"/>
  <c r="AD1191" i="39"/>
  <c r="N1191" i="39"/>
  <c r="L1191" i="39"/>
  <c r="K1191" i="39"/>
  <c r="J1191" i="39"/>
  <c r="I1191" i="39"/>
  <c r="H1191" i="39"/>
  <c r="C1191" i="39"/>
  <c r="AH1190" i="39"/>
  <c r="AE1190" i="39"/>
  <c r="AD1190" i="39"/>
  <c r="N1190" i="39"/>
  <c r="L1190" i="39"/>
  <c r="AF1190" i="39" s="1"/>
  <c r="K1190" i="39"/>
  <c r="J1190" i="39"/>
  <c r="I1190" i="39"/>
  <c r="H1190" i="39"/>
  <c r="C1190" i="39"/>
  <c r="AH1189" i="39"/>
  <c r="AE1189" i="39"/>
  <c r="AD1189" i="39"/>
  <c r="N1189" i="39"/>
  <c r="L1189" i="39"/>
  <c r="K1189" i="39"/>
  <c r="J1189" i="39"/>
  <c r="I1189" i="39"/>
  <c r="H1189" i="39"/>
  <c r="AF1189" i="39" s="1"/>
  <c r="C1189" i="39"/>
  <c r="AH1188" i="39"/>
  <c r="AE1188" i="39"/>
  <c r="AD1188" i="39"/>
  <c r="N1188" i="39"/>
  <c r="L1188" i="39"/>
  <c r="K1188" i="39"/>
  <c r="J1188" i="39"/>
  <c r="I1188" i="39"/>
  <c r="H1188" i="39"/>
  <c r="AF1188" i="39" s="1"/>
  <c r="C1188" i="39"/>
  <c r="AH1187" i="39"/>
  <c r="AE1187" i="39"/>
  <c r="AD1187" i="39"/>
  <c r="N1187" i="39"/>
  <c r="L1187" i="39"/>
  <c r="K1187" i="39"/>
  <c r="J1187" i="39"/>
  <c r="I1187" i="39"/>
  <c r="H1187" i="39"/>
  <c r="C1187" i="39"/>
  <c r="AH1186" i="39"/>
  <c r="AE1186" i="39"/>
  <c r="AD1186" i="39"/>
  <c r="N1186" i="39"/>
  <c r="L1186" i="39"/>
  <c r="AF1186" i="39" s="1"/>
  <c r="AG1186" i="39" s="1"/>
  <c r="K1186" i="39"/>
  <c r="J1186" i="39"/>
  <c r="I1186" i="39"/>
  <c r="H1186" i="39"/>
  <c r="C1186" i="39"/>
  <c r="AH1185" i="39"/>
  <c r="AE1185" i="39"/>
  <c r="AD1185" i="39"/>
  <c r="N1185" i="39"/>
  <c r="L1185" i="39"/>
  <c r="K1185" i="39"/>
  <c r="AF1185" i="39" s="1"/>
  <c r="J1185" i="39"/>
  <c r="I1185" i="39"/>
  <c r="H1185" i="39"/>
  <c r="C1185" i="39"/>
  <c r="AH1184" i="39"/>
  <c r="AE1184" i="39"/>
  <c r="AD1184" i="39"/>
  <c r="N1184" i="39"/>
  <c r="L1184" i="39"/>
  <c r="K1184" i="39"/>
  <c r="J1184" i="39"/>
  <c r="I1184" i="39"/>
  <c r="H1184" i="39"/>
  <c r="C1184" i="39"/>
  <c r="AH1183" i="39"/>
  <c r="AE1183" i="39"/>
  <c r="AD1183" i="39"/>
  <c r="N1183" i="39"/>
  <c r="L1183" i="39"/>
  <c r="K1183" i="39"/>
  <c r="J1183" i="39"/>
  <c r="I1183" i="39"/>
  <c r="H1183" i="39"/>
  <c r="C1183" i="39"/>
  <c r="AH1182" i="39"/>
  <c r="AE1182" i="39"/>
  <c r="AD1182" i="39"/>
  <c r="N1182" i="39"/>
  <c r="L1182" i="39"/>
  <c r="AF1182" i="39" s="1"/>
  <c r="K1182" i="39"/>
  <c r="J1182" i="39"/>
  <c r="I1182" i="39"/>
  <c r="H1182" i="39"/>
  <c r="C1182" i="39"/>
  <c r="AH1181" i="39"/>
  <c r="AE1181" i="39"/>
  <c r="AD1181" i="39"/>
  <c r="N1181" i="39"/>
  <c r="L1181" i="39"/>
  <c r="K1181" i="39"/>
  <c r="J1181" i="39"/>
  <c r="H1181" i="39"/>
  <c r="C1181" i="39"/>
  <c r="AH1180" i="39"/>
  <c r="AE1180" i="39"/>
  <c r="AD1180" i="39"/>
  <c r="L1180" i="39"/>
  <c r="K1180" i="39"/>
  <c r="J1180" i="39"/>
  <c r="I1180" i="39"/>
  <c r="H1180" i="39"/>
  <c r="C1180" i="39"/>
  <c r="AH1179" i="39"/>
  <c r="AE1179" i="39"/>
  <c r="AD1179" i="39"/>
  <c r="L1179" i="39"/>
  <c r="AF1179" i="39" s="1"/>
  <c r="K1179" i="39"/>
  <c r="J1179" i="39"/>
  <c r="I1179" i="39"/>
  <c r="H1179" i="39"/>
  <c r="C1179" i="39"/>
  <c r="AH1178" i="39"/>
  <c r="AE1178" i="39"/>
  <c r="AD1178" i="39"/>
  <c r="L1178" i="39"/>
  <c r="K1178" i="39"/>
  <c r="J1178" i="39"/>
  <c r="I1178" i="39"/>
  <c r="H1178" i="39"/>
  <c r="C1178" i="39"/>
  <c r="AH1177" i="39"/>
  <c r="AE1177" i="39"/>
  <c r="AD1177" i="39"/>
  <c r="L1177" i="39"/>
  <c r="K1177" i="39"/>
  <c r="J1177" i="39"/>
  <c r="I1177" i="39"/>
  <c r="H1177" i="39"/>
  <c r="C1177" i="39"/>
  <c r="AH1176" i="39"/>
  <c r="AE1176" i="39"/>
  <c r="AD1176" i="39"/>
  <c r="L1176" i="39"/>
  <c r="AF1176" i="39" s="1"/>
  <c r="K1176" i="39"/>
  <c r="J1176" i="39"/>
  <c r="I1176" i="39"/>
  <c r="H1176" i="39"/>
  <c r="C1176" i="39"/>
  <c r="AH1175" i="39"/>
  <c r="AE1175" i="39"/>
  <c r="AD1175" i="39"/>
  <c r="L1175" i="39"/>
  <c r="K1175" i="39"/>
  <c r="AF1175" i="39" s="1"/>
  <c r="J1175" i="39"/>
  <c r="I1175" i="39"/>
  <c r="H1175" i="39"/>
  <c r="C1175" i="39"/>
  <c r="AH1174" i="39"/>
  <c r="AE1174" i="39"/>
  <c r="AD1174" i="39"/>
  <c r="L1174" i="39"/>
  <c r="K1174" i="39"/>
  <c r="J1174" i="39"/>
  <c r="I1174" i="39"/>
  <c r="H1174" i="39"/>
  <c r="C1174" i="39"/>
  <c r="AH1173" i="39"/>
  <c r="AE1173" i="39"/>
  <c r="AD1173" i="39"/>
  <c r="L1173" i="39"/>
  <c r="K1173" i="39"/>
  <c r="J1173" i="39"/>
  <c r="I1173" i="39"/>
  <c r="H1173" i="39"/>
  <c r="C1173" i="39"/>
  <c r="AH1172" i="39"/>
  <c r="AE1172" i="39"/>
  <c r="AD1172" i="39"/>
  <c r="L1172" i="39"/>
  <c r="K1172" i="39"/>
  <c r="J1172" i="39"/>
  <c r="I1172" i="39"/>
  <c r="H1172" i="39"/>
  <c r="C1172" i="39"/>
  <c r="AH1171" i="39"/>
  <c r="AE1171" i="39"/>
  <c r="AD1171" i="39"/>
  <c r="L1171" i="39"/>
  <c r="AF1171" i="39" s="1"/>
  <c r="K1171" i="39"/>
  <c r="J1171" i="39"/>
  <c r="I1171" i="39"/>
  <c r="H1171" i="39"/>
  <c r="C1171" i="39"/>
  <c r="AH1170" i="39"/>
  <c r="AE1170" i="39"/>
  <c r="AD1170" i="39"/>
  <c r="L1170" i="39"/>
  <c r="K1170" i="39"/>
  <c r="J1170" i="39"/>
  <c r="I1170" i="39"/>
  <c r="H1170" i="39"/>
  <c r="C1170" i="39"/>
  <c r="AH1169" i="39"/>
  <c r="AE1169" i="39"/>
  <c r="AD1169" i="39"/>
  <c r="L1169" i="39"/>
  <c r="K1169" i="39"/>
  <c r="J1169" i="39"/>
  <c r="I1169" i="39"/>
  <c r="H1169" i="39"/>
  <c r="C1169" i="39"/>
  <c r="AH1168" i="39"/>
  <c r="AE1168" i="39"/>
  <c r="AD1168" i="39"/>
  <c r="L1168" i="39"/>
  <c r="K1168" i="39"/>
  <c r="J1168" i="39"/>
  <c r="I1168" i="39"/>
  <c r="H1168" i="39"/>
  <c r="C1168" i="39"/>
  <c r="AH1167" i="39"/>
  <c r="AE1167" i="39"/>
  <c r="AD1167" i="39"/>
  <c r="L1167" i="39"/>
  <c r="K1167" i="39"/>
  <c r="J1167" i="39"/>
  <c r="I1167" i="39"/>
  <c r="H1167" i="39"/>
  <c r="C1167" i="39"/>
  <c r="AH1166" i="39"/>
  <c r="AE1166" i="39"/>
  <c r="AD1166" i="39"/>
  <c r="L1166" i="39"/>
  <c r="K1166" i="39"/>
  <c r="J1166" i="39"/>
  <c r="I1166" i="39"/>
  <c r="H1166" i="39"/>
  <c r="C1166" i="39"/>
  <c r="AH1165" i="39"/>
  <c r="AE1165" i="39"/>
  <c r="AD1165" i="39"/>
  <c r="L1165" i="39"/>
  <c r="K1165" i="39"/>
  <c r="J1165" i="39"/>
  <c r="I1165" i="39"/>
  <c r="H1165" i="39"/>
  <c r="AF1165" i="39" s="1"/>
  <c r="AG1165" i="39" s="1"/>
  <c r="C1165" i="39"/>
  <c r="AH1164" i="39"/>
  <c r="AE1164" i="39"/>
  <c r="AD1164" i="39"/>
  <c r="L1164" i="39"/>
  <c r="K1164" i="39"/>
  <c r="J1164" i="39"/>
  <c r="I1164" i="39"/>
  <c r="H1164" i="39"/>
  <c r="C1164" i="39"/>
  <c r="AH1163" i="39"/>
  <c r="AF1163" i="39"/>
  <c r="AE1163" i="39"/>
  <c r="AD1163" i="39"/>
  <c r="L1163" i="39"/>
  <c r="K1163" i="39"/>
  <c r="J1163" i="39"/>
  <c r="I1163" i="39"/>
  <c r="H1163" i="39"/>
  <c r="C1163" i="39"/>
  <c r="AH1162" i="39"/>
  <c r="AE1162" i="39"/>
  <c r="AD1162" i="39"/>
  <c r="L1162" i="39"/>
  <c r="K1162" i="39"/>
  <c r="J1162" i="39"/>
  <c r="I1162" i="39"/>
  <c r="H1162" i="39"/>
  <c r="C1162" i="39"/>
  <c r="AH1161" i="39"/>
  <c r="AE1161" i="39"/>
  <c r="AD1161" i="39"/>
  <c r="L1161" i="39"/>
  <c r="K1161" i="39"/>
  <c r="J1161" i="39"/>
  <c r="I1161" i="39"/>
  <c r="H1161" i="39"/>
  <c r="C1161" i="39"/>
  <c r="AH1160" i="39"/>
  <c r="AE1160" i="39"/>
  <c r="AD1160" i="39"/>
  <c r="L1160" i="39"/>
  <c r="K1160" i="39"/>
  <c r="J1160" i="39"/>
  <c r="I1160" i="39"/>
  <c r="H1160" i="39"/>
  <c r="C1160" i="39"/>
  <c r="AH1159" i="39"/>
  <c r="AE1159" i="39"/>
  <c r="AD1159" i="39"/>
  <c r="L1159" i="39"/>
  <c r="K1159" i="39"/>
  <c r="J1159" i="39"/>
  <c r="I1159" i="39"/>
  <c r="H1159" i="39"/>
  <c r="C1159" i="39"/>
  <c r="AH1158" i="39"/>
  <c r="AE1158" i="39"/>
  <c r="AD1158" i="39"/>
  <c r="L1158" i="39"/>
  <c r="K1158" i="39"/>
  <c r="J1158" i="39"/>
  <c r="I1158" i="39"/>
  <c r="H1158" i="39"/>
  <c r="C1158" i="39"/>
  <c r="AH1157" i="39"/>
  <c r="AE1157" i="39"/>
  <c r="AD1157" i="39"/>
  <c r="L1157" i="39"/>
  <c r="K1157" i="39"/>
  <c r="J1157" i="39"/>
  <c r="I1157" i="39"/>
  <c r="H1157" i="39"/>
  <c r="C1157" i="39"/>
  <c r="AH1156" i="39"/>
  <c r="AE1156" i="39"/>
  <c r="AD1156" i="39"/>
  <c r="L1156" i="39"/>
  <c r="K1156" i="39"/>
  <c r="J1156" i="39"/>
  <c r="I1156" i="39"/>
  <c r="H1156" i="39"/>
  <c r="C1156" i="39"/>
  <c r="AH1155" i="39"/>
  <c r="AE1155" i="39"/>
  <c r="AD1155" i="39"/>
  <c r="L1155" i="39"/>
  <c r="K1155" i="39"/>
  <c r="J1155" i="39"/>
  <c r="I1155" i="39"/>
  <c r="H1155" i="39"/>
  <c r="C1155" i="39"/>
  <c r="AH1154" i="39"/>
  <c r="AF1154" i="39"/>
  <c r="AE1154" i="39"/>
  <c r="AD1154" i="39"/>
  <c r="L1154" i="39"/>
  <c r="K1154" i="39"/>
  <c r="J1154" i="39"/>
  <c r="I1154" i="39"/>
  <c r="H1154" i="39"/>
  <c r="C1154" i="39"/>
  <c r="AH1153" i="39"/>
  <c r="AE1153" i="39"/>
  <c r="AD1153" i="39"/>
  <c r="L1153" i="39"/>
  <c r="K1153" i="39"/>
  <c r="J1153" i="39"/>
  <c r="I1153" i="39"/>
  <c r="H1153" i="39"/>
  <c r="C1153" i="39"/>
  <c r="AH1152" i="39"/>
  <c r="AE1152" i="39"/>
  <c r="AD1152" i="39"/>
  <c r="L1152" i="39"/>
  <c r="K1152" i="39"/>
  <c r="J1152" i="39"/>
  <c r="I1152" i="39"/>
  <c r="H1152" i="39"/>
  <c r="C1152" i="39"/>
  <c r="AH1151" i="39"/>
  <c r="AE1151" i="39"/>
  <c r="AD1151" i="39"/>
  <c r="L1151" i="39"/>
  <c r="K1151" i="39"/>
  <c r="J1151" i="39"/>
  <c r="I1151" i="39"/>
  <c r="H1151" i="39"/>
  <c r="C1151" i="39"/>
  <c r="AH1150" i="39"/>
  <c r="AE1150" i="39"/>
  <c r="AD1150" i="39"/>
  <c r="L1150" i="39"/>
  <c r="K1150" i="39"/>
  <c r="J1150" i="39"/>
  <c r="I1150" i="39"/>
  <c r="H1150" i="39"/>
  <c r="C1150" i="39"/>
  <c r="AH1149" i="39"/>
  <c r="AE1149" i="39"/>
  <c r="AD1149" i="39"/>
  <c r="L1149" i="39"/>
  <c r="K1149" i="39"/>
  <c r="J1149" i="39"/>
  <c r="I1149" i="39"/>
  <c r="H1149" i="39"/>
  <c r="C1149" i="39"/>
  <c r="AH1148" i="39"/>
  <c r="AE1148" i="39"/>
  <c r="AD1148" i="39"/>
  <c r="L1148" i="39"/>
  <c r="K1148" i="39"/>
  <c r="J1148" i="39"/>
  <c r="I1148" i="39"/>
  <c r="H1148" i="39"/>
  <c r="C1148" i="39"/>
  <c r="AH1147" i="39"/>
  <c r="AE1147" i="39"/>
  <c r="AD1147" i="39"/>
  <c r="L1147" i="39"/>
  <c r="K1147" i="39"/>
  <c r="J1147" i="39"/>
  <c r="I1147" i="39"/>
  <c r="H1147" i="39"/>
  <c r="C1147" i="39"/>
  <c r="AH1146" i="39"/>
  <c r="AE1146" i="39"/>
  <c r="AD1146" i="39"/>
  <c r="L1146" i="39"/>
  <c r="K1146" i="39"/>
  <c r="J1146" i="39"/>
  <c r="I1146" i="39"/>
  <c r="H1146" i="39"/>
  <c r="C1146" i="39"/>
  <c r="AH1145" i="39"/>
  <c r="AE1145" i="39"/>
  <c r="AD1145" i="39"/>
  <c r="L1145" i="39"/>
  <c r="K1145" i="39"/>
  <c r="J1145" i="39"/>
  <c r="I1145" i="39"/>
  <c r="H1145" i="39"/>
  <c r="C1145" i="39"/>
  <c r="AH1144" i="39"/>
  <c r="AE1144" i="39"/>
  <c r="AD1144" i="39"/>
  <c r="L1144" i="39"/>
  <c r="K1144" i="39"/>
  <c r="J1144" i="39"/>
  <c r="I1144" i="39"/>
  <c r="H1144" i="39"/>
  <c r="C1144" i="39"/>
  <c r="AH1143" i="39"/>
  <c r="AE1143" i="39"/>
  <c r="AD1143" i="39"/>
  <c r="L1143" i="39"/>
  <c r="K1143" i="39"/>
  <c r="J1143" i="39"/>
  <c r="I1143" i="39"/>
  <c r="H1143" i="39"/>
  <c r="C1143" i="39"/>
  <c r="AH1142" i="39"/>
  <c r="AE1142" i="39"/>
  <c r="AD1142" i="39"/>
  <c r="L1142" i="39"/>
  <c r="K1142" i="39"/>
  <c r="J1142" i="39"/>
  <c r="I1142" i="39"/>
  <c r="H1142" i="39"/>
  <c r="C1142" i="39"/>
  <c r="AH1141" i="39"/>
  <c r="AE1141" i="39"/>
  <c r="AD1141" i="39"/>
  <c r="L1141" i="39"/>
  <c r="AF1141" i="39" s="1"/>
  <c r="K1141" i="39"/>
  <c r="J1141" i="39"/>
  <c r="I1141" i="39"/>
  <c r="H1141" i="39"/>
  <c r="C1141" i="39"/>
  <c r="AH1140" i="39"/>
  <c r="AE1140" i="39"/>
  <c r="AD1140" i="39"/>
  <c r="L1140" i="39"/>
  <c r="K1140" i="39"/>
  <c r="J1140" i="39"/>
  <c r="I1140" i="39"/>
  <c r="H1140" i="39"/>
  <c r="C1140" i="39"/>
  <c r="AH1139" i="39"/>
  <c r="AE1139" i="39"/>
  <c r="AD1139" i="39"/>
  <c r="L1139" i="39"/>
  <c r="AF1139" i="39" s="1"/>
  <c r="K1139" i="39"/>
  <c r="J1139" i="39"/>
  <c r="I1139" i="39"/>
  <c r="H1139" i="39"/>
  <c r="C1139" i="39"/>
  <c r="AH1138" i="39"/>
  <c r="AE1138" i="39"/>
  <c r="AD1138" i="39"/>
  <c r="L1138" i="39"/>
  <c r="K1138" i="39"/>
  <c r="J1138" i="39"/>
  <c r="I1138" i="39"/>
  <c r="H1138" i="39"/>
  <c r="C1138" i="39"/>
  <c r="AH1137" i="39"/>
  <c r="AE1137" i="39"/>
  <c r="AD1137" i="39"/>
  <c r="L1137" i="39"/>
  <c r="K1137" i="39"/>
  <c r="J1137" i="39"/>
  <c r="I1137" i="39"/>
  <c r="H1137" i="39"/>
  <c r="C1137" i="39"/>
  <c r="AH1136" i="39"/>
  <c r="AE1136" i="39"/>
  <c r="AD1136" i="39"/>
  <c r="L1136" i="39"/>
  <c r="K1136" i="39"/>
  <c r="J1136" i="39"/>
  <c r="I1136" i="39"/>
  <c r="H1136" i="39"/>
  <c r="C1136" i="39"/>
  <c r="AH1135" i="39"/>
  <c r="AE1135" i="39"/>
  <c r="AD1135" i="39"/>
  <c r="L1135" i="39"/>
  <c r="K1135" i="39"/>
  <c r="J1135" i="39"/>
  <c r="I1135" i="39"/>
  <c r="H1135" i="39"/>
  <c r="C1135" i="39"/>
  <c r="AH1134" i="39"/>
  <c r="AE1134" i="39"/>
  <c r="AD1134" i="39"/>
  <c r="L1134" i="39"/>
  <c r="K1134" i="39"/>
  <c r="J1134" i="39"/>
  <c r="I1134" i="39"/>
  <c r="H1134" i="39"/>
  <c r="C1134" i="39"/>
  <c r="AH1133" i="39"/>
  <c r="AE1133" i="39"/>
  <c r="AD1133" i="39"/>
  <c r="L1133" i="39"/>
  <c r="K1133" i="39"/>
  <c r="J1133" i="39"/>
  <c r="I1133" i="39"/>
  <c r="H1133" i="39"/>
  <c r="C1133" i="39"/>
  <c r="AH1132" i="39"/>
  <c r="AE1132" i="39"/>
  <c r="AD1132" i="39"/>
  <c r="L1132" i="39"/>
  <c r="K1132" i="39"/>
  <c r="J1132" i="39"/>
  <c r="I1132" i="39"/>
  <c r="H1132" i="39"/>
  <c r="C1132" i="39"/>
  <c r="AH1131" i="39"/>
  <c r="AE1131" i="39"/>
  <c r="AD1131" i="39"/>
  <c r="L1131" i="39"/>
  <c r="K1131" i="39"/>
  <c r="AF1131" i="39" s="1"/>
  <c r="J1131" i="39"/>
  <c r="I1131" i="39"/>
  <c r="H1131" i="39"/>
  <c r="C1131" i="39"/>
  <c r="AH1130" i="39"/>
  <c r="AE1130" i="39"/>
  <c r="AD1130" i="39"/>
  <c r="L1130" i="39"/>
  <c r="K1130" i="39"/>
  <c r="J1130" i="39"/>
  <c r="I1130" i="39"/>
  <c r="H1130" i="39"/>
  <c r="C1130" i="39"/>
  <c r="AH1129" i="39"/>
  <c r="AE1129" i="39"/>
  <c r="AD1129" i="39"/>
  <c r="L1129" i="39"/>
  <c r="K1129" i="39"/>
  <c r="J1129" i="39"/>
  <c r="I1129" i="39"/>
  <c r="H1129" i="39"/>
  <c r="C1129" i="39"/>
  <c r="AH1128" i="39"/>
  <c r="AE1128" i="39"/>
  <c r="AD1128" i="39"/>
  <c r="L1128" i="39"/>
  <c r="K1128" i="39"/>
  <c r="J1128" i="39"/>
  <c r="I1128" i="39"/>
  <c r="H1128" i="39"/>
  <c r="C1128" i="39"/>
  <c r="AH1127" i="39"/>
  <c r="AE1127" i="39"/>
  <c r="AD1127" i="39"/>
  <c r="L1127" i="39"/>
  <c r="K1127" i="39"/>
  <c r="J1127" i="39"/>
  <c r="I1127" i="39"/>
  <c r="H1127" i="39"/>
  <c r="C1127" i="39"/>
  <c r="AH1126" i="39"/>
  <c r="AE1126" i="39"/>
  <c r="AD1126" i="39"/>
  <c r="L1126" i="39"/>
  <c r="K1126" i="39"/>
  <c r="J1126" i="39"/>
  <c r="I1126" i="39"/>
  <c r="H1126" i="39"/>
  <c r="C1126" i="39"/>
  <c r="AH1125" i="39"/>
  <c r="AE1125" i="39"/>
  <c r="AD1125" i="39"/>
  <c r="L1125" i="39"/>
  <c r="K1125" i="39"/>
  <c r="J1125" i="39"/>
  <c r="I1125" i="39"/>
  <c r="H1125" i="39"/>
  <c r="C1125" i="39"/>
  <c r="AH1124" i="39"/>
  <c r="AE1124" i="39"/>
  <c r="AD1124" i="39"/>
  <c r="L1124" i="39"/>
  <c r="K1124" i="39"/>
  <c r="J1124" i="39"/>
  <c r="I1124" i="39"/>
  <c r="H1124" i="39"/>
  <c r="C1124" i="39"/>
  <c r="AH1123" i="39"/>
  <c r="AE1123" i="39"/>
  <c r="AD1123" i="39"/>
  <c r="L1123" i="39"/>
  <c r="K1123" i="39"/>
  <c r="J1123" i="39"/>
  <c r="I1123" i="39"/>
  <c r="H1123" i="39"/>
  <c r="C1123" i="39"/>
  <c r="AH1122" i="39"/>
  <c r="AE1122" i="39"/>
  <c r="AD1122" i="39"/>
  <c r="L1122" i="39"/>
  <c r="K1122" i="39"/>
  <c r="J1122" i="39"/>
  <c r="I1122" i="39"/>
  <c r="H1122" i="39"/>
  <c r="C1122" i="39"/>
  <c r="AH1121" i="39"/>
  <c r="AE1121" i="39"/>
  <c r="AD1121" i="39"/>
  <c r="L1121" i="39"/>
  <c r="K1121" i="39"/>
  <c r="J1121" i="39"/>
  <c r="I1121" i="39"/>
  <c r="H1121" i="39"/>
  <c r="C1121" i="39"/>
  <c r="AH1120" i="39"/>
  <c r="AE1120" i="39"/>
  <c r="AD1120" i="39"/>
  <c r="L1120" i="39"/>
  <c r="K1120" i="39"/>
  <c r="J1120" i="39"/>
  <c r="I1120" i="39"/>
  <c r="H1120" i="39"/>
  <c r="C1120" i="39"/>
  <c r="AH1119" i="39"/>
  <c r="AE1119" i="39"/>
  <c r="AD1119" i="39"/>
  <c r="L1119" i="39"/>
  <c r="K1119" i="39"/>
  <c r="J1119" i="39"/>
  <c r="I1119" i="39"/>
  <c r="H1119" i="39"/>
  <c r="C1119" i="39"/>
  <c r="AH1118" i="39"/>
  <c r="AE1118" i="39"/>
  <c r="AD1118" i="39"/>
  <c r="L1118" i="39"/>
  <c r="K1118" i="39"/>
  <c r="J1118" i="39"/>
  <c r="I1118" i="39"/>
  <c r="H1118" i="39"/>
  <c r="C1118" i="39"/>
  <c r="AH1117" i="39"/>
  <c r="AE1117" i="39"/>
  <c r="AD1117" i="39"/>
  <c r="L1117" i="39"/>
  <c r="K1117" i="39"/>
  <c r="J1117" i="39"/>
  <c r="I1117" i="39"/>
  <c r="H1117" i="39"/>
  <c r="C1117" i="39"/>
  <c r="AH1116" i="39"/>
  <c r="AE1116" i="39"/>
  <c r="AD1116" i="39"/>
  <c r="L1116" i="39"/>
  <c r="K1116" i="39"/>
  <c r="J1116" i="39"/>
  <c r="I1116" i="39"/>
  <c r="H1116" i="39"/>
  <c r="C1116" i="39"/>
  <c r="AH1115" i="39"/>
  <c r="AE1115" i="39"/>
  <c r="AD1115" i="39"/>
  <c r="L1115" i="39"/>
  <c r="K1115" i="39"/>
  <c r="J1115" i="39"/>
  <c r="I1115" i="39"/>
  <c r="H1115" i="39"/>
  <c r="C1115" i="39"/>
  <c r="AH1114" i="39"/>
  <c r="AE1114" i="39"/>
  <c r="AD1114" i="39"/>
  <c r="L1114" i="39"/>
  <c r="K1114" i="39"/>
  <c r="J1114" i="39"/>
  <c r="I1114" i="39"/>
  <c r="H1114" i="39"/>
  <c r="C1114" i="39"/>
  <c r="AH1113" i="39"/>
  <c r="AE1113" i="39"/>
  <c r="AD1113" i="39"/>
  <c r="L1113" i="39"/>
  <c r="K1113" i="39"/>
  <c r="J1113" i="39"/>
  <c r="I1113" i="39"/>
  <c r="H1113" i="39"/>
  <c r="C1113" i="39"/>
  <c r="AH1112" i="39"/>
  <c r="AE1112" i="39"/>
  <c r="AD1112" i="39"/>
  <c r="L1112" i="39"/>
  <c r="K1112" i="39"/>
  <c r="J1112" i="39"/>
  <c r="I1112" i="39"/>
  <c r="H1112" i="39"/>
  <c r="C1112" i="39"/>
  <c r="AH1111" i="39"/>
  <c r="AE1111" i="39"/>
  <c r="AD1111" i="39"/>
  <c r="L1111" i="39"/>
  <c r="K1111" i="39"/>
  <c r="J1111" i="39"/>
  <c r="I1111" i="39"/>
  <c r="H1111" i="39"/>
  <c r="C1111" i="39"/>
  <c r="AH1110" i="39"/>
  <c r="AE1110" i="39"/>
  <c r="AD1110" i="39"/>
  <c r="L1110" i="39"/>
  <c r="K1110" i="39"/>
  <c r="J1110" i="39"/>
  <c r="I1110" i="39"/>
  <c r="H1110" i="39"/>
  <c r="C1110" i="39"/>
  <c r="AH1109" i="39"/>
  <c r="AE1109" i="39"/>
  <c r="AD1109" i="39"/>
  <c r="L1109" i="39"/>
  <c r="K1109" i="39"/>
  <c r="J1109" i="39"/>
  <c r="I1109" i="39"/>
  <c r="H1109" i="39"/>
  <c r="C1109" i="39"/>
  <c r="AH1108" i="39"/>
  <c r="AE1108" i="39"/>
  <c r="AD1108" i="39"/>
  <c r="L1108" i="39"/>
  <c r="K1108" i="39"/>
  <c r="AF1108" i="39" s="1"/>
  <c r="J1108" i="39"/>
  <c r="I1108" i="39"/>
  <c r="H1108" i="39"/>
  <c r="C1108" i="39"/>
  <c r="AH1107" i="39"/>
  <c r="AE1107" i="39"/>
  <c r="AD1107" i="39"/>
  <c r="L1107" i="39"/>
  <c r="K1107" i="39"/>
  <c r="J1107" i="39"/>
  <c r="I1107" i="39"/>
  <c r="H1107" i="39"/>
  <c r="C1107" i="39"/>
  <c r="AH1106" i="39"/>
  <c r="AE1106" i="39"/>
  <c r="AD1106" i="39"/>
  <c r="L1106" i="39"/>
  <c r="AF1106" i="39" s="1"/>
  <c r="K1106" i="39"/>
  <c r="J1106" i="39"/>
  <c r="I1106" i="39"/>
  <c r="H1106" i="39"/>
  <c r="C1106" i="39"/>
  <c r="AH1105" i="39"/>
  <c r="AE1105" i="39"/>
  <c r="AD1105" i="39"/>
  <c r="L1105" i="39"/>
  <c r="K1105" i="39"/>
  <c r="J1105" i="39"/>
  <c r="I1105" i="39"/>
  <c r="H1105" i="39"/>
  <c r="C1105" i="39"/>
  <c r="AH1104" i="39"/>
  <c r="AE1104" i="39"/>
  <c r="AD1104" i="39"/>
  <c r="L1104" i="39"/>
  <c r="K1104" i="39"/>
  <c r="J1104" i="39"/>
  <c r="I1104" i="39"/>
  <c r="H1104" i="39"/>
  <c r="C1104" i="39"/>
  <c r="AH1103" i="39"/>
  <c r="AE1103" i="39"/>
  <c r="AD1103" i="39"/>
  <c r="L1103" i="39"/>
  <c r="K1103" i="39"/>
  <c r="J1103" i="39"/>
  <c r="I1103" i="39"/>
  <c r="H1103" i="39"/>
  <c r="C1103" i="39"/>
  <c r="AH1102" i="39"/>
  <c r="AE1102" i="39"/>
  <c r="AD1102" i="39"/>
  <c r="L1102" i="39"/>
  <c r="K1102" i="39"/>
  <c r="J1102" i="39"/>
  <c r="I1102" i="39"/>
  <c r="H1102" i="39"/>
  <c r="C1102" i="39"/>
  <c r="N1101" i="39"/>
  <c r="L1101" i="39"/>
  <c r="K1101" i="39"/>
  <c r="J1101" i="39"/>
  <c r="I1101" i="39"/>
  <c r="H1101" i="39"/>
  <c r="C1101" i="39"/>
  <c r="N1100" i="39"/>
  <c r="L1100" i="39"/>
  <c r="K1100" i="39"/>
  <c r="J1100" i="39"/>
  <c r="I1100" i="39"/>
  <c r="H1100" i="39"/>
  <c r="C1100" i="39"/>
  <c r="AH1099" i="39"/>
  <c r="AE1099" i="39"/>
  <c r="AD1099" i="39"/>
  <c r="L1099" i="39"/>
  <c r="K1099" i="39"/>
  <c r="J1099" i="39"/>
  <c r="I1099" i="39"/>
  <c r="H1099" i="39"/>
  <c r="C1099" i="39"/>
  <c r="AH1098" i="39"/>
  <c r="AE1098" i="39"/>
  <c r="AD1098" i="39"/>
  <c r="L1098" i="39"/>
  <c r="K1098" i="39"/>
  <c r="J1098" i="39"/>
  <c r="I1098" i="39"/>
  <c r="H1098" i="39"/>
  <c r="AF1098" i="39" s="1"/>
  <c r="C1098" i="39"/>
  <c r="AH1097" i="39"/>
  <c r="AE1097" i="39"/>
  <c r="AD1097" i="39"/>
  <c r="L1097" i="39"/>
  <c r="K1097" i="39"/>
  <c r="J1097" i="39"/>
  <c r="I1097" i="39"/>
  <c r="H1097" i="39"/>
  <c r="C1097" i="39"/>
  <c r="AH1096" i="39"/>
  <c r="AE1096" i="39"/>
  <c r="AD1096" i="39"/>
  <c r="L1096" i="39"/>
  <c r="K1096" i="39"/>
  <c r="J1096" i="39"/>
  <c r="I1096" i="39"/>
  <c r="H1096" i="39"/>
  <c r="C1096" i="39"/>
  <c r="AH1095" i="39"/>
  <c r="AE1095" i="39"/>
  <c r="AD1095" i="39"/>
  <c r="L1095" i="39"/>
  <c r="K1095" i="39"/>
  <c r="J1095" i="39"/>
  <c r="I1095" i="39"/>
  <c r="H1095" i="39"/>
  <c r="C1095" i="39"/>
  <c r="AH1094" i="39"/>
  <c r="AE1094" i="39"/>
  <c r="AD1094" i="39"/>
  <c r="L1094" i="39"/>
  <c r="K1094" i="39"/>
  <c r="J1094" i="39"/>
  <c r="I1094" i="39"/>
  <c r="H1094" i="39"/>
  <c r="C1094" i="39"/>
  <c r="AH1093" i="39"/>
  <c r="AE1093" i="39"/>
  <c r="AD1093" i="39"/>
  <c r="L1093" i="39"/>
  <c r="K1093" i="39"/>
  <c r="J1093" i="39"/>
  <c r="I1093" i="39"/>
  <c r="H1093" i="39"/>
  <c r="C1093" i="39"/>
  <c r="AH1092" i="39"/>
  <c r="AF1092" i="39"/>
  <c r="AE1092" i="39"/>
  <c r="AD1092" i="39"/>
  <c r="L1092" i="39"/>
  <c r="K1092" i="39"/>
  <c r="J1092" i="39"/>
  <c r="I1092" i="39"/>
  <c r="H1092" i="39"/>
  <c r="C1092" i="39"/>
  <c r="AH1091" i="39"/>
  <c r="AE1091" i="39"/>
  <c r="AD1091" i="39"/>
  <c r="L1091" i="39"/>
  <c r="K1091" i="39"/>
  <c r="J1091" i="39"/>
  <c r="I1091" i="39"/>
  <c r="H1091" i="39"/>
  <c r="C1091" i="39"/>
  <c r="AH1090" i="39"/>
  <c r="AE1090" i="39"/>
  <c r="AD1090" i="39"/>
  <c r="L1090" i="39"/>
  <c r="K1090" i="39"/>
  <c r="J1090" i="39"/>
  <c r="I1090" i="39"/>
  <c r="H1090" i="39"/>
  <c r="C1090" i="39"/>
  <c r="AH1089" i="39"/>
  <c r="AE1089" i="39"/>
  <c r="AD1089" i="39"/>
  <c r="L1089" i="39"/>
  <c r="AF1089" i="39" s="1"/>
  <c r="K1089" i="39"/>
  <c r="J1089" i="39"/>
  <c r="I1089" i="39"/>
  <c r="H1089" i="39"/>
  <c r="C1089" i="39"/>
  <c r="AH1088" i="39"/>
  <c r="AE1088" i="39"/>
  <c r="AD1088" i="39"/>
  <c r="L1088" i="39"/>
  <c r="K1088" i="39"/>
  <c r="J1088" i="39"/>
  <c r="I1088" i="39"/>
  <c r="H1088" i="39"/>
  <c r="C1088" i="39"/>
  <c r="N1087" i="39"/>
  <c r="L1087" i="39"/>
  <c r="K1087" i="39"/>
  <c r="J1087" i="39"/>
  <c r="I1087" i="39"/>
  <c r="H1087" i="39"/>
  <c r="C1087" i="39"/>
  <c r="N1086" i="39"/>
  <c r="L1086" i="39"/>
  <c r="K1086" i="39"/>
  <c r="J1086" i="39"/>
  <c r="I1086" i="39"/>
  <c r="H1086" i="39"/>
  <c r="C1086" i="39"/>
  <c r="AH1085" i="39"/>
  <c r="AE1085" i="39"/>
  <c r="AD1085" i="39"/>
  <c r="L1085" i="39"/>
  <c r="K1085" i="39"/>
  <c r="J1085" i="39"/>
  <c r="I1085" i="39"/>
  <c r="H1085" i="39"/>
  <c r="C1085" i="39"/>
  <c r="AH1084" i="39"/>
  <c r="AE1084" i="39"/>
  <c r="AD1084" i="39"/>
  <c r="L1084" i="39"/>
  <c r="K1084" i="39"/>
  <c r="J1084" i="39"/>
  <c r="I1084" i="39"/>
  <c r="H1084" i="39"/>
  <c r="C1084" i="39"/>
  <c r="AH1083" i="39"/>
  <c r="AE1083" i="39"/>
  <c r="AD1083" i="39"/>
  <c r="L1083" i="39"/>
  <c r="K1083" i="39"/>
  <c r="J1083" i="39"/>
  <c r="I1083" i="39"/>
  <c r="H1083" i="39"/>
  <c r="C1083" i="39"/>
  <c r="AH1082" i="39"/>
  <c r="AE1082" i="39"/>
  <c r="AD1082" i="39"/>
  <c r="L1082" i="39"/>
  <c r="K1082" i="39"/>
  <c r="J1082" i="39"/>
  <c r="I1082" i="39"/>
  <c r="H1082" i="39"/>
  <c r="C1082" i="39"/>
  <c r="AH1081" i="39"/>
  <c r="AE1081" i="39"/>
  <c r="AD1081" i="39"/>
  <c r="N1081" i="39"/>
  <c r="L1081" i="39"/>
  <c r="K1081" i="39"/>
  <c r="J1081" i="39"/>
  <c r="I1081" i="39"/>
  <c r="H1081" i="39"/>
  <c r="C1081" i="39"/>
  <c r="AH1080" i="39"/>
  <c r="AE1080" i="39"/>
  <c r="AD1080" i="39"/>
  <c r="N1080" i="39"/>
  <c r="L1080" i="39"/>
  <c r="K1080" i="39"/>
  <c r="J1080" i="39"/>
  <c r="I1080" i="39"/>
  <c r="H1080" i="39"/>
  <c r="C1080" i="39"/>
  <c r="AH1079" i="39"/>
  <c r="AE1079" i="39"/>
  <c r="AD1079" i="39"/>
  <c r="N1079" i="39"/>
  <c r="L1079" i="39"/>
  <c r="K1079" i="39"/>
  <c r="J1079" i="39"/>
  <c r="I1079" i="39"/>
  <c r="H1079" i="39"/>
  <c r="C1079" i="39"/>
  <c r="AH1078" i="39"/>
  <c r="AE1078" i="39"/>
  <c r="AD1078" i="39"/>
  <c r="N1078" i="39"/>
  <c r="L1078" i="39"/>
  <c r="K1078" i="39"/>
  <c r="J1078" i="39"/>
  <c r="I1078" i="39"/>
  <c r="H1078" i="39"/>
  <c r="C1078" i="39"/>
  <c r="AH1077" i="39"/>
  <c r="AE1077" i="39"/>
  <c r="AD1077" i="39"/>
  <c r="N1077" i="39"/>
  <c r="L1077" i="39"/>
  <c r="AF1077" i="39" s="1"/>
  <c r="K1077" i="39"/>
  <c r="J1077" i="39"/>
  <c r="I1077" i="39"/>
  <c r="H1077" i="39"/>
  <c r="C1077" i="39"/>
  <c r="AH1076" i="39"/>
  <c r="AE1076" i="39"/>
  <c r="AD1076" i="39"/>
  <c r="N1076" i="39"/>
  <c r="L1076" i="39"/>
  <c r="AF1076" i="39" s="1"/>
  <c r="K1076" i="39"/>
  <c r="J1076" i="39"/>
  <c r="I1076" i="39"/>
  <c r="H1076" i="39"/>
  <c r="C1076" i="39"/>
  <c r="AH1075" i="39"/>
  <c r="AE1075" i="39"/>
  <c r="AD1075" i="39"/>
  <c r="N1075" i="39"/>
  <c r="L1075" i="39"/>
  <c r="K1075" i="39"/>
  <c r="J1075" i="39"/>
  <c r="I1075" i="39"/>
  <c r="H1075" i="39"/>
  <c r="C1075" i="39"/>
  <c r="AH1074" i="39"/>
  <c r="AE1074" i="39"/>
  <c r="AD1074" i="39"/>
  <c r="N1074" i="39"/>
  <c r="L1074" i="39"/>
  <c r="K1074" i="39"/>
  <c r="J1074" i="39"/>
  <c r="I1074" i="39"/>
  <c r="H1074" i="39"/>
  <c r="C1074" i="39"/>
  <c r="AH1073" i="39"/>
  <c r="AE1073" i="39"/>
  <c r="AD1073" i="39"/>
  <c r="N1073" i="39"/>
  <c r="L1073" i="39"/>
  <c r="K1073" i="39"/>
  <c r="J1073" i="39"/>
  <c r="I1073" i="39"/>
  <c r="H1073" i="39"/>
  <c r="C1073" i="39"/>
  <c r="AH1072" i="39"/>
  <c r="AE1072" i="39"/>
  <c r="AD1072" i="39"/>
  <c r="N1072" i="39"/>
  <c r="L1072" i="39"/>
  <c r="K1072" i="39"/>
  <c r="J1072" i="39"/>
  <c r="I1072" i="39"/>
  <c r="H1072" i="39"/>
  <c r="C1072" i="39"/>
  <c r="AH1071" i="39"/>
  <c r="AE1071" i="39"/>
  <c r="AD1071" i="39"/>
  <c r="N1071" i="39"/>
  <c r="L1071" i="39"/>
  <c r="K1071" i="39"/>
  <c r="AF1071" i="39" s="1"/>
  <c r="J1071" i="39"/>
  <c r="I1071" i="39"/>
  <c r="H1071" i="39"/>
  <c r="C1071" i="39"/>
  <c r="AH1070" i="39"/>
  <c r="AE1070" i="39"/>
  <c r="AD1070" i="39"/>
  <c r="N1070" i="39"/>
  <c r="L1070" i="39"/>
  <c r="K1070" i="39"/>
  <c r="J1070" i="39"/>
  <c r="I1070" i="39"/>
  <c r="H1070" i="39"/>
  <c r="C1070" i="39"/>
  <c r="AH1069" i="39"/>
  <c r="AE1069" i="39"/>
  <c r="AD1069" i="39"/>
  <c r="N1069" i="39"/>
  <c r="L1069" i="39"/>
  <c r="K1069" i="39"/>
  <c r="J1069" i="39"/>
  <c r="I1069" i="39"/>
  <c r="H1069" i="39"/>
  <c r="C1069" i="39"/>
  <c r="AH1068" i="39"/>
  <c r="AE1068" i="39"/>
  <c r="AD1068" i="39"/>
  <c r="N1068" i="39"/>
  <c r="L1068" i="39"/>
  <c r="K1068" i="39"/>
  <c r="J1068" i="39"/>
  <c r="I1068" i="39"/>
  <c r="H1068" i="39"/>
  <c r="C1068" i="39"/>
  <c r="AH1067" i="39"/>
  <c r="AE1067" i="39"/>
  <c r="AD1067" i="39"/>
  <c r="N1067" i="39"/>
  <c r="L1067" i="39"/>
  <c r="K1067" i="39"/>
  <c r="J1067" i="39"/>
  <c r="I1067" i="39"/>
  <c r="H1067" i="39"/>
  <c r="C1067" i="39"/>
  <c r="AH1066" i="39"/>
  <c r="AE1066" i="39"/>
  <c r="AD1066" i="39"/>
  <c r="N1066" i="39"/>
  <c r="L1066" i="39"/>
  <c r="K1066" i="39"/>
  <c r="J1066" i="39"/>
  <c r="I1066" i="39"/>
  <c r="H1066" i="39"/>
  <c r="C1066" i="39"/>
  <c r="AH1065" i="39"/>
  <c r="AE1065" i="39"/>
  <c r="AD1065" i="39"/>
  <c r="L1065" i="39"/>
  <c r="K1065" i="39"/>
  <c r="J1065" i="39"/>
  <c r="I1065" i="39"/>
  <c r="H1065" i="39"/>
  <c r="C1065" i="39"/>
  <c r="AH1064" i="39"/>
  <c r="AE1064" i="39"/>
  <c r="AD1064" i="39"/>
  <c r="L1064" i="39"/>
  <c r="K1064" i="39"/>
  <c r="J1064" i="39"/>
  <c r="I1064" i="39"/>
  <c r="H1064" i="39"/>
  <c r="C1064" i="39"/>
  <c r="AH1063" i="39"/>
  <c r="AE1063" i="39"/>
  <c r="AD1063" i="39"/>
  <c r="L1063" i="39"/>
  <c r="K1063" i="39"/>
  <c r="J1063" i="39"/>
  <c r="I1063" i="39"/>
  <c r="H1063" i="39"/>
  <c r="C1063" i="39"/>
  <c r="AH1062" i="39"/>
  <c r="AE1062" i="39"/>
  <c r="AD1062" i="39"/>
  <c r="L1062" i="39"/>
  <c r="K1062" i="39"/>
  <c r="J1062" i="39"/>
  <c r="I1062" i="39"/>
  <c r="H1062" i="39"/>
  <c r="C1062" i="39"/>
  <c r="AH1061" i="39"/>
  <c r="AE1061" i="39"/>
  <c r="AD1061" i="39"/>
  <c r="L1061" i="39"/>
  <c r="K1061" i="39"/>
  <c r="J1061" i="39"/>
  <c r="I1061" i="39"/>
  <c r="H1061" i="39"/>
  <c r="C1061" i="39"/>
  <c r="AH1060" i="39"/>
  <c r="AE1060" i="39"/>
  <c r="AD1060" i="39"/>
  <c r="L1060" i="39"/>
  <c r="K1060" i="39"/>
  <c r="J1060" i="39"/>
  <c r="I1060" i="39"/>
  <c r="H1060" i="39"/>
  <c r="C1060" i="39"/>
  <c r="AH1059" i="39"/>
  <c r="AE1059" i="39"/>
  <c r="AD1059" i="39"/>
  <c r="L1059" i="39"/>
  <c r="K1059" i="39"/>
  <c r="J1059" i="39"/>
  <c r="I1059" i="39"/>
  <c r="H1059" i="39"/>
  <c r="C1059" i="39"/>
  <c r="AH1058" i="39"/>
  <c r="AE1058" i="39"/>
  <c r="AD1058" i="39"/>
  <c r="L1058" i="39"/>
  <c r="K1058" i="39"/>
  <c r="J1058" i="39"/>
  <c r="I1058" i="39"/>
  <c r="H1058" i="39"/>
  <c r="C1058" i="39"/>
  <c r="AH1057" i="39"/>
  <c r="AE1057" i="39"/>
  <c r="AD1057" i="39"/>
  <c r="L1057" i="39"/>
  <c r="K1057" i="39"/>
  <c r="J1057" i="39"/>
  <c r="I1057" i="39"/>
  <c r="H1057" i="39"/>
  <c r="C1057" i="39"/>
  <c r="AH1056" i="39"/>
  <c r="AE1056" i="39"/>
  <c r="AD1056" i="39"/>
  <c r="L1056" i="39"/>
  <c r="K1056" i="39"/>
  <c r="J1056" i="39"/>
  <c r="I1056" i="39"/>
  <c r="H1056" i="39"/>
  <c r="C1056" i="39"/>
  <c r="AH1055" i="39"/>
  <c r="AE1055" i="39"/>
  <c r="AD1055" i="39"/>
  <c r="L1055" i="39"/>
  <c r="K1055" i="39"/>
  <c r="J1055" i="39"/>
  <c r="I1055" i="39"/>
  <c r="H1055" i="39"/>
  <c r="C1055" i="39"/>
  <c r="AH1054" i="39"/>
  <c r="AE1054" i="39"/>
  <c r="AD1054" i="39"/>
  <c r="L1054" i="39"/>
  <c r="K1054" i="39"/>
  <c r="J1054" i="39"/>
  <c r="I1054" i="39"/>
  <c r="H1054" i="39"/>
  <c r="C1054" i="39"/>
  <c r="AH1053" i="39"/>
  <c r="AE1053" i="39"/>
  <c r="AD1053" i="39"/>
  <c r="L1053" i="39"/>
  <c r="K1053" i="39"/>
  <c r="J1053" i="39"/>
  <c r="I1053" i="39"/>
  <c r="H1053" i="39"/>
  <c r="AF1053" i="39" s="1"/>
  <c r="C1053" i="39"/>
  <c r="AH1052" i="39"/>
  <c r="AE1052" i="39"/>
  <c r="AD1052" i="39"/>
  <c r="L1052" i="39"/>
  <c r="K1052" i="39"/>
  <c r="J1052" i="39"/>
  <c r="I1052" i="39"/>
  <c r="H1052" i="39"/>
  <c r="C1052" i="39"/>
  <c r="AH1051" i="39"/>
  <c r="AF1051" i="39"/>
  <c r="AE1051" i="39"/>
  <c r="AD1051" i="39"/>
  <c r="L1051" i="39"/>
  <c r="K1051" i="39"/>
  <c r="J1051" i="39"/>
  <c r="I1051" i="39"/>
  <c r="H1051" i="39"/>
  <c r="C1051" i="39"/>
  <c r="AH1050" i="39"/>
  <c r="AE1050" i="39"/>
  <c r="AD1050" i="39"/>
  <c r="L1050" i="39"/>
  <c r="K1050" i="39"/>
  <c r="J1050" i="39"/>
  <c r="I1050" i="39"/>
  <c r="H1050" i="39"/>
  <c r="C1050" i="39"/>
  <c r="AH1049" i="39"/>
  <c r="AE1049" i="39"/>
  <c r="AD1049" i="39"/>
  <c r="L1049" i="39"/>
  <c r="K1049" i="39"/>
  <c r="J1049" i="39"/>
  <c r="I1049" i="39"/>
  <c r="H1049" i="39"/>
  <c r="C1049" i="39"/>
  <c r="AH1048" i="39"/>
  <c r="AE1048" i="39"/>
  <c r="AD1048" i="39"/>
  <c r="L1048" i="39"/>
  <c r="K1048" i="39"/>
  <c r="J1048" i="39"/>
  <c r="I1048" i="39"/>
  <c r="H1048" i="39"/>
  <c r="C1048" i="39"/>
  <c r="AH1047" i="39"/>
  <c r="AE1047" i="39"/>
  <c r="AD1047" i="39"/>
  <c r="N1047" i="39"/>
  <c r="L1047" i="39"/>
  <c r="K1047" i="39"/>
  <c r="J1047" i="39"/>
  <c r="I1047" i="39"/>
  <c r="H1047" i="39"/>
  <c r="C1047" i="39"/>
  <c r="AH1046" i="39"/>
  <c r="AE1046" i="39"/>
  <c r="AD1046" i="39"/>
  <c r="N1046" i="39"/>
  <c r="L1046" i="39"/>
  <c r="K1046" i="39"/>
  <c r="J1046" i="39"/>
  <c r="I1046" i="39"/>
  <c r="H1046" i="39"/>
  <c r="C1046" i="39"/>
  <c r="AH1045" i="39"/>
  <c r="AE1045" i="39"/>
  <c r="AD1045" i="39"/>
  <c r="N1045" i="39"/>
  <c r="L1045" i="39"/>
  <c r="K1045" i="39"/>
  <c r="J1045" i="39"/>
  <c r="I1045" i="39"/>
  <c r="H1045" i="39"/>
  <c r="C1045" i="39"/>
  <c r="AH1044" i="39"/>
  <c r="AE1044" i="39"/>
  <c r="AD1044" i="39"/>
  <c r="N1044" i="39"/>
  <c r="L1044" i="39"/>
  <c r="K1044" i="39"/>
  <c r="J1044" i="39"/>
  <c r="I1044" i="39"/>
  <c r="H1044" i="39"/>
  <c r="C1044" i="39"/>
  <c r="AH1043" i="39"/>
  <c r="AE1043" i="39"/>
  <c r="AD1043" i="39"/>
  <c r="N1043" i="39"/>
  <c r="L1043" i="39"/>
  <c r="K1043" i="39"/>
  <c r="J1043" i="39"/>
  <c r="I1043" i="39"/>
  <c r="H1043" i="39"/>
  <c r="C1043" i="39"/>
  <c r="AH1042" i="39"/>
  <c r="AE1042" i="39"/>
  <c r="AD1042" i="39"/>
  <c r="N1042" i="39"/>
  <c r="L1042" i="39"/>
  <c r="K1042" i="39"/>
  <c r="J1042" i="39"/>
  <c r="I1042" i="39"/>
  <c r="H1042" i="39"/>
  <c r="C1042" i="39"/>
  <c r="AH1041" i="39"/>
  <c r="AE1041" i="39"/>
  <c r="AD1041" i="39"/>
  <c r="N1041" i="39"/>
  <c r="L1041" i="39"/>
  <c r="K1041" i="39"/>
  <c r="J1041" i="39"/>
  <c r="I1041" i="39"/>
  <c r="H1041" i="39"/>
  <c r="C1041" i="39"/>
  <c r="AH1040" i="39"/>
  <c r="AE1040" i="39"/>
  <c r="AD1040" i="39"/>
  <c r="N1040" i="39"/>
  <c r="L1040" i="39"/>
  <c r="K1040" i="39"/>
  <c r="J1040" i="39"/>
  <c r="I1040" i="39"/>
  <c r="H1040" i="39"/>
  <c r="C1040" i="39"/>
  <c r="AH1039" i="39"/>
  <c r="AE1039" i="39"/>
  <c r="AD1039" i="39"/>
  <c r="N1039" i="39"/>
  <c r="L1039" i="39"/>
  <c r="K1039" i="39"/>
  <c r="J1039" i="39"/>
  <c r="I1039" i="39"/>
  <c r="H1039" i="39"/>
  <c r="C1039" i="39"/>
  <c r="AH1038" i="39"/>
  <c r="AE1038" i="39"/>
  <c r="AD1038" i="39"/>
  <c r="N1038" i="39"/>
  <c r="L1038" i="39"/>
  <c r="K1038" i="39"/>
  <c r="J1038" i="39"/>
  <c r="I1038" i="39"/>
  <c r="H1038" i="39"/>
  <c r="C1038" i="39"/>
  <c r="AH1037" i="39"/>
  <c r="AE1037" i="39"/>
  <c r="AD1037" i="39"/>
  <c r="N1037" i="39"/>
  <c r="L1037" i="39"/>
  <c r="K1037" i="39"/>
  <c r="J1037" i="39"/>
  <c r="I1037" i="39"/>
  <c r="H1037" i="39"/>
  <c r="C1037" i="39"/>
  <c r="AH1036" i="39"/>
  <c r="AE1036" i="39"/>
  <c r="AD1036" i="39"/>
  <c r="N1036" i="39"/>
  <c r="L1036" i="39"/>
  <c r="K1036" i="39"/>
  <c r="J1036" i="39"/>
  <c r="I1036" i="39"/>
  <c r="H1036" i="39"/>
  <c r="C1036" i="39"/>
  <c r="AH1035" i="39"/>
  <c r="AE1035" i="39"/>
  <c r="AD1035" i="39"/>
  <c r="N1035" i="39"/>
  <c r="L1035" i="39"/>
  <c r="K1035" i="39"/>
  <c r="J1035" i="39"/>
  <c r="I1035" i="39"/>
  <c r="H1035" i="39"/>
  <c r="C1035" i="39"/>
  <c r="AH1034" i="39"/>
  <c r="AE1034" i="39"/>
  <c r="AD1034" i="39"/>
  <c r="L1034" i="39"/>
  <c r="K1034" i="39"/>
  <c r="J1034" i="39"/>
  <c r="I1034" i="39"/>
  <c r="H1034" i="39"/>
  <c r="C1034" i="39"/>
  <c r="AH1033" i="39"/>
  <c r="AE1033" i="39"/>
  <c r="AD1033" i="39"/>
  <c r="L1033" i="39"/>
  <c r="K1033" i="39"/>
  <c r="J1033" i="39"/>
  <c r="I1033" i="39"/>
  <c r="H1033" i="39"/>
  <c r="C1033" i="39"/>
  <c r="AH503" i="39"/>
  <c r="AE503" i="39"/>
  <c r="AD503" i="39"/>
  <c r="L503" i="39"/>
  <c r="K503" i="39"/>
  <c r="J503" i="39"/>
  <c r="I503" i="39"/>
  <c r="H503" i="39"/>
  <c r="C503" i="39"/>
  <c r="M636" i="39"/>
  <c r="AH636" i="39"/>
  <c r="AE636" i="39"/>
  <c r="AD636" i="39"/>
  <c r="L636" i="39"/>
  <c r="K636" i="39"/>
  <c r="J636" i="39"/>
  <c r="I636" i="39"/>
  <c r="H636" i="39"/>
  <c r="C636" i="39"/>
  <c r="AH635" i="39"/>
  <c r="AE635" i="39"/>
  <c r="AD635" i="39"/>
  <c r="L635" i="39"/>
  <c r="K635" i="39"/>
  <c r="J635" i="39"/>
  <c r="I635" i="39"/>
  <c r="H635" i="39"/>
  <c r="C635" i="39"/>
  <c r="AH634" i="39"/>
  <c r="AE634" i="39"/>
  <c r="AD634" i="39"/>
  <c r="L634" i="39"/>
  <c r="K634" i="39"/>
  <c r="J634" i="39"/>
  <c r="I634" i="39"/>
  <c r="H634" i="39"/>
  <c r="C634" i="39"/>
  <c r="AH633" i="39"/>
  <c r="AE633" i="39"/>
  <c r="AD633" i="39"/>
  <c r="L633" i="39"/>
  <c r="K633" i="39"/>
  <c r="J633" i="39"/>
  <c r="I633" i="39"/>
  <c r="H633" i="39"/>
  <c r="C633" i="39"/>
  <c r="AH632" i="39"/>
  <c r="AE632" i="39"/>
  <c r="AD632" i="39"/>
  <c r="L632" i="39"/>
  <c r="AF632" i="39" s="1"/>
  <c r="K632" i="39"/>
  <c r="J632" i="39"/>
  <c r="I632" i="39"/>
  <c r="H632" i="39"/>
  <c r="C632" i="39"/>
  <c r="AH631" i="39"/>
  <c r="AE631" i="39"/>
  <c r="AD631" i="39"/>
  <c r="L631" i="39"/>
  <c r="K631" i="39"/>
  <c r="J631" i="39"/>
  <c r="I631" i="39"/>
  <c r="H631" i="39"/>
  <c r="C631" i="39"/>
  <c r="AH630" i="39"/>
  <c r="AE630" i="39"/>
  <c r="AD630" i="39"/>
  <c r="L630" i="39"/>
  <c r="AF630" i="39" s="1"/>
  <c r="K630" i="39"/>
  <c r="J630" i="39"/>
  <c r="I630" i="39"/>
  <c r="H630" i="39"/>
  <c r="C630" i="39"/>
  <c r="AH629" i="39"/>
  <c r="AE629" i="39"/>
  <c r="AD629" i="39"/>
  <c r="L629" i="39"/>
  <c r="K629" i="39"/>
  <c r="J629" i="39"/>
  <c r="I629" i="39"/>
  <c r="H629" i="39"/>
  <c r="C629" i="39"/>
  <c r="AH628" i="39"/>
  <c r="AE628" i="39"/>
  <c r="AD628" i="39"/>
  <c r="L628" i="39"/>
  <c r="K628" i="39"/>
  <c r="J628" i="39"/>
  <c r="I628" i="39"/>
  <c r="H628" i="39"/>
  <c r="C628" i="39"/>
  <c r="AH627" i="39"/>
  <c r="AE627" i="39"/>
  <c r="AD627" i="39"/>
  <c r="L627" i="39"/>
  <c r="K627" i="39"/>
  <c r="J627" i="39"/>
  <c r="I627" i="39"/>
  <c r="H627" i="39"/>
  <c r="C627" i="39"/>
  <c r="AH626" i="39"/>
  <c r="AE626" i="39"/>
  <c r="AD626" i="39"/>
  <c r="L626" i="39"/>
  <c r="K626" i="39"/>
  <c r="J626" i="39"/>
  <c r="I626" i="39"/>
  <c r="H626" i="39"/>
  <c r="C626" i="39"/>
  <c r="AH625" i="39"/>
  <c r="AE625" i="39"/>
  <c r="AD625" i="39"/>
  <c r="L625" i="39"/>
  <c r="K625" i="39"/>
  <c r="J625" i="39"/>
  <c r="I625" i="39"/>
  <c r="H625" i="39"/>
  <c r="C625" i="39"/>
  <c r="AH624" i="39"/>
  <c r="AE624" i="39"/>
  <c r="AD624" i="39"/>
  <c r="L624" i="39"/>
  <c r="AF624" i="39" s="1"/>
  <c r="AG624" i="39" s="1"/>
  <c r="K624" i="39"/>
  <c r="J624" i="39"/>
  <c r="I624" i="39"/>
  <c r="H624" i="39"/>
  <c r="C624" i="39"/>
  <c r="AH623" i="39"/>
  <c r="AF623" i="39"/>
  <c r="AE623" i="39"/>
  <c r="AD623" i="39"/>
  <c r="L623" i="39"/>
  <c r="K623" i="39"/>
  <c r="J623" i="39"/>
  <c r="I623" i="39"/>
  <c r="H623" i="39"/>
  <c r="C623" i="39"/>
  <c r="AH622" i="39"/>
  <c r="AE622" i="39"/>
  <c r="AD622" i="39"/>
  <c r="L622" i="39"/>
  <c r="M622" i="39" s="1"/>
  <c r="K622" i="39"/>
  <c r="J622" i="39"/>
  <c r="I622" i="39"/>
  <c r="H622" i="39"/>
  <c r="C622" i="39"/>
  <c r="AH621" i="39"/>
  <c r="AE621" i="39"/>
  <c r="AD621" i="39"/>
  <c r="L621" i="39"/>
  <c r="K621" i="39"/>
  <c r="J621" i="39"/>
  <c r="I621" i="39"/>
  <c r="H621" i="39"/>
  <c r="C621" i="39"/>
  <c r="AH620" i="39"/>
  <c r="AE620" i="39"/>
  <c r="AD620" i="39"/>
  <c r="L620" i="39"/>
  <c r="K620" i="39"/>
  <c r="J620" i="39"/>
  <c r="I620" i="39"/>
  <c r="H620" i="39"/>
  <c r="C620" i="39"/>
  <c r="AH619" i="39"/>
  <c r="AE619" i="39"/>
  <c r="AD619" i="39"/>
  <c r="L619" i="39"/>
  <c r="K619" i="39"/>
  <c r="J619" i="39"/>
  <c r="I619" i="39"/>
  <c r="H619" i="39"/>
  <c r="C619" i="39"/>
  <c r="AH618" i="39"/>
  <c r="AE618" i="39"/>
  <c r="AD618" i="39"/>
  <c r="L618" i="39"/>
  <c r="K618" i="39"/>
  <c r="J618" i="39"/>
  <c r="I618" i="39"/>
  <c r="H618" i="39"/>
  <c r="C618" i="39"/>
  <c r="AH617" i="39"/>
  <c r="AE617" i="39"/>
  <c r="AD617" i="39"/>
  <c r="L617" i="39"/>
  <c r="K617" i="39"/>
  <c r="J617" i="39"/>
  <c r="I617" i="39"/>
  <c r="H617" i="39"/>
  <c r="C617" i="39"/>
  <c r="AH616" i="39"/>
  <c r="AE616" i="39"/>
  <c r="AD616" i="39"/>
  <c r="L616" i="39"/>
  <c r="K616" i="39"/>
  <c r="J616" i="39"/>
  <c r="I616" i="39"/>
  <c r="H616" i="39"/>
  <c r="C616" i="39"/>
  <c r="AH615" i="39"/>
  <c r="AE615" i="39"/>
  <c r="AD615" i="39"/>
  <c r="L615" i="39"/>
  <c r="K615" i="39"/>
  <c r="J615" i="39"/>
  <c r="I615" i="39"/>
  <c r="H615" i="39"/>
  <c r="C615" i="39"/>
  <c r="AH614" i="39"/>
  <c r="AE614" i="39"/>
  <c r="AD614" i="39"/>
  <c r="L614" i="39"/>
  <c r="K614" i="39"/>
  <c r="J614" i="39"/>
  <c r="I614" i="39"/>
  <c r="H614" i="39"/>
  <c r="C614" i="39"/>
  <c r="AH613" i="39"/>
  <c r="AE613" i="39"/>
  <c r="AD613" i="39"/>
  <c r="L613" i="39"/>
  <c r="K613" i="39"/>
  <c r="J613" i="39"/>
  <c r="I613" i="39"/>
  <c r="H613" i="39"/>
  <c r="C613" i="39"/>
  <c r="AH612" i="39"/>
  <c r="AE612" i="39"/>
  <c r="AD612" i="39"/>
  <c r="L612" i="39"/>
  <c r="AF612" i="39" s="1"/>
  <c r="K612" i="39"/>
  <c r="J612" i="39"/>
  <c r="I612" i="39"/>
  <c r="H612" i="39"/>
  <c r="C612" i="39"/>
  <c r="AH611" i="39"/>
  <c r="AE611" i="39"/>
  <c r="AD611" i="39"/>
  <c r="L611" i="39"/>
  <c r="K611" i="39"/>
  <c r="J611" i="39"/>
  <c r="I611" i="39"/>
  <c r="H611" i="39"/>
  <c r="C611" i="39"/>
  <c r="AH610" i="39"/>
  <c r="AE610" i="39"/>
  <c r="AD610" i="39"/>
  <c r="L610" i="39"/>
  <c r="K610" i="39"/>
  <c r="J610" i="39"/>
  <c r="I610" i="39"/>
  <c r="M610" i="39" s="1"/>
  <c r="H610" i="39"/>
  <c r="C610" i="39"/>
  <c r="AH609" i="39"/>
  <c r="AE609" i="39"/>
  <c r="AD609" i="39"/>
  <c r="L609" i="39"/>
  <c r="K609" i="39"/>
  <c r="J609" i="39"/>
  <c r="I609" i="39"/>
  <c r="H609" i="39"/>
  <c r="C609" i="39"/>
  <c r="AH608" i="39"/>
  <c r="AE608" i="39"/>
  <c r="AD608" i="39"/>
  <c r="L608" i="39"/>
  <c r="K608" i="39"/>
  <c r="J608" i="39"/>
  <c r="I608" i="39"/>
  <c r="H608" i="39"/>
  <c r="C608" i="39"/>
  <c r="AH607" i="39"/>
  <c r="AE607" i="39"/>
  <c r="AD607" i="39"/>
  <c r="L607" i="39"/>
  <c r="K607" i="39"/>
  <c r="J607" i="39"/>
  <c r="I607" i="39"/>
  <c r="H607" i="39"/>
  <c r="C607" i="39"/>
  <c r="AH606" i="39"/>
  <c r="AE606" i="39"/>
  <c r="AD606" i="39"/>
  <c r="L606" i="39"/>
  <c r="K606" i="39"/>
  <c r="J606" i="39"/>
  <c r="I606" i="39"/>
  <c r="H606" i="39"/>
  <c r="C606" i="39"/>
  <c r="AH605" i="39"/>
  <c r="AE605" i="39"/>
  <c r="AD605" i="39"/>
  <c r="L605" i="39"/>
  <c r="K605" i="39"/>
  <c r="J605" i="39"/>
  <c r="I605" i="39"/>
  <c r="H605" i="39"/>
  <c r="C605" i="39"/>
  <c r="AH604" i="39"/>
  <c r="AE604" i="39"/>
  <c r="AD604" i="39"/>
  <c r="L604" i="39"/>
  <c r="K604" i="39"/>
  <c r="J604" i="39"/>
  <c r="I604" i="39"/>
  <c r="H604" i="39"/>
  <c r="C604" i="39"/>
  <c r="AH603" i="39"/>
  <c r="AE603" i="39"/>
  <c r="AD603" i="39"/>
  <c r="L603" i="39"/>
  <c r="K603" i="39"/>
  <c r="J603" i="39"/>
  <c r="I603" i="39"/>
  <c r="H603" i="39"/>
  <c r="C603" i="39"/>
  <c r="AH602" i="39"/>
  <c r="AE602" i="39"/>
  <c r="AD602" i="39"/>
  <c r="L602" i="39"/>
  <c r="K602" i="39"/>
  <c r="J602" i="39"/>
  <c r="I602" i="39"/>
  <c r="H602" i="39"/>
  <c r="C602" i="39"/>
  <c r="AH601" i="39"/>
  <c r="AE601" i="39"/>
  <c r="AD601" i="39"/>
  <c r="L601" i="39"/>
  <c r="AF601" i="39" s="1"/>
  <c r="K601" i="39"/>
  <c r="J601" i="39"/>
  <c r="I601" i="39"/>
  <c r="H601" i="39"/>
  <c r="C601" i="39"/>
  <c r="AH600" i="39"/>
  <c r="AE600" i="39"/>
  <c r="AD600" i="39"/>
  <c r="L600" i="39"/>
  <c r="K600" i="39"/>
  <c r="J600" i="39"/>
  <c r="I600" i="39"/>
  <c r="H600" i="39"/>
  <c r="C600" i="39"/>
  <c r="AH599" i="39"/>
  <c r="AE599" i="39"/>
  <c r="AD599" i="39"/>
  <c r="L599" i="39"/>
  <c r="K599" i="39"/>
  <c r="J599" i="39"/>
  <c r="I599" i="39"/>
  <c r="H599" i="39"/>
  <c r="C599" i="39"/>
  <c r="AH598" i="39"/>
  <c r="AE598" i="39"/>
  <c r="AD598" i="39"/>
  <c r="L598" i="39"/>
  <c r="K598" i="39"/>
  <c r="J598" i="39"/>
  <c r="I598" i="39"/>
  <c r="H598" i="39"/>
  <c r="C598" i="39"/>
  <c r="AH597" i="39"/>
  <c r="AE597" i="39"/>
  <c r="AD597" i="39"/>
  <c r="L597" i="39"/>
  <c r="K597" i="39"/>
  <c r="J597" i="39"/>
  <c r="I597" i="39"/>
  <c r="H597" i="39"/>
  <c r="C597" i="39"/>
  <c r="AH596" i="39"/>
  <c r="AE596" i="39"/>
  <c r="AD596" i="39"/>
  <c r="L596" i="39"/>
  <c r="K596" i="39"/>
  <c r="J596" i="39"/>
  <c r="I596" i="39"/>
  <c r="H596" i="39"/>
  <c r="C596" i="39"/>
  <c r="AH595" i="39"/>
  <c r="AE595" i="39"/>
  <c r="AD595" i="39"/>
  <c r="L595" i="39"/>
  <c r="K595" i="39"/>
  <c r="J595" i="39"/>
  <c r="I595" i="39"/>
  <c r="H595" i="39"/>
  <c r="C595" i="39"/>
  <c r="AH594" i="39"/>
  <c r="AE594" i="39"/>
  <c r="AD594" i="39"/>
  <c r="L594" i="39"/>
  <c r="K594" i="39"/>
  <c r="J594" i="39"/>
  <c r="I594" i="39"/>
  <c r="H594" i="39"/>
  <c r="AF594" i="39" s="1"/>
  <c r="AG594" i="39" s="1"/>
  <c r="C594" i="39"/>
  <c r="AH593" i="39"/>
  <c r="AE593" i="39"/>
  <c r="AD593" i="39"/>
  <c r="L593" i="39"/>
  <c r="K593" i="39"/>
  <c r="J593" i="39"/>
  <c r="I593" i="39"/>
  <c r="H593" i="39"/>
  <c r="C593" i="39"/>
  <c r="AH592" i="39"/>
  <c r="AE592" i="39"/>
  <c r="AD592" i="39"/>
  <c r="L592" i="39"/>
  <c r="AF592" i="39" s="1"/>
  <c r="K592" i="39"/>
  <c r="J592" i="39"/>
  <c r="I592" i="39"/>
  <c r="H592" i="39"/>
  <c r="C592" i="39"/>
  <c r="AH591" i="39"/>
  <c r="AE591" i="39"/>
  <c r="AD591" i="39"/>
  <c r="L591" i="39"/>
  <c r="K591" i="39"/>
  <c r="J591" i="39"/>
  <c r="I591" i="39"/>
  <c r="M591" i="39" s="1"/>
  <c r="H591" i="39"/>
  <c r="C591" i="39"/>
  <c r="AH590" i="39"/>
  <c r="AE590" i="39"/>
  <c r="AD590" i="39"/>
  <c r="L590" i="39"/>
  <c r="AF590" i="39" s="1"/>
  <c r="K590" i="39"/>
  <c r="J590" i="39"/>
  <c r="I590" i="39"/>
  <c r="H590" i="39"/>
  <c r="C590" i="39"/>
  <c r="AH589" i="39"/>
  <c r="AE589" i="39"/>
  <c r="AD589" i="39"/>
  <c r="L589" i="39"/>
  <c r="M589" i="39" s="1"/>
  <c r="K589" i="39"/>
  <c r="J589" i="39"/>
  <c r="I589" i="39"/>
  <c r="H589" i="39"/>
  <c r="C589" i="39"/>
  <c r="AH588" i="39"/>
  <c r="AE588" i="39"/>
  <c r="AD588" i="39"/>
  <c r="L588" i="39"/>
  <c r="K588" i="39"/>
  <c r="J588" i="39"/>
  <c r="I588" i="39"/>
  <c r="H588" i="39"/>
  <c r="C588" i="39"/>
  <c r="AH587" i="39"/>
  <c r="AE587" i="39"/>
  <c r="AD587" i="39"/>
  <c r="L587" i="39"/>
  <c r="K587" i="39"/>
  <c r="J587" i="39"/>
  <c r="I587" i="39"/>
  <c r="M587" i="39" s="1"/>
  <c r="H587" i="39"/>
  <c r="C587" i="39"/>
  <c r="AH586" i="39"/>
  <c r="AE586" i="39"/>
  <c r="AD586" i="39"/>
  <c r="L586" i="39"/>
  <c r="K586" i="39"/>
  <c r="J586" i="39"/>
  <c r="I586" i="39"/>
  <c r="H586" i="39"/>
  <c r="C586" i="39"/>
  <c r="AH585" i="39"/>
  <c r="AE585" i="39"/>
  <c r="AD585" i="39"/>
  <c r="L585" i="39"/>
  <c r="K585" i="39"/>
  <c r="J585" i="39"/>
  <c r="I585" i="39"/>
  <c r="M585" i="39" s="1"/>
  <c r="H585" i="39"/>
  <c r="C585" i="39"/>
  <c r="AH584" i="39"/>
  <c r="AE584" i="39"/>
  <c r="AD584" i="39"/>
  <c r="L584" i="39"/>
  <c r="K584" i="39"/>
  <c r="J584" i="39"/>
  <c r="I584" i="39"/>
  <c r="H584" i="39"/>
  <c r="C584" i="39"/>
  <c r="AH583" i="39"/>
  <c r="AE583" i="39"/>
  <c r="AD583" i="39"/>
  <c r="L583" i="39"/>
  <c r="AF583" i="39" s="1"/>
  <c r="K583" i="39"/>
  <c r="J583" i="39"/>
  <c r="I583" i="39"/>
  <c r="H583" i="39"/>
  <c r="C583" i="39"/>
  <c r="AH582" i="39"/>
  <c r="AE582" i="39"/>
  <c r="AD582" i="39"/>
  <c r="L582" i="39"/>
  <c r="K582" i="39"/>
  <c r="J582" i="39"/>
  <c r="I582" i="39"/>
  <c r="H582" i="39"/>
  <c r="C582" i="39"/>
  <c r="AH581" i="39"/>
  <c r="AE581" i="39"/>
  <c r="AD581" i="39"/>
  <c r="L581" i="39"/>
  <c r="AF581" i="39" s="1"/>
  <c r="K581" i="39"/>
  <c r="J581" i="39"/>
  <c r="I581" i="39"/>
  <c r="H581" i="39"/>
  <c r="C581" i="39"/>
  <c r="AH580" i="39"/>
  <c r="AE580" i="39"/>
  <c r="AD580" i="39"/>
  <c r="L580" i="39"/>
  <c r="K580" i="39"/>
  <c r="J580" i="39"/>
  <c r="I580" i="39"/>
  <c r="H580" i="39"/>
  <c r="C580" i="39"/>
  <c r="AH579" i="39"/>
  <c r="AE579" i="39"/>
  <c r="AD579" i="39"/>
  <c r="L579" i="39"/>
  <c r="K579" i="39"/>
  <c r="J579" i="39"/>
  <c r="I579" i="39"/>
  <c r="H579" i="39"/>
  <c r="C579" i="39"/>
  <c r="AH578" i="39"/>
  <c r="AE578" i="39"/>
  <c r="AD578" i="39"/>
  <c r="L578" i="39"/>
  <c r="K578" i="39"/>
  <c r="J578" i="39"/>
  <c r="I578" i="39"/>
  <c r="H578" i="39"/>
  <c r="C578" i="39"/>
  <c r="AH577" i="39"/>
  <c r="AE577" i="39"/>
  <c r="AD577" i="39"/>
  <c r="L577" i="39"/>
  <c r="K577" i="39"/>
  <c r="J577" i="39"/>
  <c r="I577" i="39"/>
  <c r="H577" i="39"/>
  <c r="C577" i="39"/>
  <c r="AH576" i="39"/>
  <c r="AE576" i="39"/>
  <c r="AD576" i="39"/>
  <c r="L576" i="39"/>
  <c r="K576" i="39"/>
  <c r="J576" i="39"/>
  <c r="I576" i="39"/>
  <c r="H576" i="39"/>
  <c r="C576" i="39"/>
  <c r="AH575" i="39"/>
  <c r="AE575" i="39"/>
  <c r="AD575" i="39"/>
  <c r="L575" i="39"/>
  <c r="K575" i="39"/>
  <c r="J575" i="39"/>
  <c r="I575" i="39"/>
  <c r="H575" i="39"/>
  <c r="C575" i="39"/>
  <c r="AH574" i="39"/>
  <c r="AE574" i="39"/>
  <c r="AD574" i="39"/>
  <c r="L574" i="39"/>
  <c r="K574" i="39"/>
  <c r="J574" i="39"/>
  <c r="I574" i="39"/>
  <c r="H574" i="39"/>
  <c r="C574" i="39"/>
  <c r="AH573" i="39"/>
  <c r="AE573" i="39"/>
  <c r="AD573" i="39"/>
  <c r="L573" i="39"/>
  <c r="K573" i="39"/>
  <c r="J573" i="39"/>
  <c r="I573" i="39"/>
  <c r="H573" i="39"/>
  <c r="C573" i="39"/>
  <c r="AH572" i="39"/>
  <c r="AE572" i="39"/>
  <c r="AD572" i="39"/>
  <c r="L572" i="39"/>
  <c r="AF572" i="39" s="1"/>
  <c r="K572" i="39"/>
  <c r="J572" i="39"/>
  <c r="I572" i="39"/>
  <c r="H572" i="39"/>
  <c r="C572" i="39"/>
  <c r="AH571" i="39"/>
  <c r="AE571" i="39"/>
  <c r="AD571" i="39"/>
  <c r="L571" i="39"/>
  <c r="K571" i="39"/>
  <c r="J571" i="39"/>
  <c r="I571" i="39"/>
  <c r="H571" i="39"/>
  <c r="AF571" i="39" s="1"/>
  <c r="AG571" i="39" s="1"/>
  <c r="C571" i="39"/>
  <c r="AH570" i="39"/>
  <c r="AF570" i="39"/>
  <c r="AG570" i="39" s="1"/>
  <c r="AE570" i="39"/>
  <c r="AD570" i="39"/>
  <c r="L570" i="39"/>
  <c r="K570" i="39"/>
  <c r="J570" i="39"/>
  <c r="I570" i="39"/>
  <c r="H570" i="39"/>
  <c r="C570" i="39"/>
  <c r="AH569" i="39"/>
  <c r="AE569" i="39"/>
  <c r="AD569" i="39"/>
  <c r="L569" i="39"/>
  <c r="K569" i="39"/>
  <c r="J569" i="39"/>
  <c r="I569" i="39"/>
  <c r="H569" i="39"/>
  <c r="C569" i="39"/>
  <c r="AH568" i="39"/>
  <c r="AE568" i="39"/>
  <c r="AD568" i="39"/>
  <c r="L568" i="39"/>
  <c r="K568" i="39"/>
  <c r="J568" i="39"/>
  <c r="I568" i="39"/>
  <c r="H568" i="39"/>
  <c r="C568" i="39"/>
  <c r="AH567" i="39"/>
  <c r="AE567" i="39"/>
  <c r="AD567" i="39"/>
  <c r="L567" i="39"/>
  <c r="K567" i="39"/>
  <c r="J567" i="39"/>
  <c r="I567" i="39"/>
  <c r="H567" i="39"/>
  <c r="C567" i="39"/>
  <c r="AH566" i="39"/>
  <c r="AE566" i="39"/>
  <c r="AD566" i="39"/>
  <c r="L566" i="39"/>
  <c r="K566" i="39"/>
  <c r="J566" i="39"/>
  <c r="I566" i="39"/>
  <c r="H566" i="39"/>
  <c r="C566" i="39"/>
  <c r="AH565" i="39"/>
  <c r="AE565" i="39"/>
  <c r="AD565" i="39"/>
  <c r="L565" i="39"/>
  <c r="M565" i="39" s="1"/>
  <c r="K565" i="39"/>
  <c r="J565" i="39"/>
  <c r="I565" i="39"/>
  <c r="H565" i="39"/>
  <c r="C565" i="39"/>
  <c r="AH564" i="39"/>
  <c r="AE564" i="39"/>
  <c r="AD564" i="39"/>
  <c r="L564" i="39"/>
  <c r="K564" i="39"/>
  <c r="J564" i="39"/>
  <c r="I564" i="39"/>
  <c r="H564" i="39"/>
  <c r="C564" i="39"/>
  <c r="AH563" i="39"/>
  <c r="AE563" i="39"/>
  <c r="AD563" i="39"/>
  <c r="L563" i="39"/>
  <c r="K563" i="39"/>
  <c r="AF563" i="39" s="1"/>
  <c r="J563" i="39"/>
  <c r="I563" i="39"/>
  <c r="H563" i="39"/>
  <c r="C563" i="39"/>
  <c r="AH562" i="39"/>
  <c r="AE562" i="39"/>
  <c r="AD562" i="39"/>
  <c r="L562" i="39"/>
  <c r="K562" i="39"/>
  <c r="J562" i="39"/>
  <c r="I562" i="39"/>
  <c r="H562" i="39"/>
  <c r="C562" i="39"/>
  <c r="AH561" i="39"/>
  <c r="AE561" i="39"/>
  <c r="AD561" i="39"/>
  <c r="L561" i="39"/>
  <c r="K561" i="39"/>
  <c r="J561" i="39"/>
  <c r="I561" i="39"/>
  <c r="H561" i="39"/>
  <c r="C561" i="39"/>
  <c r="AH560" i="39"/>
  <c r="AE560" i="39"/>
  <c r="AD560" i="39"/>
  <c r="L560" i="39"/>
  <c r="K560" i="39"/>
  <c r="J560" i="39"/>
  <c r="I560" i="39"/>
  <c r="H560" i="39"/>
  <c r="C560" i="39"/>
  <c r="AH559" i="39"/>
  <c r="AE559" i="39"/>
  <c r="AD559" i="39"/>
  <c r="L559" i="39"/>
  <c r="AF559" i="39" s="1"/>
  <c r="K559" i="39"/>
  <c r="J559" i="39"/>
  <c r="I559" i="39"/>
  <c r="H559" i="39"/>
  <c r="C559" i="39"/>
  <c r="AH558" i="39"/>
  <c r="AE558" i="39"/>
  <c r="AD558" i="39"/>
  <c r="L558" i="39"/>
  <c r="K558" i="39"/>
  <c r="J558" i="39"/>
  <c r="I558" i="39"/>
  <c r="H558" i="39"/>
  <c r="C558" i="39"/>
  <c r="AH557" i="39"/>
  <c r="AE557" i="39"/>
  <c r="AD557" i="39"/>
  <c r="L557" i="39"/>
  <c r="K557" i="39"/>
  <c r="J557" i="39"/>
  <c r="I557" i="39"/>
  <c r="H557" i="39"/>
  <c r="C557" i="39"/>
  <c r="AH556" i="39"/>
  <c r="AE556" i="39"/>
  <c r="AD556" i="39"/>
  <c r="L556" i="39"/>
  <c r="K556" i="39"/>
  <c r="J556" i="39"/>
  <c r="I556" i="39"/>
  <c r="H556" i="39"/>
  <c r="C556" i="39"/>
  <c r="AH555" i="39"/>
  <c r="AE555" i="39"/>
  <c r="AD555" i="39"/>
  <c r="L555" i="39"/>
  <c r="K555" i="39"/>
  <c r="J555" i="39"/>
  <c r="I555" i="39"/>
  <c r="H555" i="39"/>
  <c r="C555" i="39"/>
  <c r="AH554" i="39"/>
  <c r="AE554" i="39"/>
  <c r="AD554" i="39"/>
  <c r="L554" i="39"/>
  <c r="K554" i="39"/>
  <c r="J554" i="39"/>
  <c r="I554" i="39"/>
  <c r="H554" i="39"/>
  <c r="C554" i="39"/>
  <c r="AH553" i="39"/>
  <c r="AE553" i="39"/>
  <c r="AD553" i="39"/>
  <c r="L553" i="39"/>
  <c r="AF553" i="39" s="1"/>
  <c r="AG553" i="39" s="1"/>
  <c r="K553" i="39"/>
  <c r="J553" i="39"/>
  <c r="I553" i="39"/>
  <c r="H553" i="39"/>
  <c r="C553" i="39"/>
  <c r="AH552" i="39"/>
  <c r="AE552" i="39"/>
  <c r="AD552" i="39"/>
  <c r="L552" i="39"/>
  <c r="K552" i="39"/>
  <c r="J552" i="39"/>
  <c r="I552" i="39"/>
  <c r="M552" i="39" s="1"/>
  <c r="H552" i="39"/>
  <c r="C552" i="39"/>
  <c r="AH551" i="39"/>
  <c r="AE551" i="39"/>
  <c r="AD551" i="39"/>
  <c r="L551" i="39"/>
  <c r="K551" i="39"/>
  <c r="J551" i="39"/>
  <c r="I551" i="39"/>
  <c r="M551" i="39" s="1"/>
  <c r="H551" i="39"/>
  <c r="C551" i="39"/>
  <c r="AH550" i="39"/>
  <c r="AE550" i="39"/>
  <c r="AD550" i="39"/>
  <c r="L550" i="39"/>
  <c r="K550" i="39"/>
  <c r="J550" i="39"/>
  <c r="I550" i="39"/>
  <c r="H550" i="39"/>
  <c r="C550" i="39"/>
  <c r="AH549" i="39"/>
  <c r="AE549" i="39"/>
  <c r="AD549" i="39"/>
  <c r="L549" i="39"/>
  <c r="K549" i="39"/>
  <c r="J549" i="39"/>
  <c r="I549" i="39"/>
  <c r="H549" i="39"/>
  <c r="C549" i="39"/>
  <c r="AH548" i="39"/>
  <c r="AE548" i="39"/>
  <c r="AD548" i="39"/>
  <c r="L548" i="39"/>
  <c r="K548" i="39"/>
  <c r="J548" i="39"/>
  <c r="I548" i="39"/>
  <c r="H548" i="39"/>
  <c r="C548" i="39"/>
  <c r="AH547" i="39"/>
  <c r="AE547" i="39"/>
  <c r="AD547" i="39"/>
  <c r="L547" i="39"/>
  <c r="K547" i="39"/>
  <c r="J547" i="39"/>
  <c r="I547" i="39"/>
  <c r="H547" i="39"/>
  <c r="C547" i="39"/>
  <c r="AH546" i="39"/>
  <c r="AE546" i="39"/>
  <c r="AD546" i="39"/>
  <c r="L546" i="39"/>
  <c r="K546" i="39"/>
  <c r="J546" i="39"/>
  <c r="I546" i="39"/>
  <c r="H546" i="39"/>
  <c r="C546" i="39"/>
  <c r="AH545" i="39"/>
  <c r="AE545" i="39"/>
  <c r="AD545" i="39"/>
  <c r="L545" i="39"/>
  <c r="M545" i="39" s="1"/>
  <c r="K545" i="39"/>
  <c r="J545" i="39"/>
  <c r="I545" i="39"/>
  <c r="H545" i="39"/>
  <c r="C545" i="39"/>
  <c r="AH544" i="39"/>
  <c r="AE544" i="39"/>
  <c r="AD544" i="39"/>
  <c r="L544" i="39"/>
  <c r="K544" i="39"/>
  <c r="J544" i="39"/>
  <c r="I544" i="39"/>
  <c r="H544" i="39"/>
  <c r="C544" i="39"/>
  <c r="AH543" i="39"/>
  <c r="AE543" i="39"/>
  <c r="AD543" i="39"/>
  <c r="L543" i="39"/>
  <c r="AF543" i="39" s="1"/>
  <c r="K543" i="39"/>
  <c r="J543" i="39"/>
  <c r="I543" i="39"/>
  <c r="H543" i="39"/>
  <c r="C543" i="39"/>
  <c r="AH542" i="39"/>
  <c r="AE542" i="39"/>
  <c r="AD542" i="39"/>
  <c r="L542" i="39"/>
  <c r="K542" i="39"/>
  <c r="J542" i="39"/>
  <c r="I542" i="39"/>
  <c r="H542" i="39"/>
  <c r="C542" i="39"/>
  <c r="AH541" i="39"/>
  <c r="AE541" i="39"/>
  <c r="AD541" i="39"/>
  <c r="L541" i="39"/>
  <c r="K541" i="39"/>
  <c r="J541" i="39"/>
  <c r="I541" i="39"/>
  <c r="H541" i="39"/>
  <c r="C541" i="39"/>
  <c r="AH540" i="39"/>
  <c r="AE540" i="39"/>
  <c r="AD540" i="39"/>
  <c r="L540" i="39"/>
  <c r="K540" i="39"/>
  <c r="J540" i="39"/>
  <c r="I540" i="39"/>
  <c r="H540" i="39"/>
  <c r="C540" i="39"/>
  <c r="AH539" i="39"/>
  <c r="AE539" i="39"/>
  <c r="AD539" i="39"/>
  <c r="L539" i="39"/>
  <c r="K539" i="39"/>
  <c r="J539" i="39"/>
  <c r="I539" i="39"/>
  <c r="H539" i="39"/>
  <c r="C539" i="39"/>
  <c r="AH538" i="39"/>
  <c r="AE538" i="39"/>
  <c r="AD538" i="39"/>
  <c r="L538" i="39"/>
  <c r="K538" i="39"/>
  <c r="J538" i="39"/>
  <c r="I538" i="39"/>
  <c r="H538" i="39"/>
  <c r="C538" i="39"/>
  <c r="AH537" i="39"/>
  <c r="AE537" i="39"/>
  <c r="AD537" i="39"/>
  <c r="L537" i="39"/>
  <c r="K537" i="39"/>
  <c r="J537" i="39"/>
  <c r="I537" i="39"/>
  <c r="H537" i="39"/>
  <c r="C537" i="39"/>
  <c r="AH536" i="39"/>
  <c r="AE536" i="39"/>
  <c r="AD536" i="39"/>
  <c r="L536" i="39"/>
  <c r="K536" i="39"/>
  <c r="J536" i="39"/>
  <c r="I536" i="39"/>
  <c r="H536" i="39"/>
  <c r="C536" i="39"/>
  <c r="AH535" i="39"/>
  <c r="AE535" i="39"/>
  <c r="AD535" i="39"/>
  <c r="L535" i="39"/>
  <c r="K535" i="39"/>
  <c r="J535" i="39"/>
  <c r="I535" i="39"/>
  <c r="H535" i="39"/>
  <c r="C535" i="39"/>
  <c r="AH534" i="39"/>
  <c r="AE534" i="39"/>
  <c r="AD534" i="39"/>
  <c r="L534" i="39"/>
  <c r="K534" i="39"/>
  <c r="J534" i="39"/>
  <c r="I534" i="39"/>
  <c r="M534" i="39" s="1"/>
  <c r="H534" i="39"/>
  <c r="C534" i="39"/>
  <c r="AH533" i="39"/>
  <c r="AE533" i="39"/>
  <c r="AD533" i="39"/>
  <c r="L533" i="39"/>
  <c r="K533" i="39"/>
  <c r="J533" i="39"/>
  <c r="I533" i="39"/>
  <c r="H533" i="39"/>
  <c r="AF533" i="39" s="1"/>
  <c r="AG533" i="39" s="1"/>
  <c r="C533" i="39"/>
  <c r="AH532" i="39"/>
  <c r="AF532" i="39"/>
  <c r="AE532" i="39"/>
  <c r="AD532" i="39"/>
  <c r="L532" i="39"/>
  <c r="K532" i="39"/>
  <c r="J532" i="39"/>
  <c r="I532" i="39"/>
  <c r="H532" i="39"/>
  <c r="C532" i="39"/>
  <c r="AH531" i="39"/>
  <c r="AE531" i="39"/>
  <c r="AD531" i="39"/>
  <c r="L531" i="39"/>
  <c r="K531" i="39"/>
  <c r="J531" i="39"/>
  <c r="I531" i="39"/>
  <c r="H531" i="39"/>
  <c r="C531" i="39"/>
  <c r="AH530" i="39"/>
  <c r="AE530" i="39"/>
  <c r="AD530" i="39"/>
  <c r="L530" i="39"/>
  <c r="K530" i="39"/>
  <c r="J530" i="39"/>
  <c r="I530" i="39"/>
  <c r="M530" i="39" s="1"/>
  <c r="H530" i="39"/>
  <c r="C530" i="39"/>
  <c r="AH529" i="39"/>
  <c r="AE529" i="39"/>
  <c r="AD529" i="39"/>
  <c r="L529" i="39"/>
  <c r="K529" i="39"/>
  <c r="J529" i="39"/>
  <c r="I529" i="39"/>
  <c r="H529" i="39"/>
  <c r="C529" i="39"/>
  <c r="AH528" i="39"/>
  <c r="AE528" i="39"/>
  <c r="AD528" i="39"/>
  <c r="L528" i="39"/>
  <c r="K528" i="39"/>
  <c r="J528" i="39"/>
  <c r="I528" i="39"/>
  <c r="H528" i="39"/>
  <c r="C528" i="39"/>
  <c r="AH527" i="39"/>
  <c r="AE527" i="39"/>
  <c r="AD527" i="39"/>
  <c r="L527" i="39"/>
  <c r="K527" i="39"/>
  <c r="J527" i="39"/>
  <c r="I527" i="39"/>
  <c r="H527" i="39"/>
  <c r="C527" i="39"/>
  <c r="AH526" i="39"/>
  <c r="AE526" i="39"/>
  <c r="AD526" i="39"/>
  <c r="L526" i="39"/>
  <c r="K526" i="39"/>
  <c r="J526" i="39"/>
  <c r="I526" i="39"/>
  <c r="H526" i="39"/>
  <c r="C526" i="39"/>
  <c r="AH525" i="39"/>
  <c r="AE525" i="39"/>
  <c r="AD525" i="39"/>
  <c r="L525" i="39"/>
  <c r="K525" i="39"/>
  <c r="J525" i="39"/>
  <c r="I525" i="39"/>
  <c r="H525" i="39"/>
  <c r="C525" i="39"/>
  <c r="AH524" i="39"/>
  <c r="AE524" i="39"/>
  <c r="AD524" i="39"/>
  <c r="L524" i="39"/>
  <c r="K524" i="39"/>
  <c r="J524" i="39"/>
  <c r="I524" i="39"/>
  <c r="H524" i="39"/>
  <c r="C524" i="39"/>
  <c r="AH523" i="39"/>
  <c r="AE523" i="39"/>
  <c r="AD523" i="39"/>
  <c r="L523" i="39"/>
  <c r="K523" i="39"/>
  <c r="J523" i="39"/>
  <c r="I523" i="39"/>
  <c r="H523" i="39"/>
  <c r="C523" i="39"/>
  <c r="AH522" i="39"/>
  <c r="AE522" i="39"/>
  <c r="AD522" i="39"/>
  <c r="L522" i="39"/>
  <c r="K522" i="39"/>
  <c r="J522" i="39"/>
  <c r="I522" i="39"/>
  <c r="H522" i="39"/>
  <c r="C522" i="39"/>
  <c r="AH521" i="39"/>
  <c r="AE521" i="39"/>
  <c r="AD521" i="39"/>
  <c r="L521" i="39"/>
  <c r="K521" i="39"/>
  <c r="J521" i="39"/>
  <c r="I521" i="39"/>
  <c r="H521" i="39"/>
  <c r="C521" i="39"/>
  <c r="AH520" i="39"/>
  <c r="AE520" i="39"/>
  <c r="AD520" i="39"/>
  <c r="L520" i="39"/>
  <c r="K520" i="39"/>
  <c r="J520" i="39"/>
  <c r="I520" i="39"/>
  <c r="H520" i="39"/>
  <c r="C520" i="39"/>
  <c r="AH519" i="39"/>
  <c r="AE519" i="39"/>
  <c r="AD519" i="39"/>
  <c r="L519" i="39"/>
  <c r="K519" i="39"/>
  <c r="J519" i="39"/>
  <c r="I519" i="39"/>
  <c r="H519" i="39"/>
  <c r="C519" i="39"/>
  <c r="AH518" i="39"/>
  <c r="AE518" i="39"/>
  <c r="AD518" i="39"/>
  <c r="L518" i="39"/>
  <c r="K518" i="39"/>
  <c r="J518" i="39"/>
  <c r="I518" i="39"/>
  <c r="H518" i="39"/>
  <c r="C518" i="39"/>
  <c r="AH517" i="39"/>
  <c r="AE517" i="39"/>
  <c r="AD517" i="39"/>
  <c r="L517" i="39"/>
  <c r="K517" i="39"/>
  <c r="J517" i="39"/>
  <c r="I517" i="39"/>
  <c r="H517" i="39"/>
  <c r="C517" i="39"/>
  <c r="AH516" i="39"/>
  <c r="AE516" i="39"/>
  <c r="AD516" i="39"/>
  <c r="L516" i="39"/>
  <c r="K516" i="39"/>
  <c r="J516" i="39"/>
  <c r="I516" i="39"/>
  <c r="H516" i="39"/>
  <c r="C516" i="39"/>
  <c r="AH515" i="39"/>
  <c r="AE515" i="39"/>
  <c r="AD515" i="39"/>
  <c r="L515" i="39"/>
  <c r="K515" i="39"/>
  <c r="J515" i="39"/>
  <c r="I515" i="39"/>
  <c r="H515" i="39"/>
  <c r="C515" i="39"/>
  <c r="AH514" i="39"/>
  <c r="AE514" i="39"/>
  <c r="AD514" i="39"/>
  <c r="L514" i="39"/>
  <c r="K514" i="39"/>
  <c r="J514" i="39"/>
  <c r="I514" i="39"/>
  <c r="H514" i="39"/>
  <c r="C514" i="39"/>
  <c r="AH513" i="39"/>
  <c r="AE513" i="39"/>
  <c r="AD513" i="39"/>
  <c r="L513" i="39"/>
  <c r="AF513" i="39" s="1"/>
  <c r="AG513" i="39" s="1"/>
  <c r="K513" i="39"/>
  <c r="J513" i="39"/>
  <c r="I513" i="39"/>
  <c r="H513" i="39"/>
  <c r="C513" i="39"/>
  <c r="AH512" i="39"/>
  <c r="AE512" i="39"/>
  <c r="AD512" i="39"/>
  <c r="L512" i="39"/>
  <c r="K512" i="39"/>
  <c r="J512" i="39"/>
  <c r="I512" i="39"/>
  <c r="H512" i="39"/>
  <c r="C512" i="39"/>
  <c r="AH511" i="39"/>
  <c r="AE511" i="39"/>
  <c r="AD511" i="39"/>
  <c r="L511" i="39"/>
  <c r="K511" i="39"/>
  <c r="J511" i="39"/>
  <c r="I511" i="39"/>
  <c r="H511" i="39"/>
  <c r="C511" i="39"/>
  <c r="AH510" i="39"/>
  <c r="AE510" i="39"/>
  <c r="AD510" i="39"/>
  <c r="L510" i="39"/>
  <c r="K510" i="39"/>
  <c r="J510" i="39"/>
  <c r="I510" i="39"/>
  <c r="H510" i="39"/>
  <c r="C510" i="39"/>
  <c r="AH509" i="39"/>
  <c r="AE509" i="39"/>
  <c r="AD509" i="39"/>
  <c r="L509" i="39"/>
  <c r="K509" i="39"/>
  <c r="J509" i="39"/>
  <c r="I509" i="39"/>
  <c r="H509" i="39"/>
  <c r="C509" i="39"/>
  <c r="AH508" i="39"/>
  <c r="AE508" i="39"/>
  <c r="AD508" i="39"/>
  <c r="L508" i="39"/>
  <c r="K508" i="39"/>
  <c r="J508" i="39"/>
  <c r="I508" i="39"/>
  <c r="M508" i="39" s="1"/>
  <c r="H508" i="39"/>
  <c r="C508" i="39"/>
  <c r="AH507" i="39"/>
  <c r="AE507" i="39"/>
  <c r="AD507" i="39"/>
  <c r="L507" i="39"/>
  <c r="K507" i="39"/>
  <c r="J507" i="39"/>
  <c r="I507" i="39"/>
  <c r="H507" i="39"/>
  <c r="C507" i="39"/>
  <c r="AH506" i="39"/>
  <c r="AE506" i="39"/>
  <c r="AD506" i="39"/>
  <c r="L506" i="39"/>
  <c r="K506" i="39"/>
  <c r="J506" i="39"/>
  <c r="I506" i="39"/>
  <c r="H506" i="39"/>
  <c r="C506" i="39"/>
  <c r="AH505" i="39"/>
  <c r="AE505" i="39"/>
  <c r="AD505" i="39"/>
  <c r="L505" i="39"/>
  <c r="K505" i="39"/>
  <c r="J505" i="39"/>
  <c r="I505" i="39"/>
  <c r="H505" i="39"/>
  <c r="C505" i="39"/>
  <c r="AH504" i="39"/>
  <c r="AE504" i="39"/>
  <c r="AD504" i="39"/>
  <c r="L504" i="39"/>
  <c r="K504" i="39"/>
  <c r="J504" i="39"/>
  <c r="I504" i="39"/>
  <c r="H504" i="39"/>
  <c r="C504" i="39"/>
  <c r="C135" i="39"/>
  <c r="H135" i="39"/>
  <c r="I135" i="39"/>
  <c r="J135" i="39"/>
  <c r="K135" i="39"/>
  <c r="L135" i="39"/>
  <c r="AD135" i="39"/>
  <c r="AE135" i="39"/>
  <c r="AH135" i="39"/>
  <c r="C136" i="39"/>
  <c r="H136" i="39"/>
  <c r="I136" i="39"/>
  <c r="J136" i="39"/>
  <c r="K136" i="39"/>
  <c r="L136" i="39"/>
  <c r="AD136" i="39"/>
  <c r="AE136" i="39"/>
  <c r="AH136" i="39"/>
  <c r="C137" i="39"/>
  <c r="H137" i="39"/>
  <c r="I137" i="39"/>
  <c r="J137" i="39"/>
  <c r="K137" i="39"/>
  <c r="L137" i="39"/>
  <c r="AD137" i="39"/>
  <c r="AE137" i="39"/>
  <c r="AH137" i="39"/>
  <c r="C138" i="39"/>
  <c r="H138" i="39"/>
  <c r="I138" i="39"/>
  <c r="J138" i="39"/>
  <c r="K138" i="39"/>
  <c r="L138" i="39"/>
  <c r="AD138" i="39"/>
  <c r="AE138" i="39"/>
  <c r="AH138" i="39"/>
  <c r="C139" i="39"/>
  <c r="H139" i="39"/>
  <c r="I139" i="39"/>
  <c r="J139" i="39"/>
  <c r="K139" i="39"/>
  <c r="L139" i="39"/>
  <c r="N139" i="39"/>
  <c r="C140" i="39"/>
  <c r="H140" i="39"/>
  <c r="I140" i="39"/>
  <c r="J140" i="39"/>
  <c r="K140" i="39"/>
  <c r="L140" i="39"/>
  <c r="N140" i="39"/>
  <c r="C141" i="39"/>
  <c r="H141" i="39"/>
  <c r="I141" i="39"/>
  <c r="J141" i="39"/>
  <c r="K141" i="39"/>
  <c r="L141" i="39"/>
  <c r="AD141" i="39"/>
  <c r="AE141" i="39"/>
  <c r="AH141" i="39"/>
  <c r="C142" i="39"/>
  <c r="H142" i="39"/>
  <c r="I142" i="39"/>
  <c r="J142" i="39"/>
  <c r="K142" i="39"/>
  <c r="L142" i="39"/>
  <c r="AD142" i="39"/>
  <c r="AE142" i="39"/>
  <c r="AH142" i="39"/>
  <c r="C143" i="39"/>
  <c r="H143" i="39"/>
  <c r="I143" i="39"/>
  <c r="J143" i="39"/>
  <c r="K143" i="39"/>
  <c r="L143" i="39"/>
  <c r="AD143" i="39"/>
  <c r="AE143" i="39"/>
  <c r="AH143" i="39"/>
  <c r="C144" i="39"/>
  <c r="H144" i="39"/>
  <c r="I144" i="39"/>
  <c r="J144" i="39"/>
  <c r="K144" i="39"/>
  <c r="L144" i="39"/>
  <c r="AD144" i="39"/>
  <c r="AE144" i="39"/>
  <c r="AH144" i="39"/>
  <c r="C145" i="39"/>
  <c r="H145" i="39"/>
  <c r="I145" i="39"/>
  <c r="J145" i="39"/>
  <c r="K145" i="39"/>
  <c r="L145" i="39"/>
  <c r="AD145" i="39"/>
  <c r="AE145" i="39"/>
  <c r="AH145" i="39"/>
  <c r="C146" i="39"/>
  <c r="H146" i="39"/>
  <c r="I146" i="39"/>
  <c r="J146" i="39"/>
  <c r="K146" i="39"/>
  <c r="L146" i="39"/>
  <c r="AD146" i="39"/>
  <c r="AE146" i="39"/>
  <c r="AH146" i="39"/>
  <c r="C147" i="39"/>
  <c r="H147" i="39"/>
  <c r="I147" i="39"/>
  <c r="J147" i="39"/>
  <c r="K147" i="39"/>
  <c r="L147" i="39"/>
  <c r="AD147" i="39"/>
  <c r="AE147" i="39"/>
  <c r="AH147" i="39"/>
  <c r="C148" i="39"/>
  <c r="H148" i="39"/>
  <c r="I148" i="39"/>
  <c r="J148" i="39"/>
  <c r="K148" i="39"/>
  <c r="L148" i="39"/>
  <c r="AD148" i="39"/>
  <c r="AE148" i="39"/>
  <c r="AH148" i="39"/>
  <c r="C149" i="39"/>
  <c r="H149" i="39"/>
  <c r="I149" i="39"/>
  <c r="J149" i="39"/>
  <c r="K149" i="39"/>
  <c r="L149" i="39"/>
  <c r="AD149" i="39"/>
  <c r="AE149" i="39"/>
  <c r="AH149" i="39"/>
  <c r="C150" i="39"/>
  <c r="H150" i="39"/>
  <c r="I150" i="39"/>
  <c r="J150" i="39"/>
  <c r="K150" i="39"/>
  <c r="L150" i="39"/>
  <c r="AD150" i="39"/>
  <c r="AE150" i="39"/>
  <c r="AH150" i="39"/>
  <c r="C151" i="39"/>
  <c r="H151" i="39"/>
  <c r="I151" i="39"/>
  <c r="J151" i="39"/>
  <c r="K151" i="39"/>
  <c r="L151" i="39"/>
  <c r="AD151" i="39"/>
  <c r="AE151" i="39"/>
  <c r="AH151" i="39"/>
  <c r="C152" i="39"/>
  <c r="H152" i="39"/>
  <c r="I152" i="39"/>
  <c r="J152" i="39"/>
  <c r="K152" i="39"/>
  <c r="L152" i="39"/>
  <c r="AD152" i="39"/>
  <c r="AE152" i="39"/>
  <c r="AH152" i="39"/>
  <c r="C153" i="39"/>
  <c r="H153" i="39"/>
  <c r="I153" i="39"/>
  <c r="J153" i="39"/>
  <c r="K153" i="39"/>
  <c r="L153" i="39"/>
  <c r="N153" i="39"/>
  <c r="C154" i="39"/>
  <c r="H154" i="39"/>
  <c r="I154" i="39"/>
  <c r="J154" i="39"/>
  <c r="K154" i="39"/>
  <c r="L154" i="39"/>
  <c r="N154" i="39"/>
  <c r="C155" i="39"/>
  <c r="H155" i="39"/>
  <c r="I155" i="39"/>
  <c r="J155" i="39"/>
  <c r="K155" i="39"/>
  <c r="L155" i="39"/>
  <c r="AD155" i="39"/>
  <c r="AE155" i="39"/>
  <c r="AH155" i="39"/>
  <c r="C156" i="39"/>
  <c r="H156" i="39"/>
  <c r="I156" i="39"/>
  <c r="J156" i="39"/>
  <c r="K156" i="39"/>
  <c r="AF156" i="39" s="1"/>
  <c r="L156" i="39"/>
  <c r="AD156" i="39"/>
  <c r="AE156" i="39"/>
  <c r="AH156" i="39"/>
  <c r="C157" i="39"/>
  <c r="H157" i="39"/>
  <c r="I157" i="39"/>
  <c r="J157" i="39"/>
  <c r="K157" i="39"/>
  <c r="L157" i="39"/>
  <c r="AD157" i="39"/>
  <c r="AE157" i="39"/>
  <c r="AH157" i="39"/>
  <c r="C158" i="39"/>
  <c r="H158" i="39"/>
  <c r="I158" i="39"/>
  <c r="J158" i="39"/>
  <c r="K158" i="39"/>
  <c r="L158" i="39"/>
  <c r="AD158" i="39"/>
  <c r="AE158" i="39"/>
  <c r="AH158" i="39"/>
  <c r="C159" i="39"/>
  <c r="H159" i="39"/>
  <c r="I159" i="39"/>
  <c r="J159" i="39"/>
  <c r="K159" i="39"/>
  <c r="L159" i="39"/>
  <c r="AD159" i="39"/>
  <c r="AE159" i="39"/>
  <c r="AH159" i="39"/>
  <c r="C160" i="39"/>
  <c r="H160" i="39"/>
  <c r="I160" i="39"/>
  <c r="J160" i="39"/>
  <c r="K160" i="39"/>
  <c r="L160" i="39"/>
  <c r="AD160" i="39"/>
  <c r="AE160" i="39"/>
  <c r="AH160" i="39"/>
  <c r="C161" i="39"/>
  <c r="H161" i="39"/>
  <c r="I161" i="39"/>
  <c r="J161" i="39"/>
  <c r="K161" i="39"/>
  <c r="L161" i="39"/>
  <c r="AD161" i="39"/>
  <c r="AE161" i="39"/>
  <c r="AH161" i="39"/>
  <c r="C162" i="39"/>
  <c r="H162" i="39"/>
  <c r="I162" i="39"/>
  <c r="J162" i="39"/>
  <c r="K162" i="39"/>
  <c r="L162" i="39"/>
  <c r="AD162" i="39"/>
  <c r="AE162" i="39"/>
  <c r="AH162" i="39"/>
  <c r="C163" i="39"/>
  <c r="H163" i="39"/>
  <c r="I163" i="39"/>
  <c r="J163" i="39"/>
  <c r="K163" i="39"/>
  <c r="L163" i="39"/>
  <c r="AD163" i="39"/>
  <c r="AE163" i="39"/>
  <c r="AH163" i="39"/>
  <c r="C164" i="39"/>
  <c r="H164" i="39"/>
  <c r="I164" i="39"/>
  <c r="J164" i="39"/>
  <c r="K164" i="39"/>
  <c r="L164" i="39"/>
  <c r="AD164" i="39"/>
  <c r="AE164" i="39"/>
  <c r="AH164" i="39"/>
  <c r="C165" i="39"/>
  <c r="H165" i="39"/>
  <c r="I165" i="39"/>
  <c r="J165" i="39"/>
  <c r="K165" i="39"/>
  <c r="L165" i="39"/>
  <c r="AD165" i="39"/>
  <c r="AE165" i="39"/>
  <c r="AH165" i="39"/>
  <c r="C166" i="39"/>
  <c r="H166" i="39"/>
  <c r="I166" i="39"/>
  <c r="J166" i="39"/>
  <c r="K166" i="39"/>
  <c r="L166" i="39"/>
  <c r="AF166" i="39" s="1"/>
  <c r="AD166" i="39"/>
  <c r="AE166" i="39"/>
  <c r="AH166" i="39"/>
  <c r="C167" i="39"/>
  <c r="H167" i="39"/>
  <c r="I167" i="39"/>
  <c r="J167" i="39"/>
  <c r="K167" i="39"/>
  <c r="L167" i="39"/>
  <c r="AD167" i="39"/>
  <c r="AE167" i="39"/>
  <c r="AH167" i="39"/>
  <c r="C168" i="39"/>
  <c r="H168" i="39"/>
  <c r="I168" i="39"/>
  <c r="J168" i="39"/>
  <c r="K168" i="39"/>
  <c r="L168" i="39"/>
  <c r="AD168" i="39"/>
  <c r="AE168" i="39"/>
  <c r="AH168" i="39"/>
  <c r="C169" i="39"/>
  <c r="H169" i="39"/>
  <c r="I169" i="39"/>
  <c r="J169" i="39"/>
  <c r="K169" i="39"/>
  <c r="L169" i="39"/>
  <c r="AD169" i="39"/>
  <c r="AE169" i="39"/>
  <c r="AH169" i="39"/>
  <c r="C170" i="39"/>
  <c r="H170" i="39"/>
  <c r="I170" i="39"/>
  <c r="J170" i="39"/>
  <c r="K170" i="39"/>
  <c r="L170" i="39"/>
  <c r="AD170" i="39"/>
  <c r="AE170" i="39"/>
  <c r="AH170" i="39"/>
  <c r="C171" i="39"/>
  <c r="H171" i="39"/>
  <c r="I171" i="39"/>
  <c r="J171" i="39"/>
  <c r="K171" i="39"/>
  <c r="L171" i="39"/>
  <c r="AF171" i="39" s="1"/>
  <c r="AD171" i="39"/>
  <c r="AE171" i="39"/>
  <c r="AH171" i="39"/>
  <c r="C172" i="39"/>
  <c r="H172" i="39"/>
  <c r="I172" i="39"/>
  <c r="J172" i="39"/>
  <c r="K172" i="39"/>
  <c r="L172" i="39"/>
  <c r="AD172" i="39"/>
  <c r="AE172" i="39"/>
  <c r="AH172" i="39"/>
  <c r="C173" i="39"/>
  <c r="H173" i="39"/>
  <c r="I173" i="39"/>
  <c r="J173" i="39"/>
  <c r="K173" i="39"/>
  <c r="L173" i="39"/>
  <c r="AD173" i="39"/>
  <c r="AE173" i="39"/>
  <c r="AH173" i="39"/>
  <c r="C174" i="39"/>
  <c r="H174" i="39"/>
  <c r="I174" i="39"/>
  <c r="J174" i="39"/>
  <c r="K174" i="39"/>
  <c r="L174" i="39"/>
  <c r="AD174" i="39"/>
  <c r="AE174" i="39"/>
  <c r="AH174" i="39"/>
  <c r="C175" i="39"/>
  <c r="H175" i="39"/>
  <c r="I175" i="39"/>
  <c r="J175" i="39"/>
  <c r="K175" i="39"/>
  <c r="L175" i="39"/>
  <c r="AD175" i="39"/>
  <c r="AE175" i="39"/>
  <c r="AH175" i="39"/>
  <c r="M175" i="39"/>
  <c r="C176" i="39"/>
  <c r="H176" i="39"/>
  <c r="I176" i="39"/>
  <c r="J176" i="39"/>
  <c r="K176" i="39"/>
  <c r="L176" i="39"/>
  <c r="AD176" i="39"/>
  <c r="AE176" i="39"/>
  <c r="AH176" i="39"/>
  <c r="C177" i="39"/>
  <c r="H177" i="39"/>
  <c r="I177" i="39"/>
  <c r="J177" i="39"/>
  <c r="K177" i="39"/>
  <c r="L177" i="39"/>
  <c r="AD177" i="39"/>
  <c r="AE177" i="39"/>
  <c r="AH177" i="39"/>
  <c r="C178" i="39"/>
  <c r="H178" i="39"/>
  <c r="I178" i="39"/>
  <c r="J178" i="39"/>
  <c r="K178" i="39"/>
  <c r="L178" i="39"/>
  <c r="AD178" i="39"/>
  <c r="AE178" i="39"/>
  <c r="AH178" i="39"/>
  <c r="C179" i="39"/>
  <c r="H179" i="39"/>
  <c r="AF179" i="39" s="1"/>
  <c r="I179" i="39"/>
  <c r="J179" i="39"/>
  <c r="K179" i="39"/>
  <c r="L179" i="39"/>
  <c r="AD179" i="39"/>
  <c r="AE179" i="39"/>
  <c r="AH179" i="39"/>
  <c r="C180" i="39"/>
  <c r="H180" i="39"/>
  <c r="I180" i="39"/>
  <c r="J180" i="39"/>
  <c r="K180" i="39"/>
  <c r="L180" i="39"/>
  <c r="AD180" i="39"/>
  <c r="AE180" i="39"/>
  <c r="AH180" i="39"/>
  <c r="C181" i="39"/>
  <c r="H181" i="39"/>
  <c r="I181" i="39"/>
  <c r="J181" i="39"/>
  <c r="K181" i="39"/>
  <c r="L181" i="39"/>
  <c r="AD181" i="39"/>
  <c r="AE181" i="39"/>
  <c r="AH181" i="39"/>
  <c r="C182" i="39"/>
  <c r="H182" i="39"/>
  <c r="I182" i="39"/>
  <c r="J182" i="39"/>
  <c r="K182" i="39"/>
  <c r="L182" i="39"/>
  <c r="AD182" i="39"/>
  <c r="AE182" i="39"/>
  <c r="AH182" i="39"/>
  <c r="C183" i="39"/>
  <c r="H183" i="39"/>
  <c r="I183" i="39"/>
  <c r="J183" i="39"/>
  <c r="K183" i="39"/>
  <c r="L183" i="39"/>
  <c r="AD183" i="39"/>
  <c r="AE183" i="39"/>
  <c r="AH183" i="39"/>
  <c r="C184" i="39"/>
  <c r="H184" i="39"/>
  <c r="I184" i="39"/>
  <c r="J184" i="39"/>
  <c r="K184" i="39"/>
  <c r="L184" i="39"/>
  <c r="AD184" i="39"/>
  <c r="AE184" i="39"/>
  <c r="AH184" i="39"/>
  <c r="C185" i="39"/>
  <c r="H185" i="39"/>
  <c r="I185" i="39"/>
  <c r="J185" i="39"/>
  <c r="K185" i="39"/>
  <c r="L185" i="39"/>
  <c r="AD185" i="39"/>
  <c r="AE185" i="39"/>
  <c r="AH185" i="39"/>
  <c r="C186" i="39"/>
  <c r="H186" i="39"/>
  <c r="AF186" i="39" s="1"/>
  <c r="I186" i="39"/>
  <c r="J186" i="39"/>
  <c r="K186" i="39"/>
  <c r="L186" i="39"/>
  <c r="AD186" i="39"/>
  <c r="AE186" i="39"/>
  <c r="AH186" i="39"/>
  <c r="C187" i="39"/>
  <c r="H187" i="39"/>
  <c r="I187" i="39"/>
  <c r="J187" i="39"/>
  <c r="K187" i="39"/>
  <c r="L187" i="39"/>
  <c r="AD187" i="39"/>
  <c r="AE187" i="39"/>
  <c r="AH187" i="39"/>
  <c r="C188" i="39"/>
  <c r="H188" i="39"/>
  <c r="I188" i="39"/>
  <c r="J188" i="39"/>
  <c r="K188" i="39"/>
  <c r="L188" i="39"/>
  <c r="AF188" i="39" s="1"/>
  <c r="AD188" i="39"/>
  <c r="AE188" i="39"/>
  <c r="AH188" i="39"/>
  <c r="C189" i="39"/>
  <c r="H189" i="39"/>
  <c r="I189" i="39"/>
  <c r="J189" i="39"/>
  <c r="K189" i="39"/>
  <c r="L189" i="39"/>
  <c r="AD189" i="39"/>
  <c r="AE189" i="39"/>
  <c r="AH189" i="39"/>
  <c r="C190" i="39"/>
  <c r="H190" i="39"/>
  <c r="I190" i="39"/>
  <c r="J190" i="39"/>
  <c r="K190" i="39"/>
  <c r="L190" i="39"/>
  <c r="AD190" i="39"/>
  <c r="AE190" i="39"/>
  <c r="AH190" i="39"/>
  <c r="C191" i="39"/>
  <c r="H191" i="39"/>
  <c r="I191" i="39"/>
  <c r="J191" i="39"/>
  <c r="K191" i="39"/>
  <c r="L191" i="39"/>
  <c r="AD191" i="39"/>
  <c r="AE191" i="39"/>
  <c r="AH191" i="39"/>
  <c r="C192" i="39"/>
  <c r="H192" i="39"/>
  <c r="I192" i="39"/>
  <c r="J192" i="39"/>
  <c r="K192" i="39"/>
  <c r="L192" i="39"/>
  <c r="AD192" i="39"/>
  <c r="AE192" i="39"/>
  <c r="AH192" i="39"/>
  <c r="C193" i="39"/>
  <c r="H193" i="39"/>
  <c r="I193" i="39"/>
  <c r="J193" i="39"/>
  <c r="K193" i="39"/>
  <c r="L193" i="39"/>
  <c r="AD193" i="39"/>
  <c r="AE193" i="39"/>
  <c r="AH193" i="39"/>
  <c r="C194" i="39"/>
  <c r="H194" i="39"/>
  <c r="I194" i="39"/>
  <c r="J194" i="39"/>
  <c r="K194" i="39"/>
  <c r="L194" i="39"/>
  <c r="AD194" i="39"/>
  <c r="AE194" i="39"/>
  <c r="AH194" i="39"/>
  <c r="C195" i="39"/>
  <c r="H195" i="39"/>
  <c r="I195" i="39"/>
  <c r="J195" i="39"/>
  <c r="K195" i="39"/>
  <c r="L195" i="39"/>
  <c r="AD195" i="39"/>
  <c r="AE195" i="39"/>
  <c r="AH195" i="39"/>
  <c r="C196" i="39"/>
  <c r="H196" i="39"/>
  <c r="I196" i="39"/>
  <c r="J196" i="39"/>
  <c r="K196" i="39"/>
  <c r="L196" i="39"/>
  <c r="AD196" i="39"/>
  <c r="AE196" i="39"/>
  <c r="AH196" i="39"/>
  <c r="C197" i="39"/>
  <c r="H197" i="39"/>
  <c r="I197" i="39"/>
  <c r="J197" i="39"/>
  <c r="K197" i="39"/>
  <c r="L197" i="39"/>
  <c r="AD197" i="39"/>
  <c r="AE197" i="39"/>
  <c r="AH197" i="39"/>
  <c r="C198" i="39"/>
  <c r="H198" i="39"/>
  <c r="I198" i="39"/>
  <c r="J198" i="39"/>
  <c r="K198" i="39"/>
  <c r="L198" i="39"/>
  <c r="AD198" i="39"/>
  <c r="AE198" i="39"/>
  <c r="AH198" i="39"/>
  <c r="C199" i="39"/>
  <c r="H199" i="39"/>
  <c r="I199" i="39"/>
  <c r="J199" i="39"/>
  <c r="K199" i="39"/>
  <c r="L199" i="39"/>
  <c r="AD199" i="39"/>
  <c r="AE199" i="39"/>
  <c r="AH199" i="39"/>
  <c r="C200" i="39"/>
  <c r="H200" i="39"/>
  <c r="I200" i="39"/>
  <c r="J200" i="39"/>
  <c r="K200" i="39"/>
  <c r="L200" i="39"/>
  <c r="AD200" i="39"/>
  <c r="AE200" i="39"/>
  <c r="AH200" i="39"/>
  <c r="C201" i="39"/>
  <c r="H201" i="39"/>
  <c r="I201" i="39"/>
  <c r="J201" i="39"/>
  <c r="K201" i="39"/>
  <c r="L201" i="39"/>
  <c r="AD201" i="39"/>
  <c r="AE201" i="39"/>
  <c r="AH201" i="39"/>
  <c r="C202" i="39"/>
  <c r="H202" i="39"/>
  <c r="I202" i="39"/>
  <c r="J202" i="39"/>
  <c r="K202" i="39"/>
  <c r="L202" i="39"/>
  <c r="AD202" i="39"/>
  <c r="AE202" i="39"/>
  <c r="AH202" i="39"/>
  <c r="C203" i="39"/>
  <c r="H203" i="39"/>
  <c r="I203" i="39"/>
  <c r="J203" i="39"/>
  <c r="K203" i="39"/>
  <c r="L203" i="39"/>
  <c r="AD203" i="39"/>
  <c r="AE203" i="39"/>
  <c r="AH203" i="39"/>
  <c r="C204" i="39"/>
  <c r="H204" i="39"/>
  <c r="I204" i="39"/>
  <c r="J204" i="39"/>
  <c r="K204" i="39"/>
  <c r="L204" i="39"/>
  <c r="AD204" i="39"/>
  <c r="AE204" i="39"/>
  <c r="AH204" i="39"/>
  <c r="C205" i="39"/>
  <c r="H205" i="39"/>
  <c r="I205" i="39"/>
  <c r="J205" i="39"/>
  <c r="K205" i="39"/>
  <c r="L205" i="39"/>
  <c r="AF205" i="39" s="1"/>
  <c r="AD205" i="39"/>
  <c r="AE205" i="39"/>
  <c r="AH205" i="39"/>
  <c r="C206" i="39"/>
  <c r="H206" i="39"/>
  <c r="I206" i="39"/>
  <c r="J206" i="39"/>
  <c r="K206" i="39"/>
  <c r="L206" i="39"/>
  <c r="AD206" i="39"/>
  <c r="AE206" i="39"/>
  <c r="AH206" i="39"/>
  <c r="C207" i="39"/>
  <c r="H207" i="39"/>
  <c r="I207" i="39"/>
  <c r="J207" i="39"/>
  <c r="K207" i="39"/>
  <c r="L207" i="39"/>
  <c r="AD207" i="39"/>
  <c r="AE207" i="39"/>
  <c r="AH207" i="39"/>
  <c r="C208" i="39"/>
  <c r="H208" i="39"/>
  <c r="I208" i="39"/>
  <c r="J208" i="39"/>
  <c r="K208" i="39"/>
  <c r="L208" i="39"/>
  <c r="AD208" i="39"/>
  <c r="AE208" i="39"/>
  <c r="AH208" i="39"/>
  <c r="C209" i="39"/>
  <c r="H209" i="39"/>
  <c r="I209" i="39"/>
  <c r="J209" i="39"/>
  <c r="K209" i="39"/>
  <c r="L209" i="39"/>
  <c r="AD209" i="39"/>
  <c r="AE209" i="39"/>
  <c r="AH209" i="39"/>
  <c r="C210" i="39"/>
  <c r="H210" i="39"/>
  <c r="I210" i="39"/>
  <c r="J210" i="39"/>
  <c r="K210" i="39"/>
  <c r="L210" i="39"/>
  <c r="AD210" i="39"/>
  <c r="AE210" i="39"/>
  <c r="AH210" i="39"/>
  <c r="C211" i="39"/>
  <c r="H211" i="39"/>
  <c r="I211" i="39"/>
  <c r="J211" i="39"/>
  <c r="K211" i="39"/>
  <c r="L211" i="39"/>
  <c r="AD211" i="39"/>
  <c r="AE211" i="39"/>
  <c r="AH211" i="39"/>
  <c r="C212" i="39"/>
  <c r="H212" i="39"/>
  <c r="I212" i="39"/>
  <c r="J212" i="39"/>
  <c r="K212" i="39"/>
  <c r="L212" i="39"/>
  <c r="AD212" i="39"/>
  <c r="AE212" i="39"/>
  <c r="AH212" i="39"/>
  <c r="C213" i="39"/>
  <c r="H213" i="39"/>
  <c r="I213" i="39"/>
  <c r="J213" i="39"/>
  <c r="K213" i="39"/>
  <c r="L213" i="39"/>
  <c r="AD213" i="39"/>
  <c r="AE213" i="39"/>
  <c r="AH213" i="39"/>
  <c r="C214" i="39"/>
  <c r="H214" i="39"/>
  <c r="I214" i="39"/>
  <c r="J214" i="39"/>
  <c r="K214" i="39"/>
  <c r="L214" i="39"/>
  <c r="AD214" i="39"/>
  <c r="AE214" i="39"/>
  <c r="AH214" i="39"/>
  <c r="C215" i="39"/>
  <c r="H215" i="39"/>
  <c r="I215" i="39"/>
  <c r="J215" i="39"/>
  <c r="K215" i="39"/>
  <c r="L215" i="39"/>
  <c r="AD215" i="39"/>
  <c r="AE215" i="39"/>
  <c r="AH215" i="39"/>
  <c r="C216" i="39"/>
  <c r="H216" i="39"/>
  <c r="I216" i="39"/>
  <c r="J216" i="39"/>
  <c r="K216" i="39"/>
  <c r="L216" i="39"/>
  <c r="AD216" i="39"/>
  <c r="AE216" i="39"/>
  <c r="AH216" i="39"/>
  <c r="C217" i="39"/>
  <c r="H217" i="39"/>
  <c r="I217" i="39"/>
  <c r="J217" i="39"/>
  <c r="K217" i="39"/>
  <c r="L217" i="39"/>
  <c r="AD217" i="39"/>
  <c r="AE217" i="39"/>
  <c r="AH217" i="39"/>
  <c r="C218" i="39"/>
  <c r="H218" i="39"/>
  <c r="I218" i="39"/>
  <c r="J218" i="39"/>
  <c r="K218" i="39"/>
  <c r="L218" i="39"/>
  <c r="AD218" i="39"/>
  <c r="AE218" i="39"/>
  <c r="AH218" i="39"/>
  <c r="C219" i="39"/>
  <c r="H219" i="39"/>
  <c r="I219" i="39"/>
  <c r="J219" i="39"/>
  <c r="K219" i="39"/>
  <c r="L219" i="39"/>
  <c r="AD219" i="39"/>
  <c r="AE219" i="39"/>
  <c r="AH219" i="39"/>
  <c r="C220" i="39"/>
  <c r="H220" i="39"/>
  <c r="I220" i="39"/>
  <c r="J220" i="39"/>
  <c r="K220" i="39"/>
  <c r="L220" i="39"/>
  <c r="AD220" i="39"/>
  <c r="AE220" i="39"/>
  <c r="AH220" i="39"/>
  <c r="C221" i="39"/>
  <c r="H221" i="39"/>
  <c r="I221" i="39"/>
  <c r="J221" i="39"/>
  <c r="K221" i="39"/>
  <c r="L221" i="39"/>
  <c r="AD221" i="39"/>
  <c r="AE221" i="39"/>
  <c r="AH221" i="39"/>
  <c r="C222" i="39"/>
  <c r="H222" i="39"/>
  <c r="I222" i="39"/>
  <c r="J222" i="39"/>
  <c r="K222" i="39"/>
  <c r="L222" i="39"/>
  <c r="AD222" i="39"/>
  <c r="AE222" i="39"/>
  <c r="AH222" i="39"/>
  <c r="C223" i="39"/>
  <c r="H223" i="39"/>
  <c r="I223" i="39"/>
  <c r="J223" i="39"/>
  <c r="K223" i="39"/>
  <c r="L223" i="39"/>
  <c r="AD223" i="39"/>
  <c r="AE223" i="39"/>
  <c r="AH223" i="39"/>
  <c r="C224" i="39"/>
  <c r="H224" i="39"/>
  <c r="I224" i="39"/>
  <c r="J224" i="39"/>
  <c r="K224" i="39"/>
  <c r="L224" i="39"/>
  <c r="AF224" i="39" s="1"/>
  <c r="AD224" i="39"/>
  <c r="AE224" i="39"/>
  <c r="AH224" i="39"/>
  <c r="C225" i="39"/>
  <c r="H225" i="39"/>
  <c r="I225" i="39"/>
  <c r="M225" i="39" s="1"/>
  <c r="J225" i="39"/>
  <c r="K225" i="39"/>
  <c r="L225" i="39"/>
  <c r="AD225" i="39"/>
  <c r="AE225" i="39"/>
  <c r="AH225" i="39"/>
  <c r="C226" i="39"/>
  <c r="H226" i="39"/>
  <c r="I226" i="39"/>
  <c r="J226" i="39"/>
  <c r="K226" i="39"/>
  <c r="L226" i="39"/>
  <c r="AD226" i="39"/>
  <c r="AE226" i="39"/>
  <c r="AH226" i="39"/>
  <c r="C227" i="39"/>
  <c r="H227" i="39"/>
  <c r="I227" i="39"/>
  <c r="J227" i="39"/>
  <c r="K227" i="39"/>
  <c r="L227" i="39"/>
  <c r="AD227" i="39"/>
  <c r="AE227" i="39"/>
  <c r="AH227" i="39"/>
  <c r="C228" i="39"/>
  <c r="H228" i="39"/>
  <c r="I228" i="39"/>
  <c r="J228" i="39"/>
  <c r="K228" i="39"/>
  <c r="L228" i="39"/>
  <c r="AD228" i="39"/>
  <c r="AE228" i="39"/>
  <c r="AH228" i="39"/>
  <c r="C229" i="39"/>
  <c r="H229" i="39"/>
  <c r="I229" i="39"/>
  <c r="J229" i="39"/>
  <c r="K229" i="39"/>
  <c r="L229" i="39"/>
  <c r="AD229" i="39"/>
  <c r="AE229" i="39"/>
  <c r="AH229" i="39"/>
  <c r="C230" i="39"/>
  <c r="H230" i="39"/>
  <c r="I230" i="39"/>
  <c r="J230" i="39"/>
  <c r="K230" i="39"/>
  <c r="L230" i="39"/>
  <c r="AD230" i="39"/>
  <c r="AE230" i="39"/>
  <c r="AH230" i="39"/>
  <c r="C231" i="39"/>
  <c r="H231" i="39"/>
  <c r="I231" i="39"/>
  <c r="J231" i="39"/>
  <c r="K231" i="39"/>
  <c r="L231" i="39"/>
  <c r="AD231" i="39"/>
  <c r="AE231" i="39"/>
  <c r="AH231" i="39"/>
  <c r="C232" i="39"/>
  <c r="H232" i="39"/>
  <c r="I232" i="39"/>
  <c r="J232" i="39"/>
  <c r="K232" i="39"/>
  <c r="L232" i="39"/>
  <c r="AD232" i="39"/>
  <c r="AE232" i="39"/>
  <c r="AH232" i="39"/>
  <c r="C233" i="39"/>
  <c r="H233" i="39"/>
  <c r="I233" i="39"/>
  <c r="J233" i="39"/>
  <c r="K233" i="39"/>
  <c r="L233" i="39"/>
  <c r="AD233" i="39"/>
  <c r="AE233" i="39"/>
  <c r="AH233" i="39"/>
  <c r="C234" i="39"/>
  <c r="H234" i="39"/>
  <c r="J234" i="39"/>
  <c r="K234" i="39"/>
  <c r="L234" i="39"/>
  <c r="N234" i="39"/>
  <c r="AD234" i="39"/>
  <c r="AE234" i="39"/>
  <c r="AH234" i="39"/>
  <c r="C235" i="39"/>
  <c r="H235" i="39"/>
  <c r="I235" i="39"/>
  <c r="J235" i="39"/>
  <c r="K235" i="39"/>
  <c r="L235" i="39"/>
  <c r="N235" i="39"/>
  <c r="AD235" i="39"/>
  <c r="AE235" i="39"/>
  <c r="AH235" i="39"/>
  <c r="C236" i="39"/>
  <c r="H236" i="39"/>
  <c r="I236" i="39"/>
  <c r="J236" i="39"/>
  <c r="K236" i="39"/>
  <c r="L236" i="39"/>
  <c r="N236" i="39"/>
  <c r="AD236" i="39"/>
  <c r="AE236" i="39"/>
  <c r="AH236" i="39"/>
  <c r="C237" i="39"/>
  <c r="H237" i="39"/>
  <c r="I237" i="39"/>
  <c r="J237" i="39"/>
  <c r="K237" i="39"/>
  <c r="L237" i="39"/>
  <c r="N237" i="39"/>
  <c r="AD237" i="39"/>
  <c r="AE237" i="39"/>
  <c r="AH237" i="39"/>
  <c r="C238" i="39"/>
  <c r="H238" i="39"/>
  <c r="I238" i="39"/>
  <c r="J238" i="39"/>
  <c r="K238" i="39"/>
  <c r="L238" i="39"/>
  <c r="N238" i="39"/>
  <c r="AD238" i="39"/>
  <c r="AE238" i="39"/>
  <c r="AH238" i="39"/>
  <c r="C239" i="39"/>
  <c r="H239" i="39"/>
  <c r="I239" i="39"/>
  <c r="J239" i="39"/>
  <c r="K239" i="39"/>
  <c r="L239" i="39"/>
  <c r="N239" i="39"/>
  <c r="AD239" i="39"/>
  <c r="AE239" i="39"/>
  <c r="AH239" i="39"/>
  <c r="C240" i="39"/>
  <c r="H240" i="39"/>
  <c r="I240" i="39"/>
  <c r="AG240" i="39" s="1"/>
  <c r="J240" i="39"/>
  <c r="K240" i="39"/>
  <c r="L240" i="39"/>
  <c r="N240" i="39"/>
  <c r="AD240" i="39"/>
  <c r="AE240" i="39"/>
  <c r="AF240" i="39"/>
  <c r="AH240" i="39"/>
  <c r="C241" i="39"/>
  <c r="H241" i="39"/>
  <c r="I241" i="39"/>
  <c r="J241" i="39"/>
  <c r="K241" i="39"/>
  <c r="L241" i="39"/>
  <c r="N241" i="39"/>
  <c r="AD241" i="39"/>
  <c r="AE241" i="39"/>
  <c r="AH241" i="39"/>
  <c r="C242" i="39"/>
  <c r="H242" i="39"/>
  <c r="I242" i="39"/>
  <c r="J242" i="39"/>
  <c r="K242" i="39"/>
  <c r="L242" i="39"/>
  <c r="N242" i="39"/>
  <c r="AD242" i="39"/>
  <c r="AE242" i="39"/>
  <c r="AH242" i="39"/>
  <c r="C243" i="39"/>
  <c r="H243" i="39"/>
  <c r="I243" i="39"/>
  <c r="J243" i="39"/>
  <c r="K243" i="39"/>
  <c r="L243" i="39"/>
  <c r="N243" i="39"/>
  <c r="AD243" i="39"/>
  <c r="AE243" i="39"/>
  <c r="AH243" i="39"/>
  <c r="C244" i="39"/>
  <c r="H244" i="39"/>
  <c r="I244" i="39"/>
  <c r="J244" i="39"/>
  <c r="K244" i="39"/>
  <c r="L244" i="39"/>
  <c r="N244" i="39"/>
  <c r="AD244" i="39"/>
  <c r="AE244" i="39"/>
  <c r="AH244" i="39"/>
  <c r="C245" i="39"/>
  <c r="H245" i="39"/>
  <c r="I245" i="39"/>
  <c r="J245" i="39"/>
  <c r="K245" i="39"/>
  <c r="L245" i="39"/>
  <c r="N245" i="39"/>
  <c r="AD245" i="39"/>
  <c r="AE245" i="39"/>
  <c r="AH245" i="39"/>
  <c r="C246" i="39"/>
  <c r="H246" i="39"/>
  <c r="I246" i="39"/>
  <c r="J246" i="39"/>
  <c r="K246" i="39"/>
  <c r="L246" i="39"/>
  <c r="N246" i="39"/>
  <c r="AD246" i="39"/>
  <c r="AE246" i="39"/>
  <c r="AH246" i="39"/>
  <c r="C247" i="39"/>
  <c r="H247" i="39"/>
  <c r="I247" i="39"/>
  <c r="J247" i="39"/>
  <c r="K247" i="39"/>
  <c r="L247" i="39"/>
  <c r="N247" i="39"/>
  <c r="AD247" i="39"/>
  <c r="AE247" i="39"/>
  <c r="AH247" i="39"/>
  <c r="C248" i="39"/>
  <c r="H248" i="39"/>
  <c r="I248" i="39"/>
  <c r="J248" i="39"/>
  <c r="K248" i="39"/>
  <c r="L248" i="39"/>
  <c r="N248" i="39"/>
  <c r="AD248" i="39"/>
  <c r="AE248" i="39"/>
  <c r="AH248" i="39"/>
  <c r="C249" i="39"/>
  <c r="H249" i="39"/>
  <c r="I249" i="39"/>
  <c r="J249" i="39"/>
  <c r="K249" i="39"/>
  <c r="L249" i="39"/>
  <c r="N249" i="39"/>
  <c r="AD249" i="39"/>
  <c r="AE249" i="39"/>
  <c r="AH249" i="39"/>
  <c r="C250" i="39"/>
  <c r="H250" i="39"/>
  <c r="I250" i="39"/>
  <c r="J250" i="39"/>
  <c r="K250" i="39"/>
  <c r="L250" i="39"/>
  <c r="N250" i="39"/>
  <c r="AD250" i="39"/>
  <c r="AE250" i="39"/>
  <c r="AH250" i="39"/>
  <c r="C251" i="39"/>
  <c r="H251" i="39"/>
  <c r="I251" i="39"/>
  <c r="J251" i="39"/>
  <c r="K251" i="39"/>
  <c r="L251" i="39"/>
  <c r="N251" i="39"/>
  <c r="AD251" i="39"/>
  <c r="AE251" i="39"/>
  <c r="AH251" i="39"/>
  <c r="C252" i="39"/>
  <c r="H252" i="39"/>
  <c r="I252" i="39"/>
  <c r="J252" i="39"/>
  <c r="K252" i="39"/>
  <c r="L252" i="39"/>
  <c r="N252" i="39"/>
  <c r="AD252" i="39"/>
  <c r="AE252" i="39"/>
  <c r="AH252" i="39"/>
  <c r="C253" i="39"/>
  <c r="H253" i="39"/>
  <c r="I253" i="39"/>
  <c r="J253" i="39"/>
  <c r="K253" i="39"/>
  <c r="L253" i="39"/>
  <c r="N253" i="39"/>
  <c r="AD253" i="39"/>
  <c r="AE253" i="39"/>
  <c r="AH253" i="39"/>
  <c r="C254" i="39"/>
  <c r="H254" i="39"/>
  <c r="I254" i="39"/>
  <c r="J254" i="39"/>
  <c r="K254" i="39"/>
  <c r="L254" i="39"/>
  <c r="N254" i="39"/>
  <c r="AD254" i="39"/>
  <c r="AE254" i="39"/>
  <c r="AH254" i="39"/>
  <c r="C255" i="39"/>
  <c r="H255" i="39"/>
  <c r="I255" i="39"/>
  <c r="J255" i="39"/>
  <c r="K255" i="39"/>
  <c r="L255" i="39"/>
  <c r="N255" i="39"/>
  <c r="AD255" i="39"/>
  <c r="AE255" i="39"/>
  <c r="AH255" i="39"/>
  <c r="C256" i="39"/>
  <c r="H256" i="39"/>
  <c r="I256" i="39"/>
  <c r="J256" i="39"/>
  <c r="K256" i="39"/>
  <c r="L256" i="39"/>
  <c r="N256" i="39"/>
  <c r="AD256" i="39"/>
  <c r="AE256" i="39"/>
  <c r="AH256" i="39"/>
  <c r="C257" i="39"/>
  <c r="H257" i="39"/>
  <c r="I257" i="39"/>
  <c r="J257" i="39"/>
  <c r="K257" i="39"/>
  <c r="L257" i="39"/>
  <c r="N257" i="39"/>
  <c r="AD257" i="39"/>
  <c r="AE257" i="39"/>
  <c r="AH257" i="39"/>
  <c r="C258" i="39"/>
  <c r="H258" i="39"/>
  <c r="I258" i="39"/>
  <c r="J258" i="39"/>
  <c r="K258" i="39"/>
  <c r="L258" i="39"/>
  <c r="AD258" i="39"/>
  <c r="AE258" i="39"/>
  <c r="AH258" i="39"/>
  <c r="C259" i="39"/>
  <c r="H259" i="39"/>
  <c r="I259" i="39"/>
  <c r="M259" i="39" s="1"/>
  <c r="J259" i="39"/>
  <c r="K259" i="39"/>
  <c r="L259" i="39"/>
  <c r="AF259" i="39" s="1"/>
  <c r="AD259" i="39"/>
  <c r="AE259" i="39"/>
  <c r="AH259" i="39"/>
  <c r="C260" i="39"/>
  <c r="H260" i="39"/>
  <c r="I260" i="39"/>
  <c r="J260" i="39"/>
  <c r="K260" i="39"/>
  <c r="L260" i="39"/>
  <c r="AD260" i="39"/>
  <c r="AE260" i="39"/>
  <c r="AH260" i="39"/>
  <c r="C261" i="39"/>
  <c r="H261" i="39"/>
  <c r="I261" i="39"/>
  <c r="J261" i="39"/>
  <c r="K261" i="39"/>
  <c r="L261" i="39"/>
  <c r="AD261" i="39"/>
  <c r="AE261" i="39"/>
  <c r="AH261" i="39"/>
  <c r="C262" i="39"/>
  <c r="H262" i="39"/>
  <c r="I262" i="39"/>
  <c r="J262" i="39"/>
  <c r="K262" i="39"/>
  <c r="L262" i="39"/>
  <c r="AD262" i="39"/>
  <c r="AE262" i="39"/>
  <c r="AH262" i="39"/>
  <c r="C263" i="39"/>
  <c r="H263" i="39"/>
  <c r="I263" i="39"/>
  <c r="J263" i="39"/>
  <c r="K263" i="39"/>
  <c r="L263" i="39"/>
  <c r="AD263" i="39"/>
  <c r="AE263" i="39"/>
  <c r="AH263" i="39"/>
  <c r="C264" i="39"/>
  <c r="H264" i="39"/>
  <c r="I264" i="39"/>
  <c r="J264" i="39"/>
  <c r="K264" i="39"/>
  <c r="L264" i="39"/>
  <c r="AD264" i="39"/>
  <c r="AE264" i="39"/>
  <c r="AH264" i="39"/>
  <c r="C265" i="39"/>
  <c r="H265" i="39"/>
  <c r="I265" i="39"/>
  <c r="J265" i="39"/>
  <c r="K265" i="39"/>
  <c r="L265" i="39"/>
  <c r="AD265" i="39"/>
  <c r="AE265" i="39"/>
  <c r="AH265" i="39"/>
  <c r="C266" i="39"/>
  <c r="H266" i="39"/>
  <c r="I266" i="39"/>
  <c r="J266" i="39"/>
  <c r="K266" i="39"/>
  <c r="L266" i="39"/>
  <c r="AD266" i="39"/>
  <c r="AE266" i="39"/>
  <c r="AH266" i="39"/>
  <c r="U12" i="36"/>
  <c r="U13" i="36" s="1"/>
  <c r="A773" i="39" l="1"/>
  <c r="M1007" i="39"/>
  <c r="M984" i="39"/>
  <c r="M1004" i="39"/>
  <c r="M950" i="39"/>
  <c r="M1010" i="39"/>
  <c r="M1011" i="39"/>
  <c r="M964" i="39"/>
  <c r="M970" i="39"/>
  <c r="M990" i="39"/>
  <c r="M987" i="39"/>
  <c r="M945" i="39"/>
  <c r="M985" i="39"/>
  <c r="M1005" i="39"/>
  <c r="M965" i="39"/>
  <c r="M988" i="39"/>
  <c r="M1008" i="39"/>
  <c r="M873" i="39"/>
  <c r="M1022" i="39"/>
  <c r="M968" i="39"/>
  <c r="M960" i="39"/>
  <c r="M1000" i="39"/>
  <c r="M975" i="39"/>
  <c r="M1020" i="39"/>
  <c r="M980" i="39"/>
  <c r="M963" i="39"/>
  <c r="M1015" i="39"/>
  <c r="M1003" i="39"/>
  <c r="M955" i="39"/>
  <c r="M995" i="39"/>
  <c r="M989" i="39"/>
  <c r="M810" i="39"/>
  <c r="M850" i="39"/>
  <c r="M890" i="39"/>
  <c r="M773" i="39"/>
  <c r="M962" i="39"/>
  <c r="M877" i="39"/>
  <c r="M811" i="39"/>
  <c r="M930" i="39"/>
  <c r="M842" i="39"/>
  <c r="M921" i="39"/>
  <c r="M972" i="39"/>
  <c r="M841" i="39"/>
  <c r="M926" i="39"/>
  <c r="M791" i="39"/>
  <c r="M790" i="39"/>
  <c r="M888" i="39"/>
  <c r="M893" i="39"/>
  <c r="M910" i="39"/>
  <c r="M929" i="39"/>
  <c r="M832" i="39"/>
  <c r="M778" i="39"/>
  <c r="M1017" i="39"/>
  <c r="M836" i="39"/>
  <c r="M938" i="39"/>
  <c r="M803" i="39"/>
  <c r="M907" i="39"/>
  <c r="M802" i="39"/>
  <c r="M992" i="39"/>
  <c r="M979" i="39"/>
  <c r="M831" i="39"/>
  <c r="M821" i="39"/>
  <c r="M824" i="39"/>
  <c r="M971" i="39"/>
  <c r="M785" i="39"/>
  <c r="M771" i="39"/>
  <c r="M833" i="39"/>
  <c r="M826" i="39"/>
  <c r="M770" i="39"/>
  <c r="M916" i="39"/>
  <c r="M862" i="39"/>
  <c r="M812" i="39"/>
  <c r="M978" i="39"/>
  <c r="M852" i="39"/>
  <c r="M949" i="39"/>
  <c r="M787" i="39"/>
  <c r="M801" i="39"/>
  <c r="M861" i="39"/>
  <c r="M881" i="39"/>
  <c r="M857" i="39"/>
  <c r="M897" i="39"/>
  <c r="M909" i="39"/>
  <c r="M853" i="39"/>
  <c r="M800" i="39"/>
  <c r="M839" i="39"/>
  <c r="M946" i="39"/>
  <c r="M1012" i="39"/>
  <c r="M903" i="39"/>
  <c r="M996" i="39"/>
  <c r="M914" i="39"/>
  <c r="M882" i="39"/>
  <c r="M974" i="39"/>
  <c r="M869" i="39"/>
  <c r="M973" i="39"/>
  <c r="M1023" i="39"/>
  <c r="M829" i="39"/>
  <c r="M911" i="39"/>
  <c r="M871" i="39"/>
  <c r="M931" i="39"/>
  <c r="M1001" i="39"/>
  <c r="M1021" i="39"/>
  <c r="M880" i="39"/>
  <c r="M782" i="39"/>
  <c r="M868" i="39"/>
  <c r="M901" i="39"/>
  <c r="M1006" i="39"/>
  <c r="M879" i="39"/>
  <c r="M954" i="39"/>
  <c r="M830" i="39"/>
  <c r="M807" i="39"/>
  <c r="M776" i="39"/>
  <c r="M902" i="39"/>
  <c r="M948" i="39"/>
  <c r="M875" i="39"/>
  <c r="M777" i="39"/>
  <c r="M983" i="39"/>
  <c r="M991" i="39"/>
  <c r="M891" i="39"/>
  <c r="M889" i="39"/>
  <c r="M951" i="39"/>
  <c r="M874" i="39"/>
  <c r="M986" i="39"/>
  <c r="M894" i="39"/>
  <c r="M947" i="39"/>
  <c r="M1025" i="39"/>
  <c r="M789" i="39"/>
  <c r="M863" i="39"/>
  <c r="M781" i="39"/>
  <c r="M775" i="39"/>
  <c r="M819" i="39"/>
  <c r="M936" i="39"/>
  <c r="M912" i="39"/>
  <c r="M855" i="39"/>
  <c r="M827" i="39"/>
  <c r="M896" i="39"/>
  <c r="M941" i="39"/>
  <c r="M804" i="39"/>
  <c r="M858" i="39"/>
  <c r="M895" i="39"/>
  <c r="M1002" i="39"/>
  <c r="M934" i="39"/>
  <c r="M993" i="39"/>
  <c r="M866" i="39"/>
  <c r="M851" i="39"/>
  <c r="M923" i="39"/>
  <c r="M940" i="39"/>
  <c r="M786" i="39"/>
  <c r="M920" i="39"/>
  <c r="M925" i="39"/>
  <c r="M848" i="39"/>
  <c r="M808" i="39"/>
  <c r="M796" i="39"/>
  <c r="M887" i="39"/>
  <c r="M943" i="39"/>
  <c r="M927" i="39"/>
  <c r="M905" i="39"/>
  <c r="M795" i="39"/>
  <c r="M1031" i="39"/>
  <c r="M899" i="39"/>
  <c r="M872" i="39"/>
  <c r="M944" i="39"/>
  <c r="M1014" i="39"/>
  <c r="M844" i="39"/>
  <c r="M924" i="39"/>
  <c r="M900" i="39"/>
  <c r="M886" i="39"/>
  <c r="M818" i="39"/>
  <c r="M999" i="39"/>
  <c r="M1028" i="39"/>
  <c r="M805" i="39"/>
  <c r="M1018" i="39"/>
  <c r="M928" i="39"/>
  <c r="M1009" i="39"/>
  <c r="M859" i="39"/>
  <c r="M952" i="39"/>
  <c r="M876" i="39"/>
  <c r="M854" i="39"/>
  <c r="M898" i="39"/>
  <c r="M919" i="39"/>
  <c r="M961" i="39"/>
  <c r="M906" i="39"/>
  <c r="M1024" i="39"/>
  <c r="M967" i="39"/>
  <c r="M846" i="39"/>
  <c r="M994" i="39"/>
  <c r="M933" i="39"/>
  <c r="M798" i="39"/>
  <c r="M840" i="39"/>
  <c r="M814" i="39"/>
  <c r="M867" i="39"/>
  <c r="M799" i="39"/>
  <c r="M847" i="39"/>
  <c r="M1026" i="39"/>
  <c r="M823" i="39"/>
  <c r="M939" i="39"/>
  <c r="M966" i="39"/>
  <c r="M828" i="39"/>
  <c r="M1019" i="39"/>
  <c r="M957" i="39"/>
  <c r="M932" i="39"/>
  <c r="M917" i="39"/>
  <c r="M865" i="39"/>
  <c r="M797" i="39"/>
  <c r="M835" i="39"/>
  <c r="M856" i="39"/>
  <c r="M834" i="39"/>
  <c r="M780" i="39"/>
  <c r="M845" i="39"/>
  <c r="M788" i="39"/>
  <c r="M813" i="39"/>
  <c r="M1016" i="39"/>
  <c r="M825" i="39"/>
  <c r="M969" i="39"/>
  <c r="M1029" i="39"/>
  <c r="M849" i="39"/>
  <c r="M870" i="39"/>
  <c r="M792" i="39"/>
  <c r="M779" i="39"/>
  <c r="M878" i="39"/>
  <c r="M817" i="39"/>
  <c r="M953" i="39"/>
  <c r="M958" i="39"/>
  <c r="M843" i="39"/>
  <c r="M809" i="39"/>
  <c r="M942" i="39"/>
  <c r="M793" i="39"/>
  <c r="M806" i="39"/>
  <c r="M1032" i="39"/>
  <c r="M956" i="39"/>
  <c r="M922" i="39"/>
  <c r="M1027" i="39"/>
  <c r="M774" i="39"/>
  <c r="M998" i="39"/>
  <c r="M976" i="39"/>
  <c r="M904" i="39"/>
  <c r="M772" i="39"/>
  <c r="M913" i="39"/>
  <c r="M1013" i="39"/>
  <c r="M908" i="39"/>
  <c r="M783" i="39"/>
  <c r="M815" i="39"/>
  <c r="M892" i="39"/>
  <c r="M820" i="39"/>
  <c r="M1030" i="39"/>
  <c r="M816" i="39"/>
  <c r="M822" i="39"/>
  <c r="M982" i="39"/>
  <c r="M860" i="39"/>
  <c r="M784" i="39"/>
  <c r="M977" i="39"/>
  <c r="M837" i="39"/>
  <c r="M959" i="39"/>
  <c r="M794" i="39"/>
  <c r="M918" i="39"/>
  <c r="M864" i="39"/>
  <c r="M885" i="39"/>
  <c r="M937" i="39"/>
  <c r="M915" i="39"/>
  <c r="M997" i="39"/>
  <c r="M884" i="39"/>
  <c r="M838" i="39"/>
  <c r="M883" i="39"/>
  <c r="M935" i="39"/>
  <c r="M981" i="39"/>
  <c r="AF191" i="39"/>
  <c r="AF527" i="39"/>
  <c r="AG527" i="39" s="1"/>
  <c r="AF562" i="39"/>
  <c r="M597" i="39"/>
  <c r="AF610" i="39"/>
  <c r="AF1360" i="39"/>
  <c r="AF1061" i="39"/>
  <c r="AG1061" i="39" s="1"/>
  <c r="AG1140" i="39"/>
  <c r="AF1296" i="39"/>
  <c r="AG1296" i="39" s="1"/>
  <c r="AF1314" i="39"/>
  <c r="AG1314" i="39" s="1"/>
  <c r="AF1369" i="39"/>
  <c r="AG1369" i="39" s="1"/>
  <c r="AF523" i="39"/>
  <c r="AG523" i="39" s="1"/>
  <c r="AF593" i="39"/>
  <c r="AG593" i="39" s="1"/>
  <c r="AF1095" i="39"/>
  <c r="AG1095" i="39" s="1"/>
  <c r="AF1331" i="39"/>
  <c r="AG1331" i="39" s="1"/>
  <c r="AF1390" i="39"/>
  <c r="AG1390" i="39" s="1"/>
  <c r="AF226" i="39"/>
  <c r="AF195" i="39"/>
  <c r="AF510" i="39"/>
  <c r="AG510" i="39" s="1"/>
  <c r="M628" i="39"/>
  <c r="AF1127" i="39"/>
  <c r="AG1127" i="39" s="1"/>
  <c r="AF137" i="39"/>
  <c r="AF554" i="39"/>
  <c r="AG554" i="39" s="1"/>
  <c r="AF611" i="39"/>
  <c r="AG611" i="39" s="1"/>
  <c r="AF1082" i="39"/>
  <c r="AF1109" i="39"/>
  <c r="AG1109" i="39" s="1"/>
  <c r="AF1140" i="39"/>
  <c r="AF1149" i="39"/>
  <c r="AG1149" i="39" s="1"/>
  <c r="AF1208" i="39"/>
  <c r="AG1082" i="39"/>
  <c r="AG1226" i="39"/>
  <c r="AF567" i="39"/>
  <c r="AG567" i="39" s="1"/>
  <c r="M146" i="39"/>
  <c r="AF602" i="39"/>
  <c r="AF1114" i="39"/>
  <c r="AF633" i="39"/>
  <c r="AG633" i="39" s="1"/>
  <c r="AF1105" i="39"/>
  <c r="AF1136" i="39"/>
  <c r="AG572" i="39"/>
  <c r="AF190" i="39"/>
  <c r="AG190" i="39" s="1"/>
  <c r="AG186" i="39"/>
  <c r="AF1262" i="39"/>
  <c r="AG1262" i="39" s="1"/>
  <c r="AF1266" i="39"/>
  <c r="AG1266" i="39" s="1"/>
  <c r="M515" i="39"/>
  <c r="AF528" i="39"/>
  <c r="AG528" i="39" s="1"/>
  <c r="M177" i="39"/>
  <c r="AF159" i="39"/>
  <c r="AG159" i="39" s="1"/>
  <c r="M616" i="39"/>
  <c r="AG1154" i="39"/>
  <c r="AF1123" i="39"/>
  <c r="AG1123" i="39" s="1"/>
  <c r="AF1297" i="39"/>
  <c r="AG1297" i="39" s="1"/>
  <c r="AF1345" i="39"/>
  <c r="AG1345" i="39" s="1"/>
  <c r="AG1366" i="39"/>
  <c r="M156" i="39"/>
  <c r="AF221" i="39"/>
  <c r="AG221" i="39" s="1"/>
  <c r="M533" i="39"/>
  <c r="AF1049" i="39"/>
  <c r="AG1049" i="39" s="1"/>
  <c r="AF1328" i="39"/>
  <c r="AF1306" i="39"/>
  <c r="AG1106" i="39"/>
  <c r="AF1366" i="39"/>
  <c r="AF246" i="39"/>
  <c r="AF1033" i="39"/>
  <c r="AF238" i="39"/>
  <c r="AF507" i="39"/>
  <c r="AF542" i="39"/>
  <c r="M586" i="39"/>
  <c r="AF603" i="39"/>
  <c r="M625" i="39"/>
  <c r="AF1075" i="39"/>
  <c r="AF1193" i="39"/>
  <c r="AG1193" i="39" s="1"/>
  <c r="AF1280" i="39"/>
  <c r="AF1341" i="39"/>
  <c r="AF1088" i="39"/>
  <c r="AG1102" i="39"/>
  <c r="AF1146" i="39"/>
  <c r="AG1146" i="39" s="1"/>
  <c r="AF1164" i="39"/>
  <c r="AG1164" i="39" s="1"/>
  <c r="AF167" i="39"/>
  <c r="AG167" i="39" s="1"/>
  <c r="AF1115" i="39"/>
  <c r="AG1210" i="39"/>
  <c r="AG1392" i="39"/>
  <c r="AF573" i="39"/>
  <c r="AG573" i="39" s="1"/>
  <c r="AF621" i="39"/>
  <c r="AG621" i="39" s="1"/>
  <c r="M630" i="39"/>
  <c r="AF176" i="39"/>
  <c r="AG176" i="39" s="1"/>
  <c r="AF534" i="39"/>
  <c r="AG534" i="39" s="1"/>
  <c r="AF1124" i="39"/>
  <c r="AG1124" i="39" s="1"/>
  <c r="AF1223" i="39"/>
  <c r="AG1223" i="39" s="1"/>
  <c r="AF1337" i="39"/>
  <c r="AF1346" i="39"/>
  <c r="AG1346" i="39" s="1"/>
  <c r="AF512" i="39"/>
  <c r="AG512" i="39" s="1"/>
  <c r="AF1142" i="39"/>
  <c r="AG1142" i="39" s="1"/>
  <c r="AF1329" i="39"/>
  <c r="AG1329" i="39" s="1"/>
  <c r="AF1333" i="39"/>
  <c r="AG1333" i="39" s="1"/>
  <c r="AF1392" i="39"/>
  <c r="AF1102" i="39"/>
  <c r="AF206" i="39"/>
  <c r="AF547" i="39"/>
  <c r="AG547" i="39" s="1"/>
  <c r="AF622" i="39"/>
  <c r="AF1111" i="39"/>
  <c r="AG1111" i="39" s="1"/>
  <c r="AF1151" i="39"/>
  <c r="AG1151" i="39" s="1"/>
  <c r="AF1169" i="39"/>
  <c r="AF1316" i="39"/>
  <c r="AF1367" i="39"/>
  <c r="AF1129" i="39"/>
  <c r="AF508" i="39"/>
  <c r="AG508" i="39" s="1"/>
  <c r="AF604" i="39"/>
  <c r="AG604" i="39" s="1"/>
  <c r="AF626" i="39"/>
  <c r="AG626" i="39" s="1"/>
  <c r="AF574" i="39"/>
  <c r="AF613" i="39"/>
  <c r="AG613" i="39" s="1"/>
  <c r="AG1098" i="39"/>
  <c r="AF1103" i="39"/>
  <c r="AF1147" i="39"/>
  <c r="AF1290" i="39"/>
  <c r="AF1294" i="39"/>
  <c r="AG1294" i="39" s="1"/>
  <c r="AF1372" i="39"/>
  <c r="AG1372" i="39" s="1"/>
  <c r="AF1125" i="39"/>
  <c r="AG1125" i="39" s="1"/>
  <c r="AF1338" i="39"/>
  <c r="AG1359" i="39"/>
  <c r="AF152" i="39"/>
  <c r="AF526" i="39"/>
  <c r="AG526" i="39" s="1"/>
  <c r="AF552" i="39"/>
  <c r="AF600" i="39"/>
  <c r="AG600" i="39" s="1"/>
  <c r="AF1161" i="39"/>
  <c r="AG1161" i="39" s="1"/>
  <c r="AF1308" i="39"/>
  <c r="AF531" i="39"/>
  <c r="AG531" i="39" s="1"/>
  <c r="AF1090" i="39"/>
  <c r="AG1090" i="39" s="1"/>
  <c r="AF1148" i="39"/>
  <c r="AG1148" i="39" s="1"/>
  <c r="AF1191" i="39"/>
  <c r="AG1191" i="39" s="1"/>
  <c r="AF1035" i="39"/>
  <c r="AG1035" i="39" s="1"/>
  <c r="AF1117" i="39"/>
  <c r="AG1117" i="39" s="1"/>
  <c r="AG1364" i="39"/>
  <c r="AF245" i="39"/>
  <c r="AG245" i="39" s="1"/>
  <c r="AF227" i="39"/>
  <c r="AF627" i="39"/>
  <c r="AG1179" i="39"/>
  <c r="AF1187" i="39"/>
  <c r="AF1278" i="39"/>
  <c r="AF1300" i="39"/>
  <c r="AG1300" i="39" s="1"/>
  <c r="M218" i="39"/>
  <c r="M540" i="39"/>
  <c r="AF544" i="39"/>
  <c r="AG544" i="39" s="1"/>
  <c r="AF566" i="39"/>
  <c r="AF1309" i="39"/>
  <c r="AG1309" i="39" s="1"/>
  <c r="AF1256" i="39"/>
  <c r="AG1256" i="39" s="1"/>
  <c r="M193" i="39"/>
  <c r="M553" i="39"/>
  <c r="M555" i="39"/>
  <c r="AG227" i="39"/>
  <c r="AG1114" i="39"/>
  <c r="AG590" i="39"/>
  <c r="AF1057" i="39"/>
  <c r="AG1057" i="39" s="1"/>
  <c r="AF1099" i="39"/>
  <c r="AG1099" i="39" s="1"/>
  <c r="AF1213" i="39"/>
  <c r="AG1213" i="39" s="1"/>
  <c r="AG1222" i="39"/>
  <c r="AG1326" i="39"/>
  <c r="AF213" i="39"/>
  <c r="AG213" i="39" s="1"/>
  <c r="AF1066" i="39"/>
  <c r="AG1066" i="39" s="1"/>
  <c r="AF1070" i="39"/>
  <c r="AG1070" i="39" s="1"/>
  <c r="AG1078" i="39"/>
  <c r="AF1104" i="39"/>
  <c r="AG1104" i="39" s="1"/>
  <c r="AG1121" i="39"/>
  <c r="AG1209" i="39"/>
  <c r="AF1317" i="39"/>
  <c r="AG1317" i="39" s="1"/>
  <c r="AG1343" i="39"/>
  <c r="AF1347" i="39"/>
  <c r="AG1347" i="39" s="1"/>
  <c r="AF1351" i="39"/>
  <c r="AG1351" i="39" s="1"/>
  <c r="AF1355" i="39"/>
  <c r="AG1355" i="39" s="1"/>
  <c r="AF230" i="39"/>
  <c r="AG230" i="39" s="1"/>
  <c r="AF1143" i="39"/>
  <c r="AG1143" i="39" s="1"/>
  <c r="AF1222" i="39"/>
  <c r="AF1261" i="39"/>
  <c r="AG1261" i="39" s="1"/>
  <c r="AF1270" i="39"/>
  <c r="AF1326" i="39"/>
  <c r="AF1330" i="39"/>
  <c r="AG1330" i="39" s="1"/>
  <c r="AF1334" i="39"/>
  <c r="AG1334" i="39" s="1"/>
  <c r="M627" i="39"/>
  <c r="AF514" i="39"/>
  <c r="AG514" i="39" s="1"/>
  <c r="AF199" i="39"/>
  <c r="AF518" i="39"/>
  <c r="AG518" i="39" s="1"/>
  <c r="AF556" i="39"/>
  <c r="AF586" i="39"/>
  <c r="AG586" i="39" s="1"/>
  <c r="AG603" i="39"/>
  <c r="AG632" i="39"/>
  <c r="AF1045" i="39"/>
  <c r="AG1045" i="39" s="1"/>
  <c r="AF1091" i="39"/>
  <c r="AG1091" i="39" s="1"/>
  <c r="AF1230" i="39"/>
  <c r="AG1230" i="39" s="1"/>
  <c r="AF1283" i="39"/>
  <c r="AG1283" i="39" s="1"/>
  <c r="AG1322" i="39"/>
  <c r="AG556" i="39"/>
  <c r="AF560" i="39"/>
  <c r="AG560" i="39" s="1"/>
  <c r="AF598" i="39"/>
  <c r="AG598" i="39" s="1"/>
  <c r="AF582" i="39"/>
  <c r="AF607" i="39"/>
  <c r="AG607" i="39" s="1"/>
  <c r="AF1078" i="39"/>
  <c r="AF1121" i="39"/>
  <c r="AF1130" i="39"/>
  <c r="AG1130" i="39" s="1"/>
  <c r="AF1209" i="39"/>
  <c r="AF1257" i="39"/>
  <c r="AG1257" i="39" s="1"/>
  <c r="AF1343" i="39"/>
  <c r="AF1368" i="39"/>
  <c r="AG1368" i="39" s="1"/>
  <c r="AG246" i="39"/>
  <c r="AF212" i="39"/>
  <c r="AG212" i="39" s="1"/>
  <c r="AF164" i="39"/>
  <c r="AG164" i="39" s="1"/>
  <c r="AF548" i="39"/>
  <c r="AG548" i="39" s="1"/>
  <c r="AF636" i="39"/>
  <c r="AG636" i="39" s="1"/>
  <c r="AF1062" i="39"/>
  <c r="AG1062" i="39" s="1"/>
  <c r="AF1113" i="39"/>
  <c r="AG1113" i="39" s="1"/>
  <c r="AF1134" i="39"/>
  <c r="AG1134" i="39" s="1"/>
  <c r="AF1160" i="39"/>
  <c r="AG1160" i="39" s="1"/>
  <c r="AF1173" i="39"/>
  <c r="AF1177" i="39"/>
  <c r="AG1177" i="39" s="1"/>
  <c r="AF1218" i="39"/>
  <c r="AG1292" i="39"/>
  <c r="AF1313" i="39"/>
  <c r="AG1313" i="39" s="1"/>
  <c r="AF1381" i="39"/>
  <c r="AG1381" i="39" s="1"/>
  <c r="AF1385" i="39"/>
  <c r="AG1385" i="39" s="1"/>
  <c r="AF1389" i="39"/>
  <c r="AG1389" i="39" s="1"/>
  <c r="AG1189" i="39"/>
  <c r="AG1214" i="39"/>
  <c r="AF1318" i="39"/>
  <c r="AG1318" i="39" s="1"/>
  <c r="AF229" i="39"/>
  <c r="AG229" i="39" s="1"/>
  <c r="AF620" i="39"/>
  <c r="AG620" i="39" s="1"/>
  <c r="AF1037" i="39"/>
  <c r="AG1037" i="39" s="1"/>
  <c r="AF1041" i="39"/>
  <c r="AG1105" i="39"/>
  <c r="AG1139" i="39"/>
  <c r="AG1182" i="39"/>
  <c r="AF1305" i="39"/>
  <c r="AG1305" i="39" s="1"/>
  <c r="AF1339" i="39"/>
  <c r="AG1339" i="39" s="1"/>
  <c r="AG1373" i="39"/>
  <c r="AG1075" i="39"/>
  <c r="AG1169" i="39"/>
  <c r="AF1197" i="39"/>
  <c r="AG1197" i="39" s="1"/>
  <c r="AF1201" i="39"/>
  <c r="AG1201" i="39" s="1"/>
  <c r="AF1205" i="39"/>
  <c r="AG1205" i="39" s="1"/>
  <c r="AF1335" i="39"/>
  <c r="AG1335" i="39" s="1"/>
  <c r="AG1348" i="39"/>
  <c r="AG1352" i="39"/>
  <c r="AG1360" i="39"/>
  <c r="AF506" i="39"/>
  <c r="AG506" i="39" s="1"/>
  <c r="AF561" i="39"/>
  <c r="AG561" i="39" s="1"/>
  <c r="AG574" i="39"/>
  <c r="AF578" i="39"/>
  <c r="AG578" i="39" s="1"/>
  <c r="AF591" i="39"/>
  <c r="AG591" i="39" s="1"/>
  <c r="AF595" i="39"/>
  <c r="AG595" i="39" s="1"/>
  <c r="AG612" i="39"/>
  <c r="AF1214" i="39"/>
  <c r="AG1344" i="39"/>
  <c r="AG583" i="39"/>
  <c r="M632" i="39"/>
  <c r="AF1067" i="39"/>
  <c r="AF1126" i="39"/>
  <c r="AG1126" i="39" s="1"/>
  <c r="AF1284" i="39"/>
  <c r="AG1284" i="39" s="1"/>
  <c r="AF1348" i="39"/>
  <c r="AF1352" i="39"/>
  <c r="AF1356" i="39"/>
  <c r="M503" i="39"/>
  <c r="M183" i="39"/>
  <c r="AF540" i="39"/>
  <c r="AG540" i="39" s="1"/>
  <c r="AF207" i="39"/>
  <c r="AF203" i="39"/>
  <c r="AG203" i="39" s="1"/>
  <c r="AG532" i="39"/>
  <c r="AF1050" i="39"/>
  <c r="AG1288" i="39"/>
  <c r="M527" i="39"/>
  <c r="AF616" i="39"/>
  <c r="AG616" i="39" s="1"/>
  <c r="AF519" i="39"/>
  <c r="AF511" i="39"/>
  <c r="AG511" i="39" s="1"/>
  <c r="AF557" i="39"/>
  <c r="AG557" i="39" s="1"/>
  <c r="AF241" i="39"/>
  <c r="AG241" i="39" s="1"/>
  <c r="AG207" i="39"/>
  <c r="AF587" i="39"/>
  <c r="AG587" i="39" s="1"/>
  <c r="AF1046" i="39"/>
  <c r="AG1046" i="39" s="1"/>
  <c r="AF1054" i="39"/>
  <c r="AG1054" i="39" s="1"/>
  <c r="AG1088" i="39"/>
  <c r="AG1092" i="39"/>
  <c r="AF1135" i="39"/>
  <c r="AG1135" i="39" s="1"/>
  <c r="AG1190" i="39"/>
  <c r="AF1227" i="39"/>
  <c r="AG1227" i="39" s="1"/>
  <c r="AG1258" i="39"/>
  <c r="AG1280" i="39"/>
  <c r="AF1344" i="39"/>
  <c r="M624" i="39"/>
  <c r="AF257" i="39"/>
  <c r="AG257" i="39" s="1"/>
  <c r="AF249" i="39"/>
  <c r="AF150" i="39"/>
  <c r="AG150" i="39" s="1"/>
  <c r="AF536" i="39"/>
  <c r="AG536" i="39" s="1"/>
  <c r="AF549" i="39"/>
  <c r="AG549" i="39" s="1"/>
  <c r="M1038" i="39"/>
  <c r="AF1063" i="39"/>
  <c r="AF1079" i="39"/>
  <c r="AG1079" i="39" s="1"/>
  <c r="AG1131" i="39"/>
  <c r="AF1267" i="39"/>
  <c r="AF1301" i="39"/>
  <c r="AG1301" i="39" s="1"/>
  <c r="AF1310" i="39"/>
  <c r="AG1310" i="39" s="1"/>
  <c r="AF1083" i="39"/>
  <c r="AG1083" i="39" s="1"/>
  <c r="AF1144" i="39"/>
  <c r="AG1144" i="39" s="1"/>
  <c r="AG1198" i="39"/>
  <c r="AG1202" i="39"/>
  <c r="AG1215" i="39"/>
  <c r="AF1271" i="39"/>
  <c r="AG1271" i="39" s="1"/>
  <c r="AF1323" i="39"/>
  <c r="AG1323" i="39" s="1"/>
  <c r="AF1378" i="39"/>
  <c r="AG1378" i="39" s="1"/>
  <c r="AF1382" i="39"/>
  <c r="AG1382" i="39" s="1"/>
  <c r="AF1386" i="39"/>
  <c r="AG1386" i="39" s="1"/>
  <c r="AG1374" i="39"/>
  <c r="AG552" i="39"/>
  <c r="AF1034" i="39"/>
  <c r="AG1034" i="39" s="1"/>
  <c r="AF1038" i="39"/>
  <c r="AF1042" i="39"/>
  <c r="AG1042" i="39" s="1"/>
  <c r="AF1170" i="39"/>
  <c r="AG1170" i="39" s="1"/>
  <c r="AF1194" i="39"/>
  <c r="AG1194" i="39" s="1"/>
  <c r="AF1206" i="39"/>
  <c r="AG1206" i="39" s="1"/>
  <c r="AG1306" i="39"/>
  <c r="AF1361" i="39"/>
  <c r="AG1361" i="39" s="1"/>
  <c r="AF193" i="39"/>
  <c r="AG193" i="39" s="1"/>
  <c r="AF524" i="39"/>
  <c r="AG524" i="39" s="1"/>
  <c r="AF575" i="39"/>
  <c r="AG575" i="39" s="1"/>
  <c r="AF1059" i="39"/>
  <c r="M1068" i="39"/>
  <c r="AF1153" i="39"/>
  <c r="AF1174" i="39"/>
  <c r="AG1174" i="39" s="1"/>
  <c r="AG1187" i="39"/>
  <c r="AF1198" i="39"/>
  <c r="AF1202" i="39"/>
  <c r="AF1215" i="39"/>
  <c r="AG1328" i="39"/>
  <c r="AF1374" i="39"/>
  <c r="AG507" i="39"/>
  <c r="AG566" i="39"/>
  <c r="AG1076" i="39"/>
  <c r="AF1157" i="39"/>
  <c r="AG1157" i="39" s="1"/>
  <c r="AG1232" i="39"/>
  <c r="AF1072" i="39"/>
  <c r="AG1072" i="39" s="1"/>
  <c r="AF1097" i="39"/>
  <c r="AG1097" i="39" s="1"/>
  <c r="AF1183" i="39"/>
  <c r="AG1183" i="39" s="1"/>
  <c r="AG1224" i="39"/>
  <c r="AF1276" i="39"/>
  <c r="AG1276" i="39" s="1"/>
  <c r="AF1068" i="39"/>
  <c r="AG1068" i="39" s="1"/>
  <c r="AF1263" i="39"/>
  <c r="AG1263" i="39" s="1"/>
  <c r="AG1324" i="39"/>
  <c r="AF1336" i="39"/>
  <c r="AG1336" i="39" s="1"/>
  <c r="AF1349" i="39"/>
  <c r="AG1349" i="39" s="1"/>
  <c r="AF1353" i="39"/>
  <c r="AG1353" i="39" s="1"/>
  <c r="AF1357" i="39"/>
  <c r="AG1357" i="39" s="1"/>
  <c r="AF541" i="39"/>
  <c r="AG541" i="39" s="1"/>
  <c r="AG592" i="39"/>
  <c r="M604" i="39"/>
  <c r="AF558" i="39"/>
  <c r="AG558" i="39" s="1"/>
  <c r="AF180" i="39"/>
  <c r="AF1055" i="39"/>
  <c r="AG1055" i="39" s="1"/>
  <c r="AF1093" i="39"/>
  <c r="AG1093" i="39" s="1"/>
  <c r="AF1119" i="39"/>
  <c r="AG1119" i="39" s="1"/>
  <c r="AF1332" i="39"/>
  <c r="AG1332" i="39" s="1"/>
  <c r="AF1370" i="39"/>
  <c r="AG1370" i="39" s="1"/>
  <c r="AF184" i="39"/>
  <c r="AG184" i="39" s="1"/>
  <c r="AF596" i="39"/>
  <c r="AF210" i="39"/>
  <c r="AG210" i="39" s="1"/>
  <c r="AF537" i="39"/>
  <c r="AG537" i="39" s="1"/>
  <c r="AF588" i="39"/>
  <c r="AG588" i="39" s="1"/>
  <c r="AF634" i="39"/>
  <c r="AG634" i="39" s="1"/>
  <c r="AF1047" i="39"/>
  <c r="AG1047" i="39" s="1"/>
  <c r="AF1064" i="39"/>
  <c r="AG1064" i="39" s="1"/>
  <c r="AF1132" i="39"/>
  <c r="AG1132" i="39" s="1"/>
  <c r="AF1272" i="39"/>
  <c r="AF1324" i="39"/>
  <c r="AG1341" i="39"/>
  <c r="AF149" i="39"/>
  <c r="AF144" i="39"/>
  <c r="AG144" i="39" s="1"/>
  <c r="AG563" i="39"/>
  <c r="AF584" i="39"/>
  <c r="AG584" i="39" s="1"/>
  <c r="AF1145" i="39"/>
  <c r="AG1145" i="39" s="1"/>
  <c r="AF1166" i="39"/>
  <c r="AG1166" i="39" s="1"/>
  <c r="AG1175" i="39"/>
  <c r="AG1195" i="39"/>
  <c r="AG1216" i="39"/>
  <c r="AG1268" i="39"/>
  <c r="AF1285" i="39"/>
  <c r="AG1285" i="39" s="1"/>
  <c r="AF256" i="39"/>
  <c r="AG256" i="39" s="1"/>
  <c r="AF550" i="39"/>
  <c r="AG550" i="39" s="1"/>
  <c r="AF236" i="39"/>
  <c r="AG236" i="39" s="1"/>
  <c r="M232" i="39"/>
  <c r="AF175" i="39"/>
  <c r="AG175" i="39" s="1"/>
  <c r="AF516" i="39"/>
  <c r="AG516" i="39" s="1"/>
  <c r="AF529" i="39"/>
  <c r="AG529" i="39" s="1"/>
  <c r="AG601" i="39"/>
  <c r="AF1128" i="39"/>
  <c r="AG1128" i="39" s="1"/>
  <c r="AG1141" i="39"/>
  <c r="AG1199" i="39"/>
  <c r="AG1203" i="39"/>
  <c r="AF1281" i="39"/>
  <c r="AG1281" i="39" s="1"/>
  <c r="AF1379" i="39"/>
  <c r="AG1379" i="39" s="1"/>
  <c r="AF1383" i="39"/>
  <c r="AG1383" i="39" s="1"/>
  <c r="AF1387" i="39"/>
  <c r="AG1387" i="39" s="1"/>
  <c r="AF1264" i="39"/>
  <c r="AG1264" i="39" s="1"/>
  <c r="AF1307" i="39"/>
  <c r="AF1391" i="39"/>
  <c r="AG1391" i="39" s="1"/>
  <c r="AG618" i="39"/>
  <c r="AF546" i="39"/>
  <c r="AG546" i="39" s="1"/>
  <c r="AF580" i="39"/>
  <c r="AG580" i="39" s="1"/>
  <c r="AF1039" i="39"/>
  <c r="AG1039" i="39" s="1"/>
  <c r="AF1043" i="39"/>
  <c r="AG1043" i="39" s="1"/>
  <c r="AF1060" i="39"/>
  <c r="AG1060" i="39" s="1"/>
  <c r="AF1073" i="39"/>
  <c r="AG1073" i="39" s="1"/>
  <c r="AG1171" i="39"/>
  <c r="AF1195" i="39"/>
  <c r="AF1212" i="39"/>
  <c r="AG1212" i="39" s="1"/>
  <c r="AG1307" i="39"/>
  <c r="AF1311" i="39"/>
  <c r="AG1311" i="39" s="1"/>
  <c r="AG1337" i="39"/>
  <c r="AF1358" i="39"/>
  <c r="AG1358" i="39" s="1"/>
  <c r="AG1362" i="39"/>
  <c r="AG152" i="39"/>
  <c r="AF551" i="39"/>
  <c r="AG551" i="39" s="1"/>
  <c r="M592" i="39"/>
  <c r="AF614" i="39"/>
  <c r="AG614" i="39" s="1"/>
  <c r="AF1107" i="39"/>
  <c r="AG1107" i="39" s="1"/>
  <c r="AF1298" i="39"/>
  <c r="AG1298" i="39" s="1"/>
  <c r="AF1320" i="39"/>
  <c r="AG1320" i="39" s="1"/>
  <c r="AG1350" i="39"/>
  <c r="AG1354" i="39"/>
  <c r="AF1375" i="39"/>
  <c r="AG1375" i="39" s="1"/>
  <c r="AF231" i="39"/>
  <c r="AG231" i="39" s="1"/>
  <c r="AF618" i="39"/>
  <c r="AG630" i="39"/>
  <c r="AF1167" i="39"/>
  <c r="AG1167" i="39" s="1"/>
  <c r="AF1233" i="39"/>
  <c r="AG1233" i="39" s="1"/>
  <c r="AF1277" i="39"/>
  <c r="AG1277" i="39" s="1"/>
  <c r="AG1316" i="39"/>
  <c r="AF1362" i="39"/>
  <c r="AF223" i="39"/>
  <c r="AG223" i="39" s="1"/>
  <c r="AG166" i="39"/>
  <c r="AF521" i="39"/>
  <c r="AG521" i="39" s="1"/>
  <c r="M626" i="39"/>
  <c r="AF576" i="39"/>
  <c r="AG576" i="39" s="1"/>
  <c r="AF1052" i="39"/>
  <c r="AG1052" i="39" s="1"/>
  <c r="AF1056" i="39"/>
  <c r="AF1069" i="39"/>
  <c r="AG1069" i="39" s="1"/>
  <c r="AF1229" i="39"/>
  <c r="AG1229" i="39" s="1"/>
  <c r="AF1350" i="39"/>
  <c r="AF1354" i="39"/>
  <c r="AF1371" i="39"/>
  <c r="AG1371" i="39" s="1"/>
  <c r="AG179" i="39"/>
  <c r="AF538" i="39"/>
  <c r="AF1065" i="39"/>
  <c r="AG1065" i="39" s="1"/>
  <c r="AF1085" i="39"/>
  <c r="AG1085" i="39" s="1"/>
  <c r="AF1120" i="39"/>
  <c r="AG1120" i="39" s="1"/>
  <c r="AF1133" i="39"/>
  <c r="AG1133" i="39" s="1"/>
  <c r="AF1137" i="39"/>
  <c r="AG1137" i="39" s="1"/>
  <c r="AF1180" i="39"/>
  <c r="AG1180" i="39" s="1"/>
  <c r="AG1208" i="39"/>
  <c r="AG1367" i="39"/>
  <c r="AF635" i="39"/>
  <c r="AG635" i="39" s="1"/>
  <c r="AF239" i="39"/>
  <c r="AG239" i="39" s="1"/>
  <c r="AF530" i="39"/>
  <c r="AG530" i="39" s="1"/>
  <c r="AG581" i="39"/>
  <c r="AF1044" i="39"/>
  <c r="AG1044" i="39" s="1"/>
  <c r="AF1048" i="39"/>
  <c r="AG1048" i="39" s="1"/>
  <c r="AG1176" i="39"/>
  <c r="AF1269" i="39"/>
  <c r="AG1269" i="39" s="1"/>
  <c r="AF1273" i="39"/>
  <c r="AG1273" i="39" s="1"/>
  <c r="AF1303" i="39"/>
  <c r="AG1303" i="39" s="1"/>
  <c r="AG1325" i="39"/>
  <c r="AF187" i="39"/>
  <c r="AG187" i="39" s="1"/>
  <c r="AG623" i="39"/>
  <c r="AG627" i="39"/>
  <c r="AF631" i="39"/>
  <c r="AG631" i="39" s="1"/>
  <c r="AF517" i="39"/>
  <c r="AG517" i="39" s="1"/>
  <c r="AG1040" i="39"/>
  <c r="AF1081" i="39"/>
  <c r="AG1081" i="39" s="1"/>
  <c r="AF1282" i="39"/>
  <c r="AG1282" i="39" s="1"/>
  <c r="AG1321" i="39"/>
  <c r="AG1376" i="39"/>
  <c r="AF255" i="39"/>
  <c r="AG543" i="39"/>
  <c r="AF568" i="39"/>
  <c r="AG568" i="39" s="1"/>
  <c r="AF606" i="39"/>
  <c r="AG606" i="39" s="1"/>
  <c r="AG610" i="39"/>
  <c r="AG1129" i="39"/>
  <c r="AF1159" i="39"/>
  <c r="AF1260" i="39"/>
  <c r="AG1260" i="39" s="1"/>
  <c r="AF1265" i="39"/>
  <c r="AG1265" i="39" s="1"/>
  <c r="AG1278" i="39"/>
  <c r="AF1312" i="39"/>
  <c r="AG1312" i="39" s="1"/>
  <c r="AF1380" i="39"/>
  <c r="AG1380" i="39" s="1"/>
  <c r="AF1384" i="39"/>
  <c r="AG1384" i="39" s="1"/>
  <c r="AF1388" i="39"/>
  <c r="AG1388" i="39" s="1"/>
  <c r="AG1163" i="39"/>
  <c r="AF1172" i="39"/>
  <c r="AG1172" i="39" s="1"/>
  <c r="AG1217" i="39"/>
  <c r="AG1308" i="39"/>
  <c r="AG1338" i="39"/>
  <c r="AF165" i="39"/>
  <c r="AG165" i="39" s="1"/>
  <c r="AF564" i="39"/>
  <c r="AG564" i="39" s="1"/>
  <c r="AF615" i="39"/>
  <c r="AG615" i="39" s="1"/>
  <c r="AF1036" i="39"/>
  <c r="AG1036" i="39" s="1"/>
  <c r="AF1040" i="39"/>
  <c r="AF1074" i="39"/>
  <c r="AG1185" i="39"/>
  <c r="AF1321" i="39"/>
  <c r="AF204" i="39"/>
  <c r="AF509" i="39"/>
  <c r="AG509" i="39" s="1"/>
  <c r="AF522" i="39"/>
  <c r="AG522" i="39" s="1"/>
  <c r="M1066" i="39"/>
  <c r="AG1108" i="39"/>
  <c r="AF1155" i="39"/>
  <c r="AG1155" i="39" s="1"/>
  <c r="AF1168" i="39"/>
  <c r="AG1168" i="39" s="1"/>
  <c r="AF1200" i="39"/>
  <c r="AG1200" i="39" s="1"/>
  <c r="AF1274" i="39"/>
  <c r="AG1274" i="39" s="1"/>
  <c r="AF1295" i="39"/>
  <c r="AG1295" i="39" s="1"/>
  <c r="AF1304" i="39"/>
  <c r="AG1304" i="39" s="1"/>
  <c r="M522" i="39"/>
  <c r="M1054" i="39"/>
  <c r="M1051" i="39"/>
  <c r="M521" i="39"/>
  <c r="M596" i="39"/>
  <c r="M621" i="39"/>
  <c r="M635" i="39"/>
  <c r="M582" i="39"/>
  <c r="M550" i="39"/>
  <c r="M575" i="39"/>
  <c r="M525" i="39"/>
  <c r="M532" i="39"/>
  <c r="M554" i="39"/>
  <c r="M1080" i="39"/>
  <c r="M579" i="39"/>
  <c r="M611" i="39"/>
  <c r="M141" i="39"/>
  <c r="M1060" i="39"/>
  <c r="M181" i="39"/>
  <c r="M1036" i="39"/>
  <c r="M1046" i="39"/>
  <c r="M187" i="39"/>
  <c r="M519" i="39"/>
  <c r="M583" i="39"/>
  <c r="M608" i="39"/>
  <c r="M615" i="39"/>
  <c r="M537" i="39"/>
  <c r="M580" i="39"/>
  <c r="M190" i="39"/>
  <c r="M573" i="39"/>
  <c r="M158" i="39"/>
  <c r="M506" i="39"/>
  <c r="M513" i="39"/>
  <c r="M538" i="39"/>
  <c r="M563" i="39"/>
  <c r="M570" i="39"/>
  <c r="M588" i="39"/>
  <c r="M172" i="39"/>
  <c r="M542" i="39"/>
  <c r="M581" i="39"/>
  <c r="M567" i="39"/>
  <c r="M613" i="39"/>
  <c r="M535" i="39"/>
  <c r="M631" i="39"/>
  <c r="M578" i="39"/>
  <c r="M249" i="39"/>
  <c r="M1059" i="39"/>
  <c r="M518" i="39"/>
  <c r="M561" i="39"/>
  <c r="M600" i="39"/>
  <c r="M529" i="39"/>
  <c r="M536" i="39"/>
  <c r="M547" i="39"/>
  <c r="M593" i="39"/>
  <c r="M618" i="39"/>
  <c r="M543" i="39"/>
  <c r="M558" i="39"/>
  <c r="M572" i="39"/>
  <c r="M629" i="39"/>
  <c r="M526" i="39"/>
  <c r="M590" i="39"/>
  <c r="M568" i="39"/>
  <c r="M544" i="39"/>
  <c r="M569" i="39"/>
  <c r="M505" i="39"/>
  <c r="M512" i="39"/>
  <c r="M562" i="39"/>
  <c r="M576" i="39"/>
  <c r="M601" i="39"/>
  <c r="M607" i="39"/>
  <c r="M614" i="39"/>
  <c r="M523" i="39"/>
  <c r="M548" i="39"/>
  <c r="M594" i="39"/>
  <c r="M619" i="39"/>
  <c r="M633" i="39"/>
  <c r="M509" i="39"/>
  <c r="M516" i="39"/>
  <c r="M541" i="39"/>
  <c r="M605" i="39"/>
  <c r="M612" i="39"/>
  <c r="M566" i="39"/>
  <c r="M559" i="39"/>
  <c r="M598" i="39"/>
  <c r="M520" i="39"/>
  <c r="M584" i="39"/>
  <c r="M609" i="39"/>
  <c r="M623" i="39"/>
  <c r="M577" i="39"/>
  <c r="M602" i="39"/>
  <c r="M531" i="39"/>
  <c r="M556" i="39"/>
  <c r="M524" i="39"/>
  <c r="M549" i="39"/>
  <c r="M595" i="39"/>
  <c r="M620" i="39"/>
  <c r="M634" i="39"/>
  <c r="M510" i="39"/>
  <c r="M517" i="39"/>
  <c r="M606" i="39"/>
  <c r="M511" i="39"/>
  <c r="M560" i="39"/>
  <c r="M574" i="39"/>
  <c r="M599" i="39"/>
  <c r="M528" i="39"/>
  <c r="M504" i="39"/>
  <c r="M546" i="39"/>
  <c r="M617" i="39"/>
  <c r="M507" i="39"/>
  <c r="M514" i="39"/>
  <c r="M539" i="39"/>
  <c r="M564" i="39"/>
  <c r="M571" i="39"/>
  <c r="M603" i="39"/>
  <c r="M557" i="39"/>
  <c r="M1077" i="39"/>
  <c r="M1074" i="39"/>
  <c r="M1053" i="39"/>
  <c r="M216" i="39"/>
  <c r="M140" i="39"/>
  <c r="M1049" i="39"/>
  <c r="M1071" i="39"/>
  <c r="M1033" i="39"/>
  <c r="M1057" i="39"/>
  <c r="M155" i="39"/>
  <c r="M215" i="39"/>
  <c r="M230" i="39"/>
  <c r="M1065" i="39"/>
  <c r="M239" i="39"/>
  <c r="M179" i="39"/>
  <c r="M1058" i="39"/>
  <c r="M266" i="39"/>
  <c r="M1041" i="39"/>
  <c r="M1062" i="39"/>
  <c r="M1069" i="39"/>
  <c r="M203" i="39"/>
  <c r="M178" i="39"/>
  <c r="M210" i="39"/>
  <c r="M157" i="39"/>
  <c r="M1055" i="39"/>
  <c r="M1079" i="39"/>
  <c r="M252" i="39"/>
  <c r="M142" i="39"/>
  <c r="AF504" i="39"/>
  <c r="AG504" i="39" s="1"/>
  <c r="M1035" i="39"/>
  <c r="M1045" i="39"/>
  <c r="M1063" i="39"/>
  <c r="M192" i="39"/>
  <c r="M234" i="39"/>
  <c r="M1056" i="39"/>
  <c r="M1052" i="39"/>
  <c r="AG559" i="39"/>
  <c r="AG1153" i="39"/>
  <c r="AF515" i="39"/>
  <c r="AG515" i="39" s="1"/>
  <c r="AG1188" i="39"/>
  <c r="AG1272" i="39"/>
  <c r="AG1290" i="39"/>
  <c r="AG1204" i="39"/>
  <c r="M195" i="39"/>
  <c r="M170" i="39"/>
  <c r="AF625" i="39"/>
  <c r="AG625" i="39" s="1"/>
  <c r="AF505" i="39"/>
  <c r="AG505" i="39" s="1"/>
  <c r="M251" i="39"/>
  <c r="AF539" i="39"/>
  <c r="AG539" i="39" s="1"/>
  <c r="AG1115" i="39"/>
  <c r="AG1136" i="39"/>
  <c r="AG1147" i="39"/>
  <c r="AG1219" i="39"/>
  <c r="M198" i="39"/>
  <c r="M173" i="39"/>
  <c r="AF173" i="39"/>
  <c r="AG173" i="39" s="1"/>
  <c r="AG1287" i="39"/>
  <c r="AF525" i="39"/>
  <c r="AG525" i="39" s="1"/>
  <c r="AF605" i="39"/>
  <c r="AG605" i="39" s="1"/>
  <c r="AG519" i="39"/>
  <c r="M212" i="39"/>
  <c r="AF147" i="39"/>
  <c r="AG147" i="39" s="1"/>
  <c r="M147" i="39"/>
  <c r="AG199" i="39"/>
  <c r="M199" i="39"/>
  <c r="AF619" i="39"/>
  <c r="AG619" i="39" s="1"/>
  <c r="AG226" i="39"/>
  <c r="AG1067" i="39"/>
  <c r="AF585" i="39"/>
  <c r="AG585" i="39" s="1"/>
  <c r="AG1270" i="39"/>
  <c r="AG1327" i="39"/>
  <c r="M143" i="39"/>
  <c r="AG204" i="39"/>
  <c r="AG135" i="39"/>
  <c r="AF520" i="39"/>
  <c r="AG520" i="39" s="1"/>
  <c r="AF565" i="39"/>
  <c r="AG565" i="39" s="1"/>
  <c r="AG1267" i="39"/>
  <c r="AF555" i="39"/>
  <c r="AG555" i="39" s="1"/>
  <c r="AG596" i="39"/>
  <c r="AF599" i="39"/>
  <c r="AG599" i="39" s="1"/>
  <c r="AG1173" i="39"/>
  <c r="AG1231" i="39"/>
  <c r="AG1050" i="39"/>
  <c r="M250" i="39"/>
  <c r="AG1159" i="39"/>
  <c r="AG538" i="39"/>
  <c r="AG569" i="39"/>
  <c r="AG579" i="39"/>
  <c r="AG617" i="39"/>
  <c r="AG1103" i="39"/>
  <c r="AF235" i="39"/>
  <c r="AG235" i="39" s="1"/>
  <c r="M235" i="39"/>
  <c r="AF545" i="39"/>
  <c r="AG545" i="39" s="1"/>
  <c r="AF185" i="39"/>
  <c r="AG185" i="39" s="1"/>
  <c r="M185" i="39"/>
  <c r="AF535" i="39"/>
  <c r="AG535" i="39" s="1"/>
  <c r="AF579" i="39"/>
  <c r="AG1184" i="39"/>
  <c r="AG1218" i="39"/>
  <c r="AF248" i="39"/>
  <c r="AG248" i="39" s="1"/>
  <c r="AG542" i="39"/>
  <c r="AG1089" i="39"/>
  <c r="AG1286" i="39"/>
  <c r="AG1356" i="39"/>
  <c r="M1050" i="39"/>
  <c r="M1048" i="39"/>
  <c r="M167" i="39"/>
  <c r="AG582" i="39"/>
  <c r="AG622" i="39"/>
  <c r="M1047" i="39"/>
  <c r="AF215" i="39"/>
  <c r="M188" i="39"/>
  <c r="AG562" i="39"/>
  <c r="AG602" i="39"/>
  <c r="M257" i="39"/>
  <c r="M242" i="39"/>
  <c r="AF232" i="39"/>
  <c r="AG232" i="39" s="1"/>
  <c r="AF222" i="39"/>
  <c r="AG222" i="39" s="1"/>
  <c r="M154" i="39"/>
  <c r="AG1038" i="39"/>
  <c r="AF1211" i="39"/>
  <c r="AG1211" i="39" s="1"/>
  <c r="AF1279" i="39"/>
  <c r="AG1279" i="39" s="1"/>
  <c r="AF1319" i="39"/>
  <c r="AG1319" i="39" s="1"/>
  <c r="AF1340" i="39"/>
  <c r="AG1340" i="39" s="1"/>
  <c r="M254" i="39"/>
  <c r="AF178" i="39"/>
  <c r="AG178" i="39" s="1"/>
  <c r="M248" i="39"/>
  <c r="M208" i="39"/>
  <c r="AF251" i="39"/>
  <c r="AG251" i="39" s="1"/>
  <c r="M238" i="39"/>
  <c r="M205" i="39"/>
  <c r="AF198" i="39"/>
  <c r="AG198" i="39" s="1"/>
  <c r="AF161" i="39"/>
  <c r="AF143" i="39"/>
  <c r="AG143" i="39" s="1"/>
  <c r="M139" i="39"/>
  <c r="AF136" i="39"/>
  <c r="AG136" i="39" s="1"/>
  <c r="AF608" i="39"/>
  <c r="AG608" i="39" s="1"/>
  <c r="AF628" i="39"/>
  <c r="AG628" i="39" s="1"/>
  <c r="AG1041" i="39"/>
  <c r="AG1059" i="39"/>
  <c r="M1044" i="39"/>
  <c r="AG1056" i="39"/>
  <c r="M1043" i="39"/>
  <c r="M241" i="39"/>
  <c r="AF157" i="39"/>
  <c r="AG157" i="39" s="1"/>
  <c r="AG1053" i="39"/>
  <c r="AG1071" i="39"/>
  <c r="M1042" i="39"/>
  <c r="M1081" i="39"/>
  <c r="AF225" i="39"/>
  <c r="AG225" i="39" s="1"/>
  <c r="AF218" i="39"/>
  <c r="AG218" i="39" s="1"/>
  <c r="AF211" i="39"/>
  <c r="AG211" i="39" s="1"/>
  <c r="AF194" i="39"/>
  <c r="AG194" i="39" s="1"/>
  <c r="AF181" i="39"/>
  <c r="AG181" i="39" s="1"/>
  <c r="M174" i="39"/>
  <c r="M164" i="39"/>
  <c r="AG1074" i="39"/>
  <c r="M1040" i="39"/>
  <c r="M1039" i="39"/>
  <c r="AF170" i="39"/>
  <c r="AG170" i="39" s="1"/>
  <c r="AF254" i="39"/>
  <c r="AG254" i="39" s="1"/>
  <c r="AF135" i="39"/>
  <c r="AF577" i="39"/>
  <c r="AG577" i="39" s="1"/>
  <c r="AF597" i="39"/>
  <c r="AG597" i="39" s="1"/>
  <c r="AF617" i="39"/>
  <c r="AF503" i="39"/>
  <c r="AG503" i="39" s="1"/>
  <c r="AG1077" i="39"/>
  <c r="AF1118" i="39"/>
  <c r="AG1118" i="39" s="1"/>
  <c r="AF1158" i="39"/>
  <c r="AG1158" i="39" s="1"/>
  <c r="M1078" i="39"/>
  <c r="M260" i="39"/>
  <c r="AF201" i="39"/>
  <c r="AG201" i="39" s="1"/>
  <c r="M163" i="39"/>
  <c r="AF1080" i="39"/>
  <c r="AG1080" i="39" s="1"/>
  <c r="M1037" i="39"/>
  <c r="M153" i="39"/>
  <c r="AF146" i="39"/>
  <c r="AG146" i="39" s="1"/>
  <c r="AF1096" i="39"/>
  <c r="AG1096" i="39" s="1"/>
  <c r="AF1112" i="39"/>
  <c r="AG1112" i="39" s="1"/>
  <c r="AF1152" i="39"/>
  <c r="AG1152" i="39" s="1"/>
  <c r="AF1221" i="39"/>
  <c r="AG1221" i="39" s="1"/>
  <c r="AF1289" i="39"/>
  <c r="AG1289" i="39" s="1"/>
  <c r="M1076" i="39"/>
  <c r="M135" i="39"/>
  <c r="AG1033" i="39"/>
  <c r="M1075" i="39"/>
  <c r="M1034" i="39"/>
  <c r="M256" i="39"/>
  <c r="M244" i="39"/>
  <c r="M214" i="39"/>
  <c r="M1073" i="39"/>
  <c r="AG238" i="39"/>
  <c r="M184" i="39"/>
  <c r="M166" i="39"/>
  <c r="AF160" i="39"/>
  <c r="AG160" i="39" s="1"/>
  <c r="M227" i="39"/>
  <c r="AF142" i="39"/>
  <c r="AG142" i="39" s="1"/>
  <c r="AG1063" i="39"/>
  <c r="AF1377" i="39"/>
  <c r="AG1377" i="39" s="1"/>
  <c r="M1072" i="39"/>
  <c r="M247" i="39"/>
  <c r="AF569" i="39"/>
  <c r="AF589" i="39"/>
  <c r="AG589" i="39" s="1"/>
  <c r="AF609" i="39"/>
  <c r="AG609" i="39" s="1"/>
  <c r="AF629" i="39"/>
  <c r="AG629" i="39" s="1"/>
  <c r="M1070" i="39"/>
  <c r="AG1051" i="39"/>
  <c r="AF1365" i="39"/>
  <c r="AG1365" i="39" s="1"/>
  <c r="M1067" i="39"/>
  <c r="M240" i="39"/>
  <c r="AF200" i="39"/>
  <c r="AG200" i="39" s="1"/>
  <c r="M159" i="39"/>
  <c r="AF138" i="39"/>
  <c r="AG138" i="39" s="1"/>
  <c r="AF1122" i="39"/>
  <c r="AG1122" i="39" s="1"/>
  <c r="AF1162" i="39"/>
  <c r="AG1162" i="39" s="1"/>
  <c r="AF1231" i="39"/>
  <c r="AF1259" i="39"/>
  <c r="AG1259" i="39" s="1"/>
  <c r="AF1299" i="39"/>
  <c r="AG1299" i="39" s="1"/>
  <c r="AF1192" i="39"/>
  <c r="AG1192" i="39" s="1"/>
  <c r="M263" i="39"/>
  <c r="M206" i="39"/>
  <c r="M246" i="39"/>
  <c r="AF169" i="39"/>
  <c r="AG169" i="39" s="1"/>
  <c r="AF1084" i="39"/>
  <c r="AG1084" i="39" s="1"/>
  <c r="AF1116" i="39"/>
  <c r="AG1116" i="39" s="1"/>
  <c r="AF1156" i="39"/>
  <c r="AG1156" i="39" s="1"/>
  <c r="AF1225" i="39"/>
  <c r="AG1225" i="39" s="1"/>
  <c r="AF1293" i="39"/>
  <c r="AG1293" i="39" s="1"/>
  <c r="M1064" i="39"/>
  <c r="M213" i="39"/>
  <c r="AG206" i="39"/>
  <c r="AF196" i="39"/>
  <c r="AG196" i="39" s="1"/>
  <c r="AG224" i="39"/>
  <c r="AF266" i="39"/>
  <c r="AG266" i="39" s="1"/>
  <c r="AG249" i="39"/>
  <c r="AF237" i="39"/>
  <c r="AG237" i="39" s="1"/>
  <c r="M223" i="39"/>
  <c r="AF183" i="39"/>
  <c r="AG183" i="39" s="1"/>
  <c r="AF162" i="39"/>
  <c r="AG162" i="39" s="1"/>
  <c r="AF1094" i="39"/>
  <c r="AG1094" i="39" s="1"/>
  <c r="AF1110" i="39"/>
  <c r="AG1110" i="39" s="1"/>
  <c r="AF1150" i="39"/>
  <c r="AG1150" i="39" s="1"/>
  <c r="AF1219" i="39"/>
  <c r="AF1287" i="39"/>
  <c r="AF1327" i="39"/>
  <c r="M186" i="39"/>
  <c r="M169" i="39"/>
  <c r="AF163" i="39"/>
  <c r="AG163" i="39" s="1"/>
  <c r="M189" i="39"/>
  <c r="M144" i="39"/>
  <c r="M1061" i="39"/>
  <c r="AF253" i="39"/>
  <c r="AG253" i="39" s="1"/>
  <c r="M243" i="39"/>
  <c r="M151" i="39"/>
  <c r="AF220" i="39"/>
  <c r="AG220" i="39" s="1"/>
  <c r="M209" i="39"/>
  <c r="M196" i="39"/>
  <c r="AF141" i="39"/>
  <c r="AG141" i="39" s="1"/>
  <c r="AF1342" i="39"/>
  <c r="AG1342" i="39" s="1"/>
  <c r="AF1181" i="39"/>
  <c r="AG1181" i="39" s="1"/>
  <c r="M233" i="39"/>
  <c r="M226" i="39"/>
  <c r="AF155" i="39"/>
  <c r="AG155" i="39" s="1"/>
  <c r="AF148" i="39"/>
  <c r="AG148" i="39" s="1"/>
  <c r="AF1058" i="39"/>
  <c r="AG1058" i="39" s="1"/>
  <c r="AF1138" i="39"/>
  <c r="AG1138" i="39" s="1"/>
  <c r="AF1178" i="39"/>
  <c r="AG1178" i="39" s="1"/>
  <c r="AF1207" i="39"/>
  <c r="AG1207" i="39" s="1"/>
  <c r="AF1275" i="39"/>
  <c r="AG1275" i="39" s="1"/>
  <c r="AF1315" i="39"/>
  <c r="AG1315" i="39" s="1"/>
  <c r="AF172" i="39"/>
  <c r="AG172" i="39" s="1"/>
  <c r="AF1184" i="39"/>
  <c r="AF1204" i="39"/>
  <c r="M236" i="39"/>
  <c r="AF189" i="39"/>
  <c r="AG189" i="39" s="1"/>
  <c r="AF252" i="39"/>
  <c r="M262" i="39"/>
  <c r="AF209" i="39"/>
  <c r="AG209" i="39" s="1"/>
  <c r="AF192" i="39"/>
  <c r="AG192" i="39" s="1"/>
  <c r="M229" i="39"/>
  <c r="M219" i="39"/>
  <c r="M168" i="39"/>
  <c r="AF265" i="39"/>
  <c r="AF202" i="39"/>
  <c r="AG202" i="39" s="1"/>
  <c r="AF168" i="39"/>
  <c r="AG168" i="39" s="1"/>
  <c r="AF158" i="39"/>
  <c r="AG158" i="39" s="1"/>
  <c r="AF151" i="39"/>
  <c r="AG151" i="39" s="1"/>
  <c r="AG255" i="39"/>
  <c r="AG252" i="39"/>
  <c r="AF228" i="39"/>
  <c r="AG228" i="39" s="1"/>
  <c r="AG161" i="39"/>
  <c r="M228" i="39"/>
  <c r="M222" i="39"/>
  <c r="M180" i="39"/>
  <c r="AG180" i="39"/>
  <c r="AG137" i="39"/>
  <c r="M255" i="39"/>
  <c r="M264" i="39"/>
  <c r="AF264" i="39"/>
  <c r="AG264" i="39" s="1"/>
  <c r="AF234" i="39"/>
  <c r="AG234" i="39" s="1"/>
  <c r="AG215" i="39"/>
  <c r="AF208" i="39"/>
  <c r="AG208" i="39" s="1"/>
  <c r="M176" i="39"/>
  <c r="M231" i="39"/>
  <c r="AF260" i="39"/>
  <c r="AG260" i="39" s="1"/>
  <c r="M237" i="39"/>
  <c r="M150" i="39"/>
  <c r="M202" i="39"/>
  <c r="M160" i="39"/>
  <c r="AF182" i="39"/>
  <c r="AG182" i="39" s="1"/>
  <c r="AF263" i="39"/>
  <c r="AG263" i="39" s="1"/>
  <c r="AF233" i="39"/>
  <c r="AF214" i="39"/>
  <c r="AG214" i="39" s="1"/>
  <c r="AG195" i="39"/>
  <c r="M221" i="39"/>
  <c r="M136" i="39"/>
  <c r="AG233" i="39"/>
  <c r="AG205" i="39"/>
  <c r="AF242" i="39"/>
  <c r="AG242" i="39" s="1"/>
  <c r="M211" i="39"/>
  <c r="AG188" i="39"/>
  <c r="M224" i="39"/>
  <c r="AF217" i="39"/>
  <c r="AG217" i="39" s="1"/>
  <c r="M207" i="39"/>
  <c r="M245" i="39"/>
  <c r="M182" i="39"/>
  <c r="M149" i="39"/>
  <c r="AG156" i="39"/>
  <c r="M194" i="39"/>
  <c r="M220" i="39"/>
  <c r="AG191" i="39"/>
  <c r="M191" i="39"/>
  <c r="M152" i="39"/>
  <c r="AF145" i="39"/>
  <c r="AG145" i="39" s="1"/>
  <c r="AF244" i="39"/>
  <c r="AG244" i="39" s="1"/>
  <c r="AG259" i="39"/>
  <c r="M165" i="39"/>
  <c r="M145" i="39"/>
  <c r="M217" i="39"/>
  <c r="AF247" i="39"/>
  <c r="AG247" i="39" s="1"/>
  <c r="AF250" i="39"/>
  <c r="AG250" i="39" s="1"/>
  <c r="AF216" i="39"/>
  <c r="AG216" i="39" s="1"/>
  <c r="M253" i="39"/>
  <c r="M162" i="39"/>
  <c r="M204" i="39"/>
  <c r="AF197" i="39"/>
  <c r="AG197" i="39" s="1"/>
  <c r="M197" i="39"/>
  <c r="AF219" i="39"/>
  <c r="AG219" i="39" s="1"/>
  <c r="M138" i="39"/>
  <c r="M148" i="39"/>
  <c r="M200" i="39"/>
  <c r="AF174" i="39"/>
  <c r="AG174" i="39" s="1"/>
  <c r="M265" i="39"/>
  <c r="AG171" i="39"/>
  <c r="M171" i="39"/>
  <c r="M258" i="39"/>
  <c r="AF177" i="39"/>
  <c r="AG177" i="39" s="1"/>
  <c r="AF258" i="39"/>
  <c r="AG258" i="39" s="1"/>
  <c r="M261" i="39"/>
  <c r="AF261" i="39"/>
  <c r="AG261" i="39" s="1"/>
  <c r="AG149" i="39"/>
  <c r="AF262" i="39"/>
  <c r="AG262" i="39" s="1"/>
  <c r="AF243" i="39"/>
  <c r="AG243" i="39" s="1"/>
  <c r="M201" i="39"/>
  <c r="M161" i="39"/>
  <c r="M137" i="39"/>
  <c r="AG265" i="39"/>
  <c r="I16" i="36" l="1"/>
  <c r="I17" i="36" s="1"/>
  <c r="D15" i="38" l="1"/>
  <c r="E15" i="38"/>
  <c r="F15" i="38"/>
  <c r="C15" i="38"/>
  <c r="I8" i="36"/>
  <c r="AM3" i="39"/>
  <c r="AM2" i="39"/>
  <c r="AL2" i="39"/>
  <c r="C3" i="39" l="1"/>
  <c r="C4" i="39"/>
  <c r="C5" i="39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56" i="39"/>
  <c r="C57" i="39"/>
  <c r="C58" i="39"/>
  <c r="C59" i="39"/>
  <c r="C60" i="39"/>
  <c r="C61" i="39"/>
  <c r="C62" i="39"/>
  <c r="C63" i="39"/>
  <c r="C64" i="39"/>
  <c r="C65" i="39"/>
  <c r="C66" i="39"/>
  <c r="C67" i="39"/>
  <c r="C68" i="39"/>
  <c r="C69" i="39"/>
  <c r="C70" i="39"/>
  <c r="C71" i="39"/>
  <c r="C72" i="39"/>
  <c r="C73" i="39"/>
  <c r="C74" i="39"/>
  <c r="C75" i="39"/>
  <c r="C76" i="39"/>
  <c r="C77" i="39"/>
  <c r="C78" i="39"/>
  <c r="C79" i="39"/>
  <c r="C80" i="39"/>
  <c r="C81" i="39"/>
  <c r="C82" i="39"/>
  <c r="C83" i="39"/>
  <c r="C84" i="39"/>
  <c r="C85" i="39"/>
  <c r="C86" i="39"/>
  <c r="C87" i="39"/>
  <c r="C88" i="39"/>
  <c r="C89" i="39"/>
  <c r="C90" i="39"/>
  <c r="C91" i="39"/>
  <c r="C92" i="39"/>
  <c r="C93" i="39"/>
  <c r="C94" i="39"/>
  <c r="C95" i="39"/>
  <c r="C96" i="39"/>
  <c r="C97" i="39"/>
  <c r="C98" i="39"/>
  <c r="C99" i="39"/>
  <c r="C100" i="39"/>
  <c r="C101" i="39"/>
  <c r="C102" i="39"/>
  <c r="C103" i="39"/>
  <c r="C104" i="39"/>
  <c r="C105" i="39"/>
  <c r="C106" i="39"/>
  <c r="C107" i="39"/>
  <c r="C108" i="39"/>
  <c r="C109" i="39"/>
  <c r="C110" i="39"/>
  <c r="C111" i="39"/>
  <c r="C112" i="39"/>
  <c r="C113" i="39"/>
  <c r="C114" i="39"/>
  <c r="C115" i="39"/>
  <c r="C116" i="39"/>
  <c r="C117" i="39"/>
  <c r="C118" i="39"/>
  <c r="C119" i="39"/>
  <c r="C120" i="39"/>
  <c r="C121" i="39"/>
  <c r="C122" i="39"/>
  <c r="C123" i="39"/>
  <c r="C124" i="39"/>
  <c r="C125" i="39"/>
  <c r="C126" i="39"/>
  <c r="C127" i="39"/>
  <c r="C128" i="39"/>
  <c r="C129" i="39"/>
  <c r="C130" i="39"/>
  <c r="C131" i="39"/>
  <c r="C132" i="39"/>
  <c r="C133" i="39"/>
  <c r="C134" i="39"/>
  <c r="C267" i="39"/>
  <c r="C268" i="39"/>
  <c r="C269" i="39"/>
  <c r="C270" i="39"/>
  <c r="C271" i="39"/>
  <c r="C272" i="39"/>
  <c r="C273" i="39"/>
  <c r="C274" i="39"/>
  <c r="C275" i="39"/>
  <c r="C276" i="39"/>
  <c r="C277" i="39"/>
  <c r="C278" i="39"/>
  <c r="C279" i="39"/>
  <c r="C280" i="39"/>
  <c r="C281" i="39"/>
  <c r="C282" i="39"/>
  <c r="C283" i="39"/>
  <c r="C284" i="39"/>
  <c r="C285" i="39"/>
  <c r="C286" i="39"/>
  <c r="C287" i="39"/>
  <c r="C288" i="39"/>
  <c r="C289" i="39"/>
  <c r="C290" i="39"/>
  <c r="C291" i="39"/>
  <c r="C292" i="39"/>
  <c r="C293" i="39"/>
  <c r="C294" i="39"/>
  <c r="C295" i="39"/>
  <c r="C296" i="39"/>
  <c r="C297" i="39"/>
  <c r="C298" i="39"/>
  <c r="C299" i="39"/>
  <c r="C300" i="39"/>
  <c r="C301" i="39"/>
  <c r="C302" i="39"/>
  <c r="C303" i="39"/>
  <c r="C304" i="39"/>
  <c r="C305" i="39"/>
  <c r="C306" i="39"/>
  <c r="C307" i="39"/>
  <c r="C308" i="39"/>
  <c r="C309" i="39"/>
  <c r="C310" i="39"/>
  <c r="C311" i="39"/>
  <c r="C312" i="39"/>
  <c r="C313" i="39"/>
  <c r="C314" i="39"/>
  <c r="C315" i="39"/>
  <c r="C316" i="39"/>
  <c r="C317" i="39"/>
  <c r="C318" i="39"/>
  <c r="C319" i="39"/>
  <c r="C320" i="39"/>
  <c r="C321" i="39"/>
  <c r="C322" i="39"/>
  <c r="C323" i="39"/>
  <c r="C324" i="39"/>
  <c r="C325" i="39"/>
  <c r="C326" i="39"/>
  <c r="C327" i="39"/>
  <c r="C328" i="39"/>
  <c r="C329" i="39"/>
  <c r="C330" i="39"/>
  <c r="C331" i="39"/>
  <c r="C332" i="39"/>
  <c r="C333" i="39"/>
  <c r="C334" i="39"/>
  <c r="C335" i="39"/>
  <c r="C336" i="39"/>
  <c r="C337" i="39"/>
  <c r="C338" i="39"/>
  <c r="C339" i="39"/>
  <c r="C340" i="39"/>
  <c r="C341" i="39"/>
  <c r="C342" i="39"/>
  <c r="C343" i="39"/>
  <c r="C344" i="39"/>
  <c r="C345" i="39"/>
  <c r="C346" i="39"/>
  <c r="C347" i="39"/>
  <c r="C348" i="39"/>
  <c r="C349" i="39"/>
  <c r="C350" i="39"/>
  <c r="C351" i="39"/>
  <c r="C352" i="39"/>
  <c r="C353" i="39"/>
  <c r="C354" i="39"/>
  <c r="C355" i="39"/>
  <c r="C356" i="39"/>
  <c r="C357" i="39"/>
  <c r="C358" i="39"/>
  <c r="C359" i="39"/>
  <c r="C360" i="39"/>
  <c r="C361" i="39"/>
  <c r="C362" i="39"/>
  <c r="C363" i="39"/>
  <c r="C364" i="39"/>
  <c r="C365" i="39"/>
  <c r="C366" i="39"/>
  <c r="C367" i="39"/>
  <c r="C368" i="39"/>
  <c r="C369" i="39"/>
  <c r="C370" i="39"/>
  <c r="C371" i="39"/>
  <c r="C372" i="39"/>
  <c r="C373" i="39"/>
  <c r="C374" i="39"/>
  <c r="C375" i="39"/>
  <c r="C376" i="39"/>
  <c r="C377" i="39"/>
  <c r="C378" i="39"/>
  <c r="C379" i="39"/>
  <c r="C380" i="39"/>
  <c r="C381" i="39"/>
  <c r="C382" i="39"/>
  <c r="C383" i="39"/>
  <c r="C384" i="39"/>
  <c r="C385" i="39"/>
  <c r="C386" i="39"/>
  <c r="C387" i="39"/>
  <c r="C388" i="39"/>
  <c r="C389" i="39"/>
  <c r="C390" i="39"/>
  <c r="C391" i="39"/>
  <c r="C392" i="39"/>
  <c r="C393" i="39"/>
  <c r="C394" i="39"/>
  <c r="C395" i="39"/>
  <c r="C396" i="39"/>
  <c r="C397" i="39"/>
  <c r="C398" i="39"/>
  <c r="C399" i="39"/>
  <c r="C400" i="39"/>
  <c r="C401" i="39"/>
  <c r="C402" i="39"/>
  <c r="C403" i="39"/>
  <c r="C404" i="39"/>
  <c r="C405" i="39"/>
  <c r="C406" i="39"/>
  <c r="C407" i="39"/>
  <c r="C408" i="39"/>
  <c r="C409" i="39"/>
  <c r="C410" i="39"/>
  <c r="C411" i="39"/>
  <c r="C412" i="39"/>
  <c r="C413" i="39"/>
  <c r="C414" i="39"/>
  <c r="C415" i="39"/>
  <c r="C416" i="39"/>
  <c r="C417" i="39"/>
  <c r="C418" i="39"/>
  <c r="C419" i="39"/>
  <c r="C420" i="39"/>
  <c r="C421" i="39"/>
  <c r="C422" i="39"/>
  <c r="C423" i="39"/>
  <c r="C424" i="39"/>
  <c r="C425" i="39"/>
  <c r="C426" i="39"/>
  <c r="C427" i="39"/>
  <c r="C428" i="39"/>
  <c r="C429" i="39"/>
  <c r="C430" i="39"/>
  <c r="C431" i="39"/>
  <c r="C432" i="39"/>
  <c r="C433" i="39"/>
  <c r="C434" i="39"/>
  <c r="C435" i="39"/>
  <c r="C436" i="39"/>
  <c r="C437" i="39"/>
  <c r="C438" i="39"/>
  <c r="C439" i="39"/>
  <c r="C440" i="39"/>
  <c r="C441" i="39"/>
  <c r="C442" i="39"/>
  <c r="C443" i="39"/>
  <c r="C444" i="39"/>
  <c r="C445" i="39"/>
  <c r="C446" i="39"/>
  <c r="C447" i="39"/>
  <c r="C448" i="39"/>
  <c r="C449" i="39"/>
  <c r="C450" i="39"/>
  <c r="C451" i="39"/>
  <c r="C452" i="39"/>
  <c r="C453" i="39"/>
  <c r="C454" i="39"/>
  <c r="C455" i="39"/>
  <c r="C456" i="39"/>
  <c r="C457" i="39"/>
  <c r="C458" i="39"/>
  <c r="C459" i="39"/>
  <c r="C460" i="39"/>
  <c r="C461" i="39"/>
  <c r="C462" i="39"/>
  <c r="C463" i="39"/>
  <c r="C464" i="39"/>
  <c r="C465" i="39"/>
  <c r="C466" i="39"/>
  <c r="C467" i="39"/>
  <c r="C468" i="39"/>
  <c r="C469" i="39"/>
  <c r="C470" i="39"/>
  <c r="C471" i="39"/>
  <c r="C472" i="39"/>
  <c r="C473" i="39"/>
  <c r="C474" i="39"/>
  <c r="C475" i="39"/>
  <c r="C476" i="39"/>
  <c r="C477" i="39"/>
  <c r="C478" i="39"/>
  <c r="C479" i="39"/>
  <c r="C480" i="39"/>
  <c r="C481" i="39"/>
  <c r="C482" i="39"/>
  <c r="C483" i="39"/>
  <c r="C484" i="39"/>
  <c r="C485" i="39"/>
  <c r="C486" i="39"/>
  <c r="C487" i="39"/>
  <c r="C488" i="39"/>
  <c r="C489" i="39"/>
  <c r="C490" i="39"/>
  <c r="C491" i="39"/>
  <c r="C492" i="39"/>
  <c r="C493" i="39"/>
  <c r="C494" i="39"/>
  <c r="C495" i="39"/>
  <c r="C496" i="39"/>
  <c r="C497" i="39"/>
  <c r="C498" i="39"/>
  <c r="C499" i="39"/>
  <c r="C500" i="39"/>
  <c r="C501" i="39"/>
  <c r="C502" i="39"/>
  <c r="C2" i="39"/>
  <c r="B14" i="36" l="1"/>
  <c r="I448" i="39" l="1"/>
  <c r="AD448" i="39"/>
  <c r="AE448" i="39"/>
  <c r="AD475" i="39"/>
  <c r="AE475" i="39"/>
  <c r="AD476" i="39"/>
  <c r="AE476" i="39"/>
  <c r="AD472" i="39"/>
  <c r="AE472" i="39"/>
  <c r="AD469" i="39"/>
  <c r="AE469" i="39"/>
  <c r="AD466" i="39"/>
  <c r="AE466" i="39"/>
  <c r="AD467" i="39"/>
  <c r="AE467" i="39"/>
  <c r="AD468" i="39"/>
  <c r="AE468" i="39"/>
  <c r="AD459" i="39"/>
  <c r="AE459" i="39"/>
  <c r="J475" i="39"/>
  <c r="K475" i="39"/>
  <c r="L475" i="39"/>
  <c r="M475" i="39" s="1"/>
  <c r="J476" i="39"/>
  <c r="K476" i="39"/>
  <c r="L476" i="39"/>
  <c r="M476" i="39" s="1"/>
  <c r="J472" i="39"/>
  <c r="K472" i="39"/>
  <c r="L472" i="39"/>
  <c r="M472" i="39" s="1"/>
  <c r="J466" i="39"/>
  <c r="K466" i="39"/>
  <c r="L466" i="39"/>
  <c r="M466" i="39" s="1"/>
  <c r="J467" i="39"/>
  <c r="K467" i="39"/>
  <c r="L467" i="39"/>
  <c r="M467" i="39" s="1"/>
  <c r="J468" i="39"/>
  <c r="K468" i="39"/>
  <c r="L468" i="39"/>
  <c r="M468" i="39" s="1"/>
  <c r="J469" i="39"/>
  <c r="K469" i="39"/>
  <c r="L469" i="39"/>
  <c r="M469" i="39" s="1"/>
  <c r="J459" i="39"/>
  <c r="K459" i="39"/>
  <c r="L459" i="39"/>
  <c r="M459" i="39" s="1"/>
  <c r="J448" i="39"/>
  <c r="K448" i="39"/>
  <c r="L448" i="39"/>
  <c r="M448" i="39" l="1"/>
  <c r="D4" i="36"/>
  <c r="C4" i="36"/>
  <c r="B4" i="36"/>
  <c r="B11" i="36" s="1"/>
  <c r="F4" i="36" l="1"/>
  <c r="G4" i="36"/>
  <c r="G9" i="36" s="1"/>
  <c r="D11" i="36"/>
  <c r="AH441" i="39"/>
  <c r="AE441" i="39"/>
  <c r="AD441" i="39"/>
  <c r="N441" i="39"/>
  <c r="L441" i="39"/>
  <c r="K441" i="39"/>
  <c r="J441" i="39"/>
  <c r="I441" i="39"/>
  <c r="M441" i="39" s="1"/>
  <c r="H441" i="39"/>
  <c r="AH440" i="39"/>
  <c r="AE440" i="39"/>
  <c r="AD440" i="39"/>
  <c r="N440" i="39"/>
  <c r="L440" i="39"/>
  <c r="K440" i="39"/>
  <c r="J440" i="39"/>
  <c r="I440" i="39"/>
  <c r="M440" i="39" s="1"/>
  <c r="H440" i="39"/>
  <c r="AH437" i="39"/>
  <c r="AE437" i="39"/>
  <c r="AD437" i="39"/>
  <c r="N437" i="39"/>
  <c r="L437" i="39"/>
  <c r="K437" i="39"/>
  <c r="J437" i="39"/>
  <c r="I437" i="39"/>
  <c r="M437" i="39" s="1"/>
  <c r="H437" i="39"/>
  <c r="AF440" i="39" l="1"/>
  <c r="AF441" i="39"/>
  <c r="AG441" i="39" s="1"/>
  <c r="AG440" i="39"/>
  <c r="AF437" i="39"/>
  <c r="AG437" i="39" s="1"/>
  <c r="I432" i="39" l="1"/>
  <c r="I433" i="39"/>
  <c r="N289" i="39" l="1"/>
  <c r="N290" i="39"/>
  <c r="N291" i="39"/>
  <c r="N292" i="39"/>
  <c r="N293" i="39"/>
  <c r="N294" i="39"/>
  <c r="N295" i="39"/>
  <c r="N296" i="39"/>
  <c r="N297" i="39"/>
  <c r="N298" i="39"/>
  <c r="N299" i="39"/>
  <c r="N300" i="39"/>
  <c r="N301" i="39"/>
  <c r="N302" i="39"/>
  <c r="N303" i="39"/>
  <c r="N304" i="39"/>
  <c r="N305" i="39"/>
  <c r="N306" i="39"/>
  <c r="N307" i="39"/>
  <c r="N308" i="39"/>
  <c r="N381" i="39"/>
  <c r="N382" i="39"/>
  <c r="N383" i="39"/>
  <c r="N384" i="39"/>
  <c r="N385" i="39"/>
  <c r="N386" i="39"/>
  <c r="N387" i="39"/>
  <c r="N400" i="39"/>
  <c r="N401" i="39"/>
  <c r="N402" i="39"/>
  <c r="N403" i="39"/>
  <c r="N404" i="39"/>
  <c r="N405" i="39"/>
  <c r="N406" i="39"/>
  <c r="N407" i="39"/>
  <c r="N408" i="39"/>
  <c r="N409" i="39"/>
  <c r="N410" i="39"/>
  <c r="N411" i="39"/>
  <c r="N412" i="39"/>
  <c r="N431" i="39"/>
  <c r="N432" i="39"/>
  <c r="N433" i="39"/>
  <c r="N434" i="39"/>
  <c r="N435" i="39"/>
  <c r="N436" i="39"/>
  <c r="N438" i="39"/>
  <c r="N439" i="39"/>
  <c r="N442" i="39"/>
  <c r="N443" i="39"/>
  <c r="N444" i="39"/>
  <c r="N445" i="39"/>
  <c r="N446" i="39"/>
  <c r="N288" i="39"/>
  <c r="L288" i="39"/>
  <c r="L289" i="39"/>
  <c r="L290" i="39"/>
  <c r="L291" i="39"/>
  <c r="L292" i="39"/>
  <c r="L293" i="39"/>
  <c r="L294" i="39"/>
  <c r="L295" i="39"/>
  <c r="L296" i="39"/>
  <c r="L297" i="39"/>
  <c r="L298" i="39"/>
  <c r="L299" i="39"/>
  <c r="L300" i="39"/>
  <c r="L301" i="39"/>
  <c r="L302" i="39"/>
  <c r="L303" i="39"/>
  <c r="L304" i="39"/>
  <c r="L305" i="39"/>
  <c r="L306" i="39"/>
  <c r="L307" i="39"/>
  <c r="L308" i="39"/>
  <c r="K288" i="39"/>
  <c r="K289" i="39"/>
  <c r="K290" i="39"/>
  <c r="K291" i="39"/>
  <c r="K292" i="39"/>
  <c r="K293" i="39"/>
  <c r="K294" i="39"/>
  <c r="K295" i="39"/>
  <c r="K296" i="39"/>
  <c r="K297" i="39"/>
  <c r="K298" i="39"/>
  <c r="K299" i="39"/>
  <c r="K300" i="39"/>
  <c r="K301" i="39"/>
  <c r="K302" i="39"/>
  <c r="K303" i="39"/>
  <c r="K304" i="39"/>
  <c r="K305" i="39"/>
  <c r="K306" i="39"/>
  <c r="K307" i="39"/>
  <c r="K308" i="39"/>
  <c r="J288" i="39"/>
  <c r="J289" i="39"/>
  <c r="J290" i="39"/>
  <c r="J291" i="39"/>
  <c r="J292" i="39"/>
  <c r="J293" i="39"/>
  <c r="J294" i="39"/>
  <c r="J295" i="39"/>
  <c r="J296" i="39"/>
  <c r="J297" i="39"/>
  <c r="J298" i="39"/>
  <c r="J299" i="39"/>
  <c r="J300" i="39"/>
  <c r="J301" i="39"/>
  <c r="J302" i="39"/>
  <c r="J303" i="39"/>
  <c r="J304" i="39"/>
  <c r="J305" i="39"/>
  <c r="J306" i="39"/>
  <c r="J307" i="39"/>
  <c r="J308" i="39"/>
  <c r="I288" i="39"/>
  <c r="M288" i="39" s="1"/>
  <c r="I289" i="39"/>
  <c r="I290" i="39"/>
  <c r="I291" i="39"/>
  <c r="I292" i="39"/>
  <c r="I293" i="39"/>
  <c r="I294" i="39"/>
  <c r="I295" i="39"/>
  <c r="I296" i="39"/>
  <c r="I297" i="39"/>
  <c r="I298" i="39"/>
  <c r="I299" i="39"/>
  <c r="I300" i="39"/>
  <c r="I301" i="39"/>
  <c r="I302" i="39"/>
  <c r="I303" i="39"/>
  <c r="I304" i="39"/>
  <c r="I305" i="39"/>
  <c r="I306" i="39"/>
  <c r="I307" i="39"/>
  <c r="I308" i="39"/>
  <c r="H288" i="39"/>
  <c r="H289" i="39"/>
  <c r="H290" i="39"/>
  <c r="H291" i="39"/>
  <c r="H292" i="39"/>
  <c r="H293" i="39"/>
  <c r="H294" i="39"/>
  <c r="H295" i="39"/>
  <c r="H296" i="39"/>
  <c r="H297" i="39"/>
  <c r="H298" i="39"/>
  <c r="H299" i="39"/>
  <c r="H300" i="39"/>
  <c r="H301" i="39"/>
  <c r="H302" i="39"/>
  <c r="H303" i="39"/>
  <c r="H304" i="39"/>
  <c r="H305" i="39"/>
  <c r="H306" i="39"/>
  <c r="H307" i="39"/>
  <c r="H308" i="39"/>
  <c r="AD431" i="39"/>
  <c r="AE431" i="39"/>
  <c r="AH431" i="39"/>
  <c r="AD432" i="39"/>
  <c r="AE432" i="39"/>
  <c r="AH432" i="39"/>
  <c r="AD433" i="39"/>
  <c r="AE433" i="39"/>
  <c r="AH433" i="39"/>
  <c r="AD434" i="39"/>
  <c r="AE434" i="39"/>
  <c r="AH434" i="39"/>
  <c r="AD435" i="39"/>
  <c r="AE435" i="39"/>
  <c r="AH435" i="39"/>
  <c r="AD436" i="39"/>
  <c r="AE436" i="39"/>
  <c r="AH436" i="39"/>
  <c r="AD438" i="39"/>
  <c r="AE438" i="39"/>
  <c r="AH438" i="39"/>
  <c r="AD439" i="39"/>
  <c r="AE439" i="39"/>
  <c r="AH439" i="39"/>
  <c r="AD442" i="39"/>
  <c r="AE442" i="39"/>
  <c r="AH442" i="39"/>
  <c r="AD443" i="39"/>
  <c r="AE443" i="39"/>
  <c r="AH443" i="39"/>
  <c r="AD444" i="39"/>
  <c r="AE444" i="39"/>
  <c r="AH444" i="39"/>
  <c r="AD445" i="39"/>
  <c r="AE445" i="39"/>
  <c r="AH445" i="39"/>
  <c r="AD446" i="39"/>
  <c r="AE446" i="39"/>
  <c r="AH446" i="39"/>
  <c r="AH400" i="39"/>
  <c r="AH401" i="39"/>
  <c r="AH402" i="39"/>
  <c r="AH403" i="39"/>
  <c r="AH404" i="39"/>
  <c r="AH405" i="39"/>
  <c r="AH406" i="39"/>
  <c r="AH407" i="39"/>
  <c r="AH408" i="39"/>
  <c r="AH409" i="39"/>
  <c r="AH410" i="39"/>
  <c r="AH411" i="39"/>
  <c r="AH412" i="39"/>
  <c r="AE400" i="39"/>
  <c r="AE401" i="39"/>
  <c r="AE402" i="39"/>
  <c r="AE403" i="39"/>
  <c r="AE404" i="39"/>
  <c r="AE405" i="39"/>
  <c r="AE406" i="39"/>
  <c r="AE407" i="39"/>
  <c r="AE408" i="39"/>
  <c r="AE409" i="39"/>
  <c r="AE410" i="39"/>
  <c r="AE411" i="39"/>
  <c r="AE412" i="39"/>
  <c r="AD400" i="39"/>
  <c r="AD401" i="39"/>
  <c r="AD402" i="39"/>
  <c r="AD403" i="39"/>
  <c r="AD404" i="39"/>
  <c r="AD405" i="39"/>
  <c r="AD406" i="39"/>
  <c r="AD407" i="39"/>
  <c r="AD408" i="39"/>
  <c r="AD409" i="39"/>
  <c r="AD410" i="39"/>
  <c r="AD411" i="39"/>
  <c r="AD412" i="39"/>
  <c r="AH353" i="39"/>
  <c r="AH354" i="39"/>
  <c r="AH355" i="39"/>
  <c r="AH356" i="39"/>
  <c r="AH357" i="39"/>
  <c r="AH358" i="39"/>
  <c r="AH359" i="39"/>
  <c r="AH360" i="39"/>
  <c r="AH361" i="39"/>
  <c r="AH362" i="39"/>
  <c r="AH363" i="39"/>
  <c r="AH364" i="39"/>
  <c r="AH365" i="39"/>
  <c r="AH366" i="39"/>
  <c r="AH367" i="39"/>
  <c r="AH368" i="39"/>
  <c r="AH369" i="39"/>
  <c r="AH370" i="39"/>
  <c r="AH371" i="39"/>
  <c r="AH372" i="39"/>
  <c r="AH373" i="39"/>
  <c r="AH374" i="39"/>
  <c r="AH375" i="39"/>
  <c r="AH376" i="39"/>
  <c r="AH377" i="39"/>
  <c r="AE353" i="39"/>
  <c r="AE354" i="39"/>
  <c r="AE355" i="39"/>
  <c r="AE356" i="39"/>
  <c r="AE357" i="39"/>
  <c r="AE358" i="39"/>
  <c r="AE359" i="39"/>
  <c r="AE360" i="39"/>
  <c r="AE361" i="39"/>
  <c r="AE362" i="39"/>
  <c r="AE363" i="39"/>
  <c r="AE364" i="39"/>
  <c r="AE365" i="39"/>
  <c r="AE366" i="39"/>
  <c r="AE367" i="39"/>
  <c r="AE368" i="39"/>
  <c r="AE369" i="39"/>
  <c r="AE370" i="39"/>
  <c r="AE371" i="39"/>
  <c r="AE372" i="39"/>
  <c r="AE373" i="39"/>
  <c r="AE374" i="39"/>
  <c r="AE375" i="39"/>
  <c r="AE376" i="39"/>
  <c r="AE377" i="39"/>
  <c r="AD353" i="39"/>
  <c r="AD354" i="39"/>
  <c r="AD355" i="39"/>
  <c r="AD356" i="39"/>
  <c r="AD357" i="39"/>
  <c r="AD358" i="39"/>
  <c r="AD359" i="39"/>
  <c r="AD360" i="39"/>
  <c r="AD361" i="39"/>
  <c r="AD362" i="39"/>
  <c r="AD363" i="39"/>
  <c r="AD364" i="39"/>
  <c r="AD365" i="39"/>
  <c r="AD366" i="39"/>
  <c r="AD367" i="39"/>
  <c r="AD368" i="39"/>
  <c r="AD369" i="39"/>
  <c r="AD370" i="39"/>
  <c r="AD371" i="39"/>
  <c r="AD372" i="39"/>
  <c r="AD373" i="39"/>
  <c r="AD374" i="39"/>
  <c r="AD375" i="39"/>
  <c r="AD376" i="39"/>
  <c r="AD377" i="39"/>
  <c r="AH312" i="39"/>
  <c r="AH313" i="39"/>
  <c r="AH314" i="39"/>
  <c r="AH315" i="39"/>
  <c r="AH316" i="39"/>
  <c r="AH317" i="39"/>
  <c r="AE312" i="39"/>
  <c r="AE313" i="39"/>
  <c r="AE314" i="39"/>
  <c r="AE315" i="39"/>
  <c r="AE316" i="39"/>
  <c r="AE317" i="39"/>
  <c r="AD312" i="39"/>
  <c r="AD313" i="39"/>
  <c r="AD314" i="39"/>
  <c r="AD315" i="39"/>
  <c r="AD316" i="39"/>
  <c r="AD317" i="39"/>
  <c r="L312" i="39"/>
  <c r="L313" i="39"/>
  <c r="L314" i="39"/>
  <c r="L315" i="39"/>
  <c r="L316" i="39"/>
  <c r="L317" i="39"/>
  <c r="K312" i="39"/>
  <c r="K313" i="39"/>
  <c r="K314" i="39"/>
  <c r="K315" i="39"/>
  <c r="K316" i="39"/>
  <c r="K317" i="39"/>
  <c r="J312" i="39"/>
  <c r="J313" i="39"/>
  <c r="J314" i="39"/>
  <c r="J315" i="39"/>
  <c r="J316" i="39"/>
  <c r="J317" i="39"/>
  <c r="I312" i="39"/>
  <c r="M312" i="39" s="1"/>
  <c r="I313" i="39"/>
  <c r="M313" i="39" s="1"/>
  <c r="I314" i="39"/>
  <c r="M314" i="39" s="1"/>
  <c r="I315" i="39"/>
  <c r="M315" i="39" s="1"/>
  <c r="I316" i="39"/>
  <c r="M316" i="39" s="1"/>
  <c r="I317" i="39"/>
  <c r="M317" i="39" s="1"/>
  <c r="H312" i="39"/>
  <c r="AF312" i="39" s="1"/>
  <c r="AG312" i="39" s="1"/>
  <c r="H313" i="39"/>
  <c r="AF313" i="39" s="1"/>
  <c r="AG313" i="39" s="1"/>
  <c r="H314" i="39"/>
  <c r="AF314" i="39" s="1"/>
  <c r="AG314" i="39" s="1"/>
  <c r="H315" i="39"/>
  <c r="AF315" i="39" s="1"/>
  <c r="AG315" i="39" s="1"/>
  <c r="H316" i="39"/>
  <c r="H317" i="39"/>
  <c r="M303" i="39" l="1"/>
  <c r="M308" i="39"/>
  <c r="M307" i="39"/>
  <c r="M302" i="39"/>
  <c r="M297" i="39"/>
  <c r="M296" i="39"/>
  <c r="M300" i="39"/>
  <c r="M295" i="39"/>
  <c r="M305" i="39"/>
  <c r="M299" i="39"/>
  <c r="M294" i="39"/>
  <c r="M293" i="39"/>
  <c r="M301" i="39"/>
  <c r="M292" i="39"/>
  <c r="M291" i="39"/>
  <c r="AF317" i="39"/>
  <c r="AG317" i="39" s="1"/>
  <c r="M290" i="39"/>
  <c r="M306" i="39"/>
  <c r="M304" i="39"/>
  <c r="M298" i="39"/>
  <c r="AF316" i="39"/>
  <c r="AG316" i="39" s="1"/>
  <c r="M289" i="39"/>
  <c r="L353" i="39"/>
  <c r="L354" i="39"/>
  <c r="L355" i="39"/>
  <c r="L356" i="39"/>
  <c r="L357" i="39"/>
  <c r="L358" i="39"/>
  <c r="L359" i="39"/>
  <c r="L360" i="39"/>
  <c r="L361" i="39"/>
  <c r="L362" i="39"/>
  <c r="L363" i="39"/>
  <c r="AF363" i="39" s="1"/>
  <c r="L364" i="39"/>
  <c r="AF364" i="39" s="1"/>
  <c r="L365" i="39"/>
  <c r="AF365" i="39" s="1"/>
  <c r="L366" i="39"/>
  <c r="AF366" i="39" s="1"/>
  <c r="L367" i="39"/>
  <c r="AF367" i="39" s="1"/>
  <c r="L368" i="39"/>
  <c r="AF368" i="39" s="1"/>
  <c r="L369" i="39"/>
  <c r="AF369" i="39" s="1"/>
  <c r="L370" i="39"/>
  <c r="AF370" i="39" s="1"/>
  <c r="L371" i="39"/>
  <c r="L372" i="39"/>
  <c r="L373" i="39"/>
  <c r="L374" i="39"/>
  <c r="L375" i="39"/>
  <c r="L376" i="39"/>
  <c r="L377" i="39"/>
  <c r="K353" i="39"/>
  <c r="K354" i="39"/>
  <c r="K355" i="39"/>
  <c r="K356" i="39"/>
  <c r="K357" i="39"/>
  <c r="K358" i="39"/>
  <c r="K359" i="39"/>
  <c r="K360" i="39"/>
  <c r="K361" i="39"/>
  <c r="K362" i="39"/>
  <c r="K363" i="39"/>
  <c r="K364" i="39"/>
  <c r="K365" i="39"/>
  <c r="K366" i="39"/>
  <c r="K367" i="39"/>
  <c r="K368" i="39"/>
  <c r="K369" i="39"/>
  <c r="K370" i="39"/>
  <c r="K371" i="39"/>
  <c r="K372" i="39"/>
  <c r="K373" i="39"/>
  <c r="K374" i="39"/>
  <c r="K375" i="39"/>
  <c r="K376" i="39"/>
  <c r="K377" i="39"/>
  <c r="J353" i="39"/>
  <c r="J354" i="39"/>
  <c r="J355" i="39"/>
  <c r="J356" i="39"/>
  <c r="J357" i="39"/>
  <c r="J358" i="39"/>
  <c r="J359" i="39"/>
  <c r="J360" i="39"/>
  <c r="J361" i="39"/>
  <c r="J362" i="39"/>
  <c r="J363" i="39"/>
  <c r="J364" i="39"/>
  <c r="J365" i="39"/>
  <c r="J366" i="39"/>
  <c r="J367" i="39"/>
  <c r="J368" i="39"/>
  <c r="J369" i="39"/>
  <c r="J370" i="39"/>
  <c r="J371" i="39"/>
  <c r="J372" i="39"/>
  <c r="J373" i="39"/>
  <c r="J374" i="39"/>
  <c r="J375" i="39"/>
  <c r="J376" i="39"/>
  <c r="J377" i="39"/>
  <c r="I353" i="39"/>
  <c r="I354" i="39"/>
  <c r="I355" i="39"/>
  <c r="I356" i="39"/>
  <c r="I357" i="39"/>
  <c r="I358" i="39"/>
  <c r="I359" i="39"/>
  <c r="I360" i="39"/>
  <c r="I361" i="39"/>
  <c r="I362" i="39"/>
  <c r="I363" i="39"/>
  <c r="I364" i="39"/>
  <c r="I365" i="39"/>
  <c r="I366" i="39"/>
  <c r="I367" i="39"/>
  <c r="I368" i="39"/>
  <c r="I369" i="39"/>
  <c r="I370" i="39"/>
  <c r="I371" i="39"/>
  <c r="M371" i="39" s="1"/>
  <c r="I372" i="39"/>
  <c r="M372" i="39" s="1"/>
  <c r="I373" i="39"/>
  <c r="M373" i="39" s="1"/>
  <c r="I374" i="39"/>
  <c r="M374" i="39" s="1"/>
  <c r="I375" i="39"/>
  <c r="M375" i="39" s="1"/>
  <c r="I376" i="39"/>
  <c r="I377" i="39"/>
  <c r="H353" i="39"/>
  <c r="H354" i="39"/>
  <c r="H355" i="39"/>
  <c r="H356" i="39"/>
  <c r="H357" i="39"/>
  <c r="H358" i="39"/>
  <c r="H359" i="39"/>
  <c r="H360" i="39"/>
  <c r="H361" i="39"/>
  <c r="H362" i="39"/>
  <c r="H363" i="39"/>
  <c r="H364" i="39"/>
  <c r="H365" i="39"/>
  <c r="H366" i="39"/>
  <c r="H367" i="39"/>
  <c r="H368" i="39"/>
  <c r="H369" i="39"/>
  <c r="H370" i="39"/>
  <c r="H371" i="39"/>
  <c r="H372" i="39"/>
  <c r="H373" i="39"/>
  <c r="H374" i="39"/>
  <c r="H375" i="39"/>
  <c r="H376" i="39"/>
  <c r="H377" i="39"/>
  <c r="L399" i="39"/>
  <c r="L398" i="39"/>
  <c r="L397" i="39"/>
  <c r="L396" i="39"/>
  <c r="L395" i="39"/>
  <c r="L394" i="39"/>
  <c r="L393" i="39"/>
  <c r="L392" i="39"/>
  <c r="L391" i="39"/>
  <c r="L390" i="39"/>
  <c r="L414" i="39"/>
  <c r="L415" i="39"/>
  <c r="L416" i="39"/>
  <c r="L417" i="39"/>
  <c r="L413" i="39"/>
  <c r="L400" i="39"/>
  <c r="L401" i="39"/>
  <c r="L402" i="39"/>
  <c r="L403" i="39"/>
  <c r="L404" i="39"/>
  <c r="L405" i="39"/>
  <c r="L406" i="39"/>
  <c r="L407" i="39"/>
  <c r="L408" i="39"/>
  <c r="L409" i="39"/>
  <c r="L410" i="39"/>
  <c r="L411" i="39"/>
  <c r="L412" i="39"/>
  <c r="K400" i="39"/>
  <c r="K401" i="39"/>
  <c r="K402" i="39"/>
  <c r="K403" i="39"/>
  <c r="K404" i="39"/>
  <c r="K405" i="39"/>
  <c r="K406" i="39"/>
  <c r="K407" i="39"/>
  <c r="K408" i="39"/>
  <c r="K409" i="39"/>
  <c r="K410" i="39"/>
  <c r="K411" i="39"/>
  <c r="K412" i="39"/>
  <c r="J400" i="39"/>
  <c r="J401" i="39"/>
  <c r="J402" i="39"/>
  <c r="J403" i="39"/>
  <c r="J404" i="39"/>
  <c r="J405" i="39"/>
  <c r="J406" i="39"/>
  <c r="J407" i="39"/>
  <c r="J408" i="39"/>
  <c r="J409" i="39"/>
  <c r="J410" i="39"/>
  <c r="J411" i="39"/>
  <c r="J412" i="39"/>
  <c r="I400" i="39"/>
  <c r="I401" i="39"/>
  <c r="I402" i="39"/>
  <c r="I403" i="39"/>
  <c r="I404" i="39"/>
  <c r="I405" i="39"/>
  <c r="I406" i="39"/>
  <c r="I407" i="39"/>
  <c r="I408" i="39"/>
  <c r="I409" i="39"/>
  <c r="I410" i="39"/>
  <c r="I411" i="39"/>
  <c r="I412" i="39"/>
  <c r="H400" i="39"/>
  <c r="H401" i="39"/>
  <c r="H402" i="39"/>
  <c r="H403" i="39"/>
  <c r="H404" i="39"/>
  <c r="H405" i="39"/>
  <c r="H406" i="39"/>
  <c r="H407" i="39"/>
  <c r="H408" i="39"/>
  <c r="H409" i="39"/>
  <c r="H410" i="39"/>
  <c r="H411" i="39"/>
  <c r="H412" i="39"/>
  <c r="M370" i="39" l="1"/>
  <c r="M364" i="39"/>
  <c r="M363" i="39"/>
  <c r="M360" i="39"/>
  <c r="M365" i="39"/>
  <c r="M369" i="39"/>
  <c r="M366" i="39"/>
  <c r="M361" i="39"/>
  <c r="M358" i="39"/>
  <c r="M362" i="39"/>
  <c r="AF405" i="39"/>
  <c r="M359" i="39"/>
  <c r="M410" i="39"/>
  <c r="M368" i="39"/>
  <c r="M357" i="39"/>
  <c r="M354" i="39"/>
  <c r="AF408" i="39"/>
  <c r="AG408" i="39" s="1"/>
  <c r="AF406" i="39"/>
  <c r="AG406" i="39" s="1"/>
  <c r="M412" i="39"/>
  <c r="M411" i="39"/>
  <c r="M367" i="39"/>
  <c r="M356" i="39"/>
  <c r="AF409" i="39"/>
  <c r="AG409" i="39" s="1"/>
  <c r="AF407" i="39"/>
  <c r="AG407" i="39" s="1"/>
  <c r="M406" i="39"/>
  <c r="AF377" i="39"/>
  <c r="AG377" i="39" s="1"/>
  <c r="AF401" i="39"/>
  <c r="AG401" i="39" s="1"/>
  <c r="AF374" i="39"/>
  <c r="AG374" i="39" s="1"/>
  <c r="M355" i="39"/>
  <c r="M409" i="39"/>
  <c r="M408" i="39"/>
  <c r="M407" i="39"/>
  <c r="AF403" i="39"/>
  <c r="AG403" i="39" s="1"/>
  <c r="AF376" i="39"/>
  <c r="AG376" i="39" s="1"/>
  <c r="M401" i="39"/>
  <c r="AF373" i="39"/>
  <c r="AG373" i="39" s="1"/>
  <c r="AF404" i="39"/>
  <c r="AG404" i="39" s="1"/>
  <c r="AF402" i="39"/>
  <c r="AG402" i="39" s="1"/>
  <c r="M377" i="39"/>
  <c r="AF372" i="39"/>
  <c r="AG372" i="39" s="1"/>
  <c r="M353" i="39"/>
  <c r="M405" i="39"/>
  <c r="M404" i="39"/>
  <c r="M403" i="39"/>
  <c r="AF375" i="39"/>
  <c r="M402" i="39"/>
  <c r="AF400" i="39"/>
  <c r="M400" i="39"/>
  <c r="M376" i="39"/>
  <c r="AF371" i="39"/>
  <c r="AG367" i="39"/>
  <c r="AG368" i="39"/>
  <c r="AG365" i="39"/>
  <c r="AF356" i="39"/>
  <c r="AG375" i="39"/>
  <c r="AG366" i="39"/>
  <c r="AG364" i="39"/>
  <c r="AF358" i="39"/>
  <c r="AG358" i="39" s="1"/>
  <c r="AF355" i="39"/>
  <c r="AG355" i="39" s="1"/>
  <c r="AG400" i="39"/>
  <c r="AG370" i="39"/>
  <c r="AF359" i="39"/>
  <c r="AF354" i="39"/>
  <c r="AG354" i="39" s="1"/>
  <c r="AF362" i="39"/>
  <c r="AG362" i="39" s="1"/>
  <c r="AF353" i="39"/>
  <c r="AG353" i="39" s="1"/>
  <c r="AG356" i="39"/>
  <c r="AG371" i="39"/>
  <c r="AG369" i="39"/>
  <c r="AF360" i="39"/>
  <c r="AG360" i="39" s="1"/>
  <c r="AG363" i="39"/>
  <c r="AG359" i="39"/>
  <c r="AG405" i="39"/>
  <c r="AF361" i="39"/>
  <c r="AG361" i="39" s="1"/>
  <c r="AF357" i="39"/>
  <c r="AG357" i="39" s="1"/>
  <c r="AF412" i="39"/>
  <c r="AG412" i="39" s="1"/>
  <c r="AF411" i="39"/>
  <c r="AG411" i="39" s="1"/>
  <c r="AF410" i="39"/>
  <c r="AG410" i="39" s="1"/>
  <c r="L446" i="39"/>
  <c r="L445" i="39"/>
  <c r="L444" i="39"/>
  <c r="L443" i="39"/>
  <c r="L442" i="39"/>
  <c r="L439" i="39"/>
  <c r="L438" i="39"/>
  <c r="L436" i="39"/>
  <c r="L435" i="39"/>
  <c r="L434" i="39"/>
  <c r="L433" i="39"/>
  <c r="M433" i="39" s="1"/>
  <c r="L432" i="39"/>
  <c r="M432" i="39" s="1"/>
  <c r="L431" i="39"/>
  <c r="K446" i="39"/>
  <c r="K445" i="39"/>
  <c r="K444" i="39"/>
  <c r="K443" i="39"/>
  <c r="K442" i="39"/>
  <c r="K439" i="39"/>
  <c r="K438" i="39"/>
  <c r="K436" i="39"/>
  <c r="K435" i="39"/>
  <c r="K434" i="39"/>
  <c r="K433" i="39"/>
  <c r="K432" i="39"/>
  <c r="K431" i="39"/>
  <c r="J446" i="39"/>
  <c r="J445" i="39"/>
  <c r="J444" i="39"/>
  <c r="J443" i="39"/>
  <c r="J442" i="39"/>
  <c r="J439" i="39"/>
  <c r="J438" i="39"/>
  <c r="J436" i="39"/>
  <c r="J435" i="39"/>
  <c r="J434" i="39"/>
  <c r="J433" i="39"/>
  <c r="J432" i="39"/>
  <c r="J431" i="39"/>
  <c r="I446" i="39"/>
  <c r="I445" i="39"/>
  <c r="I444" i="39"/>
  <c r="I443" i="39"/>
  <c r="I442" i="39"/>
  <c r="I439" i="39"/>
  <c r="I438" i="39"/>
  <c r="I436" i="39"/>
  <c r="I435" i="39"/>
  <c r="I434" i="39"/>
  <c r="I431" i="39"/>
  <c r="H446" i="39"/>
  <c r="H445" i="39"/>
  <c r="H444" i="39"/>
  <c r="H443" i="39"/>
  <c r="H442" i="39"/>
  <c r="H439" i="39"/>
  <c r="H438" i="39"/>
  <c r="H436" i="39"/>
  <c r="H435" i="39"/>
  <c r="H434" i="39"/>
  <c r="H433" i="39"/>
  <c r="H432" i="39"/>
  <c r="H431" i="39"/>
  <c r="M439" i="39" l="1"/>
  <c r="M434" i="39"/>
  <c r="M443" i="39"/>
  <c r="M431" i="39"/>
  <c r="M435" i="39"/>
  <c r="M438" i="39"/>
  <c r="M445" i="39"/>
  <c r="M442" i="39"/>
  <c r="M444" i="39"/>
  <c r="M436" i="39"/>
  <c r="M446" i="39"/>
  <c r="AF431" i="39"/>
  <c r="AF433" i="39"/>
  <c r="AG433" i="39" s="1"/>
  <c r="AF435" i="39"/>
  <c r="AG435" i="39" s="1"/>
  <c r="AF438" i="39"/>
  <c r="AG438" i="39" s="1"/>
  <c r="AF445" i="39"/>
  <c r="AG445" i="39" s="1"/>
  <c r="AF432" i="39"/>
  <c r="AG432" i="39" s="1"/>
  <c r="AF436" i="39"/>
  <c r="AG436" i="39" s="1"/>
  <c r="AF443" i="39"/>
  <c r="AG443" i="39" s="1"/>
  <c r="AF434" i="39"/>
  <c r="AG434" i="39" s="1"/>
  <c r="AF442" i="39"/>
  <c r="AG442" i="39" s="1"/>
  <c r="AF444" i="39"/>
  <c r="AG444" i="39" s="1"/>
  <c r="AG431" i="39"/>
  <c r="AF439" i="39"/>
  <c r="AG439" i="39" s="1"/>
  <c r="AF446" i="39"/>
  <c r="AG446" i="39" s="1"/>
  <c r="AH387" i="39"/>
  <c r="AH386" i="39"/>
  <c r="AH385" i="39"/>
  <c r="AH384" i="39"/>
  <c r="AH383" i="39"/>
  <c r="AH382" i="39"/>
  <c r="AH381" i="39"/>
  <c r="L387" i="39"/>
  <c r="L386" i="39"/>
  <c r="AF386" i="39" s="1"/>
  <c r="L385" i="39"/>
  <c r="AF385" i="39" s="1"/>
  <c r="L384" i="39"/>
  <c r="L383" i="39"/>
  <c r="L382" i="39"/>
  <c r="AF382" i="39" s="1"/>
  <c r="L381" i="39"/>
  <c r="K387" i="39"/>
  <c r="K386" i="39"/>
  <c r="K385" i="39"/>
  <c r="K384" i="39"/>
  <c r="K383" i="39"/>
  <c r="K382" i="39"/>
  <c r="K381" i="39"/>
  <c r="AE388" i="39"/>
  <c r="AE387" i="39"/>
  <c r="AE386" i="39"/>
  <c r="AE385" i="39"/>
  <c r="AE384" i="39"/>
  <c r="AE383" i="39"/>
  <c r="AE382" i="39"/>
  <c r="AE381" i="39"/>
  <c r="AE380" i="39"/>
  <c r="AD388" i="39"/>
  <c r="AD387" i="39"/>
  <c r="AD386" i="39"/>
  <c r="AD385" i="39"/>
  <c r="AD384" i="39"/>
  <c r="AD383" i="39"/>
  <c r="AD382" i="39"/>
  <c r="AD381" i="39"/>
  <c r="AD380" i="39"/>
  <c r="J387" i="39"/>
  <c r="J386" i="39"/>
  <c r="J385" i="39"/>
  <c r="J384" i="39"/>
  <c r="J383" i="39"/>
  <c r="J382" i="39"/>
  <c r="J381" i="39"/>
  <c r="J392" i="39"/>
  <c r="I387" i="39"/>
  <c r="I386" i="39"/>
  <c r="I385" i="39"/>
  <c r="I384" i="39"/>
  <c r="I383" i="39"/>
  <c r="I382" i="39"/>
  <c r="I381" i="39"/>
  <c r="H387" i="39"/>
  <c r="H386" i="39"/>
  <c r="H385" i="39"/>
  <c r="H384" i="39"/>
  <c r="H383" i="39"/>
  <c r="H382" i="39"/>
  <c r="H381" i="39"/>
  <c r="M384" i="39" l="1"/>
  <c r="M385" i="39"/>
  <c r="AF387" i="39"/>
  <c r="M387" i="39"/>
  <c r="M386" i="39"/>
  <c r="AF381" i="39"/>
  <c r="M382" i="39"/>
  <c r="AF383" i="39"/>
  <c r="M381" i="39"/>
  <c r="M383" i="39"/>
  <c r="AF384" i="39"/>
  <c r="AG386" i="39"/>
  <c r="AG381" i="39"/>
  <c r="AG385" i="39"/>
  <c r="AG382" i="39"/>
  <c r="AG384" i="39"/>
  <c r="AG387" i="39"/>
  <c r="AG383" i="39"/>
  <c r="K3" i="39"/>
  <c r="L3" i="39"/>
  <c r="AK3" i="39" s="1"/>
  <c r="K4" i="39"/>
  <c r="L4" i="39"/>
  <c r="AK4" i="39" s="1"/>
  <c r="K5" i="39"/>
  <c r="L5" i="39"/>
  <c r="AK5" i="39" s="1"/>
  <c r="K6" i="39"/>
  <c r="L6" i="39"/>
  <c r="AK6" i="39" s="1"/>
  <c r="K7" i="39"/>
  <c r="L7" i="39"/>
  <c r="K8" i="39"/>
  <c r="L8" i="39"/>
  <c r="K9" i="39"/>
  <c r="L9" i="39"/>
  <c r="K10" i="39"/>
  <c r="L10" i="39"/>
  <c r="K11" i="39"/>
  <c r="L11" i="39"/>
  <c r="K12" i="39"/>
  <c r="L12" i="39"/>
  <c r="K13" i="39"/>
  <c r="L13" i="39"/>
  <c r="K14" i="39"/>
  <c r="L14" i="39"/>
  <c r="K15" i="39"/>
  <c r="L15" i="39"/>
  <c r="K16" i="39"/>
  <c r="L16" i="39"/>
  <c r="K17" i="39"/>
  <c r="L17" i="39"/>
  <c r="K18" i="39"/>
  <c r="L18" i="39"/>
  <c r="K19" i="39"/>
  <c r="L19" i="39"/>
  <c r="K20" i="39"/>
  <c r="L20" i="39"/>
  <c r="K21" i="39"/>
  <c r="L21" i="39"/>
  <c r="K22" i="39"/>
  <c r="L22" i="39"/>
  <c r="K23" i="39"/>
  <c r="L23" i="39"/>
  <c r="K24" i="39"/>
  <c r="L24" i="39"/>
  <c r="K25" i="39"/>
  <c r="L25" i="39"/>
  <c r="K26" i="39"/>
  <c r="L26" i="39"/>
  <c r="K27" i="39"/>
  <c r="L27" i="39"/>
  <c r="K28" i="39"/>
  <c r="L28" i="39"/>
  <c r="K29" i="39"/>
  <c r="L29" i="39"/>
  <c r="K30" i="39"/>
  <c r="L30" i="39"/>
  <c r="K31" i="39"/>
  <c r="L31" i="39"/>
  <c r="K32" i="39"/>
  <c r="L32" i="39"/>
  <c r="K33" i="39"/>
  <c r="L33" i="39"/>
  <c r="K34" i="39"/>
  <c r="L34" i="39"/>
  <c r="K35" i="39"/>
  <c r="L35" i="39"/>
  <c r="K36" i="39"/>
  <c r="L36" i="39"/>
  <c r="K37" i="39"/>
  <c r="L37" i="39"/>
  <c r="K38" i="39"/>
  <c r="L38" i="39"/>
  <c r="K39" i="39"/>
  <c r="L39" i="39"/>
  <c r="K40" i="39"/>
  <c r="L40" i="39"/>
  <c r="K41" i="39"/>
  <c r="L41" i="39"/>
  <c r="K42" i="39"/>
  <c r="L42" i="39"/>
  <c r="K43" i="39"/>
  <c r="L43" i="39"/>
  <c r="K44" i="39"/>
  <c r="L44" i="39"/>
  <c r="K45" i="39"/>
  <c r="L45" i="39"/>
  <c r="K46" i="39"/>
  <c r="L46" i="39"/>
  <c r="K47" i="39"/>
  <c r="L47" i="39"/>
  <c r="K48" i="39"/>
  <c r="L48" i="39"/>
  <c r="K49" i="39"/>
  <c r="L49" i="39"/>
  <c r="K50" i="39"/>
  <c r="L50" i="39"/>
  <c r="K51" i="39"/>
  <c r="L51" i="39"/>
  <c r="K52" i="39"/>
  <c r="L52" i="39"/>
  <c r="K53" i="39"/>
  <c r="L53" i="39"/>
  <c r="K54" i="39"/>
  <c r="L54" i="39"/>
  <c r="K55" i="39"/>
  <c r="L55" i="39"/>
  <c r="K56" i="39"/>
  <c r="L56" i="39"/>
  <c r="K57" i="39"/>
  <c r="L57" i="39"/>
  <c r="K58" i="39"/>
  <c r="L58" i="39"/>
  <c r="K59" i="39"/>
  <c r="L59" i="39"/>
  <c r="K60" i="39"/>
  <c r="L60" i="39"/>
  <c r="K61" i="39"/>
  <c r="L61" i="39"/>
  <c r="K62" i="39"/>
  <c r="L62" i="39"/>
  <c r="K63" i="39"/>
  <c r="L63" i="39"/>
  <c r="K64" i="39"/>
  <c r="L64" i="39"/>
  <c r="K65" i="39"/>
  <c r="L65" i="39"/>
  <c r="K66" i="39"/>
  <c r="L66" i="39"/>
  <c r="K67" i="39"/>
  <c r="L67" i="39"/>
  <c r="K68" i="39"/>
  <c r="L68" i="39"/>
  <c r="K69" i="39"/>
  <c r="L69" i="39"/>
  <c r="K70" i="39"/>
  <c r="L70" i="39"/>
  <c r="K71" i="39"/>
  <c r="L71" i="39"/>
  <c r="K72" i="39"/>
  <c r="L72" i="39"/>
  <c r="K73" i="39"/>
  <c r="L73" i="39"/>
  <c r="K74" i="39"/>
  <c r="L74" i="39"/>
  <c r="K75" i="39"/>
  <c r="L75" i="39"/>
  <c r="K76" i="39"/>
  <c r="L76" i="39"/>
  <c r="K77" i="39"/>
  <c r="L77" i="39"/>
  <c r="K78" i="39"/>
  <c r="L78" i="39"/>
  <c r="K79" i="39"/>
  <c r="L79" i="39"/>
  <c r="K80" i="39"/>
  <c r="L80" i="39"/>
  <c r="K81" i="39"/>
  <c r="L81" i="39"/>
  <c r="K82" i="39"/>
  <c r="L82" i="39"/>
  <c r="K83" i="39"/>
  <c r="L83" i="39"/>
  <c r="K84" i="39"/>
  <c r="L84" i="39"/>
  <c r="K85" i="39"/>
  <c r="L85" i="39"/>
  <c r="K86" i="39"/>
  <c r="L86" i="39"/>
  <c r="K87" i="39"/>
  <c r="L87" i="39"/>
  <c r="K88" i="39"/>
  <c r="L88" i="39"/>
  <c r="K89" i="39"/>
  <c r="L89" i="39"/>
  <c r="K90" i="39"/>
  <c r="L90" i="39"/>
  <c r="K91" i="39"/>
  <c r="L91" i="39"/>
  <c r="K92" i="39"/>
  <c r="L92" i="39"/>
  <c r="K93" i="39"/>
  <c r="L93" i="39"/>
  <c r="K94" i="39"/>
  <c r="L94" i="39"/>
  <c r="K95" i="39"/>
  <c r="L95" i="39"/>
  <c r="K96" i="39"/>
  <c r="L96" i="39"/>
  <c r="K97" i="39"/>
  <c r="L97" i="39"/>
  <c r="K98" i="39"/>
  <c r="L98" i="39"/>
  <c r="K99" i="39"/>
  <c r="L99" i="39"/>
  <c r="K100" i="39"/>
  <c r="L100" i="39"/>
  <c r="K101" i="39"/>
  <c r="L101" i="39"/>
  <c r="K102" i="39"/>
  <c r="L102" i="39"/>
  <c r="K103" i="39"/>
  <c r="L103" i="39"/>
  <c r="K104" i="39"/>
  <c r="L104" i="39"/>
  <c r="K105" i="39"/>
  <c r="L105" i="39"/>
  <c r="K106" i="39"/>
  <c r="L106" i="39"/>
  <c r="K107" i="39"/>
  <c r="L107" i="39"/>
  <c r="K108" i="39"/>
  <c r="L108" i="39"/>
  <c r="K109" i="39"/>
  <c r="L109" i="39"/>
  <c r="K110" i="39"/>
  <c r="L110" i="39"/>
  <c r="K111" i="39"/>
  <c r="L111" i="39"/>
  <c r="K112" i="39"/>
  <c r="L112" i="39"/>
  <c r="K113" i="39"/>
  <c r="L113" i="39"/>
  <c r="K114" i="39"/>
  <c r="L114" i="39"/>
  <c r="K115" i="39"/>
  <c r="L115" i="39"/>
  <c r="K116" i="39"/>
  <c r="L116" i="39"/>
  <c r="K117" i="39"/>
  <c r="L117" i="39"/>
  <c r="K118" i="39"/>
  <c r="L118" i="39"/>
  <c r="K119" i="39"/>
  <c r="L119" i="39"/>
  <c r="K120" i="39"/>
  <c r="L120" i="39"/>
  <c r="K121" i="39"/>
  <c r="L121" i="39"/>
  <c r="K122" i="39"/>
  <c r="L122" i="39"/>
  <c r="K123" i="39"/>
  <c r="L123" i="39"/>
  <c r="K124" i="39"/>
  <c r="L124" i="39"/>
  <c r="K125" i="39"/>
  <c r="L125" i="39"/>
  <c r="K126" i="39"/>
  <c r="L126" i="39"/>
  <c r="K127" i="39"/>
  <c r="L127" i="39"/>
  <c r="K128" i="39"/>
  <c r="L128" i="39"/>
  <c r="K129" i="39"/>
  <c r="L129" i="39"/>
  <c r="K130" i="39"/>
  <c r="L130" i="39"/>
  <c r="K131" i="39"/>
  <c r="L131" i="39"/>
  <c r="K132" i="39"/>
  <c r="L132" i="39"/>
  <c r="K133" i="39"/>
  <c r="L133" i="39"/>
  <c r="K134" i="39"/>
  <c r="L134" i="39"/>
  <c r="K267" i="39"/>
  <c r="L267" i="39"/>
  <c r="K268" i="39"/>
  <c r="L268" i="39"/>
  <c r="K269" i="39"/>
  <c r="L269" i="39"/>
  <c r="K270" i="39"/>
  <c r="L270" i="39"/>
  <c r="K271" i="39"/>
  <c r="L271" i="39"/>
  <c r="K272" i="39"/>
  <c r="L272" i="39"/>
  <c r="K273" i="39"/>
  <c r="L273" i="39"/>
  <c r="K274" i="39"/>
  <c r="L274" i="39"/>
  <c r="K275" i="39"/>
  <c r="L275" i="39"/>
  <c r="K276" i="39"/>
  <c r="L276" i="39"/>
  <c r="K277" i="39"/>
  <c r="L277" i="39"/>
  <c r="K278" i="39"/>
  <c r="L278" i="39"/>
  <c r="K279" i="39"/>
  <c r="L279" i="39"/>
  <c r="K280" i="39"/>
  <c r="L280" i="39"/>
  <c r="K281" i="39"/>
  <c r="L281" i="39"/>
  <c r="K282" i="39"/>
  <c r="L282" i="39"/>
  <c r="K283" i="39"/>
  <c r="L283" i="39"/>
  <c r="K284" i="39"/>
  <c r="L284" i="39"/>
  <c r="K285" i="39"/>
  <c r="L285" i="39"/>
  <c r="K286" i="39"/>
  <c r="L286" i="39"/>
  <c r="K287" i="39"/>
  <c r="L287" i="39"/>
  <c r="K309" i="39"/>
  <c r="L309" i="39"/>
  <c r="K310" i="39"/>
  <c r="L310" i="39"/>
  <c r="K311" i="39"/>
  <c r="L311" i="39"/>
  <c r="K318" i="39"/>
  <c r="L318" i="39"/>
  <c r="K319" i="39"/>
  <c r="L319" i="39"/>
  <c r="K320" i="39"/>
  <c r="L320" i="39"/>
  <c r="K321" i="39"/>
  <c r="L321" i="39"/>
  <c r="K322" i="39"/>
  <c r="L322" i="39"/>
  <c r="K323" i="39"/>
  <c r="L323" i="39"/>
  <c r="K324" i="39"/>
  <c r="L324" i="39"/>
  <c r="K325" i="39"/>
  <c r="L325" i="39"/>
  <c r="K326" i="39"/>
  <c r="L326" i="39"/>
  <c r="K327" i="39"/>
  <c r="L327" i="39"/>
  <c r="K328" i="39"/>
  <c r="L328" i="39"/>
  <c r="K329" i="39"/>
  <c r="L329" i="39"/>
  <c r="K330" i="39"/>
  <c r="L330" i="39"/>
  <c r="K331" i="39"/>
  <c r="L331" i="39"/>
  <c r="K332" i="39"/>
  <c r="L332" i="39"/>
  <c r="K333" i="39"/>
  <c r="L333" i="39"/>
  <c r="K334" i="39"/>
  <c r="L334" i="39"/>
  <c r="K335" i="39"/>
  <c r="L335" i="39"/>
  <c r="K336" i="39"/>
  <c r="L336" i="39"/>
  <c r="K337" i="39"/>
  <c r="L337" i="39"/>
  <c r="K338" i="39"/>
  <c r="L338" i="39"/>
  <c r="K339" i="39"/>
  <c r="L339" i="39"/>
  <c r="K340" i="39"/>
  <c r="L340" i="39"/>
  <c r="K341" i="39"/>
  <c r="L341" i="39"/>
  <c r="K342" i="39"/>
  <c r="L342" i="39"/>
  <c r="K343" i="39"/>
  <c r="L343" i="39"/>
  <c r="K344" i="39"/>
  <c r="L344" i="39"/>
  <c r="K345" i="39"/>
  <c r="L345" i="39"/>
  <c r="K346" i="39"/>
  <c r="L346" i="39"/>
  <c r="K347" i="39"/>
  <c r="L347" i="39"/>
  <c r="K348" i="39"/>
  <c r="L348" i="39"/>
  <c r="K349" i="39"/>
  <c r="L349" i="39"/>
  <c r="K350" i="39"/>
  <c r="L350" i="39"/>
  <c r="K351" i="39"/>
  <c r="L351" i="39"/>
  <c r="K352" i="39"/>
  <c r="L352" i="39"/>
  <c r="K378" i="39"/>
  <c r="L378" i="39"/>
  <c r="K379" i="39"/>
  <c r="L379" i="39"/>
  <c r="K380" i="39"/>
  <c r="L380" i="39"/>
  <c r="K388" i="39"/>
  <c r="L388" i="39"/>
  <c r="K389" i="39"/>
  <c r="L389" i="39"/>
  <c r="K390" i="39"/>
  <c r="K391" i="39"/>
  <c r="K392" i="39"/>
  <c r="K393" i="39"/>
  <c r="K394" i="39"/>
  <c r="K395" i="39"/>
  <c r="K396" i="39"/>
  <c r="K397" i="39"/>
  <c r="K398" i="39"/>
  <c r="K399" i="39"/>
  <c r="K413" i="39"/>
  <c r="K414" i="39"/>
  <c r="K415" i="39"/>
  <c r="K416" i="39"/>
  <c r="K417" i="39"/>
  <c r="K418" i="39"/>
  <c r="L418" i="39"/>
  <c r="K419" i="39"/>
  <c r="L419" i="39"/>
  <c r="K420" i="39"/>
  <c r="L420" i="39"/>
  <c r="K421" i="39"/>
  <c r="L421" i="39"/>
  <c r="K422" i="39"/>
  <c r="L422" i="39"/>
  <c r="K423" i="39"/>
  <c r="L423" i="39"/>
  <c r="K424" i="39"/>
  <c r="L424" i="39"/>
  <c r="K425" i="39"/>
  <c r="L425" i="39"/>
  <c r="K426" i="39"/>
  <c r="L426" i="39"/>
  <c r="K427" i="39"/>
  <c r="L427" i="39"/>
  <c r="K428" i="39"/>
  <c r="L428" i="39"/>
  <c r="K429" i="39"/>
  <c r="L429" i="39"/>
  <c r="K430" i="39"/>
  <c r="L430" i="39"/>
  <c r="K447" i="39"/>
  <c r="L447" i="39"/>
  <c r="K449" i="39"/>
  <c r="L449" i="39"/>
  <c r="K450" i="39"/>
  <c r="L450" i="39"/>
  <c r="K451" i="39"/>
  <c r="L451" i="39"/>
  <c r="K452" i="39"/>
  <c r="L452" i="39"/>
  <c r="K453" i="39"/>
  <c r="L453" i="39"/>
  <c r="K454" i="39"/>
  <c r="L454" i="39"/>
  <c r="K455" i="39"/>
  <c r="L455" i="39"/>
  <c r="K456" i="39"/>
  <c r="L456" i="39"/>
  <c r="K457" i="39"/>
  <c r="L457" i="39"/>
  <c r="K458" i="39"/>
  <c r="L458" i="39"/>
  <c r="K460" i="39"/>
  <c r="L460" i="39"/>
  <c r="K461" i="39"/>
  <c r="L461" i="39"/>
  <c r="K462" i="39"/>
  <c r="L462" i="39"/>
  <c r="K463" i="39"/>
  <c r="L463" i="39"/>
  <c r="K464" i="39"/>
  <c r="L464" i="39"/>
  <c r="K465" i="39"/>
  <c r="L465" i="39"/>
  <c r="K470" i="39"/>
  <c r="L470" i="39"/>
  <c r="K471" i="39"/>
  <c r="L471" i="39"/>
  <c r="K473" i="39"/>
  <c r="L473" i="39"/>
  <c r="K474" i="39"/>
  <c r="L474" i="39"/>
  <c r="K477" i="39"/>
  <c r="L477" i="39"/>
  <c r="K478" i="39"/>
  <c r="L478" i="39"/>
  <c r="K479" i="39"/>
  <c r="L479" i="39"/>
  <c r="K480" i="39"/>
  <c r="L480" i="39"/>
  <c r="K481" i="39"/>
  <c r="L481" i="39"/>
  <c r="K482" i="39"/>
  <c r="L482" i="39"/>
  <c r="K483" i="39"/>
  <c r="L483" i="39"/>
  <c r="K484" i="39"/>
  <c r="L484" i="39"/>
  <c r="K485" i="39"/>
  <c r="L485" i="39"/>
  <c r="K486" i="39"/>
  <c r="L486" i="39"/>
  <c r="K487" i="39"/>
  <c r="L487" i="39"/>
  <c r="K488" i="39"/>
  <c r="L488" i="39"/>
  <c r="K489" i="39"/>
  <c r="L489" i="39"/>
  <c r="K490" i="39"/>
  <c r="L490" i="39"/>
  <c r="K491" i="39"/>
  <c r="L491" i="39"/>
  <c r="K492" i="39"/>
  <c r="L492" i="39"/>
  <c r="K493" i="39"/>
  <c r="L493" i="39"/>
  <c r="K494" i="39"/>
  <c r="L494" i="39"/>
  <c r="K495" i="39"/>
  <c r="L495" i="39"/>
  <c r="K496" i="39"/>
  <c r="L496" i="39"/>
  <c r="K497" i="39"/>
  <c r="L497" i="39"/>
  <c r="K498" i="39"/>
  <c r="L498" i="39"/>
  <c r="K499" i="39"/>
  <c r="L499" i="39"/>
  <c r="K500" i="39"/>
  <c r="L500" i="39"/>
  <c r="K501" i="39"/>
  <c r="L501" i="39"/>
  <c r="K502" i="39"/>
  <c r="L502" i="39"/>
  <c r="L2" i="39"/>
  <c r="AK2" i="39" s="1"/>
  <c r="K2" i="39"/>
  <c r="I4" i="39" l="1"/>
  <c r="M4" i="39" s="1"/>
  <c r="I5" i="39"/>
  <c r="M5" i="39" s="1"/>
  <c r="I2" i="39" l="1"/>
  <c r="M2" i="39" s="1"/>
  <c r="AH3" i="39" l="1"/>
  <c r="AH4" i="39"/>
  <c r="AH5" i="39"/>
  <c r="AH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H25" i="39"/>
  <c r="AH26" i="39"/>
  <c r="AH27" i="39"/>
  <c r="AH28" i="39"/>
  <c r="AH29" i="39"/>
  <c r="AH30" i="39"/>
  <c r="AH31" i="39"/>
  <c r="AH32" i="39"/>
  <c r="AH33" i="39"/>
  <c r="AH34" i="39"/>
  <c r="AH35" i="39"/>
  <c r="AH36" i="39"/>
  <c r="AH37" i="39"/>
  <c r="AH38" i="39"/>
  <c r="AH39" i="39"/>
  <c r="AH40" i="39"/>
  <c r="AH41" i="39"/>
  <c r="AH42" i="39"/>
  <c r="AH43" i="39"/>
  <c r="AH44" i="39"/>
  <c r="AH45" i="39"/>
  <c r="AH46" i="39"/>
  <c r="AH47" i="39"/>
  <c r="AH48" i="39"/>
  <c r="AH49" i="39"/>
  <c r="AH50" i="39"/>
  <c r="AH51" i="39"/>
  <c r="AH52" i="39"/>
  <c r="AH53" i="39"/>
  <c r="AH54" i="39"/>
  <c r="AH55" i="39"/>
  <c r="AH56" i="39"/>
  <c r="AH57" i="39"/>
  <c r="AH58" i="39"/>
  <c r="AH59" i="39"/>
  <c r="AH60" i="39"/>
  <c r="AH61" i="39"/>
  <c r="AH62" i="39"/>
  <c r="AH63" i="39"/>
  <c r="AH64" i="39"/>
  <c r="AH65" i="39"/>
  <c r="AH66" i="39"/>
  <c r="AH67" i="39"/>
  <c r="AH68" i="39"/>
  <c r="AH69" i="39"/>
  <c r="AH70" i="39"/>
  <c r="AH71" i="39"/>
  <c r="AH72" i="39"/>
  <c r="AH73" i="39"/>
  <c r="AH74" i="39"/>
  <c r="AH75" i="39"/>
  <c r="AH76" i="39"/>
  <c r="AH77" i="39"/>
  <c r="AH78" i="39"/>
  <c r="AH79" i="39"/>
  <c r="AH80" i="39"/>
  <c r="AH81" i="39"/>
  <c r="AH82" i="39"/>
  <c r="AH83" i="39"/>
  <c r="AH84" i="39"/>
  <c r="AH85" i="39"/>
  <c r="AH86" i="39"/>
  <c r="AH87" i="39"/>
  <c r="AH88" i="39"/>
  <c r="AH89" i="39"/>
  <c r="AH90" i="39"/>
  <c r="AH91" i="39"/>
  <c r="AH92" i="39"/>
  <c r="AH93" i="39"/>
  <c r="AH94" i="39"/>
  <c r="AH95" i="39"/>
  <c r="AH96" i="39"/>
  <c r="AH97" i="39"/>
  <c r="AH98" i="39"/>
  <c r="AH99" i="39"/>
  <c r="AH100" i="39"/>
  <c r="AH101" i="39"/>
  <c r="AH102" i="39"/>
  <c r="AH103" i="39"/>
  <c r="AH104" i="39"/>
  <c r="AH105" i="39"/>
  <c r="AH106" i="39"/>
  <c r="AH107" i="39"/>
  <c r="AH108" i="39"/>
  <c r="AH109" i="39"/>
  <c r="AH110" i="39"/>
  <c r="AH111" i="39"/>
  <c r="AH112" i="39"/>
  <c r="AH113" i="39"/>
  <c r="AH114" i="39"/>
  <c r="AH115" i="39"/>
  <c r="AH116" i="39"/>
  <c r="AH117" i="39"/>
  <c r="AH118" i="39"/>
  <c r="AH119" i="39"/>
  <c r="AH120" i="39"/>
  <c r="AH121" i="39"/>
  <c r="AH122" i="39"/>
  <c r="AH123" i="39"/>
  <c r="AH124" i="39"/>
  <c r="AH125" i="39"/>
  <c r="AH126" i="39"/>
  <c r="AH127" i="39"/>
  <c r="AH128" i="39"/>
  <c r="AH129" i="39"/>
  <c r="AH130" i="39"/>
  <c r="AH131" i="39"/>
  <c r="AH132" i="39"/>
  <c r="AH133" i="39"/>
  <c r="AH134" i="39"/>
  <c r="AH267" i="39"/>
  <c r="AH268" i="39"/>
  <c r="AH269" i="39"/>
  <c r="AH270" i="39"/>
  <c r="AH271" i="39"/>
  <c r="AH272" i="39"/>
  <c r="AH273" i="39"/>
  <c r="AH274" i="39"/>
  <c r="AH275" i="39"/>
  <c r="AH276" i="39"/>
  <c r="AH277" i="39"/>
  <c r="AH278" i="39"/>
  <c r="AH279" i="39"/>
  <c r="AH280" i="39"/>
  <c r="AH281" i="39"/>
  <c r="AH282" i="39"/>
  <c r="AH283" i="39"/>
  <c r="AH284" i="39"/>
  <c r="AH285" i="39"/>
  <c r="AH286" i="39"/>
  <c r="AH287" i="39"/>
  <c r="AH309" i="39"/>
  <c r="AH310" i="39"/>
  <c r="AH311" i="39"/>
  <c r="AH318" i="39"/>
  <c r="AH319" i="39"/>
  <c r="AH320" i="39"/>
  <c r="AH321" i="39"/>
  <c r="AH322" i="39"/>
  <c r="AH323" i="39"/>
  <c r="AH324" i="39"/>
  <c r="AH325" i="39"/>
  <c r="AH326" i="39"/>
  <c r="AH327" i="39"/>
  <c r="AH328" i="39"/>
  <c r="AH329" i="39"/>
  <c r="AH330" i="39"/>
  <c r="AH331" i="39"/>
  <c r="AH332" i="39"/>
  <c r="AH333" i="39"/>
  <c r="AH334" i="39"/>
  <c r="AH335" i="39"/>
  <c r="AH336" i="39"/>
  <c r="AH337" i="39"/>
  <c r="AH338" i="39"/>
  <c r="AH339" i="39"/>
  <c r="AH340" i="39"/>
  <c r="AH341" i="39"/>
  <c r="AH342" i="39"/>
  <c r="AH343" i="39"/>
  <c r="AH344" i="39"/>
  <c r="AH345" i="39"/>
  <c r="AH346" i="39"/>
  <c r="AH347" i="39"/>
  <c r="AH348" i="39"/>
  <c r="AH349" i="39"/>
  <c r="AH350" i="39"/>
  <c r="AH351" i="39"/>
  <c r="AH352" i="39"/>
  <c r="AH378" i="39"/>
  <c r="AH379" i="39"/>
  <c r="AH380" i="39"/>
  <c r="AH388" i="39"/>
  <c r="AH389" i="39"/>
  <c r="AH390" i="39"/>
  <c r="AH391" i="39"/>
  <c r="AH392" i="39"/>
  <c r="AH393" i="39"/>
  <c r="AH394" i="39"/>
  <c r="AH395" i="39"/>
  <c r="AH396" i="39"/>
  <c r="AH397" i="39"/>
  <c r="AH398" i="39"/>
  <c r="AH399" i="39"/>
  <c r="AH413" i="39"/>
  <c r="AH414" i="39"/>
  <c r="AH415" i="39"/>
  <c r="AH416" i="39"/>
  <c r="AH417" i="39"/>
  <c r="AH418" i="39"/>
  <c r="AH419" i="39"/>
  <c r="AH420" i="39"/>
  <c r="AH421" i="39"/>
  <c r="AH422" i="39"/>
  <c r="AH423" i="39"/>
  <c r="AH424" i="39"/>
  <c r="AH425" i="39"/>
  <c r="AH426" i="39"/>
  <c r="AH427" i="39"/>
  <c r="AH428" i="39"/>
  <c r="AH429" i="39"/>
  <c r="AH430" i="39"/>
  <c r="AH447" i="39"/>
  <c r="AH449" i="39"/>
  <c r="AH450" i="39"/>
  <c r="AH451" i="39"/>
  <c r="AH452" i="39"/>
  <c r="AH453" i="39"/>
  <c r="AH454" i="39"/>
  <c r="AH455" i="39"/>
  <c r="AH456" i="39"/>
  <c r="AH457" i="39"/>
  <c r="AH458" i="39"/>
  <c r="AH460" i="39"/>
  <c r="AH461" i="39"/>
  <c r="AH462" i="39"/>
  <c r="AH463" i="39"/>
  <c r="AH464" i="39"/>
  <c r="AH465" i="39"/>
  <c r="AH470" i="39"/>
  <c r="AH471" i="39"/>
  <c r="AH473" i="39"/>
  <c r="AH474" i="39"/>
  <c r="AH477" i="39"/>
  <c r="AH478" i="39"/>
  <c r="AH479" i="39"/>
  <c r="AH480" i="39"/>
  <c r="AH481" i="39"/>
  <c r="AH482" i="39"/>
  <c r="AH483" i="39"/>
  <c r="AH484" i="39"/>
  <c r="AH485" i="39"/>
  <c r="AH486" i="39"/>
  <c r="AH487" i="39"/>
  <c r="AH488" i="39"/>
  <c r="AH489" i="39"/>
  <c r="AH490" i="39"/>
  <c r="AH491" i="39"/>
  <c r="AH492" i="39"/>
  <c r="AH493" i="39"/>
  <c r="AH494" i="39"/>
  <c r="AH495" i="39"/>
  <c r="AH496" i="39"/>
  <c r="AH497" i="39"/>
  <c r="AH498" i="39"/>
  <c r="AH499" i="39"/>
  <c r="AH500" i="39"/>
  <c r="AH501" i="39"/>
  <c r="AH502" i="39"/>
  <c r="AH2" i="39"/>
  <c r="AF447" i="39"/>
  <c r="AF449" i="39"/>
  <c r="AF450" i="39"/>
  <c r="AF451" i="39"/>
  <c r="AF452" i="39"/>
  <c r="AF453" i="39"/>
  <c r="AF454" i="39"/>
  <c r="AF455" i="39"/>
  <c r="AF456" i="39"/>
  <c r="AF457" i="39"/>
  <c r="AF458" i="39"/>
  <c r="AF460" i="39"/>
  <c r="AF461" i="39"/>
  <c r="AF462" i="39"/>
  <c r="AF463" i="39"/>
  <c r="AF464" i="39"/>
  <c r="AF465" i="39"/>
  <c r="AF470" i="39"/>
  <c r="AF471" i="39"/>
  <c r="AF473" i="39"/>
  <c r="AF474" i="39"/>
  <c r="I3" i="39"/>
  <c r="M3" i="39" s="1"/>
  <c r="I6" i="39"/>
  <c r="M6" i="39" s="1"/>
  <c r="I7" i="39"/>
  <c r="M7" i="39" s="1"/>
  <c r="I8" i="39"/>
  <c r="M8" i="39" s="1"/>
  <c r="I9" i="39"/>
  <c r="M9" i="39" s="1"/>
  <c r="I10" i="39"/>
  <c r="M10" i="39" s="1"/>
  <c r="I11" i="39"/>
  <c r="M11" i="39" s="1"/>
  <c r="I12" i="39"/>
  <c r="M12" i="39" s="1"/>
  <c r="I13" i="39"/>
  <c r="M13" i="39" s="1"/>
  <c r="I14" i="39"/>
  <c r="M14" i="39" s="1"/>
  <c r="I15" i="39"/>
  <c r="M15" i="39" s="1"/>
  <c r="I16" i="39"/>
  <c r="M16" i="39" s="1"/>
  <c r="I17" i="39"/>
  <c r="M17" i="39" s="1"/>
  <c r="I18" i="39"/>
  <c r="M18" i="39" s="1"/>
  <c r="I19" i="39"/>
  <c r="M19" i="39" s="1"/>
  <c r="I20" i="39"/>
  <c r="M20" i="39" s="1"/>
  <c r="I21" i="39"/>
  <c r="M21" i="39" s="1"/>
  <c r="I22" i="39"/>
  <c r="M22" i="39" s="1"/>
  <c r="I23" i="39"/>
  <c r="M23" i="39" s="1"/>
  <c r="I24" i="39"/>
  <c r="M24" i="39" s="1"/>
  <c r="I25" i="39"/>
  <c r="M25" i="39" s="1"/>
  <c r="I26" i="39"/>
  <c r="M26" i="39" s="1"/>
  <c r="I27" i="39"/>
  <c r="M27" i="39" s="1"/>
  <c r="I28" i="39"/>
  <c r="M28" i="39" s="1"/>
  <c r="I29" i="39"/>
  <c r="M29" i="39" s="1"/>
  <c r="I30" i="39"/>
  <c r="M30" i="39" s="1"/>
  <c r="I31" i="39"/>
  <c r="M31" i="39" s="1"/>
  <c r="I32" i="39"/>
  <c r="M32" i="39" s="1"/>
  <c r="I33" i="39"/>
  <c r="M33" i="39" s="1"/>
  <c r="I34" i="39"/>
  <c r="M34" i="39" s="1"/>
  <c r="I35" i="39"/>
  <c r="M35" i="39" s="1"/>
  <c r="I36" i="39"/>
  <c r="M36" i="39" s="1"/>
  <c r="I37" i="39"/>
  <c r="M37" i="39" s="1"/>
  <c r="I38" i="39"/>
  <c r="M38" i="39" s="1"/>
  <c r="I39" i="39"/>
  <c r="M39" i="39" s="1"/>
  <c r="I40" i="39"/>
  <c r="M40" i="39" s="1"/>
  <c r="I41" i="39"/>
  <c r="M41" i="39" s="1"/>
  <c r="I42" i="39"/>
  <c r="M42" i="39" s="1"/>
  <c r="I43" i="39"/>
  <c r="M43" i="39" s="1"/>
  <c r="I44" i="39"/>
  <c r="M44" i="39" s="1"/>
  <c r="I45" i="39"/>
  <c r="M45" i="39" s="1"/>
  <c r="I46" i="39"/>
  <c r="M46" i="39" s="1"/>
  <c r="I47" i="39"/>
  <c r="M47" i="39" s="1"/>
  <c r="I48" i="39"/>
  <c r="M48" i="39" s="1"/>
  <c r="I49" i="39"/>
  <c r="M49" i="39" s="1"/>
  <c r="I50" i="39"/>
  <c r="M50" i="39" s="1"/>
  <c r="I51" i="39"/>
  <c r="M51" i="39" s="1"/>
  <c r="I52" i="39"/>
  <c r="M52" i="39" s="1"/>
  <c r="I53" i="39"/>
  <c r="M53" i="39" s="1"/>
  <c r="I54" i="39"/>
  <c r="M54" i="39" s="1"/>
  <c r="I55" i="39"/>
  <c r="M55" i="39" s="1"/>
  <c r="I56" i="39"/>
  <c r="M56" i="39" s="1"/>
  <c r="I57" i="39"/>
  <c r="M57" i="39" s="1"/>
  <c r="I58" i="39"/>
  <c r="M58" i="39" s="1"/>
  <c r="I59" i="39"/>
  <c r="M59" i="39" s="1"/>
  <c r="I60" i="39"/>
  <c r="M60" i="39" s="1"/>
  <c r="I61" i="39"/>
  <c r="M61" i="39" s="1"/>
  <c r="I62" i="39"/>
  <c r="M62" i="39" s="1"/>
  <c r="I63" i="39"/>
  <c r="M63" i="39" s="1"/>
  <c r="I64" i="39"/>
  <c r="M64" i="39" s="1"/>
  <c r="I65" i="39"/>
  <c r="M65" i="39" s="1"/>
  <c r="I66" i="39"/>
  <c r="M66" i="39" s="1"/>
  <c r="I67" i="39"/>
  <c r="M67" i="39" s="1"/>
  <c r="I68" i="39"/>
  <c r="M68" i="39" s="1"/>
  <c r="I69" i="39"/>
  <c r="M69" i="39" s="1"/>
  <c r="I70" i="39"/>
  <c r="M70" i="39" s="1"/>
  <c r="I71" i="39"/>
  <c r="M71" i="39" s="1"/>
  <c r="I72" i="39"/>
  <c r="M72" i="39" s="1"/>
  <c r="I73" i="39"/>
  <c r="M73" i="39" s="1"/>
  <c r="I74" i="39"/>
  <c r="M74" i="39" s="1"/>
  <c r="I75" i="39"/>
  <c r="M75" i="39" s="1"/>
  <c r="I76" i="39"/>
  <c r="M76" i="39" s="1"/>
  <c r="I77" i="39"/>
  <c r="M77" i="39" s="1"/>
  <c r="I78" i="39"/>
  <c r="M78" i="39" s="1"/>
  <c r="I79" i="39"/>
  <c r="M79" i="39" s="1"/>
  <c r="I80" i="39"/>
  <c r="M80" i="39" s="1"/>
  <c r="I81" i="39"/>
  <c r="M81" i="39" s="1"/>
  <c r="I82" i="39"/>
  <c r="M82" i="39" s="1"/>
  <c r="I83" i="39"/>
  <c r="M83" i="39" s="1"/>
  <c r="I84" i="39"/>
  <c r="M84" i="39" s="1"/>
  <c r="I85" i="39"/>
  <c r="M85" i="39" s="1"/>
  <c r="I86" i="39"/>
  <c r="M86" i="39" s="1"/>
  <c r="I87" i="39"/>
  <c r="M87" i="39" s="1"/>
  <c r="I88" i="39"/>
  <c r="M88" i="39" s="1"/>
  <c r="I89" i="39"/>
  <c r="M89" i="39" s="1"/>
  <c r="I90" i="39"/>
  <c r="M90" i="39" s="1"/>
  <c r="I91" i="39"/>
  <c r="M91" i="39" s="1"/>
  <c r="I92" i="39"/>
  <c r="M92" i="39" s="1"/>
  <c r="I93" i="39"/>
  <c r="M93" i="39" s="1"/>
  <c r="I94" i="39"/>
  <c r="M94" i="39" s="1"/>
  <c r="I95" i="39"/>
  <c r="M95" i="39" s="1"/>
  <c r="I96" i="39"/>
  <c r="M96" i="39" s="1"/>
  <c r="I97" i="39"/>
  <c r="M97" i="39" s="1"/>
  <c r="I98" i="39"/>
  <c r="M98" i="39" s="1"/>
  <c r="I99" i="39"/>
  <c r="M99" i="39" s="1"/>
  <c r="I100" i="39"/>
  <c r="M100" i="39" s="1"/>
  <c r="I101" i="39"/>
  <c r="M101" i="39" s="1"/>
  <c r="I102" i="39"/>
  <c r="M102" i="39" s="1"/>
  <c r="I103" i="39"/>
  <c r="M103" i="39" s="1"/>
  <c r="I104" i="39"/>
  <c r="M104" i="39" s="1"/>
  <c r="I105" i="39"/>
  <c r="M105" i="39" s="1"/>
  <c r="I106" i="39"/>
  <c r="M106" i="39" s="1"/>
  <c r="I107" i="39"/>
  <c r="M107" i="39" s="1"/>
  <c r="I108" i="39"/>
  <c r="M108" i="39" s="1"/>
  <c r="I109" i="39"/>
  <c r="M109" i="39" s="1"/>
  <c r="I110" i="39"/>
  <c r="M110" i="39" s="1"/>
  <c r="I111" i="39"/>
  <c r="M111" i="39" s="1"/>
  <c r="I112" i="39"/>
  <c r="M112" i="39" s="1"/>
  <c r="I113" i="39"/>
  <c r="M113" i="39" s="1"/>
  <c r="I114" i="39"/>
  <c r="M114" i="39" s="1"/>
  <c r="I115" i="39"/>
  <c r="M115" i="39" s="1"/>
  <c r="I116" i="39"/>
  <c r="M116" i="39" s="1"/>
  <c r="I117" i="39"/>
  <c r="M117" i="39" s="1"/>
  <c r="I118" i="39"/>
  <c r="M118" i="39" s="1"/>
  <c r="I119" i="39"/>
  <c r="M119" i="39" s="1"/>
  <c r="I120" i="39"/>
  <c r="M120" i="39" s="1"/>
  <c r="I121" i="39"/>
  <c r="M121" i="39" s="1"/>
  <c r="I122" i="39"/>
  <c r="M122" i="39" s="1"/>
  <c r="I123" i="39"/>
  <c r="M123" i="39" s="1"/>
  <c r="I124" i="39"/>
  <c r="M124" i="39" s="1"/>
  <c r="I125" i="39"/>
  <c r="M125" i="39" s="1"/>
  <c r="I126" i="39"/>
  <c r="M126" i="39" s="1"/>
  <c r="I127" i="39"/>
  <c r="M127" i="39" s="1"/>
  <c r="I128" i="39"/>
  <c r="M128" i="39" s="1"/>
  <c r="I129" i="39"/>
  <c r="M129" i="39" s="1"/>
  <c r="I130" i="39"/>
  <c r="M130" i="39" s="1"/>
  <c r="I131" i="39"/>
  <c r="M131" i="39" s="1"/>
  <c r="I132" i="39"/>
  <c r="M132" i="39" s="1"/>
  <c r="I133" i="39"/>
  <c r="M133" i="39" s="1"/>
  <c r="I134" i="39"/>
  <c r="M134" i="39" s="1"/>
  <c r="I267" i="39"/>
  <c r="M267" i="39" s="1"/>
  <c r="I268" i="39"/>
  <c r="M268" i="39" s="1"/>
  <c r="I269" i="39"/>
  <c r="M269" i="39" s="1"/>
  <c r="I270" i="39"/>
  <c r="M270" i="39" s="1"/>
  <c r="I271" i="39"/>
  <c r="M271" i="39" s="1"/>
  <c r="I272" i="39"/>
  <c r="M272" i="39" s="1"/>
  <c r="I273" i="39"/>
  <c r="M273" i="39" s="1"/>
  <c r="I274" i="39"/>
  <c r="M274" i="39" s="1"/>
  <c r="I275" i="39"/>
  <c r="M275" i="39" s="1"/>
  <c r="I276" i="39"/>
  <c r="M276" i="39" s="1"/>
  <c r="I277" i="39"/>
  <c r="M277" i="39" s="1"/>
  <c r="I278" i="39"/>
  <c r="M278" i="39" s="1"/>
  <c r="I279" i="39"/>
  <c r="M279" i="39" s="1"/>
  <c r="I280" i="39"/>
  <c r="M280" i="39" s="1"/>
  <c r="I281" i="39"/>
  <c r="M281" i="39" s="1"/>
  <c r="I282" i="39"/>
  <c r="M282" i="39" s="1"/>
  <c r="I283" i="39"/>
  <c r="M283" i="39" s="1"/>
  <c r="I284" i="39"/>
  <c r="M284" i="39" s="1"/>
  <c r="I285" i="39"/>
  <c r="M285" i="39" s="1"/>
  <c r="I286" i="39"/>
  <c r="M286" i="39" s="1"/>
  <c r="I287" i="39"/>
  <c r="M287" i="39" s="1"/>
  <c r="I309" i="39"/>
  <c r="M309" i="39" s="1"/>
  <c r="I310" i="39"/>
  <c r="M310" i="39" s="1"/>
  <c r="I311" i="39"/>
  <c r="M311" i="39" s="1"/>
  <c r="I318" i="39"/>
  <c r="M318" i="39" s="1"/>
  <c r="I319" i="39"/>
  <c r="M319" i="39" s="1"/>
  <c r="I320" i="39"/>
  <c r="M320" i="39" s="1"/>
  <c r="I321" i="39"/>
  <c r="M321" i="39" s="1"/>
  <c r="I322" i="39"/>
  <c r="M322" i="39" s="1"/>
  <c r="I323" i="39"/>
  <c r="M323" i="39" s="1"/>
  <c r="I324" i="39"/>
  <c r="M324" i="39" s="1"/>
  <c r="I325" i="39"/>
  <c r="M325" i="39" s="1"/>
  <c r="I326" i="39"/>
  <c r="M326" i="39" s="1"/>
  <c r="I327" i="39"/>
  <c r="M327" i="39" s="1"/>
  <c r="I328" i="39"/>
  <c r="M328" i="39" s="1"/>
  <c r="I329" i="39"/>
  <c r="M329" i="39" s="1"/>
  <c r="I330" i="39"/>
  <c r="M330" i="39" s="1"/>
  <c r="I331" i="39"/>
  <c r="M331" i="39" s="1"/>
  <c r="I332" i="39"/>
  <c r="M332" i="39" s="1"/>
  <c r="I333" i="39"/>
  <c r="M333" i="39" s="1"/>
  <c r="I334" i="39"/>
  <c r="M334" i="39" s="1"/>
  <c r="I335" i="39"/>
  <c r="M335" i="39" s="1"/>
  <c r="I336" i="39"/>
  <c r="M336" i="39" s="1"/>
  <c r="I337" i="39"/>
  <c r="M337" i="39" s="1"/>
  <c r="I338" i="39"/>
  <c r="M338" i="39" s="1"/>
  <c r="I339" i="39"/>
  <c r="M339" i="39" s="1"/>
  <c r="I340" i="39"/>
  <c r="M340" i="39" s="1"/>
  <c r="I341" i="39"/>
  <c r="M341" i="39" s="1"/>
  <c r="I342" i="39"/>
  <c r="M342" i="39" s="1"/>
  <c r="I343" i="39"/>
  <c r="M343" i="39" s="1"/>
  <c r="I344" i="39"/>
  <c r="M344" i="39" s="1"/>
  <c r="I345" i="39"/>
  <c r="M345" i="39" s="1"/>
  <c r="I346" i="39"/>
  <c r="M346" i="39" s="1"/>
  <c r="I347" i="39"/>
  <c r="M347" i="39" s="1"/>
  <c r="I348" i="39"/>
  <c r="M348" i="39" s="1"/>
  <c r="I349" i="39"/>
  <c r="M349" i="39" s="1"/>
  <c r="I350" i="39"/>
  <c r="M350" i="39" s="1"/>
  <c r="I351" i="39"/>
  <c r="M351" i="39" s="1"/>
  <c r="I352" i="39"/>
  <c r="M352" i="39" s="1"/>
  <c r="I378" i="39"/>
  <c r="M378" i="39" s="1"/>
  <c r="I379" i="39"/>
  <c r="M379" i="39" s="1"/>
  <c r="I380" i="39"/>
  <c r="M380" i="39" s="1"/>
  <c r="I388" i="39"/>
  <c r="M388" i="39" s="1"/>
  <c r="I389" i="39"/>
  <c r="M389" i="39" s="1"/>
  <c r="I390" i="39"/>
  <c r="M390" i="39" s="1"/>
  <c r="I391" i="39"/>
  <c r="M391" i="39" s="1"/>
  <c r="I392" i="39"/>
  <c r="M392" i="39" s="1"/>
  <c r="I393" i="39"/>
  <c r="M393" i="39" s="1"/>
  <c r="I394" i="39"/>
  <c r="M394" i="39" s="1"/>
  <c r="I395" i="39"/>
  <c r="M395" i="39" s="1"/>
  <c r="I396" i="39"/>
  <c r="M396" i="39" s="1"/>
  <c r="I397" i="39"/>
  <c r="M397" i="39" s="1"/>
  <c r="I398" i="39"/>
  <c r="M398" i="39" s="1"/>
  <c r="I399" i="39"/>
  <c r="M399" i="39" s="1"/>
  <c r="I413" i="39"/>
  <c r="M413" i="39" s="1"/>
  <c r="I414" i="39"/>
  <c r="M414" i="39" s="1"/>
  <c r="I415" i="39"/>
  <c r="M415" i="39" s="1"/>
  <c r="I416" i="39"/>
  <c r="M416" i="39" s="1"/>
  <c r="I417" i="39"/>
  <c r="M417" i="39" s="1"/>
  <c r="I418" i="39"/>
  <c r="M418" i="39" s="1"/>
  <c r="I419" i="39"/>
  <c r="M419" i="39" s="1"/>
  <c r="I420" i="39"/>
  <c r="M420" i="39" s="1"/>
  <c r="I421" i="39"/>
  <c r="M421" i="39" s="1"/>
  <c r="I422" i="39"/>
  <c r="M422" i="39" s="1"/>
  <c r="I423" i="39"/>
  <c r="M423" i="39" s="1"/>
  <c r="I424" i="39"/>
  <c r="M424" i="39" s="1"/>
  <c r="I425" i="39"/>
  <c r="M425" i="39" s="1"/>
  <c r="I426" i="39"/>
  <c r="M426" i="39" s="1"/>
  <c r="I427" i="39"/>
  <c r="M427" i="39" s="1"/>
  <c r="I428" i="39"/>
  <c r="M428" i="39" s="1"/>
  <c r="I429" i="39"/>
  <c r="M429" i="39" s="1"/>
  <c r="I430" i="39"/>
  <c r="M430" i="39" s="1"/>
  <c r="I447" i="39"/>
  <c r="M447" i="39" s="1"/>
  <c r="I449" i="39"/>
  <c r="M449" i="39" s="1"/>
  <c r="I450" i="39"/>
  <c r="M450" i="39" s="1"/>
  <c r="I451" i="39"/>
  <c r="M451" i="39" s="1"/>
  <c r="I452" i="39"/>
  <c r="M452" i="39" s="1"/>
  <c r="I453" i="39"/>
  <c r="M453" i="39" s="1"/>
  <c r="I454" i="39"/>
  <c r="M454" i="39" s="1"/>
  <c r="I455" i="39"/>
  <c r="M455" i="39" s="1"/>
  <c r="I456" i="39"/>
  <c r="M456" i="39" s="1"/>
  <c r="I457" i="39"/>
  <c r="M457" i="39" s="1"/>
  <c r="I458" i="39"/>
  <c r="M458" i="39" s="1"/>
  <c r="I460" i="39"/>
  <c r="M460" i="39" s="1"/>
  <c r="I461" i="39"/>
  <c r="M461" i="39" s="1"/>
  <c r="I462" i="39"/>
  <c r="M462" i="39" s="1"/>
  <c r="I463" i="39"/>
  <c r="M463" i="39" s="1"/>
  <c r="I464" i="39"/>
  <c r="M464" i="39" s="1"/>
  <c r="I465" i="39"/>
  <c r="M465" i="39" s="1"/>
  <c r="I470" i="39"/>
  <c r="M470" i="39" s="1"/>
  <c r="I471" i="39"/>
  <c r="M471" i="39" s="1"/>
  <c r="I473" i="39"/>
  <c r="M473" i="39" s="1"/>
  <c r="I474" i="39"/>
  <c r="M474" i="39" s="1"/>
  <c r="I477" i="39"/>
  <c r="M477" i="39" s="1"/>
  <c r="I478" i="39"/>
  <c r="M478" i="39" s="1"/>
  <c r="I479" i="39"/>
  <c r="M479" i="39" s="1"/>
  <c r="I480" i="39"/>
  <c r="M480" i="39" s="1"/>
  <c r="I481" i="39"/>
  <c r="M481" i="39" s="1"/>
  <c r="I482" i="39"/>
  <c r="M482" i="39" s="1"/>
  <c r="I483" i="39"/>
  <c r="M483" i="39" s="1"/>
  <c r="I484" i="39"/>
  <c r="M484" i="39" s="1"/>
  <c r="I485" i="39"/>
  <c r="M485" i="39" s="1"/>
  <c r="I486" i="39"/>
  <c r="M486" i="39" s="1"/>
  <c r="I487" i="39"/>
  <c r="M487" i="39" s="1"/>
  <c r="I488" i="39"/>
  <c r="M488" i="39" s="1"/>
  <c r="I489" i="39"/>
  <c r="M489" i="39" s="1"/>
  <c r="I490" i="39"/>
  <c r="M490" i="39" s="1"/>
  <c r="I491" i="39"/>
  <c r="M491" i="39" s="1"/>
  <c r="I492" i="39"/>
  <c r="M492" i="39" s="1"/>
  <c r="I493" i="39"/>
  <c r="M493" i="39" s="1"/>
  <c r="I494" i="39"/>
  <c r="M494" i="39" s="1"/>
  <c r="I495" i="39"/>
  <c r="M495" i="39" s="1"/>
  <c r="I496" i="39"/>
  <c r="M496" i="39" s="1"/>
  <c r="I497" i="39"/>
  <c r="M497" i="39" s="1"/>
  <c r="I498" i="39"/>
  <c r="M498" i="39" s="1"/>
  <c r="I499" i="39"/>
  <c r="M499" i="39" s="1"/>
  <c r="I500" i="39"/>
  <c r="M500" i="39" s="1"/>
  <c r="I501" i="39"/>
  <c r="M501" i="39" s="1"/>
  <c r="I502" i="39"/>
  <c r="M502" i="39" s="1"/>
  <c r="H3" i="39"/>
  <c r="AF3" i="39" s="1"/>
  <c r="H4" i="39"/>
  <c r="AF4" i="39" s="1"/>
  <c r="AG4" i="39" s="1"/>
  <c r="H5" i="39"/>
  <c r="AF5" i="39" s="1"/>
  <c r="AG5" i="39" s="1"/>
  <c r="H6" i="39"/>
  <c r="AF6" i="39" s="1"/>
  <c r="H7" i="39"/>
  <c r="AF7" i="39" s="1"/>
  <c r="H8" i="39"/>
  <c r="AF8" i="39" s="1"/>
  <c r="H9" i="39"/>
  <c r="AF9" i="39" s="1"/>
  <c r="H10" i="39"/>
  <c r="AF10" i="39" s="1"/>
  <c r="H11" i="39"/>
  <c r="AF11" i="39" s="1"/>
  <c r="H12" i="39"/>
  <c r="AF12" i="39" s="1"/>
  <c r="H13" i="39"/>
  <c r="AF13" i="39" s="1"/>
  <c r="H14" i="39"/>
  <c r="AF14" i="39" s="1"/>
  <c r="H15" i="39"/>
  <c r="AF15" i="39" s="1"/>
  <c r="H16" i="39"/>
  <c r="AF16" i="39" s="1"/>
  <c r="H17" i="39"/>
  <c r="AF17" i="39" s="1"/>
  <c r="H18" i="39"/>
  <c r="AF18" i="39" s="1"/>
  <c r="H19" i="39"/>
  <c r="AF19" i="39" s="1"/>
  <c r="H20" i="39"/>
  <c r="AF20" i="39" s="1"/>
  <c r="H21" i="39"/>
  <c r="AF21" i="39" s="1"/>
  <c r="H22" i="39"/>
  <c r="AF22" i="39" s="1"/>
  <c r="H23" i="39"/>
  <c r="AF23" i="39" s="1"/>
  <c r="H24" i="39"/>
  <c r="AF24" i="39" s="1"/>
  <c r="H25" i="39"/>
  <c r="AF25" i="39" s="1"/>
  <c r="H26" i="39"/>
  <c r="AF26" i="39" s="1"/>
  <c r="H27" i="39"/>
  <c r="AF27" i="39" s="1"/>
  <c r="H28" i="39"/>
  <c r="AF28" i="39" s="1"/>
  <c r="H29" i="39"/>
  <c r="AF29" i="39" s="1"/>
  <c r="H30" i="39"/>
  <c r="AF30" i="39" s="1"/>
  <c r="H31" i="39"/>
  <c r="AF31" i="39" s="1"/>
  <c r="H32" i="39"/>
  <c r="AF32" i="39" s="1"/>
  <c r="H33" i="39"/>
  <c r="AF33" i="39" s="1"/>
  <c r="H34" i="39"/>
  <c r="AF34" i="39" s="1"/>
  <c r="H35" i="39"/>
  <c r="AF35" i="39" s="1"/>
  <c r="H36" i="39"/>
  <c r="AF36" i="39" s="1"/>
  <c r="H37" i="39"/>
  <c r="AF37" i="39" s="1"/>
  <c r="H38" i="39"/>
  <c r="AF38" i="39" s="1"/>
  <c r="H39" i="39"/>
  <c r="AF39" i="39" s="1"/>
  <c r="H40" i="39"/>
  <c r="AF40" i="39" s="1"/>
  <c r="H41" i="39"/>
  <c r="AF41" i="39" s="1"/>
  <c r="H42" i="39"/>
  <c r="AF42" i="39" s="1"/>
  <c r="H43" i="39"/>
  <c r="AF43" i="39" s="1"/>
  <c r="H44" i="39"/>
  <c r="AF44" i="39" s="1"/>
  <c r="H45" i="39"/>
  <c r="AF45" i="39" s="1"/>
  <c r="H46" i="39"/>
  <c r="AF46" i="39" s="1"/>
  <c r="H47" i="39"/>
  <c r="AF47" i="39" s="1"/>
  <c r="H48" i="39"/>
  <c r="AF48" i="39" s="1"/>
  <c r="H49" i="39"/>
  <c r="AF49" i="39" s="1"/>
  <c r="H50" i="39"/>
  <c r="AF50" i="39" s="1"/>
  <c r="H51" i="39"/>
  <c r="AF51" i="39" s="1"/>
  <c r="H52" i="39"/>
  <c r="AF52" i="39" s="1"/>
  <c r="H53" i="39"/>
  <c r="AF53" i="39" s="1"/>
  <c r="H54" i="39"/>
  <c r="AF54" i="39" s="1"/>
  <c r="H55" i="39"/>
  <c r="AF55" i="39" s="1"/>
  <c r="H56" i="39"/>
  <c r="AF56" i="39" s="1"/>
  <c r="H57" i="39"/>
  <c r="AF57" i="39" s="1"/>
  <c r="H58" i="39"/>
  <c r="AF58" i="39" s="1"/>
  <c r="H59" i="39"/>
  <c r="AF59" i="39" s="1"/>
  <c r="H60" i="39"/>
  <c r="AF60" i="39" s="1"/>
  <c r="H61" i="39"/>
  <c r="AF61" i="39" s="1"/>
  <c r="H62" i="39"/>
  <c r="AF62" i="39" s="1"/>
  <c r="H63" i="39"/>
  <c r="AF63" i="39" s="1"/>
  <c r="H64" i="39"/>
  <c r="AF64" i="39" s="1"/>
  <c r="H65" i="39"/>
  <c r="AF65" i="39" s="1"/>
  <c r="H66" i="39"/>
  <c r="AF66" i="39" s="1"/>
  <c r="H67" i="39"/>
  <c r="AF67" i="39" s="1"/>
  <c r="H68" i="39"/>
  <c r="AF68" i="39" s="1"/>
  <c r="H69" i="39"/>
  <c r="AF69" i="39" s="1"/>
  <c r="H70" i="39"/>
  <c r="AF70" i="39" s="1"/>
  <c r="H71" i="39"/>
  <c r="AF71" i="39" s="1"/>
  <c r="H72" i="39"/>
  <c r="AF72" i="39" s="1"/>
  <c r="H73" i="39"/>
  <c r="AF73" i="39" s="1"/>
  <c r="H74" i="39"/>
  <c r="AF74" i="39" s="1"/>
  <c r="H75" i="39"/>
  <c r="AF75" i="39" s="1"/>
  <c r="H76" i="39"/>
  <c r="AF76" i="39" s="1"/>
  <c r="H77" i="39"/>
  <c r="AF77" i="39" s="1"/>
  <c r="H78" i="39"/>
  <c r="AF78" i="39" s="1"/>
  <c r="H79" i="39"/>
  <c r="AF79" i="39" s="1"/>
  <c r="H80" i="39"/>
  <c r="AF80" i="39" s="1"/>
  <c r="H81" i="39"/>
  <c r="AF81" i="39" s="1"/>
  <c r="H82" i="39"/>
  <c r="AF82" i="39" s="1"/>
  <c r="H83" i="39"/>
  <c r="AF83" i="39" s="1"/>
  <c r="H84" i="39"/>
  <c r="AF84" i="39" s="1"/>
  <c r="H85" i="39"/>
  <c r="AF85" i="39" s="1"/>
  <c r="H86" i="39"/>
  <c r="AF86" i="39" s="1"/>
  <c r="H87" i="39"/>
  <c r="AF87" i="39" s="1"/>
  <c r="H88" i="39"/>
  <c r="AF88" i="39" s="1"/>
  <c r="H89" i="39"/>
  <c r="AF89" i="39" s="1"/>
  <c r="H90" i="39"/>
  <c r="AF90" i="39" s="1"/>
  <c r="H91" i="39"/>
  <c r="AF91" i="39" s="1"/>
  <c r="H92" i="39"/>
  <c r="AF92" i="39" s="1"/>
  <c r="H93" i="39"/>
  <c r="AF93" i="39" s="1"/>
  <c r="H94" i="39"/>
  <c r="AF94" i="39" s="1"/>
  <c r="H95" i="39"/>
  <c r="AF95" i="39" s="1"/>
  <c r="H96" i="39"/>
  <c r="AF96" i="39" s="1"/>
  <c r="H97" i="39"/>
  <c r="AF97" i="39" s="1"/>
  <c r="H98" i="39"/>
  <c r="AF98" i="39" s="1"/>
  <c r="H99" i="39"/>
  <c r="AF99" i="39" s="1"/>
  <c r="H100" i="39"/>
  <c r="AF100" i="39" s="1"/>
  <c r="H101" i="39"/>
  <c r="AF101" i="39" s="1"/>
  <c r="H102" i="39"/>
  <c r="AF102" i="39" s="1"/>
  <c r="H103" i="39"/>
  <c r="AF103" i="39" s="1"/>
  <c r="H104" i="39"/>
  <c r="AF104" i="39" s="1"/>
  <c r="H105" i="39"/>
  <c r="AF105" i="39" s="1"/>
  <c r="H106" i="39"/>
  <c r="AF106" i="39" s="1"/>
  <c r="H107" i="39"/>
  <c r="AF107" i="39" s="1"/>
  <c r="H108" i="39"/>
  <c r="AF108" i="39" s="1"/>
  <c r="H109" i="39"/>
  <c r="AF109" i="39" s="1"/>
  <c r="H110" i="39"/>
  <c r="AF110" i="39" s="1"/>
  <c r="H111" i="39"/>
  <c r="AF111" i="39" s="1"/>
  <c r="H112" i="39"/>
  <c r="AF112" i="39" s="1"/>
  <c r="H113" i="39"/>
  <c r="AF113" i="39" s="1"/>
  <c r="H114" i="39"/>
  <c r="AF114" i="39" s="1"/>
  <c r="H115" i="39"/>
  <c r="AF115" i="39" s="1"/>
  <c r="H116" i="39"/>
  <c r="AF116" i="39" s="1"/>
  <c r="H117" i="39"/>
  <c r="AF117" i="39" s="1"/>
  <c r="H118" i="39"/>
  <c r="AF118" i="39" s="1"/>
  <c r="H119" i="39"/>
  <c r="AF119" i="39" s="1"/>
  <c r="H120" i="39"/>
  <c r="AF120" i="39" s="1"/>
  <c r="H121" i="39"/>
  <c r="AF121" i="39" s="1"/>
  <c r="H122" i="39"/>
  <c r="AF122" i="39" s="1"/>
  <c r="H123" i="39"/>
  <c r="AF123" i="39" s="1"/>
  <c r="H124" i="39"/>
  <c r="AF124" i="39" s="1"/>
  <c r="H125" i="39"/>
  <c r="AF125" i="39" s="1"/>
  <c r="H126" i="39"/>
  <c r="AF126" i="39" s="1"/>
  <c r="H127" i="39"/>
  <c r="AF127" i="39" s="1"/>
  <c r="H128" i="39"/>
  <c r="AF128" i="39" s="1"/>
  <c r="H129" i="39"/>
  <c r="AF129" i="39" s="1"/>
  <c r="H130" i="39"/>
  <c r="AF130" i="39" s="1"/>
  <c r="H131" i="39"/>
  <c r="AF131" i="39" s="1"/>
  <c r="H132" i="39"/>
  <c r="AF132" i="39" s="1"/>
  <c r="H133" i="39"/>
  <c r="AF133" i="39" s="1"/>
  <c r="H134" i="39"/>
  <c r="AF134" i="39" s="1"/>
  <c r="H267" i="39"/>
  <c r="AF267" i="39" s="1"/>
  <c r="H268" i="39"/>
  <c r="AF268" i="39" s="1"/>
  <c r="H269" i="39"/>
  <c r="AF269" i="39" s="1"/>
  <c r="H270" i="39"/>
  <c r="AF270" i="39" s="1"/>
  <c r="H271" i="39"/>
  <c r="AF271" i="39" s="1"/>
  <c r="H272" i="39"/>
  <c r="AF272" i="39" s="1"/>
  <c r="H273" i="39"/>
  <c r="AF273" i="39" s="1"/>
  <c r="H274" i="39"/>
  <c r="AF274" i="39" s="1"/>
  <c r="H275" i="39"/>
  <c r="AF275" i="39" s="1"/>
  <c r="H276" i="39"/>
  <c r="AF276" i="39" s="1"/>
  <c r="H277" i="39"/>
  <c r="AF277" i="39" s="1"/>
  <c r="H278" i="39"/>
  <c r="AF278" i="39" s="1"/>
  <c r="H279" i="39"/>
  <c r="AF279" i="39" s="1"/>
  <c r="H280" i="39"/>
  <c r="AF280" i="39" s="1"/>
  <c r="H281" i="39"/>
  <c r="AF281" i="39" s="1"/>
  <c r="H282" i="39"/>
  <c r="AF282" i="39" s="1"/>
  <c r="H283" i="39"/>
  <c r="AF283" i="39" s="1"/>
  <c r="H284" i="39"/>
  <c r="AF284" i="39" s="1"/>
  <c r="H285" i="39"/>
  <c r="AF285" i="39" s="1"/>
  <c r="H286" i="39"/>
  <c r="AF286" i="39" s="1"/>
  <c r="H287" i="39"/>
  <c r="AF287" i="39" s="1"/>
  <c r="H309" i="39"/>
  <c r="AF309" i="39" s="1"/>
  <c r="H310" i="39"/>
  <c r="AF310" i="39" s="1"/>
  <c r="H311" i="39"/>
  <c r="AF311" i="39" s="1"/>
  <c r="H318" i="39"/>
  <c r="AF318" i="39" s="1"/>
  <c r="H319" i="39"/>
  <c r="AF319" i="39" s="1"/>
  <c r="H320" i="39"/>
  <c r="AF320" i="39" s="1"/>
  <c r="H321" i="39"/>
  <c r="AF321" i="39" s="1"/>
  <c r="H322" i="39"/>
  <c r="AF322" i="39" s="1"/>
  <c r="H323" i="39"/>
  <c r="AF323" i="39" s="1"/>
  <c r="H324" i="39"/>
  <c r="AF324" i="39" s="1"/>
  <c r="H325" i="39"/>
  <c r="AF325" i="39" s="1"/>
  <c r="H326" i="39"/>
  <c r="AF326" i="39" s="1"/>
  <c r="H327" i="39"/>
  <c r="AF327" i="39" s="1"/>
  <c r="H328" i="39"/>
  <c r="AF328" i="39" s="1"/>
  <c r="H329" i="39"/>
  <c r="AF329" i="39" s="1"/>
  <c r="H330" i="39"/>
  <c r="AF330" i="39" s="1"/>
  <c r="H331" i="39"/>
  <c r="AF331" i="39" s="1"/>
  <c r="H332" i="39"/>
  <c r="AF332" i="39" s="1"/>
  <c r="H333" i="39"/>
  <c r="AF333" i="39" s="1"/>
  <c r="H334" i="39"/>
  <c r="AF334" i="39" s="1"/>
  <c r="H335" i="39"/>
  <c r="AF335" i="39" s="1"/>
  <c r="H336" i="39"/>
  <c r="AF336" i="39" s="1"/>
  <c r="H337" i="39"/>
  <c r="AF337" i="39" s="1"/>
  <c r="H338" i="39"/>
  <c r="AF338" i="39" s="1"/>
  <c r="H339" i="39"/>
  <c r="AF339" i="39" s="1"/>
  <c r="H340" i="39"/>
  <c r="AF340" i="39" s="1"/>
  <c r="H341" i="39"/>
  <c r="AF341" i="39" s="1"/>
  <c r="H342" i="39"/>
  <c r="AF342" i="39" s="1"/>
  <c r="H343" i="39"/>
  <c r="AF343" i="39" s="1"/>
  <c r="H344" i="39"/>
  <c r="AF344" i="39" s="1"/>
  <c r="H345" i="39"/>
  <c r="AF345" i="39" s="1"/>
  <c r="H346" i="39"/>
  <c r="AF346" i="39" s="1"/>
  <c r="H347" i="39"/>
  <c r="AF347" i="39" s="1"/>
  <c r="H348" i="39"/>
  <c r="AF348" i="39" s="1"/>
  <c r="H349" i="39"/>
  <c r="AF349" i="39" s="1"/>
  <c r="H350" i="39"/>
  <c r="AF350" i="39" s="1"/>
  <c r="H351" i="39"/>
  <c r="AF351" i="39" s="1"/>
  <c r="H352" i="39"/>
  <c r="AF352" i="39" s="1"/>
  <c r="H378" i="39"/>
  <c r="AF378" i="39" s="1"/>
  <c r="H379" i="39"/>
  <c r="AF379" i="39" s="1"/>
  <c r="H380" i="39"/>
  <c r="AF380" i="39" s="1"/>
  <c r="H388" i="39"/>
  <c r="AF388" i="39" s="1"/>
  <c r="H389" i="39"/>
  <c r="AF389" i="39" s="1"/>
  <c r="H390" i="39"/>
  <c r="AF390" i="39" s="1"/>
  <c r="H391" i="39"/>
  <c r="AF391" i="39" s="1"/>
  <c r="H392" i="39"/>
  <c r="AF392" i="39" s="1"/>
  <c r="H393" i="39"/>
  <c r="AF393" i="39" s="1"/>
  <c r="H394" i="39"/>
  <c r="AF394" i="39" s="1"/>
  <c r="H395" i="39"/>
  <c r="AF395" i="39" s="1"/>
  <c r="H396" i="39"/>
  <c r="AF396" i="39" s="1"/>
  <c r="H397" i="39"/>
  <c r="AF397" i="39" s="1"/>
  <c r="H398" i="39"/>
  <c r="AF398" i="39" s="1"/>
  <c r="H399" i="39"/>
  <c r="AF399" i="39" s="1"/>
  <c r="H413" i="39"/>
  <c r="AF413" i="39" s="1"/>
  <c r="H414" i="39"/>
  <c r="AF414" i="39" s="1"/>
  <c r="H415" i="39"/>
  <c r="AF415" i="39" s="1"/>
  <c r="H416" i="39"/>
  <c r="AF416" i="39" s="1"/>
  <c r="H417" i="39"/>
  <c r="AF417" i="39" s="1"/>
  <c r="H418" i="39"/>
  <c r="AF418" i="39" s="1"/>
  <c r="H419" i="39"/>
  <c r="AF419" i="39" s="1"/>
  <c r="H420" i="39"/>
  <c r="AF420" i="39" s="1"/>
  <c r="H421" i="39"/>
  <c r="AF421" i="39" s="1"/>
  <c r="H422" i="39"/>
  <c r="AF422" i="39" s="1"/>
  <c r="H423" i="39"/>
  <c r="AF423" i="39" s="1"/>
  <c r="H424" i="39"/>
  <c r="AF424" i="39" s="1"/>
  <c r="H425" i="39"/>
  <c r="AF425" i="39" s="1"/>
  <c r="H426" i="39"/>
  <c r="AF426" i="39" s="1"/>
  <c r="H427" i="39"/>
  <c r="AF427" i="39" s="1"/>
  <c r="H428" i="39"/>
  <c r="AF428" i="39" s="1"/>
  <c r="H429" i="39"/>
  <c r="AF429" i="39" s="1"/>
  <c r="H430" i="39"/>
  <c r="AF430" i="39" s="1"/>
  <c r="H477" i="39"/>
  <c r="AF477" i="39" s="1"/>
  <c r="H478" i="39"/>
  <c r="AF478" i="39" s="1"/>
  <c r="H479" i="39"/>
  <c r="AF479" i="39" s="1"/>
  <c r="H480" i="39"/>
  <c r="AF480" i="39" s="1"/>
  <c r="H481" i="39"/>
  <c r="AF481" i="39" s="1"/>
  <c r="H482" i="39"/>
  <c r="AF482" i="39" s="1"/>
  <c r="H483" i="39"/>
  <c r="AF483" i="39" s="1"/>
  <c r="H484" i="39"/>
  <c r="AF484" i="39" s="1"/>
  <c r="H485" i="39"/>
  <c r="AF485" i="39" s="1"/>
  <c r="H486" i="39"/>
  <c r="AF486" i="39" s="1"/>
  <c r="H487" i="39"/>
  <c r="AF487" i="39" s="1"/>
  <c r="H488" i="39"/>
  <c r="AF488" i="39" s="1"/>
  <c r="H489" i="39"/>
  <c r="AF489" i="39" s="1"/>
  <c r="H490" i="39"/>
  <c r="AF490" i="39" s="1"/>
  <c r="H491" i="39"/>
  <c r="AF491" i="39" s="1"/>
  <c r="H492" i="39"/>
  <c r="AF492" i="39" s="1"/>
  <c r="H493" i="39"/>
  <c r="AF493" i="39" s="1"/>
  <c r="H494" i="39"/>
  <c r="AF494" i="39" s="1"/>
  <c r="H495" i="39"/>
  <c r="AF495" i="39" s="1"/>
  <c r="H496" i="39"/>
  <c r="AF496" i="39" s="1"/>
  <c r="H497" i="39"/>
  <c r="AF497" i="39" s="1"/>
  <c r="H498" i="39"/>
  <c r="AF498" i="39" s="1"/>
  <c r="H499" i="39"/>
  <c r="AF499" i="39" s="1"/>
  <c r="H500" i="39"/>
  <c r="AF500" i="39" s="1"/>
  <c r="H501" i="39"/>
  <c r="AF501" i="39" s="1"/>
  <c r="H502" i="39"/>
  <c r="AF502" i="39" s="1"/>
  <c r="H2" i="39"/>
  <c r="AF2" i="39" s="1"/>
  <c r="AG2" i="39" s="1"/>
  <c r="AE3" i="39"/>
  <c r="AE4" i="39"/>
  <c r="AE5" i="39"/>
  <c r="AE6" i="39"/>
  <c r="AE7" i="39"/>
  <c r="AE8" i="39"/>
  <c r="AE9" i="39"/>
  <c r="AE10" i="39"/>
  <c r="AE11" i="39"/>
  <c r="AE12" i="39"/>
  <c r="AE13" i="39"/>
  <c r="AE14" i="39"/>
  <c r="AE15" i="39"/>
  <c r="AE16" i="39"/>
  <c r="AE17" i="39"/>
  <c r="AE18" i="39"/>
  <c r="AE19" i="39"/>
  <c r="AE20" i="39"/>
  <c r="AE21" i="39"/>
  <c r="AE22" i="39"/>
  <c r="AE23" i="39"/>
  <c r="AE24" i="39"/>
  <c r="AE25" i="39"/>
  <c r="AE26" i="39"/>
  <c r="AE27" i="39"/>
  <c r="AE28" i="39"/>
  <c r="AE29" i="39"/>
  <c r="AE30" i="39"/>
  <c r="AE31" i="39"/>
  <c r="AE32" i="39"/>
  <c r="AE33" i="39"/>
  <c r="AE34" i="39"/>
  <c r="AE35" i="39"/>
  <c r="AE36" i="39"/>
  <c r="AE37" i="39"/>
  <c r="AE38" i="39"/>
  <c r="AE39" i="39"/>
  <c r="AE40" i="39"/>
  <c r="AE41" i="39"/>
  <c r="AE42" i="39"/>
  <c r="AE43" i="39"/>
  <c r="AE44" i="39"/>
  <c r="AE45" i="39"/>
  <c r="AE46" i="39"/>
  <c r="AE47" i="39"/>
  <c r="AE48" i="39"/>
  <c r="AE49" i="39"/>
  <c r="AE50" i="39"/>
  <c r="AE51" i="39"/>
  <c r="AE52" i="39"/>
  <c r="AE53" i="39"/>
  <c r="AE54" i="39"/>
  <c r="AE55" i="39"/>
  <c r="AE56" i="39"/>
  <c r="AE57" i="39"/>
  <c r="AE58" i="39"/>
  <c r="AE59" i="39"/>
  <c r="AE60" i="39"/>
  <c r="AE61" i="39"/>
  <c r="AE62" i="39"/>
  <c r="AE63" i="39"/>
  <c r="AE64" i="39"/>
  <c r="AE65" i="39"/>
  <c r="AE66" i="39"/>
  <c r="AE67" i="39"/>
  <c r="AE68" i="39"/>
  <c r="AE69" i="39"/>
  <c r="AE70" i="39"/>
  <c r="AE71" i="39"/>
  <c r="AE72" i="39"/>
  <c r="AE73" i="39"/>
  <c r="AE74" i="39"/>
  <c r="AE75" i="39"/>
  <c r="AE76" i="39"/>
  <c r="AE77" i="39"/>
  <c r="AE78" i="39"/>
  <c r="AE79" i="39"/>
  <c r="AE80" i="39"/>
  <c r="AE81" i="39"/>
  <c r="AE82" i="39"/>
  <c r="AE83" i="39"/>
  <c r="AE84" i="39"/>
  <c r="AE85" i="39"/>
  <c r="AE86" i="39"/>
  <c r="AE87" i="39"/>
  <c r="AE88" i="39"/>
  <c r="AE89" i="39"/>
  <c r="AE90" i="39"/>
  <c r="AE91" i="39"/>
  <c r="AE92" i="39"/>
  <c r="AE93" i="39"/>
  <c r="AE94" i="39"/>
  <c r="AE95" i="39"/>
  <c r="AE96" i="39"/>
  <c r="AE97" i="39"/>
  <c r="AE98" i="39"/>
  <c r="AE99" i="39"/>
  <c r="AE100" i="39"/>
  <c r="AE101" i="39"/>
  <c r="AE102" i="39"/>
  <c r="AE103" i="39"/>
  <c r="AE104" i="39"/>
  <c r="AE105" i="39"/>
  <c r="AE106" i="39"/>
  <c r="AE107" i="39"/>
  <c r="AE108" i="39"/>
  <c r="AE109" i="39"/>
  <c r="AE110" i="39"/>
  <c r="AE111" i="39"/>
  <c r="AE112" i="39"/>
  <c r="AE113" i="39"/>
  <c r="AE114" i="39"/>
  <c r="AE115" i="39"/>
  <c r="AE116" i="39"/>
  <c r="AE117" i="39"/>
  <c r="AE118" i="39"/>
  <c r="AE119" i="39"/>
  <c r="AE120" i="39"/>
  <c r="AE121" i="39"/>
  <c r="AE122" i="39"/>
  <c r="AE123" i="39"/>
  <c r="AE124" i="39"/>
  <c r="AE125" i="39"/>
  <c r="AE126" i="39"/>
  <c r="AE127" i="39"/>
  <c r="AE128" i="39"/>
  <c r="AE129" i="39"/>
  <c r="AE130" i="39"/>
  <c r="AE131" i="39"/>
  <c r="AE132" i="39"/>
  <c r="AE133" i="39"/>
  <c r="AE134" i="39"/>
  <c r="AE267" i="39"/>
  <c r="AE268" i="39"/>
  <c r="AE269" i="39"/>
  <c r="AE270" i="39"/>
  <c r="AE271" i="39"/>
  <c r="AE272" i="39"/>
  <c r="AE273" i="39"/>
  <c r="AE274" i="39"/>
  <c r="AE275" i="39"/>
  <c r="AE276" i="39"/>
  <c r="AE277" i="39"/>
  <c r="AE278" i="39"/>
  <c r="AE279" i="39"/>
  <c r="AE280" i="39"/>
  <c r="AE281" i="39"/>
  <c r="AE282" i="39"/>
  <c r="AE283" i="39"/>
  <c r="AE284" i="39"/>
  <c r="AE285" i="39"/>
  <c r="AE286" i="39"/>
  <c r="AE287" i="39"/>
  <c r="AE309" i="39"/>
  <c r="AE310" i="39"/>
  <c r="AE311" i="39"/>
  <c r="AE318" i="39"/>
  <c r="AE319" i="39"/>
  <c r="AE320" i="39"/>
  <c r="AE321" i="39"/>
  <c r="AE322" i="39"/>
  <c r="AE323" i="39"/>
  <c r="AE324" i="39"/>
  <c r="AE325" i="39"/>
  <c r="AE326" i="39"/>
  <c r="AE327" i="39"/>
  <c r="AE328" i="39"/>
  <c r="AE329" i="39"/>
  <c r="AE330" i="39"/>
  <c r="AE331" i="39"/>
  <c r="AE332" i="39"/>
  <c r="AE333" i="39"/>
  <c r="AE334" i="39"/>
  <c r="AE335" i="39"/>
  <c r="AE336" i="39"/>
  <c r="AE337" i="39"/>
  <c r="AE338" i="39"/>
  <c r="AE339" i="39"/>
  <c r="AE340" i="39"/>
  <c r="AE341" i="39"/>
  <c r="AE342" i="39"/>
  <c r="AE343" i="39"/>
  <c r="AE344" i="39"/>
  <c r="AE345" i="39"/>
  <c r="AE346" i="39"/>
  <c r="AE347" i="39"/>
  <c r="AE348" i="39"/>
  <c r="AE349" i="39"/>
  <c r="AE350" i="39"/>
  <c r="AE351" i="39"/>
  <c r="AE352" i="39"/>
  <c r="AE378" i="39"/>
  <c r="AE379" i="39"/>
  <c r="AE389" i="39"/>
  <c r="AE390" i="39"/>
  <c r="AE391" i="39"/>
  <c r="AE392" i="39"/>
  <c r="AE393" i="39"/>
  <c r="AE394" i="39"/>
  <c r="AE395" i="39"/>
  <c r="AE396" i="39"/>
  <c r="AE397" i="39"/>
  <c r="AE398" i="39"/>
  <c r="AE399" i="39"/>
  <c r="AE413" i="39"/>
  <c r="AE414" i="39"/>
  <c r="AE415" i="39"/>
  <c r="AE416" i="39"/>
  <c r="AE417" i="39"/>
  <c r="AE418" i="39"/>
  <c r="AE419" i="39"/>
  <c r="AE420" i="39"/>
  <c r="AE421" i="39"/>
  <c r="AE422" i="39"/>
  <c r="AE423" i="39"/>
  <c r="AE424" i="39"/>
  <c r="AE425" i="39"/>
  <c r="AE426" i="39"/>
  <c r="AE427" i="39"/>
  <c r="AE428" i="39"/>
  <c r="AE429" i="39"/>
  <c r="AE430" i="39"/>
  <c r="AE447" i="39"/>
  <c r="AE449" i="39"/>
  <c r="AE450" i="39"/>
  <c r="AE451" i="39"/>
  <c r="AE452" i="39"/>
  <c r="AE453" i="39"/>
  <c r="AE454" i="39"/>
  <c r="AE455" i="39"/>
  <c r="AE456" i="39"/>
  <c r="AE457" i="39"/>
  <c r="AE458" i="39"/>
  <c r="AE460" i="39"/>
  <c r="AE461" i="39"/>
  <c r="AE462" i="39"/>
  <c r="AE463" i="39"/>
  <c r="AE464" i="39"/>
  <c r="AE465" i="39"/>
  <c r="AE470" i="39"/>
  <c r="AE471" i="39"/>
  <c r="AE473" i="39"/>
  <c r="AE474" i="39"/>
  <c r="AE477" i="39"/>
  <c r="AE478" i="39"/>
  <c r="AE479" i="39"/>
  <c r="AE480" i="39"/>
  <c r="AE481" i="39"/>
  <c r="AE482" i="39"/>
  <c r="AE483" i="39"/>
  <c r="AE484" i="39"/>
  <c r="AE485" i="39"/>
  <c r="AE486" i="39"/>
  <c r="AE487" i="39"/>
  <c r="AE488" i="39"/>
  <c r="AE489" i="39"/>
  <c r="AE490" i="39"/>
  <c r="AE491" i="39"/>
  <c r="AE492" i="39"/>
  <c r="AE493" i="39"/>
  <c r="AE494" i="39"/>
  <c r="AE495" i="39"/>
  <c r="AE496" i="39"/>
  <c r="AE497" i="39"/>
  <c r="AE498" i="39"/>
  <c r="AE499" i="39"/>
  <c r="AE500" i="39"/>
  <c r="AE501" i="39"/>
  <c r="AE502" i="39"/>
  <c r="AD3" i="39"/>
  <c r="AD4" i="39"/>
  <c r="AD5" i="39"/>
  <c r="AD6" i="39"/>
  <c r="AD7" i="39"/>
  <c r="AD8" i="39"/>
  <c r="AD9" i="39"/>
  <c r="AD10" i="39"/>
  <c r="AD11" i="39"/>
  <c r="AD12" i="39"/>
  <c r="AD13" i="39"/>
  <c r="AD14" i="39"/>
  <c r="AD15" i="39"/>
  <c r="AD16" i="39"/>
  <c r="AD17" i="39"/>
  <c r="AD18" i="39"/>
  <c r="AD19" i="39"/>
  <c r="AD20" i="39"/>
  <c r="AD21" i="39"/>
  <c r="AD22" i="39"/>
  <c r="AD23" i="39"/>
  <c r="AD24" i="39"/>
  <c r="AD25" i="39"/>
  <c r="AD26" i="39"/>
  <c r="AD27" i="39"/>
  <c r="AD28" i="39"/>
  <c r="AD29" i="39"/>
  <c r="AD30" i="39"/>
  <c r="AD31" i="39"/>
  <c r="AD32" i="39"/>
  <c r="AD33" i="39"/>
  <c r="AD34" i="39"/>
  <c r="AD35" i="39"/>
  <c r="AD36" i="39"/>
  <c r="AD37" i="39"/>
  <c r="AD38" i="39"/>
  <c r="AD39" i="39"/>
  <c r="AD40" i="39"/>
  <c r="AD41" i="39"/>
  <c r="AD42" i="39"/>
  <c r="AD43" i="39"/>
  <c r="AD44" i="39"/>
  <c r="AD45" i="39"/>
  <c r="AD46" i="39"/>
  <c r="AD47" i="39"/>
  <c r="AD48" i="39"/>
  <c r="AD49" i="39"/>
  <c r="AD50" i="39"/>
  <c r="AD51" i="39"/>
  <c r="AD52" i="39"/>
  <c r="AD53" i="39"/>
  <c r="AD54" i="39"/>
  <c r="AD55" i="39"/>
  <c r="AD56" i="39"/>
  <c r="AD57" i="39"/>
  <c r="AD58" i="39"/>
  <c r="AD59" i="39"/>
  <c r="AD60" i="39"/>
  <c r="AD61" i="39"/>
  <c r="AD62" i="39"/>
  <c r="AD63" i="39"/>
  <c r="AD64" i="39"/>
  <c r="AD65" i="39"/>
  <c r="AD66" i="39"/>
  <c r="AD67" i="39"/>
  <c r="AD68" i="39"/>
  <c r="AD69" i="39"/>
  <c r="AD70" i="39"/>
  <c r="AD71" i="39"/>
  <c r="AD72" i="39"/>
  <c r="AD73" i="39"/>
  <c r="AD74" i="39"/>
  <c r="AD75" i="39"/>
  <c r="AD76" i="39"/>
  <c r="AD77" i="39"/>
  <c r="AD78" i="39"/>
  <c r="AD79" i="39"/>
  <c r="AD80" i="39"/>
  <c r="AD81" i="39"/>
  <c r="AD82" i="39"/>
  <c r="AD83" i="39"/>
  <c r="AD84" i="39"/>
  <c r="AD85" i="39"/>
  <c r="AD86" i="39"/>
  <c r="AD87" i="39"/>
  <c r="AD88" i="39"/>
  <c r="AD89" i="39"/>
  <c r="AD90" i="39"/>
  <c r="AD91" i="39"/>
  <c r="AD92" i="39"/>
  <c r="AD93" i="39"/>
  <c r="AD94" i="39"/>
  <c r="AD95" i="39"/>
  <c r="AD96" i="39"/>
  <c r="AD97" i="39"/>
  <c r="AD98" i="39"/>
  <c r="AD99" i="39"/>
  <c r="AD100" i="39"/>
  <c r="AD101" i="39"/>
  <c r="AD102" i="39"/>
  <c r="AD103" i="39"/>
  <c r="AD104" i="39"/>
  <c r="AD105" i="39"/>
  <c r="AD106" i="39"/>
  <c r="AD107" i="39"/>
  <c r="AD108" i="39"/>
  <c r="AD109" i="39"/>
  <c r="AD110" i="39"/>
  <c r="AD111" i="39"/>
  <c r="AD112" i="39"/>
  <c r="AD113" i="39"/>
  <c r="AD114" i="39"/>
  <c r="AD115" i="39"/>
  <c r="AD116" i="39"/>
  <c r="AD117" i="39"/>
  <c r="AD118" i="39"/>
  <c r="AD119" i="39"/>
  <c r="AD120" i="39"/>
  <c r="AD121" i="39"/>
  <c r="AD122" i="39"/>
  <c r="AD123" i="39"/>
  <c r="AD124" i="39"/>
  <c r="AD125" i="39"/>
  <c r="AD126" i="39"/>
  <c r="AD127" i="39"/>
  <c r="AD128" i="39"/>
  <c r="AD129" i="39"/>
  <c r="AD130" i="39"/>
  <c r="AD131" i="39"/>
  <c r="AD132" i="39"/>
  <c r="AD133" i="39"/>
  <c r="AD134" i="39"/>
  <c r="AD267" i="39"/>
  <c r="AD268" i="39"/>
  <c r="AD269" i="39"/>
  <c r="AD270" i="39"/>
  <c r="AD271" i="39"/>
  <c r="AD272" i="39"/>
  <c r="AD273" i="39"/>
  <c r="AD274" i="39"/>
  <c r="AD275" i="39"/>
  <c r="AD276" i="39"/>
  <c r="AD277" i="39"/>
  <c r="AD278" i="39"/>
  <c r="AD279" i="39"/>
  <c r="AD280" i="39"/>
  <c r="AD281" i="39"/>
  <c r="AD282" i="39"/>
  <c r="AD283" i="39"/>
  <c r="AD284" i="39"/>
  <c r="AD285" i="39"/>
  <c r="AD286" i="39"/>
  <c r="AD287" i="39"/>
  <c r="AD309" i="39"/>
  <c r="AD310" i="39"/>
  <c r="AD311" i="39"/>
  <c r="AD318" i="39"/>
  <c r="AD319" i="39"/>
  <c r="AD320" i="39"/>
  <c r="AD321" i="39"/>
  <c r="AD322" i="39"/>
  <c r="AD323" i="39"/>
  <c r="AD324" i="39"/>
  <c r="AD325" i="39"/>
  <c r="AD326" i="39"/>
  <c r="AD327" i="39"/>
  <c r="AD328" i="39"/>
  <c r="AD329" i="39"/>
  <c r="AD330" i="39"/>
  <c r="AD331" i="39"/>
  <c r="AD332" i="39"/>
  <c r="AD333" i="39"/>
  <c r="AD334" i="39"/>
  <c r="AD335" i="39"/>
  <c r="AD336" i="39"/>
  <c r="AD337" i="39"/>
  <c r="AD338" i="39"/>
  <c r="AD339" i="39"/>
  <c r="AD340" i="39"/>
  <c r="AD341" i="39"/>
  <c r="AD342" i="39"/>
  <c r="AD343" i="39"/>
  <c r="AD344" i="39"/>
  <c r="AD345" i="39"/>
  <c r="AD346" i="39"/>
  <c r="AD347" i="39"/>
  <c r="AD348" i="39"/>
  <c r="AD349" i="39"/>
  <c r="AD350" i="39"/>
  <c r="AD351" i="39"/>
  <c r="AD352" i="39"/>
  <c r="AD378" i="39"/>
  <c r="AD379" i="39"/>
  <c r="AD389" i="39"/>
  <c r="AD390" i="39"/>
  <c r="AD391" i="39"/>
  <c r="AD392" i="39"/>
  <c r="AD393" i="39"/>
  <c r="AD394" i="39"/>
  <c r="AD395" i="39"/>
  <c r="AD396" i="39"/>
  <c r="AD397" i="39"/>
  <c r="AD398" i="39"/>
  <c r="AD399" i="39"/>
  <c r="AD413" i="39"/>
  <c r="AD414" i="39"/>
  <c r="AD415" i="39"/>
  <c r="AD416" i="39"/>
  <c r="AD417" i="39"/>
  <c r="AD418" i="39"/>
  <c r="AD419" i="39"/>
  <c r="AD420" i="39"/>
  <c r="AD421" i="39"/>
  <c r="AD422" i="39"/>
  <c r="AD423" i="39"/>
  <c r="AD424" i="39"/>
  <c r="AD425" i="39"/>
  <c r="AD426" i="39"/>
  <c r="AD427" i="39"/>
  <c r="AD428" i="39"/>
  <c r="AD429" i="39"/>
  <c r="AD430" i="39"/>
  <c r="AD447" i="39"/>
  <c r="AD449" i="39"/>
  <c r="AD450" i="39"/>
  <c r="AD451" i="39"/>
  <c r="AD452" i="39"/>
  <c r="AD453" i="39"/>
  <c r="AD454" i="39"/>
  <c r="AD455" i="39"/>
  <c r="AD456" i="39"/>
  <c r="AD457" i="39"/>
  <c r="AD458" i="39"/>
  <c r="AD460" i="39"/>
  <c r="AD461" i="39"/>
  <c r="AD462" i="39"/>
  <c r="AD463" i="39"/>
  <c r="AD464" i="39"/>
  <c r="AD465" i="39"/>
  <c r="AD470" i="39"/>
  <c r="AD471" i="39"/>
  <c r="AD473" i="39"/>
  <c r="AD474" i="39"/>
  <c r="AD477" i="39"/>
  <c r="AD478" i="39"/>
  <c r="AD479" i="39"/>
  <c r="AD480" i="39"/>
  <c r="AD481" i="39"/>
  <c r="AD482" i="39"/>
  <c r="AD483" i="39"/>
  <c r="AD484" i="39"/>
  <c r="AD485" i="39"/>
  <c r="AD486" i="39"/>
  <c r="AD487" i="39"/>
  <c r="AD488" i="39"/>
  <c r="AD489" i="39"/>
  <c r="AD490" i="39"/>
  <c r="AD491" i="39"/>
  <c r="AD492" i="39"/>
  <c r="AD493" i="39"/>
  <c r="AD494" i="39"/>
  <c r="AD495" i="39"/>
  <c r="AD496" i="39"/>
  <c r="AD497" i="39"/>
  <c r="AD498" i="39"/>
  <c r="AD499" i="39"/>
  <c r="AD500" i="39"/>
  <c r="AD501" i="39"/>
  <c r="AD502" i="39"/>
  <c r="AD2" i="39"/>
  <c r="AE2" i="39"/>
  <c r="J267" i="39"/>
  <c r="J268" i="39"/>
  <c r="J269" i="39"/>
  <c r="J270" i="39"/>
  <c r="J271" i="39"/>
  <c r="J272" i="39"/>
  <c r="J273" i="39"/>
  <c r="J274" i="39"/>
  <c r="J275" i="39"/>
  <c r="J276" i="39"/>
  <c r="J277" i="39"/>
  <c r="J278" i="39"/>
  <c r="J279" i="39"/>
  <c r="J280" i="39"/>
  <c r="J281" i="39"/>
  <c r="J282" i="39"/>
  <c r="J283" i="39"/>
  <c r="J284" i="39"/>
  <c r="J285" i="39"/>
  <c r="J286" i="39"/>
  <c r="J287" i="39"/>
  <c r="J309" i="39"/>
  <c r="J310" i="39"/>
  <c r="J311" i="39"/>
  <c r="J318" i="39"/>
  <c r="J319" i="39"/>
  <c r="J320" i="39"/>
  <c r="J321" i="39"/>
  <c r="J322" i="39"/>
  <c r="J323" i="39"/>
  <c r="J324" i="39"/>
  <c r="J325" i="39"/>
  <c r="J326" i="39"/>
  <c r="J327" i="39"/>
  <c r="J328" i="39"/>
  <c r="J329" i="39"/>
  <c r="J330" i="39"/>
  <c r="J331" i="39"/>
  <c r="J332" i="39"/>
  <c r="J333" i="39"/>
  <c r="J334" i="39"/>
  <c r="J335" i="39"/>
  <c r="J336" i="39"/>
  <c r="J337" i="39"/>
  <c r="J338" i="39"/>
  <c r="J339" i="39"/>
  <c r="J340" i="39"/>
  <c r="J341" i="39"/>
  <c r="J342" i="39"/>
  <c r="J343" i="39"/>
  <c r="J344" i="39"/>
  <c r="J345" i="39"/>
  <c r="J346" i="39"/>
  <c r="J347" i="39"/>
  <c r="J348" i="39"/>
  <c r="J349" i="39"/>
  <c r="J350" i="39"/>
  <c r="J351" i="39"/>
  <c r="J352" i="39"/>
  <c r="J378" i="39"/>
  <c r="J379" i="39"/>
  <c r="J380" i="39"/>
  <c r="J388" i="39"/>
  <c r="J389" i="39"/>
  <c r="J390" i="39"/>
  <c r="J391" i="39"/>
  <c r="J393" i="39"/>
  <c r="J394" i="39"/>
  <c r="J395" i="39"/>
  <c r="J396" i="39"/>
  <c r="J397" i="39"/>
  <c r="J398" i="39"/>
  <c r="J399" i="39"/>
  <c r="J413" i="39"/>
  <c r="J414" i="39"/>
  <c r="J415" i="39"/>
  <c r="J416" i="39"/>
  <c r="J417" i="39"/>
  <c r="J418" i="39"/>
  <c r="J419" i="39"/>
  <c r="J420" i="39"/>
  <c r="J421" i="39"/>
  <c r="J422" i="39"/>
  <c r="J423" i="39"/>
  <c r="J424" i="39"/>
  <c r="J425" i="39"/>
  <c r="J426" i="39"/>
  <c r="J427" i="39"/>
  <c r="J428" i="39"/>
  <c r="J429" i="39"/>
  <c r="J430" i="39"/>
  <c r="J447" i="39"/>
  <c r="J449" i="39"/>
  <c r="J450" i="39"/>
  <c r="J451" i="39"/>
  <c r="J452" i="39"/>
  <c r="J453" i="39"/>
  <c r="J454" i="39"/>
  <c r="J455" i="39"/>
  <c r="J456" i="39"/>
  <c r="J457" i="39"/>
  <c r="J458" i="39"/>
  <c r="J460" i="39"/>
  <c r="J461" i="39"/>
  <c r="J462" i="39"/>
  <c r="J463" i="39"/>
  <c r="J464" i="39"/>
  <c r="J465" i="39"/>
  <c r="J470" i="39"/>
  <c r="J471" i="39"/>
  <c r="J473" i="39"/>
  <c r="J474" i="39"/>
  <c r="J477" i="39"/>
  <c r="J478" i="39"/>
  <c r="J479" i="39"/>
  <c r="J480" i="39"/>
  <c r="J481" i="39"/>
  <c r="J482" i="39"/>
  <c r="J483" i="39"/>
  <c r="J484" i="39"/>
  <c r="J485" i="39"/>
  <c r="J486" i="39"/>
  <c r="J487" i="39"/>
  <c r="J488" i="39"/>
  <c r="J489" i="39"/>
  <c r="J490" i="39"/>
  <c r="J491" i="39"/>
  <c r="J492" i="39"/>
  <c r="J493" i="39"/>
  <c r="J494" i="39"/>
  <c r="J495" i="39"/>
  <c r="J496" i="39"/>
  <c r="J497" i="39"/>
  <c r="J498" i="39"/>
  <c r="J499" i="39"/>
  <c r="J500" i="39"/>
  <c r="J501" i="39"/>
  <c r="J502" i="39"/>
  <c r="J3" i="39"/>
  <c r="J4" i="39"/>
  <c r="J5" i="39"/>
  <c r="J6" i="39"/>
  <c r="J7" i="39"/>
  <c r="J8" i="39"/>
  <c r="J9" i="39"/>
  <c r="J10" i="39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J30" i="39"/>
  <c r="J31" i="39"/>
  <c r="J32" i="39"/>
  <c r="J33" i="39"/>
  <c r="J34" i="39"/>
  <c r="J35" i="39"/>
  <c r="J36" i="39"/>
  <c r="J37" i="39"/>
  <c r="J38" i="39"/>
  <c r="J39" i="39"/>
  <c r="J40" i="39"/>
  <c r="J41" i="39"/>
  <c r="J42" i="39"/>
  <c r="J43" i="39"/>
  <c r="J44" i="39"/>
  <c r="J45" i="39"/>
  <c r="J46" i="39"/>
  <c r="J47" i="39"/>
  <c r="J48" i="39"/>
  <c r="J49" i="39"/>
  <c r="J50" i="39"/>
  <c r="J51" i="39"/>
  <c r="J52" i="39"/>
  <c r="J53" i="39"/>
  <c r="J54" i="39"/>
  <c r="J55" i="39"/>
  <c r="J56" i="39"/>
  <c r="J57" i="39"/>
  <c r="J58" i="39"/>
  <c r="J59" i="39"/>
  <c r="J60" i="39"/>
  <c r="J61" i="39"/>
  <c r="J62" i="39"/>
  <c r="J63" i="39"/>
  <c r="J64" i="39"/>
  <c r="J65" i="39"/>
  <c r="J66" i="39"/>
  <c r="J67" i="39"/>
  <c r="J68" i="39"/>
  <c r="J69" i="39"/>
  <c r="J70" i="39"/>
  <c r="J71" i="39"/>
  <c r="J72" i="39"/>
  <c r="J73" i="39"/>
  <c r="J74" i="39"/>
  <c r="J75" i="39"/>
  <c r="J76" i="39"/>
  <c r="J77" i="39"/>
  <c r="J78" i="39"/>
  <c r="J79" i="39"/>
  <c r="J80" i="39"/>
  <c r="J81" i="39"/>
  <c r="J82" i="39"/>
  <c r="J83" i="39"/>
  <c r="J84" i="39"/>
  <c r="J85" i="39"/>
  <c r="J86" i="39"/>
  <c r="J87" i="39"/>
  <c r="J88" i="39"/>
  <c r="J89" i="39"/>
  <c r="J90" i="39"/>
  <c r="J91" i="39"/>
  <c r="J92" i="39"/>
  <c r="J93" i="39"/>
  <c r="J94" i="39"/>
  <c r="J95" i="39"/>
  <c r="J96" i="39"/>
  <c r="J97" i="39"/>
  <c r="J98" i="39"/>
  <c r="J99" i="39"/>
  <c r="J100" i="39"/>
  <c r="J101" i="39"/>
  <c r="J102" i="39"/>
  <c r="J103" i="39"/>
  <c r="J104" i="39"/>
  <c r="J105" i="39"/>
  <c r="J106" i="39"/>
  <c r="J107" i="39"/>
  <c r="J108" i="39"/>
  <c r="J109" i="39"/>
  <c r="J110" i="39"/>
  <c r="J111" i="39"/>
  <c r="J112" i="39"/>
  <c r="J113" i="39"/>
  <c r="J114" i="39"/>
  <c r="J115" i="39"/>
  <c r="J116" i="39"/>
  <c r="J117" i="39"/>
  <c r="J118" i="39"/>
  <c r="J119" i="39"/>
  <c r="J120" i="39"/>
  <c r="J121" i="39"/>
  <c r="J122" i="39"/>
  <c r="J123" i="39"/>
  <c r="J124" i="39"/>
  <c r="J125" i="39"/>
  <c r="J126" i="39"/>
  <c r="J127" i="39"/>
  <c r="J128" i="39"/>
  <c r="J129" i="39"/>
  <c r="J130" i="39"/>
  <c r="J131" i="39"/>
  <c r="J132" i="39"/>
  <c r="J133" i="39"/>
  <c r="J134" i="39"/>
  <c r="J2" i="39"/>
  <c r="AG348" i="39" l="1"/>
  <c r="AG347" i="39"/>
  <c r="AG346" i="39"/>
  <c r="AG345" i="39"/>
  <c r="AG429" i="39"/>
  <c r="AG428" i="39"/>
  <c r="AG427" i="39"/>
  <c r="AG426" i="39"/>
  <c r="AG425" i="39"/>
  <c r="AG101" i="39"/>
  <c r="AG424" i="39"/>
  <c r="AG100" i="39"/>
  <c r="AG423" i="39"/>
  <c r="AG98" i="39"/>
  <c r="AG51" i="39"/>
  <c r="AG49" i="39"/>
  <c r="AG9" i="39"/>
  <c r="AG8" i="39"/>
  <c r="AG7" i="39"/>
  <c r="AG6" i="39"/>
  <c r="AG3" i="39"/>
  <c r="AG120" i="39"/>
  <c r="AG119" i="39"/>
  <c r="AG118" i="39"/>
  <c r="AG420" i="39"/>
  <c r="AG419" i="39"/>
  <c r="AG418" i="39"/>
  <c r="AG378" i="39"/>
  <c r="AG421" i="39"/>
  <c r="AG343" i="39"/>
  <c r="AG497" i="39"/>
  <c r="AG342" i="39"/>
  <c r="AG48" i="39"/>
  <c r="AG499" i="39"/>
  <c r="AG496" i="39"/>
  <c r="AG341" i="39"/>
  <c r="AG502" i="39"/>
  <c r="AG495" i="39"/>
  <c r="AG340" i="39"/>
  <c r="AG494" i="39"/>
  <c r="AG493" i="39"/>
  <c r="AG498" i="39"/>
  <c r="AG492" i="39"/>
  <c r="AG491" i="39"/>
  <c r="AG336" i="39"/>
  <c r="AG344" i="39"/>
  <c r="AG490" i="39"/>
  <c r="AG335" i="39"/>
  <c r="AG489" i="39"/>
  <c r="AG334" i="39"/>
  <c r="AG87" i="39"/>
  <c r="AG501" i="39"/>
  <c r="AG488" i="39"/>
  <c r="AG333" i="39"/>
  <c r="AG86" i="39"/>
  <c r="AG487" i="39"/>
  <c r="AG85" i="39"/>
  <c r="AG486" i="39"/>
  <c r="AG84" i="39"/>
  <c r="AG20" i="39"/>
  <c r="AG485" i="39"/>
  <c r="AG83" i="39"/>
  <c r="AG19" i="39"/>
  <c r="AG500" i="39"/>
  <c r="AG484" i="39"/>
  <c r="AG339" i="39"/>
  <c r="AG338" i="39"/>
  <c r="AG82" i="39"/>
  <c r="AG18" i="39"/>
  <c r="AG81" i="39"/>
  <c r="AG17" i="39"/>
  <c r="AG80" i="39"/>
  <c r="AG79" i="39"/>
  <c r="AG11" i="39"/>
  <c r="AG129" i="39"/>
  <c r="AG128" i="39"/>
  <c r="AG127" i="39"/>
  <c r="AG126" i="39"/>
  <c r="AG125" i="39"/>
  <c r="AG124" i="39"/>
  <c r="AG123" i="39"/>
  <c r="AG121" i="39"/>
  <c r="AG274" i="39"/>
  <c r="AG430" i="39"/>
  <c r="AG271" i="39"/>
  <c r="AG273" i="39"/>
  <c r="AG269" i="39"/>
  <c r="AG268" i="39"/>
  <c r="AG272" i="39"/>
  <c r="AG390" i="39"/>
  <c r="AG267" i="39"/>
  <c r="AG47" i="39"/>
  <c r="AG131" i="39"/>
  <c r="AG389" i="39"/>
  <c r="AG46" i="39"/>
  <c r="AG45" i="39"/>
  <c r="AG380" i="39"/>
  <c r="AG44" i="39"/>
  <c r="AG379" i="39"/>
  <c r="AG43" i="39"/>
  <c r="AG42" i="39"/>
  <c r="AG352" i="39"/>
  <c r="AG105" i="39"/>
  <c r="AG41" i="39"/>
  <c r="AG351" i="39"/>
  <c r="AG104" i="39"/>
  <c r="AG40" i="39"/>
  <c r="AG350" i="39"/>
  <c r="AG103" i="39"/>
  <c r="AG39" i="39"/>
  <c r="AG349" i="39"/>
  <c r="AG102" i="39"/>
  <c r="AG38" i="39"/>
  <c r="AG388" i="39"/>
  <c r="AG93" i="39"/>
  <c r="AG92" i="39"/>
  <c r="AG337" i="39"/>
  <c r="AG90" i="39"/>
  <c r="AG25" i="39"/>
  <c r="AG24" i="39"/>
  <c r="AG23" i="39"/>
  <c r="AG22" i="39"/>
  <c r="AG21" i="39"/>
  <c r="AG78" i="39"/>
  <c r="AG482" i="39"/>
  <c r="AG479" i="39"/>
  <c r="AG13" i="39"/>
  <c r="AG478" i="39"/>
  <c r="AG12" i="39"/>
  <c r="AG480" i="39"/>
  <c r="AG477" i="39"/>
  <c r="AG14" i="39"/>
  <c r="AG10" i="39"/>
  <c r="AG481" i="39"/>
  <c r="AG320" i="39"/>
  <c r="AG319" i="39"/>
  <c r="AG318" i="39"/>
  <c r="AG483" i="39"/>
  <c r="AG311" i="39"/>
  <c r="AG134" i="39"/>
  <c r="AG310" i="39"/>
  <c r="AG133" i="39"/>
  <c r="AG309" i="39"/>
  <c r="AG132" i="39"/>
  <c r="AG95" i="39"/>
  <c r="AG94" i="39"/>
  <c r="AG287" i="39"/>
  <c r="AG422" i="39"/>
  <c r="AG286" i="39"/>
  <c r="AG130" i="39"/>
  <c r="AG65" i="39"/>
  <c r="AG279" i="39"/>
  <c r="AG277" i="39"/>
  <c r="AG62" i="39"/>
  <c r="AG276" i="39"/>
  <c r="AG97" i="39"/>
  <c r="AG281" i="39"/>
  <c r="AG61" i="39"/>
  <c r="AG275" i="39"/>
  <c r="AG280" i="39"/>
  <c r="AG60" i="39"/>
  <c r="AG89" i="39"/>
  <c r="AG59" i="39"/>
  <c r="AG278" i="39"/>
  <c r="AG122" i="39"/>
  <c r="AG58" i="39"/>
  <c r="AG57" i="39"/>
  <c r="AG96" i="39"/>
  <c r="AG15" i="39"/>
  <c r="AG56" i="39"/>
  <c r="AG88" i="39"/>
  <c r="AG64" i="39"/>
  <c r="AG55" i="39"/>
  <c r="AG283" i="39"/>
  <c r="AG54" i="39"/>
  <c r="AG99" i="39"/>
  <c r="AG53" i="39"/>
  <c r="AG16" i="39"/>
  <c r="AG63" i="39"/>
  <c r="AG52" i="39"/>
  <c r="AG285" i="39"/>
  <c r="AG270" i="39"/>
  <c r="AG50" i="39"/>
  <c r="AG284" i="39"/>
  <c r="AG282" i="39"/>
  <c r="AG392" i="39"/>
  <c r="AG447" i="39"/>
  <c r="AG91" i="39"/>
  <c r="AG391" i="39"/>
  <c r="AG417" i="39"/>
  <c r="AG332" i="39"/>
  <c r="AG117" i="39"/>
  <c r="AG77" i="39"/>
  <c r="AG37" i="39"/>
  <c r="AG416" i="39"/>
  <c r="AG331" i="39"/>
  <c r="AG116" i="39"/>
  <c r="AG76" i="39"/>
  <c r="AG36" i="39"/>
  <c r="AG415" i="39"/>
  <c r="AG330" i="39"/>
  <c r="AG115" i="39"/>
  <c r="AG75" i="39"/>
  <c r="AG35" i="39"/>
  <c r="AG414" i="39"/>
  <c r="AG329" i="39"/>
  <c r="AG114" i="39"/>
  <c r="AG74" i="39"/>
  <c r="AG34" i="39"/>
  <c r="AG413" i="39"/>
  <c r="AG328" i="39"/>
  <c r="AG113" i="39"/>
  <c r="AG73" i="39"/>
  <c r="AG33" i="39"/>
  <c r="AG399" i="39"/>
  <c r="AG327" i="39"/>
  <c r="AG112" i="39"/>
  <c r="AG72" i="39"/>
  <c r="AG32" i="39"/>
  <c r="AG474" i="39"/>
  <c r="AG398" i="39"/>
  <c r="AG326" i="39"/>
  <c r="AG111" i="39"/>
  <c r="AG71" i="39"/>
  <c r="AG31" i="39"/>
  <c r="AG473" i="39"/>
  <c r="AG397" i="39"/>
  <c r="AG325" i="39"/>
  <c r="AG110" i="39"/>
  <c r="AG70" i="39"/>
  <c r="AG30" i="39"/>
  <c r="AG471" i="39"/>
  <c r="AG396" i="39"/>
  <c r="AG324" i="39"/>
  <c r="AG109" i="39"/>
  <c r="AG69" i="39"/>
  <c r="AG29" i="39"/>
  <c r="AG470" i="39"/>
  <c r="AG395" i="39"/>
  <c r="AG323" i="39"/>
  <c r="AG108" i="39"/>
  <c r="AG68" i="39"/>
  <c r="AG28" i="39"/>
  <c r="AG465" i="39"/>
  <c r="AG394" i="39"/>
  <c r="AG322" i="39"/>
  <c r="AG107" i="39"/>
  <c r="AG67" i="39"/>
  <c r="AG27" i="39"/>
  <c r="AG464" i="39"/>
  <c r="AG393" i="39"/>
  <c r="AG321" i="39"/>
  <c r="AG106" i="39"/>
  <c r="AG66" i="39"/>
  <c r="AG26" i="39"/>
  <c r="AG463" i="39"/>
  <c r="AG462" i="39"/>
  <c r="AG461" i="39"/>
  <c r="AG460" i="39"/>
  <c r="AG458" i="39"/>
  <c r="AG457" i="39"/>
  <c r="AG456" i="39"/>
  <c r="AG455" i="39"/>
  <c r="AG454" i="39"/>
  <c r="AG453" i="39"/>
  <c r="AG452" i="39"/>
  <c r="AG451" i="39"/>
  <c r="AG450" i="39"/>
  <c r="AG449" i="39"/>
  <c r="F3" i="38"/>
  <c r="E3" i="38"/>
  <c r="D3" i="38"/>
  <c r="C3" i="38"/>
  <c r="B3" i="38"/>
  <c r="A2" i="39"/>
  <c r="A3" i="38"/>
  <c r="D3" i="37" l="1"/>
  <c r="J4" i="37"/>
  <c r="I4" i="37"/>
  <c r="H4" i="37" l="1"/>
  <c r="G4" i="37"/>
  <c r="F4" i="37"/>
  <c r="E4" i="37"/>
</calcChain>
</file>

<file path=xl/sharedStrings.xml><?xml version="1.0" encoding="utf-8"?>
<sst xmlns="http://schemas.openxmlformats.org/spreadsheetml/2006/main" count="5488" uniqueCount="697">
  <si>
    <t>Type</t>
    <phoneticPr fontId="18"/>
  </si>
  <si>
    <t>Life Time [year]</t>
    <phoneticPr fontId="18"/>
  </si>
  <si>
    <t>Nuclear</t>
    <phoneticPr fontId="18"/>
  </si>
  <si>
    <t>Coal</t>
    <phoneticPr fontId="18"/>
  </si>
  <si>
    <t>LNG GCC</t>
    <phoneticPr fontId="18"/>
  </si>
  <si>
    <t>LNG ST</t>
    <phoneticPr fontId="18"/>
  </si>
  <si>
    <t>Oil</t>
    <phoneticPr fontId="18"/>
  </si>
  <si>
    <t>Minimum Output Level</t>
    <phoneticPr fontId="18"/>
  </si>
  <si>
    <t>Own Consumption Rate</t>
    <phoneticPr fontId="18"/>
  </si>
  <si>
    <t>Specific Unit</t>
    <phoneticPr fontId="18"/>
  </si>
  <si>
    <t>Fuel Cost [Yen/specific unit]</t>
  </si>
  <si>
    <t>Annual O&amp;M Cost Rate</t>
    <phoneticPr fontId="18"/>
  </si>
  <si>
    <t>Node</t>
    <phoneticPr fontId="18"/>
  </si>
  <si>
    <t>Plant Type</t>
    <phoneticPr fontId="18"/>
  </si>
  <si>
    <t>Unit Construction Cost [kYen/kW]</t>
    <phoneticPr fontId="18"/>
  </si>
  <si>
    <t>kg</t>
  </si>
  <si>
    <t>kWh</t>
  </si>
  <si>
    <t>Unit Capacity [GW/unit]</t>
    <phoneticPr fontId="18"/>
  </si>
  <si>
    <t>Maximum Unit Number</t>
    <phoneticPr fontId="18"/>
  </si>
  <si>
    <t>Exsiting Unit Number</t>
    <phoneticPr fontId="18"/>
  </si>
  <si>
    <t>Start-up cost [million Yen]</t>
    <phoneticPr fontId="18"/>
  </si>
  <si>
    <t>Minimun Stut-down Time [hour]</t>
    <phoneticPr fontId="18"/>
  </si>
  <si>
    <t>Annual Maintenance Period [day]</t>
    <phoneticPr fontId="18"/>
  </si>
  <si>
    <t>Coal</t>
  </si>
  <si>
    <t>Oil</t>
  </si>
  <si>
    <t>Nuclear</t>
  </si>
  <si>
    <t>liter</t>
  </si>
  <si>
    <t>Fuel Type</t>
    <phoneticPr fontId="18"/>
  </si>
  <si>
    <t>Plant Type Number</t>
    <phoneticPr fontId="18"/>
  </si>
  <si>
    <t>Seasonal Change Factors</t>
    <phoneticPr fontId="18"/>
  </si>
  <si>
    <t>Pattern 1</t>
    <phoneticPr fontId="18"/>
  </si>
  <si>
    <t>Pattern 2</t>
  </si>
  <si>
    <t>Pattern 3</t>
  </si>
  <si>
    <t>Pattern 4</t>
  </si>
  <si>
    <t>Average</t>
    <phoneticPr fontId="18"/>
  </si>
  <si>
    <t>R in Condenser (0:No, 1:Yes)</t>
    <phoneticPr fontId="18"/>
  </si>
  <si>
    <t>R in Boiler (0:No, 1:Yes)</t>
    <phoneticPr fontId="18"/>
  </si>
  <si>
    <t>Without Unit Commitment</t>
    <phoneticPr fontId="18"/>
  </si>
  <si>
    <t>Natural Gas</t>
    <phoneticPr fontId="18"/>
  </si>
  <si>
    <t>9IP-SEI2</t>
  </si>
  <si>
    <t>9J-SEIS</t>
  </si>
  <si>
    <t>9MTBMKY</t>
  </si>
  <si>
    <t>9ORX-HBK</t>
  </si>
  <si>
    <t>9JFE-ASK</t>
  </si>
  <si>
    <t>9TOBAKY6</t>
  </si>
  <si>
    <t>Minimun Operation Time [hour]</t>
    <phoneticPr fontId="18"/>
  </si>
  <si>
    <t>Pattern 5</t>
  </si>
  <si>
    <t>Pattern 6</t>
  </si>
  <si>
    <t>Start date of Maintenance</t>
    <phoneticPr fontId="18"/>
  </si>
  <si>
    <t>Name</t>
    <phoneticPr fontId="18"/>
  </si>
  <si>
    <t>LNG CC</t>
  </si>
  <si>
    <t>1ATUMA4</t>
  </si>
  <si>
    <t>1SN-TMK</t>
  </si>
  <si>
    <t>1IP-SEIT</t>
  </si>
  <si>
    <t>1IP-SEIS</t>
  </si>
  <si>
    <t>2AKITAM1</t>
  </si>
  <si>
    <t>2AKITAM2</t>
  </si>
  <si>
    <t>2NOSHIR3</t>
  </si>
  <si>
    <t>2HARAM2</t>
  </si>
  <si>
    <t>2HARAM1</t>
  </si>
  <si>
    <t>2NOSHIR2</t>
  </si>
  <si>
    <t>2NOSHIR1</t>
  </si>
  <si>
    <t>2SHINC2L</t>
  </si>
  <si>
    <t>2SHINC1L</t>
  </si>
  <si>
    <t>2NS-HIB</t>
  </si>
  <si>
    <t>2ORIX-SM</t>
  </si>
  <si>
    <t>2NTT-SM</t>
  </si>
  <si>
    <t>2IP-SEIT</t>
  </si>
  <si>
    <t>2NS-ISM</t>
  </si>
  <si>
    <t>2ITOIGA1</t>
  </si>
  <si>
    <t>2SMT-ONH</t>
  </si>
  <si>
    <t>3AD_COAL</t>
  </si>
  <si>
    <t>3NAKO10L</t>
  </si>
  <si>
    <t>3IGCC501</t>
  </si>
  <si>
    <t>3IGCC502</t>
  </si>
  <si>
    <t>3HITA_G</t>
  </si>
  <si>
    <t>3SODEG1</t>
  </si>
  <si>
    <t>3SODEG2</t>
  </si>
  <si>
    <t>3KASH_PW</t>
  </si>
  <si>
    <t>3ISOGN1L</t>
  </si>
  <si>
    <t>3ISOGN2L</t>
  </si>
  <si>
    <t>3HITCH1</t>
  </si>
  <si>
    <t>3HITCH2</t>
  </si>
  <si>
    <t>3HIRON5</t>
  </si>
  <si>
    <t>3HIRON6</t>
  </si>
  <si>
    <t>3YKSK-1</t>
  </si>
  <si>
    <t>3YKSK-2</t>
  </si>
  <si>
    <t>3J-SEIS</t>
  </si>
  <si>
    <t>3IP-SUMI</t>
  </si>
  <si>
    <t>4AD_COAL</t>
  </si>
  <si>
    <t>4TAKET5</t>
  </si>
  <si>
    <t>4HEKIN5</t>
  </si>
  <si>
    <t>4HEKIN4</t>
  </si>
  <si>
    <t>4IP-AKEM</t>
  </si>
  <si>
    <t>4FJ-SUZU</t>
  </si>
  <si>
    <t>4HEKIN3</t>
  </si>
  <si>
    <t>4HEKIN1</t>
  </si>
  <si>
    <t>4HEKIN2</t>
  </si>
  <si>
    <t>4IPNAKA2</t>
  </si>
  <si>
    <t>4IPNAKA1</t>
  </si>
  <si>
    <t>5TURUG2</t>
  </si>
  <si>
    <t>5NANAO2</t>
  </si>
  <si>
    <t>5NANAO1</t>
  </si>
  <si>
    <t>5TURUG1</t>
  </si>
  <si>
    <t>6AD_COAL</t>
  </si>
  <si>
    <t>6IP-KB31</t>
  </si>
  <si>
    <t>6IP-KB32</t>
  </si>
  <si>
    <t>6MAIZUR1</t>
  </si>
  <si>
    <t>6MAIZUR2</t>
  </si>
  <si>
    <t>6IP-KOB2</t>
  </si>
  <si>
    <t>6IP-KOB1</t>
  </si>
  <si>
    <t>6IP-SEIS</t>
  </si>
  <si>
    <t>6DAICEL</t>
  </si>
  <si>
    <t>8SAIJO1R</t>
  </si>
  <si>
    <t>8TACHIBA</t>
  </si>
  <si>
    <t>8TACHI1L</t>
  </si>
  <si>
    <t>8TACHI2L</t>
  </si>
  <si>
    <t>8IP-TAIH</t>
  </si>
  <si>
    <t>8IP-SUMI</t>
  </si>
  <si>
    <t>8TAIH-TS</t>
  </si>
  <si>
    <t>8MAR-SEI</t>
  </si>
  <si>
    <t>8DAI-MSM</t>
  </si>
  <si>
    <t>8OJI-TOM</t>
  </si>
  <si>
    <t>8TOSA1</t>
  </si>
  <si>
    <t>8TOSA2</t>
  </si>
  <si>
    <t>8SUMITN3</t>
  </si>
  <si>
    <t>7MISUMI2</t>
  </si>
  <si>
    <t>7NISIO1</t>
  </si>
  <si>
    <t>7NISIO2</t>
  </si>
  <si>
    <t>7OSAK-CG</t>
  </si>
  <si>
    <t>7TAKEN1</t>
  </si>
  <si>
    <t>7MISUMI1</t>
  </si>
  <si>
    <t>7IP-YUPI</t>
  </si>
  <si>
    <t>7MATSUDA</t>
  </si>
  <si>
    <t>7TOSO2#6</t>
  </si>
  <si>
    <t>7ENT-KNB</t>
  </si>
  <si>
    <t>7IP-MITU</t>
  </si>
  <si>
    <t>7IP-YUP2</t>
  </si>
  <si>
    <t>7J-SEIS</t>
  </si>
  <si>
    <t>FUKUY-R</t>
  </si>
  <si>
    <t>7TOKUYAM</t>
  </si>
  <si>
    <t>7MB-MHR</t>
  </si>
  <si>
    <t>9MATU92</t>
  </si>
  <si>
    <t>9REIHOK2</t>
  </si>
  <si>
    <t>9MIIKE</t>
  </si>
  <si>
    <t>9REIHOK1</t>
  </si>
  <si>
    <t>9MATUU2L</t>
  </si>
  <si>
    <t>9KARI-N1</t>
  </si>
  <si>
    <t>2N-SND31</t>
  </si>
  <si>
    <t>2SENDAI4</t>
  </si>
  <si>
    <t>2N-SND32</t>
  </si>
  <si>
    <t>2HACHI5B</t>
  </si>
  <si>
    <t>2NIIGT51</t>
  </si>
  <si>
    <t>2NIIGT52</t>
  </si>
  <si>
    <t>2ENI4#2A</t>
  </si>
  <si>
    <t>2ENI4#1A</t>
  </si>
  <si>
    <t>3GOIN1#1</t>
  </si>
  <si>
    <t>3GOIN1#2</t>
  </si>
  <si>
    <t>3GOIN1#3</t>
  </si>
  <si>
    <t>3ANESA1</t>
  </si>
  <si>
    <t>3ANESA2</t>
  </si>
  <si>
    <t>3ANESA3</t>
  </si>
  <si>
    <t>3SOGA</t>
  </si>
  <si>
    <t>3KAW2#2</t>
  </si>
  <si>
    <t>3KAW2#3</t>
  </si>
  <si>
    <t>3KOB-MA1</t>
  </si>
  <si>
    <t>3KOB-MA2</t>
  </si>
  <si>
    <t>3SOMA1</t>
  </si>
  <si>
    <t>3SOMA2</t>
  </si>
  <si>
    <t>3FUTT4#1</t>
  </si>
  <si>
    <t>3KAWA1#1</t>
  </si>
  <si>
    <t>3KAWA1#2</t>
  </si>
  <si>
    <t>3KAWA1#3</t>
  </si>
  <si>
    <t>3KAWA2#1</t>
  </si>
  <si>
    <t>3FUTT4#2</t>
  </si>
  <si>
    <t>3FUTT4#3</t>
  </si>
  <si>
    <t>3CHIBA3</t>
  </si>
  <si>
    <t>3KWSGAS1</t>
  </si>
  <si>
    <t>3KWSGAS2</t>
  </si>
  <si>
    <t>3CHIBA1</t>
  </si>
  <si>
    <t>3CHIBA2</t>
  </si>
  <si>
    <t>3KASHI1</t>
  </si>
  <si>
    <t>3KASHI2</t>
  </si>
  <si>
    <t>3KASHI3</t>
  </si>
  <si>
    <t>3JFEOG1A</t>
  </si>
  <si>
    <t>3KAWJR5</t>
  </si>
  <si>
    <t>3YOK7#4G</t>
  </si>
  <si>
    <t>3YOK8#1G</t>
  </si>
  <si>
    <t>3YOK7#1G</t>
  </si>
  <si>
    <t>3YOK7#2G</t>
  </si>
  <si>
    <t>3YOK7#3G</t>
  </si>
  <si>
    <t>3YOK8#3G</t>
  </si>
  <si>
    <t>3YOK8#4G</t>
  </si>
  <si>
    <t>3SINA1#1</t>
  </si>
  <si>
    <t>3SINA1#2</t>
  </si>
  <si>
    <t>3SINA1#3</t>
  </si>
  <si>
    <t>3FUTT3#1</t>
  </si>
  <si>
    <t>3FUTT3#2</t>
  </si>
  <si>
    <t>3FUTT3#3</t>
  </si>
  <si>
    <t>3FUTT3#4</t>
  </si>
  <si>
    <t>3GHIBAW4</t>
  </si>
  <si>
    <t>3FUT2#1G</t>
  </si>
  <si>
    <t>3FUT2#2G</t>
  </si>
  <si>
    <t>3FUT2#3G</t>
  </si>
  <si>
    <t>3FUT2#4G</t>
  </si>
  <si>
    <t>3FUT2#5G</t>
  </si>
  <si>
    <t>3FUT2#6G</t>
  </si>
  <si>
    <t>3FUT2#7G</t>
  </si>
  <si>
    <t>3CHIB1#1</t>
  </si>
  <si>
    <t>3CHIB1#2</t>
  </si>
  <si>
    <t>3CHIB2#3</t>
  </si>
  <si>
    <t>3CHIB2#4</t>
  </si>
  <si>
    <t>3CHIB1#3</t>
  </si>
  <si>
    <t>3CHIB1#4</t>
  </si>
  <si>
    <t>3CHIB2#1</t>
  </si>
  <si>
    <t>3CHIB2#2</t>
  </si>
  <si>
    <t>3YOK8#2G</t>
  </si>
  <si>
    <t>3IP-TOMY</t>
  </si>
  <si>
    <t>3IP-KAWA</t>
  </si>
  <si>
    <t>3KMKY6</t>
  </si>
  <si>
    <t>3KMKY5</t>
  </si>
  <si>
    <t>3NAKASO1</t>
  </si>
  <si>
    <t>3NAKASO2</t>
  </si>
  <si>
    <t>3IP-EBRA</t>
  </si>
  <si>
    <t>3IP-HTZ2</t>
  </si>
  <si>
    <t>4KAWA3#1</t>
  </si>
  <si>
    <t>4KAWA3#2</t>
  </si>
  <si>
    <t>4KAWA3#3</t>
  </si>
  <si>
    <t>4KAWA3#4</t>
  </si>
  <si>
    <t>4KAWA3#5</t>
  </si>
  <si>
    <t>4KAWA3#6</t>
  </si>
  <si>
    <t>4KAWA3#7</t>
  </si>
  <si>
    <t>4KAWA4#1</t>
  </si>
  <si>
    <t>4KAWA4#2</t>
  </si>
  <si>
    <t>4KAWA4#3</t>
  </si>
  <si>
    <t>4KAWA4#4</t>
  </si>
  <si>
    <t>4KAWA4#5</t>
  </si>
  <si>
    <t>4KAWA4#6</t>
  </si>
  <si>
    <t>4KAWA4#7</t>
  </si>
  <si>
    <t xml:space="preserve">5AD_LNG </t>
  </si>
  <si>
    <t>5SHINK1R</t>
  </si>
  <si>
    <t>6MITHITP</t>
  </si>
  <si>
    <t>6HIMN2#1</t>
  </si>
  <si>
    <t>6HIMN2#2</t>
  </si>
  <si>
    <t>6HIMN2#3</t>
  </si>
  <si>
    <t>6HIMN2#4</t>
  </si>
  <si>
    <t>6HIMN2#5</t>
  </si>
  <si>
    <t>6HIMN2#6</t>
  </si>
  <si>
    <t>6HIMEG1</t>
  </si>
  <si>
    <t>6HIMEG2</t>
  </si>
  <si>
    <t>6HIMEG3</t>
  </si>
  <si>
    <t>6HIMEG4</t>
  </si>
  <si>
    <t>6SAKAIN1</t>
  </si>
  <si>
    <t>6SAKAIN2</t>
  </si>
  <si>
    <t>6SAKAIN3</t>
  </si>
  <si>
    <t>6SAKAIN4</t>
  </si>
  <si>
    <t>6SAKAIN5</t>
  </si>
  <si>
    <t>6OGASSN3</t>
  </si>
  <si>
    <t>6OGASSN4</t>
  </si>
  <si>
    <t>6OGASSN1</t>
  </si>
  <si>
    <t>6OGASSN2</t>
  </si>
  <si>
    <t>6HIME6#1</t>
  </si>
  <si>
    <t>6HIME6#2</t>
  </si>
  <si>
    <t>6HIME6#3</t>
  </si>
  <si>
    <t>6HIME5#1</t>
  </si>
  <si>
    <t>6HIME5#2</t>
  </si>
  <si>
    <t>6HIME5#3</t>
  </si>
  <si>
    <t>6IP-NAKA</t>
  </si>
  <si>
    <t>6IP-GASU</t>
  </si>
  <si>
    <t>6SAMAMAG</t>
  </si>
  <si>
    <t>6WAKAKN1</t>
  </si>
  <si>
    <t>6NANKOH3</t>
  </si>
  <si>
    <t>6HIM1GT1</t>
  </si>
  <si>
    <t>6HIM1GT2</t>
  </si>
  <si>
    <t>8SAKAD2C</t>
  </si>
  <si>
    <t>8SAKAD1C</t>
  </si>
  <si>
    <t>8SMTKYN</t>
  </si>
  <si>
    <t>7MIZUS1C</t>
  </si>
  <si>
    <t>7FUKKYN2</t>
  </si>
  <si>
    <t>7YANA2#3</t>
  </si>
  <si>
    <t>7YANA2#4</t>
  </si>
  <si>
    <t>7YANA2#1</t>
  </si>
  <si>
    <t>7YANA2#2</t>
  </si>
  <si>
    <t>7YANA1#5</t>
  </si>
  <si>
    <t>7YANA1#6</t>
  </si>
  <si>
    <t>7YANA1#4</t>
  </si>
  <si>
    <t>7YANA1#1</t>
  </si>
  <si>
    <t>7YANA1#2</t>
  </si>
  <si>
    <t>7YANA1#3</t>
  </si>
  <si>
    <t>9N-OH3#4</t>
  </si>
  <si>
    <t>9HIBIKG1</t>
  </si>
  <si>
    <t>9HIBIKG2</t>
  </si>
  <si>
    <t>9HIBIKG3</t>
  </si>
  <si>
    <t>9HIBIKG4</t>
  </si>
  <si>
    <t>9N-OH3#1</t>
  </si>
  <si>
    <t>9N-OH3#2</t>
  </si>
  <si>
    <t>9N-OH3#3</t>
  </si>
  <si>
    <t>9N-OH2#3</t>
  </si>
  <si>
    <t>9N-OH2#4</t>
  </si>
  <si>
    <t>9N-OH2#1</t>
  </si>
  <si>
    <t>9N-OH2#2</t>
  </si>
  <si>
    <t>9N-OH1#1</t>
  </si>
  <si>
    <t>9N-OH1#2</t>
  </si>
  <si>
    <t>9N-OH1#3</t>
  </si>
  <si>
    <t>9N-OH1#4</t>
  </si>
  <si>
    <t>9N-OH1#5</t>
  </si>
  <si>
    <t>9N-OH1#6</t>
  </si>
  <si>
    <t>1SHIRI2</t>
  </si>
  <si>
    <t>1IP-NSEK</t>
  </si>
  <si>
    <t>2ENE-SDN</t>
  </si>
  <si>
    <t>2IP-TAIH</t>
  </si>
  <si>
    <t>2FENIIG1</t>
  </si>
  <si>
    <t>3JX_KSN</t>
  </si>
  <si>
    <t>3HIRN4</t>
  </si>
  <si>
    <t>3IP-NSM2</t>
  </si>
  <si>
    <t>3IP-HIT2</t>
  </si>
  <si>
    <t>3IP-NSM1</t>
  </si>
  <si>
    <t>3IP-TOUA</t>
  </si>
  <si>
    <t>3IP-SYO4</t>
  </si>
  <si>
    <t>3IP-HTZ3</t>
  </si>
  <si>
    <t>3IP-SYO3</t>
  </si>
  <si>
    <t>6IP-KOUA</t>
  </si>
  <si>
    <t>6IP-KOB</t>
  </si>
  <si>
    <t>6AYABEES</t>
  </si>
  <si>
    <t>6ENT-MAI</t>
  </si>
  <si>
    <t>6KANKU1</t>
  </si>
  <si>
    <t>6KANKU2</t>
  </si>
  <si>
    <t>7KRKYN1</t>
  </si>
  <si>
    <t>7FUKKYN1</t>
  </si>
  <si>
    <t>7MARIB</t>
  </si>
  <si>
    <t>9OHITKY3</t>
  </si>
  <si>
    <t>ヒートレート（最低出力時）</t>
  </si>
  <si>
    <t>ヒートレート（定格時）</t>
  </si>
  <si>
    <t>所内率</t>
  </si>
  <si>
    <t>最低出力</t>
  </si>
  <si>
    <t>起動費</t>
  </si>
  <si>
    <t>補修日数</t>
  </si>
  <si>
    <t>効率</t>
    <rPh sb="0" eb="2">
      <t>コウリツ</t>
    </rPh>
    <phoneticPr fontId="18"/>
  </si>
  <si>
    <t>最低負荷時効率</t>
    <rPh sb="0" eb="2">
      <t>サイテイ</t>
    </rPh>
    <rPh sb="2" eb="4">
      <t>フカ</t>
    </rPh>
    <rPh sb="4" eb="5">
      <t>ジ</t>
    </rPh>
    <rPh sb="5" eb="7">
      <t>コウリツ</t>
    </rPh>
    <phoneticPr fontId="18"/>
  </si>
  <si>
    <t>LNG ST</t>
    <phoneticPr fontId="18"/>
  </si>
  <si>
    <t>Cost of Resistance in Boiler [kYen/kW/year]</t>
    <phoneticPr fontId="18"/>
  </si>
  <si>
    <t>Cost of Resistance in Condenser [kYen/kW/year]</t>
    <phoneticPr fontId="18"/>
  </si>
  <si>
    <r>
      <t>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Intensity[kg-CO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/specific unit]</t>
    </r>
    <phoneticPr fontId="18"/>
  </si>
  <si>
    <t>Load Following Capability</t>
    <phoneticPr fontId="18"/>
  </si>
  <si>
    <t>Cost [kYen/Mcal]</t>
    <phoneticPr fontId="18"/>
  </si>
  <si>
    <t>4NNAG7#6</t>
    <phoneticPr fontId="18"/>
  </si>
  <si>
    <t>新名古屋火力発電所</t>
  </si>
  <si>
    <t>4NNG8#1C</t>
    <phoneticPr fontId="18"/>
  </si>
  <si>
    <t>4NNG8#2C</t>
    <phoneticPr fontId="18"/>
  </si>
  <si>
    <t>4NNG8#3C</t>
    <phoneticPr fontId="18"/>
  </si>
  <si>
    <t>4NNG8#4C</t>
    <phoneticPr fontId="18"/>
  </si>
  <si>
    <t>4NNAG7#1</t>
    <phoneticPr fontId="18"/>
  </si>
  <si>
    <t>4NNAG7#2</t>
    <phoneticPr fontId="18"/>
  </si>
  <si>
    <t>4NNAG7#3</t>
    <phoneticPr fontId="18"/>
  </si>
  <si>
    <t>4NNAG7#4</t>
    <phoneticPr fontId="18"/>
  </si>
  <si>
    <t>4NNAG7#5</t>
    <phoneticPr fontId="18"/>
  </si>
  <si>
    <t>4JOET1#1</t>
    <phoneticPr fontId="18"/>
  </si>
  <si>
    <t>上越火力（中部電力）</t>
  </si>
  <si>
    <t>4JOET1#2</t>
    <phoneticPr fontId="18"/>
  </si>
  <si>
    <t>4JOET2#1</t>
    <phoneticPr fontId="18"/>
  </si>
  <si>
    <t>4JOET2#2</t>
    <phoneticPr fontId="18"/>
  </si>
  <si>
    <r>
      <t>4WNAG7#2</t>
    </r>
    <r>
      <rPr>
        <sz val="10"/>
        <color theme="1"/>
        <rFont val="ＭＳ Ｐ明朝"/>
        <family val="1"/>
        <charset val="128"/>
      </rPr>
      <t/>
    </r>
    <phoneticPr fontId="18"/>
  </si>
  <si>
    <r>
      <t>西名古屋火力発電所</t>
    </r>
    <r>
      <rPr>
        <sz val="10"/>
        <color theme="1"/>
        <rFont val="Times New Roman"/>
        <family val="1"/>
      </rPr>
      <t xml:space="preserve">  </t>
    </r>
  </si>
  <si>
    <t>4WNAG7#1</t>
    <phoneticPr fontId="18"/>
  </si>
  <si>
    <t>3MIHASSP</t>
    <phoneticPr fontId="18"/>
  </si>
  <si>
    <t>美浜シーサイドパワー新港発電所</t>
  </si>
  <si>
    <t>3TGASSOD</t>
    <phoneticPr fontId="18"/>
  </si>
  <si>
    <t>日本テクノ袖ケ浦グリーンパワー</t>
  </si>
  <si>
    <t>3ICHIHPW</t>
    <phoneticPr fontId="18"/>
  </si>
  <si>
    <t>市原パワー市原発電所</t>
  </si>
  <si>
    <t>3BSEICHI</t>
    <phoneticPr fontId="18"/>
  </si>
  <si>
    <t>ベイサイドエナジー市原発電所</t>
  </si>
  <si>
    <t>3KSKY5</t>
    <phoneticPr fontId="18"/>
  </si>
  <si>
    <t>鹿島南共同発電所</t>
  </si>
  <si>
    <t>3KAWJRN1</t>
    <phoneticPr fontId="18"/>
  </si>
  <si>
    <r>
      <t>JR</t>
    </r>
    <r>
      <rPr>
        <sz val="10"/>
        <color theme="1"/>
        <rFont val="ＭＳ Ｐ明朝"/>
        <family val="1"/>
        <charset val="128"/>
      </rPr>
      <t>東日本川崎火力発電所</t>
    </r>
  </si>
  <si>
    <t>3KAWJRN4</t>
    <phoneticPr fontId="18"/>
  </si>
  <si>
    <t>3OGISPW1</t>
    <phoneticPr fontId="18"/>
  </si>
  <si>
    <t>扇島パワーステーション</t>
  </si>
  <si>
    <t>3OGISPW2</t>
    <phoneticPr fontId="18"/>
  </si>
  <si>
    <t>3OGISPW3</t>
    <phoneticPr fontId="18"/>
  </si>
  <si>
    <t>4IP-KOSU</t>
    <phoneticPr fontId="18"/>
  </si>
  <si>
    <t>コスモ石油四日市霞発電所</t>
  </si>
  <si>
    <t>4IP-IDE</t>
    <phoneticPr fontId="18"/>
  </si>
  <si>
    <t>出光興産愛知製油所</t>
  </si>
  <si>
    <t>1IP-IDE</t>
    <phoneticPr fontId="18"/>
  </si>
  <si>
    <t>出光興産北海道製油所</t>
  </si>
  <si>
    <t>1TOMARI2</t>
    <phoneticPr fontId="18"/>
  </si>
  <si>
    <t>泊原子力発電所</t>
    <rPh sb="4" eb="7">
      <t>ハツデンショ</t>
    </rPh>
    <phoneticPr fontId="18"/>
  </si>
  <si>
    <t>1TOMARI3</t>
    <phoneticPr fontId="18"/>
  </si>
  <si>
    <t>2ONA2</t>
    <phoneticPr fontId="18"/>
  </si>
  <si>
    <t>2E-DOUR1</t>
    <phoneticPr fontId="18"/>
  </si>
  <si>
    <t>2E-DOTD1</t>
    <phoneticPr fontId="18"/>
  </si>
  <si>
    <t>女川原子力発電所</t>
    <rPh sb="5" eb="8">
      <t>ハツデンショ</t>
    </rPh>
    <phoneticPr fontId="18"/>
  </si>
  <si>
    <t>2ONA3</t>
    <phoneticPr fontId="18"/>
  </si>
  <si>
    <t>2OOMA1L</t>
    <phoneticPr fontId="18"/>
  </si>
  <si>
    <t>3KASHW3A</t>
    <phoneticPr fontId="18"/>
  </si>
  <si>
    <t>3KASHW4A</t>
    <phoneticPr fontId="18"/>
  </si>
  <si>
    <t>3KASHW6A</t>
    <phoneticPr fontId="18"/>
  </si>
  <si>
    <t>3KASHW7A</t>
    <phoneticPr fontId="18"/>
  </si>
  <si>
    <t>4HAMAO4</t>
    <phoneticPr fontId="18"/>
  </si>
  <si>
    <t>5SHIGA1A</t>
    <phoneticPr fontId="18"/>
  </si>
  <si>
    <t>5SHIGA2A</t>
    <phoneticPr fontId="18"/>
  </si>
  <si>
    <t>6OOI3</t>
    <phoneticPr fontId="18"/>
  </si>
  <si>
    <t>8IKATA3</t>
    <phoneticPr fontId="18"/>
  </si>
  <si>
    <t>9GENKAI4</t>
    <phoneticPr fontId="18"/>
  </si>
  <si>
    <t>9GENKAI3</t>
    <phoneticPr fontId="18"/>
  </si>
  <si>
    <t>7SHIMA3</t>
    <phoneticPr fontId="18"/>
  </si>
  <si>
    <t>6OOI4</t>
    <phoneticPr fontId="18"/>
  </si>
  <si>
    <t>4HAMAO5#</t>
    <phoneticPr fontId="18"/>
  </si>
  <si>
    <t>東通原子力発電所（東北電力）</t>
    <phoneticPr fontId="18"/>
  </si>
  <si>
    <t>東通原子力発電所（東京電力）</t>
    <phoneticPr fontId="18"/>
  </si>
  <si>
    <t>大間原子力発電所</t>
    <phoneticPr fontId="18"/>
  </si>
  <si>
    <t>柏崎刈羽原子力発電所</t>
    <phoneticPr fontId="18"/>
  </si>
  <si>
    <t>浜岡原子力発電所</t>
    <phoneticPr fontId="18"/>
  </si>
  <si>
    <t>志賀原子力発電所</t>
    <phoneticPr fontId="18"/>
  </si>
  <si>
    <t>大飯原子力発電所</t>
    <phoneticPr fontId="18"/>
  </si>
  <si>
    <t>伊方原子力発電所</t>
    <phoneticPr fontId="18"/>
  </si>
  <si>
    <t>島根原子力発電所</t>
    <phoneticPr fontId="18"/>
  </si>
  <si>
    <t>玄海原子力発電所</t>
    <phoneticPr fontId="18"/>
  </si>
  <si>
    <t>新大分発電所</t>
    <phoneticPr fontId="18"/>
  </si>
  <si>
    <t>苓北発電所</t>
  </si>
  <si>
    <r>
      <t>1ISHIK1</t>
    </r>
    <r>
      <rPr>
        <sz val="10"/>
        <color theme="1"/>
        <rFont val="ＭＳ Ｐ明朝"/>
        <family val="1"/>
        <charset val="128"/>
      </rPr>
      <t/>
    </r>
    <phoneticPr fontId="18"/>
  </si>
  <si>
    <r>
      <t>石狩湾新港発電所</t>
    </r>
    <r>
      <rPr>
        <sz val="10"/>
        <color theme="1"/>
        <rFont val="Times New Roman"/>
        <family val="1"/>
      </rPr>
      <t xml:space="preserve">  </t>
    </r>
  </si>
  <si>
    <t>1ISHIK2</t>
    <phoneticPr fontId="18"/>
  </si>
  <si>
    <t>1ISHIK3</t>
    <phoneticPr fontId="18"/>
  </si>
  <si>
    <t>1IP-MURO</t>
    <phoneticPr fontId="18"/>
  </si>
  <si>
    <t>日本製鉄室蘭製鉄所</t>
  </si>
  <si>
    <t>2JOET1#1</t>
    <phoneticPr fontId="18"/>
  </si>
  <si>
    <t>上越火力（東北電力）</t>
  </si>
  <si>
    <t>2JOET1#2</t>
    <phoneticPr fontId="18"/>
  </si>
  <si>
    <t>2JOET1#3</t>
    <phoneticPr fontId="18"/>
  </si>
  <si>
    <t>2JOET1#4</t>
    <phoneticPr fontId="18"/>
  </si>
  <si>
    <t>松浦発電所（九州電力）</t>
    <rPh sb="6" eb="8">
      <t>キュウシュウ</t>
    </rPh>
    <rPh sb="8" eb="10">
      <t>デンリョク</t>
    </rPh>
    <phoneticPr fontId="18"/>
  </si>
  <si>
    <t>松浦火力発電所（電源開発）</t>
    <rPh sb="8" eb="10">
      <t>デンゲン</t>
    </rPh>
    <rPh sb="10" eb="12">
      <t>カイハツ</t>
    </rPh>
    <phoneticPr fontId="18"/>
  </si>
  <si>
    <t>三池火力発電所（IDI）</t>
    <rPh sb="0" eb="2">
      <t>ミイケ</t>
    </rPh>
    <rPh sb="2" eb="4">
      <t>カリョク</t>
    </rPh>
    <rPh sb="4" eb="6">
      <t>ハツデン</t>
    </rPh>
    <rPh sb="6" eb="7">
      <t>ショ</t>
    </rPh>
    <phoneticPr fontId="18"/>
  </si>
  <si>
    <t>日本製鉄大分製鉄所</t>
    <phoneticPr fontId="18"/>
  </si>
  <si>
    <t>日本製鉄八幡製鉄所</t>
    <phoneticPr fontId="18"/>
  </si>
  <si>
    <t>橘湾火力発電所（電源開発）</t>
    <rPh sb="8" eb="10">
      <t>デンゲン</t>
    </rPh>
    <rPh sb="10" eb="12">
      <t>カイハツ</t>
    </rPh>
    <phoneticPr fontId="18"/>
  </si>
  <si>
    <t>橘湾発電所（四国電力）</t>
    <rPh sb="6" eb="10">
      <t>シコクデンリョク</t>
    </rPh>
    <phoneticPr fontId="18"/>
  </si>
  <si>
    <t>富津火力発電所</t>
    <phoneticPr fontId="18"/>
  </si>
  <si>
    <t>川崎火力発電所</t>
    <phoneticPr fontId="18"/>
  </si>
  <si>
    <t>五井火力発電所</t>
    <phoneticPr fontId="18"/>
  </si>
  <si>
    <t>姉崎火力発電所</t>
    <phoneticPr fontId="18"/>
  </si>
  <si>
    <t>西条発電所</t>
    <phoneticPr fontId="18"/>
  </si>
  <si>
    <t>大王製紙三島工場</t>
    <phoneticPr fontId="18"/>
  </si>
  <si>
    <t>壬生川火力発電所</t>
    <phoneticPr fontId="18"/>
  </si>
  <si>
    <t>新居浜西火力発電所</t>
    <phoneticPr fontId="18"/>
  </si>
  <si>
    <t>土佐発電所</t>
    <phoneticPr fontId="18"/>
  </si>
  <si>
    <t>柳井発電所</t>
    <phoneticPr fontId="18"/>
  </si>
  <si>
    <t>ひびき天然ガス発電所</t>
    <phoneticPr fontId="18"/>
  </si>
  <si>
    <t>水島発電所</t>
    <phoneticPr fontId="18"/>
  </si>
  <si>
    <t>福山共同発電所</t>
    <phoneticPr fontId="18"/>
  </si>
  <si>
    <t>倉敷共同発電所</t>
    <phoneticPr fontId="18"/>
  </si>
  <si>
    <t>三隅発電所</t>
    <phoneticPr fontId="18"/>
  </si>
  <si>
    <t>竹原火力発電所</t>
    <phoneticPr fontId="18"/>
  </si>
  <si>
    <t>徳山製造所</t>
    <phoneticPr fontId="18"/>
  </si>
  <si>
    <t>ユービーイーパワーセンター発電所</t>
    <phoneticPr fontId="18"/>
  </si>
  <si>
    <t>泉北天然ガス発電所（大阪ガス）</t>
    <rPh sb="10" eb="12">
      <t>オオサカ</t>
    </rPh>
    <phoneticPr fontId="18"/>
  </si>
  <si>
    <t>酉島エネルギーセンター（大阪ガス）</t>
    <rPh sb="12" eb="14">
      <t>オオサカ</t>
    </rPh>
    <phoneticPr fontId="18"/>
  </si>
  <si>
    <t>姫路第一発電所</t>
    <phoneticPr fontId="18"/>
  </si>
  <si>
    <t>姫路第二発電所</t>
    <rPh sb="3" eb="4">
      <t>ニ</t>
    </rPh>
    <phoneticPr fontId="18"/>
  </si>
  <si>
    <t>舞鶴発電所</t>
  </si>
  <si>
    <t>堺港発電所</t>
    <phoneticPr fontId="18"/>
  </si>
  <si>
    <t>三菱日立パワーシステムズ高砂工場</t>
    <phoneticPr fontId="18"/>
  </si>
  <si>
    <t>勿来発電所</t>
    <phoneticPr fontId="18"/>
  </si>
  <si>
    <t>磯子火力発電所（電源開発）</t>
    <rPh sb="8" eb="10">
      <t>デンゲン</t>
    </rPh>
    <rPh sb="10" eb="12">
      <t>カイハツ</t>
    </rPh>
    <phoneticPr fontId="18"/>
  </si>
  <si>
    <t>広野火力発電所</t>
    <phoneticPr fontId="18"/>
  </si>
  <si>
    <t>鹿島火力発電所</t>
    <phoneticPr fontId="18"/>
  </si>
  <si>
    <t>戸畑共同火力発電所</t>
    <phoneticPr fontId="18"/>
  </si>
  <si>
    <t>苅田発電所</t>
    <phoneticPr fontId="18"/>
  </si>
  <si>
    <t>ひびき灘石炭・バイオマス発電所</t>
    <phoneticPr fontId="18"/>
  </si>
  <si>
    <t>千葉火力発電所</t>
    <phoneticPr fontId="18"/>
  </si>
  <si>
    <t>横浜火力発電所</t>
    <phoneticPr fontId="18"/>
  </si>
  <si>
    <t>品川火力発電所</t>
    <phoneticPr fontId="18"/>
  </si>
  <si>
    <t>新地発電所</t>
    <phoneticPr fontId="18"/>
  </si>
  <si>
    <t>福島天然ガス発電所</t>
    <phoneticPr fontId="18"/>
  </si>
  <si>
    <t>真岡発電所</t>
    <phoneticPr fontId="18"/>
  </si>
  <si>
    <t>川崎天然ガス発電</t>
    <phoneticPr fontId="18"/>
  </si>
  <si>
    <r>
      <t>JFE</t>
    </r>
    <r>
      <rPr>
        <sz val="10"/>
        <color theme="1"/>
        <rFont val="ＭＳ Ｐ明朝"/>
        <family val="1"/>
        <charset val="128"/>
      </rPr>
      <t>扇島火力発電所</t>
    </r>
    <phoneticPr fontId="18"/>
  </si>
  <si>
    <t>君津共同発電所</t>
    <phoneticPr fontId="18"/>
  </si>
  <si>
    <t>碧南火力発電所</t>
    <phoneticPr fontId="18"/>
  </si>
  <si>
    <t>武豊火力発電所</t>
    <phoneticPr fontId="18"/>
  </si>
  <si>
    <t>富山新港火力発電所</t>
    <phoneticPr fontId="18"/>
  </si>
  <si>
    <t>七尾大田火力発電所</t>
    <phoneticPr fontId="18"/>
  </si>
  <si>
    <t>敦賀火力発電所</t>
    <phoneticPr fontId="18"/>
  </si>
  <si>
    <t>中山名古屋共同発電名古屋発電所</t>
    <phoneticPr fontId="18"/>
  </si>
  <si>
    <t>明海発電豊橋発電所</t>
    <phoneticPr fontId="18"/>
  </si>
  <si>
    <t>能代火力発電所</t>
    <phoneticPr fontId="18"/>
  </si>
  <si>
    <t>八戸火力発電所</t>
    <phoneticPr fontId="18"/>
  </si>
  <si>
    <t>仙台火力発電所</t>
    <phoneticPr fontId="18"/>
  </si>
  <si>
    <t>新仙台火力発電所</t>
    <phoneticPr fontId="18"/>
  </si>
  <si>
    <t>東新潟火力発電所</t>
    <phoneticPr fontId="18"/>
  </si>
  <si>
    <t>新潟火力発電所</t>
    <phoneticPr fontId="18"/>
  </si>
  <si>
    <t>知内発電所</t>
    <phoneticPr fontId="18"/>
  </si>
  <si>
    <t>坂出発電所</t>
    <phoneticPr fontId="18"/>
  </si>
  <si>
    <t>苫東厚真発電所</t>
    <phoneticPr fontId="18"/>
  </si>
  <si>
    <t>原町火力発電所</t>
    <phoneticPr fontId="18"/>
  </si>
  <si>
    <t>糸魚川発電所</t>
    <phoneticPr fontId="18"/>
  </si>
  <si>
    <t>フロンティアエネルギー新潟発電所</t>
    <phoneticPr fontId="18"/>
  </si>
  <si>
    <r>
      <t>JXTG</t>
    </r>
    <r>
      <rPr>
        <sz val="10"/>
        <color theme="1"/>
        <rFont val="ＭＳ Ｐ明朝"/>
        <family val="1"/>
        <charset val="128"/>
      </rPr>
      <t>エネルギー仙台製油所</t>
    </r>
    <phoneticPr fontId="18"/>
  </si>
  <si>
    <t>東亜石油水江発電所</t>
    <phoneticPr fontId="18"/>
  </si>
  <si>
    <t>サミット小名浜エスパワー小名浜発電所</t>
    <phoneticPr fontId="18"/>
  </si>
  <si>
    <t>昭和電工川崎事業所</t>
    <phoneticPr fontId="18"/>
  </si>
  <si>
    <t>日立造船茨城発電所</t>
    <phoneticPr fontId="18"/>
  </si>
  <si>
    <t>大分共同発電所</t>
    <phoneticPr fontId="18"/>
  </si>
  <si>
    <t>関西国際空港エネルギーセンター</t>
    <phoneticPr fontId="18"/>
  </si>
  <si>
    <t>南港発電所</t>
    <phoneticPr fontId="18"/>
  </si>
  <si>
    <t>和歌山発電所</t>
    <phoneticPr fontId="18"/>
  </si>
  <si>
    <t>秋田港発電所</t>
    <rPh sb="0" eb="2">
      <t>アキタ</t>
    </rPh>
    <rPh sb="2" eb="3">
      <t>コウ</t>
    </rPh>
    <rPh sb="3" eb="5">
      <t>ハツデン</t>
    </rPh>
    <rPh sb="5" eb="6">
      <t>ショ</t>
    </rPh>
    <phoneticPr fontId="18"/>
  </si>
  <si>
    <t>秋田港発電所</t>
    <phoneticPr fontId="18"/>
  </si>
  <si>
    <t>日本製鉄鹿島火力発電所</t>
    <phoneticPr fontId="18"/>
  </si>
  <si>
    <t>常陸那珂火力発電所</t>
    <phoneticPr fontId="18"/>
  </si>
  <si>
    <t>横須賀火力発電所</t>
    <phoneticPr fontId="18"/>
  </si>
  <si>
    <t>日本製紙富士工場</t>
    <phoneticPr fontId="18"/>
  </si>
  <si>
    <r>
      <t>JFE</t>
    </r>
    <r>
      <rPr>
        <sz val="10"/>
        <color theme="1"/>
        <rFont val="ＭＳ Ｐ明朝"/>
        <family val="1"/>
        <charset val="128"/>
      </rPr>
      <t>スチール東日本製鉄所</t>
    </r>
    <phoneticPr fontId="18"/>
  </si>
  <si>
    <r>
      <t>JFE</t>
    </r>
    <r>
      <rPr>
        <sz val="10"/>
        <color theme="1"/>
        <rFont val="ＭＳ Ｐ明朝"/>
        <family val="1"/>
        <charset val="128"/>
      </rPr>
      <t>千葉西発電所</t>
    </r>
    <phoneticPr fontId="18"/>
  </si>
  <si>
    <t>神戸発電所</t>
    <phoneticPr fontId="18"/>
  </si>
  <si>
    <t>日本製鉄広畑製鉄所</t>
    <phoneticPr fontId="18"/>
  </si>
  <si>
    <t>王子製紙富岡工場</t>
    <rPh sb="0" eb="2">
      <t>オウジ</t>
    </rPh>
    <rPh sb="2" eb="4">
      <t>セイシ</t>
    </rPh>
    <rPh sb="4" eb="6">
      <t>トミオカ</t>
    </rPh>
    <rPh sb="6" eb="8">
      <t>コウジョウ</t>
    </rPh>
    <phoneticPr fontId="18"/>
  </si>
  <si>
    <t>丸住製紙大江工場</t>
    <rPh sb="0" eb="1">
      <t>マル</t>
    </rPh>
    <rPh sb="1" eb="2">
      <t>ジュウ</t>
    </rPh>
    <rPh sb="2" eb="4">
      <t>セイシ</t>
    </rPh>
    <rPh sb="4" eb="6">
      <t>オオエ</t>
    </rPh>
    <rPh sb="6" eb="8">
      <t>コウジョウ</t>
    </rPh>
    <phoneticPr fontId="18"/>
  </si>
  <si>
    <t>新小野田発電所</t>
    <phoneticPr fontId="18"/>
  </si>
  <si>
    <t>日本製紙岩国工場</t>
    <phoneticPr fontId="18"/>
  </si>
  <si>
    <r>
      <t>JXTG</t>
    </r>
    <r>
      <rPr>
        <sz val="10"/>
        <color theme="1"/>
        <rFont val="ＭＳ Ｐ明朝"/>
        <family val="1"/>
        <charset val="128"/>
      </rPr>
      <t>エネルギー麻里布製油所</t>
    </r>
    <phoneticPr fontId="18"/>
  </si>
  <si>
    <t>住友大阪セメント高知工場</t>
    <phoneticPr fontId="18"/>
  </si>
  <si>
    <t>太平洋セメント株式会社土佐工場</t>
    <phoneticPr fontId="18"/>
  </si>
  <si>
    <t>新居浜北火力発電所</t>
    <rPh sb="0" eb="3">
      <t>ニイハマ</t>
    </rPh>
    <rPh sb="3" eb="4">
      <t>キタ</t>
    </rPh>
    <rPh sb="4" eb="6">
      <t>カリョク</t>
    </rPh>
    <rPh sb="6" eb="8">
      <t>ハツデン</t>
    </rPh>
    <rPh sb="8" eb="9">
      <t>ショ</t>
    </rPh>
    <phoneticPr fontId="18"/>
  </si>
  <si>
    <t>横須賀パワーステーション</t>
    <phoneticPr fontId="18"/>
  </si>
  <si>
    <t>三菱マテリアル九州工場</t>
    <rPh sb="0" eb="2">
      <t>ミツビシ</t>
    </rPh>
    <rPh sb="7" eb="9">
      <t>キュウシュウ</t>
    </rPh>
    <rPh sb="9" eb="11">
      <t>コウジョウ</t>
    </rPh>
    <phoneticPr fontId="18"/>
  </si>
  <si>
    <t>日本製鉄室蘭製鉄所</t>
    <phoneticPr fontId="18"/>
  </si>
  <si>
    <t>日本製紙釧路工場</t>
    <phoneticPr fontId="18"/>
  </si>
  <si>
    <t>日本製鉄釜石製鉄所</t>
    <phoneticPr fontId="18"/>
  </si>
  <si>
    <t>石巻雲雀野発電所</t>
    <phoneticPr fontId="18"/>
  </si>
  <si>
    <t>日本製紙石巻工場</t>
    <phoneticPr fontId="18"/>
  </si>
  <si>
    <t>相馬石炭・バイオマス発電所</t>
    <phoneticPr fontId="18"/>
  </si>
  <si>
    <t>千葉袖ケ浦パワー</t>
    <phoneticPr fontId="18"/>
  </si>
  <si>
    <t>川越火力発電所（三重県）</t>
    <rPh sb="8" eb="11">
      <t>ミエケン</t>
    </rPh>
    <phoneticPr fontId="18"/>
  </si>
  <si>
    <t>9AD_LNG</t>
  </si>
  <si>
    <t>8AD_LNG</t>
  </si>
  <si>
    <t>7AD_LNG</t>
  </si>
  <si>
    <t>6AD_LNG</t>
  </si>
  <si>
    <t>4AD_LNG</t>
  </si>
  <si>
    <t>3AD_LNG</t>
  </si>
  <si>
    <t>柏崎</t>
    <phoneticPr fontId="18"/>
  </si>
  <si>
    <t>川越</t>
  </si>
  <si>
    <t>富山</t>
    <rPh sb="0" eb="2">
      <t>トヤマ</t>
    </rPh>
    <phoneticPr fontId="18"/>
  </si>
  <si>
    <t>姫路</t>
    <rPh sb="0" eb="2">
      <t>ヒメジ</t>
    </rPh>
    <phoneticPr fontId="18"/>
  </si>
  <si>
    <t>舞鶴</t>
    <phoneticPr fontId="18"/>
  </si>
  <si>
    <t>橘湾</t>
    <rPh sb="0" eb="1">
      <t>タチバナ</t>
    </rPh>
    <rPh sb="1" eb="2">
      <t>ワン</t>
    </rPh>
    <phoneticPr fontId="18"/>
  </si>
  <si>
    <t>柳井</t>
    <phoneticPr fontId="18"/>
  </si>
  <si>
    <t>大分</t>
    <rPh sb="0" eb="2">
      <t>オオイタ</t>
    </rPh>
    <phoneticPr fontId="18"/>
  </si>
  <si>
    <t>2AD_LNG</t>
  </si>
  <si>
    <t>上越</t>
    <rPh sb="0" eb="2">
      <t>ジョウエツ</t>
    </rPh>
    <phoneticPr fontId="18"/>
  </si>
  <si>
    <t>1AD_LNG</t>
  </si>
  <si>
    <t>苫東</t>
    <phoneticPr fontId="18"/>
  </si>
  <si>
    <t>八代</t>
    <rPh sb="0" eb="2">
      <t>ヤツシロ</t>
    </rPh>
    <phoneticPr fontId="18"/>
  </si>
  <si>
    <t>佐世保</t>
    <rPh sb="0" eb="3">
      <t>サセボ</t>
    </rPh>
    <phoneticPr fontId="18"/>
  </si>
  <si>
    <t>玄海</t>
  </si>
  <si>
    <t>玄海</t>
    <phoneticPr fontId="18"/>
  </si>
  <si>
    <t>玄海</t>
    <rPh sb="0" eb="2">
      <t>ゲンカイ</t>
    </rPh>
    <phoneticPr fontId="18"/>
  </si>
  <si>
    <t>福島</t>
    <phoneticPr fontId="18"/>
  </si>
  <si>
    <t>福島</t>
    <rPh sb="0" eb="2">
      <t>フクシマ</t>
    </rPh>
    <phoneticPr fontId="18"/>
  </si>
  <si>
    <t>浜岡</t>
    <phoneticPr fontId="18"/>
  </si>
  <si>
    <t>碧南</t>
    <phoneticPr fontId="18"/>
  </si>
  <si>
    <t>三隅</t>
    <phoneticPr fontId="18"/>
  </si>
  <si>
    <t>三隅</t>
    <rPh sb="0" eb="2">
      <t>ミスミ</t>
    </rPh>
    <phoneticPr fontId="18"/>
  </si>
  <si>
    <t>福山</t>
    <phoneticPr fontId="18"/>
  </si>
  <si>
    <t>LFC rate</t>
    <phoneticPr fontId="18"/>
  </si>
  <si>
    <t>Heat Rate [Mcal/kWh]</t>
    <phoneticPr fontId="18"/>
  </si>
  <si>
    <t>Heat Rate(Minimum load)[Mcal/kWh]</t>
    <phoneticPr fontId="18"/>
  </si>
  <si>
    <t>SENDAI</t>
    <phoneticPr fontId="18"/>
  </si>
  <si>
    <t>川内原子力発電所</t>
    <rPh sb="0" eb="2">
      <t>センダイ</t>
    </rPh>
    <rPh sb="2" eb="5">
      <t>ゲンシリョク</t>
    </rPh>
    <rPh sb="5" eb="7">
      <t>ハツデン</t>
    </rPh>
    <rPh sb="7" eb="8">
      <t>ショ</t>
    </rPh>
    <phoneticPr fontId="18"/>
  </si>
  <si>
    <t>高浜原子力発電所</t>
    <rPh sb="0" eb="2">
      <t>タカハマ</t>
    </rPh>
    <rPh sb="2" eb="5">
      <t>ゲンシリョク</t>
    </rPh>
    <rPh sb="5" eb="7">
      <t>ハツデン</t>
    </rPh>
    <rPh sb="7" eb="8">
      <t>ショ</t>
    </rPh>
    <phoneticPr fontId="18"/>
  </si>
  <si>
    <t>1TOMARI1</t>
    <phoneticPr fontId="18"/>
  </si>
  <si>
    <t>4HAMAO3</t>
    <phoneticPr fontId="18"/>
  </si>
  <si>
    <t>TAKAHAMA1</t>
    <phoneticPr fontId="18"/>
  </si>
  <si>
    <t>TAKAHAMA2</t>
  </si>
  <si>
    <t>TAKAHAMA3</t>
  </si>
  <si>
    <t>TAKAHAMA4</t>
  </si>
  <si>
    <t>7SHIMA2</t>
    <phoneticPr fontId="18"/>
  </si>
  <si>
    <t>Heat Content[Mcal/specific unit]</t>
    <phoneticPr fontId="18"/>
  </si>
  <si>
    <t>msb</t>
  </si>
  <si>
    <t>akt</t>
  </si>
  <si>
    <t>nsr</t>
  </si>
  <si>
    <t>sfu</t>
  </si>
  <si>
    <t>sma</t>
  </si>
  <si>
    <t>ism</t>
  </si>
  <si>
    <t>sdi</t>
  </si>
  <si>
    <t>mzs</t>
  </si>
  <si>
    <t>hje</t>
  </si>
  <si>
    <t>siw</t>
  </si>
  <si>
    <t>sky</t>
  </si>
  <si>
    <t>ksm</t>
  </si>
  <si>
    <t>nyo</t>
  </si>
  <si>
    <t>nka</t>
  </si>
  <si>
    <t>keh</t>
  </si>
  <si>
    <t>kge</t>
  </si>
  <si>
    <t>kou</t>
  </si>
  <si>
    <t>thr</t>
  </si>
  <si>
    <t>nnj</t>
  </si>
  <si>
    <t>nnt</t>
  </si>
  <si>
    <t>ayb</t>
  </si>
  <si>
    <t>noa</t>
  </si>
  <si>
    <t>nba</t>
  </si>
  <si>
    <t>hmj</t>
  </si>
  <si>
    <t>njo</t>
  </si>
  <si>
    <t>ana</t>
  </si>
  <si>
    <t>kuc</t>
  </si>
  <si>
    <t>msm</t>
  </si>
  <si>
    <t>ssn</t>
  </si>
  <si>
    <t>ymg</t>
  </si>
  <si>
    <t>shm</t>
  </si>
  <si>
    <t>sty</t>
  </si>
  <si>
    <t>hrs</t>
  </si>
  <si>
    <t>hmg</t>
  </si>
  <si>
    <t>ssb</t>
  </si>
  <si>
    <t>ysr</t>
  </si>
  <si>
    <t>ooi</t>
  </si>
  <si>
    <t>kky</t>
  </si>
  <si>
    <t>knd</t>
  </si>
  <si>
    <t>nab</t>
  </si>
  <si>
    <t>hsd</t>
  </si>
  <si>
    <t>ngt</t>
  </si>
  <si>
    <t>kni</t>
  </si>
  <si>
    <t>bsu</t>
  </si>
  <si>
    <t>kws</t>
  </si>
  <si>
    <t>ksz</t>
  </si>
  <si>
    <t>sts</t>
  </si>
  <si>
    <t>kbo</t>
  </si>
  <si>
    <t>ngm</t>
  </si>
  <si>
    <t>nng</t>
  </si>
  <si>
    <t>sks</t>
  </si>
  <si>
    <t>hmo</t>
  </si>
  <si>
    <t>sto</t>
  </si>
  <si>
    <t>kbe</t>
  </si>
  <si>
    <t>knn</t>
  </si>
  <si>
    <t>sgi</t>
  </si>
  <si>
    <t>san</t>
  </si>
  <si>
    <t>kgw</t>
  </si>
  <si>
    <t>tuy</t>
  </si>
  <si>
    <t>kso</t>
  </si>
  <si>
    <t>onm</t>
  </si>
  <si>
    <t>sym</t>
  </si>
  <si>
    <t>mya</t>
  </si>
  <si>
    <t>ksy</t>
  </si>
  <si>
    <t>nno</t>
  </si>
  <si>
    <t>uwk</t>
  </si>
  <si>
    <t>ryn</t>
  </si>
  <si>
    <t>kwu</t>
  </si>
  <si>
    <t>kme</t>
  </si>
  <si>
    <t>kgs</t>
  </si>
  <si>
    <t>oon</t>
  </si>
  <si>
    <t>nmr</t>
  </si>
  <si>
    <t>stg</t>
  </si>
  <si>
    <t>tta</t>
  </si>
  <si>
    <t>kzk</t>
    <phoneticPr fontId="18"/>
  </si>
  <si>
    <t>mdk</t>
    <phoneticPr fontId="18"/>
  </si>
  <si>
    <t>Synchronous Inertia [s]</t>
    <phoneticPr fontId="18"/>
  </si>
  <si>
    <t>CCS flag (1:installable 0:not)</t>
    <phoneticPr fontId="18"/>
  </si>
  <si>
    <t>Carbon Capture Life Time [year]</t>
    <phoneticPr fontId="18"/>
  </si>
  <si>
    <r>
      <t xml:space="preserve">CCS </t>
    </r>
    <r>
      <rPr>
        <sz val="11"/>
        <color theme="1"/>
        <rFont val="ＭＳ Ｐ明朝"/>
        <family val="1"/>
        <charset val="128"/>
      </rPr>
      <t>諸元</t>
    </r>
    <rPh sb="4" eb="6">
      <t>ショゲン</t>
    </rPh>
    <phoneticPr fontId="18"/>
  </si>
  <si>
    <t>co2 intensity [kg/unit]</t>
    <phoneticPr fontId="18"/>
  </si>
  <si>
    <t>heat content[Mcal/unit]</t>
    <phoneticPr fontId="18"/>
  </si>
  <si>
    <t xml:space="preserve">Carbon Capture Construction Cost [kyen/(t-CO2/year)] </t>
    <phoneticPr fontId="18"/>
  </si>
  <si>
    <t>Electricity Consumption with CCS [kWh/t]</t>
    <phoneticPr fontId="18"/>
  </si>
  <si>
    <t>Mt-CO2/ktoe</t>
    <phoneticPr fontId="18"/>
  </si>
  <si>
    <t>cal</t>
  </si>
  <si>
    <t>J</t>
  </si>
  <si>
    <t>Btu</t>
  </si>
  <si>
    <t>MMBtu</t>
  </si>
  <si>
    <t>GJ</t>
  </si>
  <si>
    <t>Mcal</t>
  </si>
  <si>
    <t>ktoe</t>
  </si>
  <si>
    <t>toe</t>
  </si>
  <si>
    <t>1.00382.E+07</t>
  </si>
  <si>
    <t>kt-CO2/Mcal*(Mcal/ktoe)</t>
    <phoneticPr fontId="18"/>
  </si>
  <si>
    <t>水素専焼</t>
    <rPh sb="0" eb="2">
      <t>スイソ</t>
    </rPh>
    <rPh sb="2" eb="4">
      <t>センショウ</t>
    </rPh>
    <phoneticPr fontId="18"/>
  </si>
  <si>
    <t>水素混焼(30vol%)</t>
    <rPh sb="0" eb="2">
      <t>スイソ</t>
    </rPh>
    <rPh sb="2" eb="4">
      <t>コンショウ</t>
    </rPh>
    <phoneticPr fontId="18"/>
  </si>
  <si>
    <t>アンモニア混焼(熱量比20%)</t>
    <rPh sb="5" eb="7">
      <t>コンショウ</t>
    </rPh>
    <rPh sb="8" eb="10">
      <t>ネツリョウ</t>
    </rPh>
    <rPh sb="10" eb="11">
      <t>ヒ</t>
    </rPh>
    <phoneticPr fontId="18"/>
  </si>
  <si>
    <t>Maximum CO2 flow[Mt-CO2/year]</t>
    <phoneticPr fontId="18"/>
  </si>
  <si>
    <t>coal</t>
    <phoneticPr fontId="18"/>
  </si>
  <si>
    <t>LNG</t>
    <phoneticPr fontId="18"/>
  </si>
  <si>
    <t>Nuclear</t>
    <phoneticPr fontId="18"/>
  </si>
  <si>
    <t>Oil</t>
    <phoneticPr fontId="18"/>
  </si>
  <si>
    <t>kg</t>
    <phoneticPr fontId="18"/>
  </si>
  <si>
    <r>
      <t>NH3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>Fuel Cost(yen/kg)</t>
    </r>
    <phoneticPr fontId="18"/>
  </si>
  <si>
    <t>H2_30%</t>
    <phoneticPr fontId="18"/>
  </si>
  <si>
    <t>H2_100%</t>
    <phoneticPr fontId="18"/>
  </si>
  <si>
    <t>Exiciting Unit Parameter(for mixed fuel)</t>
    <phoneticPr fontId="18"/>
  </si>
  <si>
    <t>https://www.meti.go.jp/press/2020/05/20200515002/20200515002-1.pdf</t>
    <phoneticPr fontId="18"/>
  </si>
  <si>
    <t>https://criepi.denken.or.jp/hokokusho/pb/reportDownload?reportNoUkCode=M20002&amp;tenpuTypeCode=30&amp;seqNo=1&amp;reportId=9011</t>
    <phoneticPr fontId="18"/>
  </si>
  <si>
    <t>アンモニア混焼(熱量比50%)</t>
    <rPh sb="5" eb="7">
      <t>コンショウ</t>
    </rPh>
    <rPh sb="8" eb="10">
      <t>ネツリョウ</t>
    </rPh>
    <rPh sb="10" eb="11">
      <t>ヒ</t>
    </rPh>
    <phoneticPr fontId="18"/>
  </si>
  <si>
    <t>NH3_20%</t>
    <phoneticPr fontId="18"/>
  </si>
  <si>
    <t>NH3_50%</t>
    <phoneticPr fontId="18"/>
  </si>
  <si>
    <t>Coal-NH3_20%</t>
  </si>
  <si>
    <t>Coal-NH3_50%</t>
    <phoneticPr fontId="18"/>
  </si>
  <si>
    <r>
      <t>NH3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>Fuel Cost(yen/GWh)</t>
    </r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</si>
</sst>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0.E+00"/>
  </numFmts>
  <fonts count="32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1"/>
    </font>
    <font>
      <sz val="11"/>
      <name val="ＭＳ Ｐゴシック"/>
      <family val="3"/>
      <charset val="128"/>
    </font>
    <font>
      <sz val="11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1"/>
      <name val="ＭＳ Ｐゴシック"/>
      <family val="2"/>
      <charset val="128"/>
      <scheme val="minor"/>
    </font>
    <font>
      <vertAlign val="subscript"/>
      <sz val="11"/>
      <color theme="1"/>
      <name val="Times New Roman"/>
      <family val="1"/>
    </font>
    <font>
      <sz val="1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Times New Roman"/>
      <family val="1"/>
    </font>
    <font>
      <u/>
      <sz val="11"/>
      <color theme="10"/>
      <name val="ＭＳ Ｐゴシック"/>
      <family val="2"/>
      <charset val="128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>
      <alignment vertical="center"/>
    </xf>
    <xf numFmtId="0" fontId="21" fillId="0" borderId="24" xfId="0" applyFont="1" applyBorder="1">
      <alignment vertical="center"/>
    </xf>
    <xf numFmtId="0" fontId="21" fillId="34" borderId="10" xfId="42" applyFont="1" applyFill="1" applyBorder="1" applyAlignment="1"/>
    <xf numFmtId="0" fontId="21" fillId="34" borderId="10" xfId="0" applyFont="1" applyFill="1" applyBorder="1">
      <alignment vertical="center"/>
    </xf>
    <xf numFmtId="0" fontId="23" fillId="34" borderId="10" xfId="47" applyFont="1" applyFill="1" applyBorder="1">
      <alignment vertical="center"/>
    </xf>
    <xf numFmtId="0" fontId="21" fillId="0" borderId="26" xfId="0" applyFont="1" applyBorder="1" applyAlignment="1">
      <alignment horizontal="center" vertical="center"/>
    </xf>
    <xf numFmtId="0" fontId="21" fillId="33" borderId="22" xfId="0" applyFont="1" applyFill="1" applyBorder="1">
      <alignment vertical="center"/>
    </xf>
    <xf numFmtId="0" fontId="21" fillId="0" borderId="26" xfId="0" applyFont="1" applyFill="1" applyBorder="1" applyAlignment="1">
      <alignment horizontal="center" vertical="center"/>
    </xf>
    <xf numFmtId="0" fontId="21" fillId="33" borderId="20" xfId="0" applyFont="1" applyFill="1" applyBorder="1">
      <alignment vertical="center"/>
    </xf>
    <xf numFmtId="0" fontId="21" fillId="33" borderId="21" xfId="0" applyFont="1" applyFill="1" applyBorder="1">
      <alignment vertical="center"/>
    </xf>
    <xf numFmtId="16" fontId="21" fillId="0" borderId="28" xfId="0" applyNumberFormat="1" applyFont="1" applyBorder="1">
      <alignment vertical="center"/>
    </xf>
    <xf numFmtId="0" fontId="21" fillId="34" borderId="17" xfId="42" applyFont="1" applyFill="1" applyBorder="1" applyAlignment="1"/>
    <xf numFmtId="0" fontId="21" fillId="34" borderId="17" xfId="0" applyFont="1" applyFill="1" applyBorder="1">
      <alignment vertical="center"/>
    </xf>
    <xf numFmtId="16" fontId="21" fillId="0" borderId="11" xfId="0" applyNumberFormat="1" applyFont="1" applyBorder="1">
      <alignment vertical="center"/>
    </xf>
    <xf numFmtId="16" fontId="21" fillId="0" borderId="13" xfId="0" applyNumberFormat="1" applyFont="1" applyBorder="1">
      <alignment vertical="center"/>
    </xf>
    <xf numFmtId="0" fontId="23" fillId="34" borderId="15" xfId="47" applyFont="1" applyFill="1" applyBorder="1">
      <alignment vertical="center"/>
    </xf>
    <xf numFmtId="0" fontId="21" fillId="34" borderId="15" xfId="0" applyFont="1" applyFill="1" applyBorder="1">
      <alignment vertical="center"/>
    </xf>
    <xf numFmtId="0" fontId="21" fillId="0" borderId="17" xfId="0" applyFont="1" applyBorder="1">
      <alignment vertical="center"/>
    </xf>
    <xf numFmtId="0" fontId="21" fillId="0" borderId="18" xfId="0" applyFont="1" applyBorder="1">
      <alignment vertical="center"/>
    </xf>
    <xf numFmtId="0" fontId="21" fillId="0" borderId="10" xfId="0" applyFont="1" applyBorder="1">
      <alignment vertical="center"/>
    </xf>
    <xf numFmtId="0" fontId="21" fillId="0" borderId="12" xfId="0" applyFont="1" applyBorder="1">
      <alignment vertical="center"/>
    </xf>
    <xf numFmtId="0" fontId="21" fillId="0" borderId="15" xfId="0" applyFont="1" applyBorder="1">
      <alignment vertical="center"/>
    </xf>
    <xf numFmtId="0" fontId="21" fillId="0" borderId="14" xfId="0" applyFont="1" applyBorder="1">
      <alignment vertical="center"/>
    </xf>
    <xf numFmtId="0" fontId="21" fillId="0" borderId="10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4" fillId="0" borderId="10" xfId="0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25" fillId="0" borderId="0" xfId="0" applyFont="1" applyFill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/>
    </xf>
    <xf numFmtId="0" fontId="21" fillId="0" borderId="30" xfId="0" applyFont="1" applyFill="1" applyBorder="1" applyAlignment="1">
      <alignment horizontal="center" vertical="center" wrapText="1"/>
    </xf>
    <xf numFmtId="0" fontId="21" fillId="0" borderId="30" xfId="0" applyFont="1" applyFill="1" applyBorder="1" applyAlignment="1">
      <alignment horizontal="center" vertical="center"/>
    </xf>
    <xf numFmtId="0" fontId="0" fillId="35" borderId="0" xfId="0" applyFill="1">
      <alignment vertical="center"/>
    </xf>
    <xf numFmtId="0" fontId="21" fillId="0" borderId="31" xfId="0" applyFont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1" xfId="0" applyFont="1" applyBorder="1">
      <alignment vertical="center"/>
    </xf>
    <xf numFmtId="0" fontId="21" fillId="36" borderId="10" xfId="0" applyFont="1" applyFill="1" applyBorder="1" applyAlignment="1">
      <alignment horizontal="center" vertical="center"/>
    </xf>
    <xf numFmtId="0" fontId="21" fillId="35" borderId="10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4" fillId="35" borderId="10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35" borderId="12" xfId="0" applyFont="1" applyFill="1" applyBorder="1" applyAlignment="1">
      <alignment horizontal="center" vertical="center"/>
    </xf>
    <xf numFmtId="0" fontId="21" fillId="0" borderId="34" xfId="0" applyFont="1" applyFill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3" xfId="0" applyFont="1" applyBorder="1">
      <alignment vertical="center"/>
    </xf>
    <xf numFmtId="0" fontId="29" fillId="0" borderId="0" xfId="0" applyFont="1">
      <alignment vertical="center"/>
    </xf>
    <xf numFmtId="0" fontId="30" fillId="0" borderId="0" xfId="0" applyFont="1">
      <alignment vertical="center"/>
    </xf>
    <xf numFmtId="0" fontId="30" fillId="37" borderId="10" xfId="0" applyFont="1" applyFill="1" applyBorder="1">
      <alignment vertical="center"/>
    </xf>
    <xf numFmtId="0" fontId="30" fillId="37" borderId="30" xfId="0" applyFont="1" applyFill="1" applyBorder="1">
      <alignment vertical="center"/>
    </xf>
    <xf numFmtId="0" fontId="30" fillId="37" borderId="36" xfId="0" applyFont="1" applyFill="1" applyBorder="1">
      <alignment vertical="center"/>
    </xf>
    <xf numFmtId="0" fontId="30" fillId="37" borderId="37" xfId="0" applyFont="1" applyFill="1" applyBorder="1">
      <alignment vertical="center"/>
    </xf>
    <xf numFmtId="176" fontId="30" fillId="37" borderId="37" xfId="0" applyNumberFormat="1" applyFont="1" applyFill="1" applyBorder="1">
      <alignment vertical="center"/>
    </xf>
    <xf numFmtId="0" fontId="30" fillId="0" borderId="0" xfId="0" applyNumberFormat="1" applyFont="1">
      <alignment vertical="center"/>
    </xf>
    <xf numFmtId="0" fontId="21" fillId="38" borderId="27" xfId="0" applyFont="1" applyFill="1" applyBorder="1" applyAlignment="1">
      <alignment horizontal="left" vertical="center"/>
    </xf>
    <xf numFmtId="0" fontId="21" fillId="39" borderId="27" xfId="0" applyFont="1" applyFill="1" applyBorder="1" applyAlignment="1">
      <alignment horizontal="left" vertical="center"/>
    </xf>
    <xf numFmtId="0" fontId="21" fillId="40" borderId="27" xfId="0" applyFont="1" applyFill="1" applyBorder="1" applyAlignment="1">
      <alignment horizontal="left" vertical="center"/>
    </xf>
    <xf numFmtId="0" fontId="21" fillId="41" borderId="27" xfId="0" applyFont="1" applyFill="1" applyBorder="1" applyAlignment="1">
      <alignment horizontal="left" vertical="center"/>
    </xf>
    <xf numFmtId="0" fontId="21" fillId="0" borderId="0" xfId="0" applyFont="1" applyFill="1">
      <alignment vertical="center"/>
    </xf>
    <xf numFmtId="0" fontId="21" fillId="0" borderId="0" xfId="0" applyFont="1" applyFill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>
      <alignment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0" fontId="21" fillId="35" borderId="29" xfId="0" applyFont="1" applyFill="1" applyBorder="1" applyAlignment="1">
      <alignment horizontal="center" vertical="center"/>
    </xf>
    <xf numFmtId="0" fontId="31" fillId="0" borderId="0" xfId="48">
      <alignment vertical="center"/>
    </xf>
    <xf numFmtId="0" fontId="21" fillId="0" borderId="25" xfId="0" applyFont="1" applyBorder="1" applyAlignment="1">
      <alignment horizontal="center" vertical="center"/>
    </xf>
  </cellXfs>
  <cellStyles count="49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8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 2" xfId="4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/>
    <cellStyle name="標準 2 2" xfId="43"/>
    <cellStyle name="標準 2 3" xfId="45"/>
    <cellStyle name="標準 3" xfId="44"/>
    <cellStyle name="標準_para" xfId="47"/>
    <cellStyle name="良い" xfId="6" builtinId="26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Data_S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criepi.denken.or.jp/hokokusho/pb/reportDownload?reportNoUkCode=M20002&amp;tenpuTypeCode=30&amp;seqNo=1&amp;reportId=9011" TargetMode="External"/><Relationship Id="rId1" Type="http://schemas.openxmlformats.org/officeDocument/2006/relationships/hyperlink" Target="https://www.meti.go.jp/press/2020/05/20200515002/20200515002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528"/>
  <sheetViews>
    <sheetView tabSelected="1" zoomScale="85" zoomScaleNormal="85" workbookViewId="0">
      <pane ySplit="1" topLeftCell="A38" activePane="bottomLeft" state="frozen"/>
      <selection pane="bottomLeft" activeCell="C49" sqref="C49"/>
    </sheetView>
  </sheetViews>
  <sheetFormatPr defaultColWidth="9" defaultRowHeight="15" x14ac:dyDescent="0.15"/>
  <cols>
    <col min="1" max="2" width="9" style="41"/>
    <col min="3" max="3" width="9" style="44"/>
    <col min="4" max="4" width="10.5" style="44" customWidth="1"/>
    <col min="5" max="5" width="14.625" style="45" customWidth="1"/>
    <col min="6" max="6" width="26" style="45" customWidth="1"/>
    <col min="7" max="7" width="9" style="44"/>
    <col min="8" max="8" width="9" style="41"/>
    <col min="9" max="9" width="9" style="44"/>
    <col min="10" max="14" width="9" style="41"/>
    <col min="15" max="15" width="10.625" style="46" customWidth="1"/>
    <col min="16" max="18" width="11.875" style="41" customWidth="1"/>
    <col min="19" max="29" width="9" style="41"/>
    <col min="30" max="30" width="8.875"/>
    <col min="31" max="31" width="9" style="41"/>
    <col min="32" max="35" width="8.875" customWidth="1"/>
    <col min="36" max="16384" width="9" style="41"/>
  </cols>
  <sheetData>
    <row r="1" spans="1:42" ht="46.5" customHeight="1" x14ac:dyDescent="0.15">
      <c r="C1" s="1" t="s">
        <v>12</v>
      </c>
      <c r="D1" s="1" t="s">
        <v>0</v>
      </c>
      <c r="E1" s="11" t="s">
        <v>49</v>
      </c>
      <c r="F1" s="11"/>
      <c r="G1" s="40" t="s">
        <v>13</v>
      </c>
      <c r="H1" s="40" t="s">
        <v>7</v>
      </c>
      <c r="I1" s="40" t="s">
        <v>17</v>
      </c>
      <c r="J1" s="40" t="s">
        <v>8</v>
      </c>
      <c r="K1" s="40" t="s">
        <v>569</v>
      </c>
      <c r="L1" s="40" t="s">
        <v>568</v>
      </c>
      <c r="M1" s="48" t="s">
        <v>679</v>
      </c>
      <c r="N1" s="48" t="s">
        <v>20</v>
      </c>
      <c r="O1" s="40" t="s">
        <v>48</v>
      </c>
      <c r="P1" s="50" t="s">
        <v>567</v>
      </c>
      <c r="Q1" s="50" t="s">
        <v>657</v>
      </c>
      <c r="R1" s="50" t="s">
        <v>658</v>
      </c>
      <c r="S1" s="40" t="s">
        <v>18</v>
      </c>
      <c r="T1" s="40" t="s">
        <v>19</v>
      </c>
      <c r="U1" s="92" t="s">
        <v>688</v>
      </c>
      <c r="W1" t="s">
        <v>334</v>
      </c>
      <c r="X1"/>
      <c r="Y1" t="s">
        <v>333</v>
      </c>
      <c r="Z1" t="s">
        <v>331</v>
      </c>
      <c r="AA1" t="s">
        <v>332</v>
      </c>
      <c r="AB1" t="s">
        <v>335</v>
      </c>
      <c r="AC1" t="s">
        <v>336</v>
      </c>
      <c r="AD1" t="s">
        <v>338</v>
      </c>
      <c r="AE1" s="41" t="s">
        <v>337</v>
      </c>
      <c r="AI1" t="s">
        <v>661</v>
      </c>
      <c r="AJ1" s="41" t="s">
        <v>662</v>
      </c>
      <c r="AO1" s="40" t="s">
        <v>18</v>
      </c>
      <c r="AP1" s="40" t="s">
        <v>19</v>
      </c>
    </row>
    <row r="2" spans="1:42" x14ac:dyDescent="0.15">
      <c r="A2" s="43">
        <f>ROWS(PN)</f>
        <v>1392</v>
      </c>
      <c r="B2" s="43" t="s">
        <v>581</v>
      </c>
      <c r="C2" s="61">
        <f>VLOOKUP(B2,[1]SYS!$F$5:$G$359,2,FALSE)</f>
        <v>3</v>
      </c>
      <c r="D2" s="1" t="s">
        <v>23</v>
      </c>
      <c r="E2" s="65" t="s">
        <v>51</v>
      </c>
      <c r="F2" s="63" t="s">
        <v>496</v>
      </c>
      <c r="G2" s="1">
        <v>1</v>
      </c>
      <c r="H2" s="1">
        <f>W2/X2</f>
        <v>0.15</v>
      </c>
      <c r="I2" s="1">
        <f>X2/1000</f>
        <v>0.7</v>
      </c>
      <c r="J2" s="1">
        <f t="shared" ref="J2:J65" si="0">1-Y2</f>
        <v>5.0000000000000044E-2</v>
      </c>
      <c r="K2" s="1">
        <f>Z2/1000</f>
        <v>2.82944</v>
      </c>
      <c r="L2" s="1">
        <f>AA2/1000</f>
        <v>1.9992699999999999</v>
      </c>
      <c r="M2" s="49">
        <f>(I2*10^6*L2/AJ2*AI2/10^6)*24*365/1000</f>
        <v>4.3686660067097254</v>
      </c>
      <c r="N2" s="49">
        <v>7.28</v>
      </c>
      <c r="O2" s="1">
        <v>403</v>
      </c>
      <c r="P2" s="51">
        <v>0.05</v>
      </c>
      <c r="Q2" s="51">
        <v>8</v>
      </c>
      <c r="R2" s="51">
        <v>1</v>
      </c>
      <c r="S2" s="1">
        <v>1</v>
      </c>
      <c r="T2" s="1">
        <v>0</v>
      </c>
      <c r="U2" s="47">
        <v>1</v>
      </c>
      <c r="V2" s="47">
        <v>1</v>
      </c>
      <c r="W2" s="41">
        <v>105</v>
      </c>
      <c r="X2">
        <v>700</v>
      </c>
      <c r="Y2">
        <v>0.95</v>
      </c>
      <c r="Z2">
        <v>2829.44</v>
      </c>
      <c r="AA2">
        <v>1999.27</v>
      </c>
      <c r="AB2">
        <v>728</v>
      </c>
      <c r="AC2">
        <v>55</v>
      </c>
      <c r="AD2" s="41">
        <f>1/Z2*860</f>
        <v>0.30394707079846189</v>
      </c>
      <c r="AE2" s="41">
        <f>1/AA2*860</f>
        <v>0.43015700730766732</v>
      </c>
      <c r="AF2">
        <f>(L2-H2*K2)/(1-H2)</f>
        <v>1.852769411764706</v>
      </c>
      <c r="AG2">
        <f>I2*(L2-AF2)</f>
        <v>0.10255041176470571</v>
      </c>
      <c r="AH2">
        <f>AB2/100</f>
        <v>7.28</v>
      </c>
      <c r="AI2">
        <f>HLOOKUP(HLOOKUP(G2,'THP2'!$B$4:$J$8,5,FALSE),'Fuel &amp; Resister'!$B$3:$G$6,4,FALSE)</f>
        <v>2.2642399999999996</v>
      </c>
      <c r="AJ2" s="41">
        <f>HLOOKUP(HLOOKUP(G2,'THP2'!$B$4:$J$8,5,FALSE),'Fuel &amp; Resister'!$B$3:$G$6,3,FALSE)</f>
        <v>6.3540000000000001</v>
      </c>
      <c r="AK2" s="41">
        <f>0.85985/L2</f>
        <v>0.43008197992267178</v>
      </c>
      <c r="AL2" s="41">
        <f>405*24*365*0.7</f>
        <v>2483460</v>
      </c>
      <c r="AM2" s="41">
        <f>14761/126.5</f>
        <v>116.68774703557312</v>
      </c>
      <c r="AO2" s="1">
        <v>1</v>
      </c>
      <c r="AP2" s="1">
        <v>1</v>
      </c>
    </row>
    <row r="3" spans="1:42" x14ac:dyDescent="0.15">
      <c r="B3" s="43" t="s">
        <v>581</v>
      </c>
      <c r="C3" s="61">
        <f>VLOOKUP(B3,[1]SYS!$F$5:$G$359,2,FALSE)</f>
        <v>3</v>
      </c>
      <c r="D3" s="1" t="s">
        <v>23</v>
      </c>
      <c r="E3" s="65" t="s">
        <v>52</v>
      </c>
      <c r="F3" s="42"/>
      <c r="G3" s="1">
        <v>1</v>
      </c>
      <c r="H3" s="1">
        <f t="shared" ref="H3:H66" si="1">W3/X3</f>
        <v>0.3</v>
      </c>
      <c r="I3" s="1">
        <f t="shared" ref="I3:I66" si="2">X3/1000</f>
        <v>0.02</v>
      </c>
      <c r="J3" s="1">
        <f t="shared" si="0"/>
        <v>0</v>
      </c>
      <c r="K3" s="1">
        <f t="shared" ref="K3:K66" si="3">Z3/1000</f>
        <v>2.6005400000000001</v>
      </c>
      <c r="L3" s="1">
        <f t="shared" ref="L3:L66" si="4">AA3/1000</f>
        <v>2.1698300000000001</v>
      </c>
      <c r="M3" s="49">
        <f t="shared" ref="M3:M66" si="5">(I3*10^6*L3/AJ3*AI3/10^6)*24*365/1000</f>
        <v>0.13546748222156751</v>
      </c>
      <c r="N3" s="49">
        <v>0.16</v>
      </c>
      <c r="O3" s="1">
        <v>903</v>
      </c>
      <c r="P3" s="51">
        <v>0.05</v>
      </c>
      <c r="Q3" s="51">
        <v>8</v>
      </c>
      <c r="R3" s="51">
        <v>1</v>
      </c>
      <c r="S3" s="1">
        <v>1</v>
      </c>
      <c r="T3" s="1">
        <v>0</v>
      </c>
      <c r="U3" s="47">
        <v>1</v>
      </c>
      <c r="V3" s="47">
        <v>2</v>
      </c>
      <c r="W3" s="41">
        <v>6</v>
      </c>
      <c r="X3">
        <v>20</v>
      </c>
      <c r="Y3">
        <v>1</v>
      </c>
      <c r="Z3">
        <v>2600.54</v>
      </c>
      <c r="AA3">
        <v>2169.83</v>
      </c>
      <c r="AB3">
        <v>16</v>
      </c>
      <c r="AC3">
        <v>55</v>
      </c>
      <c r="AD3" s="41">
        <f t="shared" ref="AD3:AD66" si="6">1/Z3*860</f>
        <v>0.33070054680950883</v>
      </c>
      <c r="AE3" s="41">
        <f t="shared" ref="AE3:AE66" si="7">1/AA3*860</f>
        <v>0.39634441407852228</v>
      </c>
      <c r="AF3">
        <f t="shared" ref="AF3:AF66" si="8">(L3-H3*K3)/(1-H3)</f>
        <v>1.9852400000000003</v>
      </c>
      <c r="AG3">
        <f t="shared" ref="AG3:AG66" si="9">I3*(L3-AF3)</f>
        <v>3.6917999999999964E-3</v>
      </c>
      <c r="AH3">
        <f t="shared" ref="AH3:AH66" si="10">AB3/100</f>
        <v>0.16</v>
      </c>
      <c r="AI3">
        <f>HLOOKUP(HLOOKUP(G3,'THP2'!$B$4:$J$8,5,FALSE),'Fuel &amp; Resister'!$B$3:$G$6,4,FALSE)</f>
        <v>2.2642399999999996</v>
      </c>
      <c r="AJ3" s="41">
        <f>HLOOKUP(HLOOKUP(G3,'THP2'!$B$4:$J$8,5,FALSE),'Fuel &amp; Resister'!$B$3:$G$6,3,FALSE)</f>
        <v>6.3540000000000001</v>
      </c>
      <c r="AK3" s="41">
        <f t="shared" ref="AK3:AK6" si="11">0.85985/L3</f>
        <v>0.39627528423885738</v>
      </c>
      <c r="AM3" s="41">
        <f>41500/405</f>
        <v>102.46913580246914</v>
      </c>
      <c r="AO3" s="1">
        <v>1</v>
      </c>
      <c r="AP3" s="1">
        <v>1</v>
      </c>
    </row>
    <row r="4" spans="1:42" x14ac:dyDescent="0.15">
      <c r="A4" s="83" t="s">
        <v>680</v>
      </c>
      <c r="B4" s="43" t="s">
        <v>581</v>
      </c>
      <c r="C4" s="61">
        <f>VLOOKUP(B4,[1]SYS!$F$5:$G$359,2,FALSE)</f>
        <v>3</v>
      </c>
      <c r="D4" s="1" t="s">
        <v>23</v>
      </c>
      <c r="E4" s="65" t="s">
        <v>53</v>
      </c>
      <c r="F4" s="63" t="s">
        <v>529</v>
      </c>
      <c r="G4" s="1">
        <v>1</v>
      </c>
      <c r="H4" s="1">
        <f t="shared" si="1"/>
        <v>0.3</v>
      </c>
      <c r="I4" s="1">
        <f t="shared" si="2"/>
        <v>0.1</v>
      </c>
      <c r="J4" s="1">
        <f t="shared" si="0"/>
        <v>6.0000000000000053E-2</v>
      </c>
      <c r="K4" s="1">
        <f t="shared" si="3"/>
        <v>2.6328</v>
      </c>
      <c r="L4" s="1">
        <f t="shared" si="4"/>
        <v>2.1967399999999997</v>
      </c>
      <c r="M4" s="49">
        <f t="shared" si="5"/>
        <v>0.68573767736506108</v>
      </c>
      <c r="N4" s="49">
        <v>0.8</v>
      </c>
      <c r="O4" s="1">
        <v>1004</v>
      </c>
      <c r="P4" s="51">
        <v>0</v>
      </c>
      <c r="Q4" s="51">
        <v>8</v>
      </c>
      <c r="R4" s="51">
        <v>1</v>
      </c>
      <c r="S4" s="1">
        <v>1</v>
      </c>
      <c r="T4" s="1">
        <v>0</v>
      </c>
      <c r="U4" s="47">
        <v>1</v>
      </c>
      <c r="V4" s="47">
        <v>3</v>
      </c>
      <c r="W4" s="41">
        <v>30</v>
      </c>
      <c r="X4">
        <v>100</v>
      </c>
      <c r="Y4">
        <v>0.94</v>
      </c>
      <c r="Z4">
        <v>2632.8</v>
      </c>
      <c r="AA4">
        <v>2196.7399999999998</v>
      </c>
      <c r="AB4">
        <v>80</v>
      </c>
      <c r="AC4">
        <v>55</v>
      </c>
      <c r="AD4" s="41">
        <f t="shared" si="6"/>
        <v>0.32664843512610148</v>
      </c>
      <c r="AE4" s="41">
        <f t="shared" si="7"/>
        <v>0.39148920673361437</v>
      </c>
      <c r="AF4">
        <f t="shared" si="8"/>
        <v>2.0098571428571428</v>
      </c>
      <c r="AG4">
        <f t="shared" si="9"/>
        <v>1.8688285714285692E-2</v>
      </c>
      <c r="AH4">
        <f t="shared" si="10"/>
        <v>0.8</v>
      </c>
      <c r="AI4">
        <f>HLOOKUP(HLOOKUP(G4,'THP2'!$B$4:$J$8,5,FALSE),'Fuel &amp; Resister'!$B$3:$G$6,4,FALSE)</f>
        <v>2.2642399999999996</v>
      </c>
      <c r="AJ4" s="41">
        <f>HLOOKUP(HLOOKUP(G4,'THP2'!$B$4:$J$8,5,FALSE),'Fuel &amp; Resister'!$B$3:$G$6,3,FALSE)</f>
        <v>6.3540000000000001</v>
      </c>
      <c r="AK4" s="41">
        <f t="shared" si="11"/>
        <v>0.39142092373243992</v>
      </c>
      <c r="AO4" s="1">
        <v>1</v>
      </c>
      <c r="AP4" s="1">
        <v>1</v>
      </c>
    </row>
    <row r="5" spans="1:42" x14ac:dyDescent="0.15">
      <c r="A5" s="84">
        <f>ROWS(D2:D134)</f>
        <v>133</v>
      </c>
      <c r="B5" s="43" t="s">
        <v>581</v>
      </c>
      <c r="C5" s="61">
        <f>VLOOKUP(B5,[1]SYS!$F$5:$G$359,2,FALSE)</f>
        <v>3</v>
      </c>
      <c r="D5" s="1" t="s">
        <v>23</v>
      </c>
      <c r="E5" s="65" t="s">
        <v>54</v>
      </c>
      <c r="F5" s="63" t="s">
        <v>530</v>
      </c>
      <c r="G5" s="1">
        <v>1</v>
      </c>
      <c r="H5" s="1">
        <f t="shared" si="1"/>
        <v>0.3</v>
      </c>
      <c r="I5" s="1">
        <f t="shared" si="2"/>
        <v>0.18</v>
      </c>
      <c r="J5" s="1">
        <f t="shared" si="0"/>
        <v>6.0000000000000053E-2</v>
      </c>
      <c r="K5" s="1">
        <f t="shared" si="3"/>
        <v>2.6328</v>
      </c>
      <c r="L5" s="1">
        <f t="shared" si="4"/>
        <v>2.1967399999999997</v>
      </c>
      <c r="M5" s="49">
        <f t="shared" si="5"/>
        <v>1.2343278192571099</v>
      </c>
      <c r="N5" s="49">
        <v>1.44</v>
      </c>
      <c r="O5" s="1">
        <v>903</v>
      </c>
      <c r="P5" s="51">
        <v>0</v>
      </c>
      <c r="Q5" s="51">
        <v>8</v>
      </c>
      <c r="R5" s="51">
        <v>1</v>
      </c>
      <c r="S5" s="1">
        <v>1</v>
      </c>
      <c r="T5" s="1">
        <v>0</v>
      </c>
      <c r="U5" s="47">
        <v>1</v>
      </c>
      <c r="V5" s="47">
        <v>4</v>
      </c>
      <c r="W5" s="41">
        <v>54</v>
      </c>
      <c r="X5">
        <v>180</v>
      </c>
      <c r="Y5">
        <v>0.94</v>
      </c>
      <c r="Z5">
        <v>2632.8</v>
      </c>
      <c r="AA5">
        <v>2196.7399999999998</v>
      </c>
      <c r="AB5">
        <v>144</v>
      </c>
      <c r="AC5">
        <v>55</v>
      </c>
      <c r="AD5" s="41">
        <f t="shared" si="6"/>
        <v>0.32664843512610148</v>
      </c>
      <c r="AE5" s="41">
        <f t="shared" si="7"/>
        <v>0.39148920673361437</v>
      </c>
      <c r="AF5">
        <f t="shared" si="8"/>
        <v>2.0098571428571428</v>
      </c>
      <c r="AG5">
        <f t="shared" si="9"/>
        <v>3.3638914285714243E-2</v>
      </c>
      <c r="AH5">
        <f t="shared" si="10"/>
        <v>1.44</v>
      </c>
      <c r="AI5">
        <f>HLOOKUP(HLOOKUP(G5,'THP2'!$B$4:$J$8,5,FALSE),'Fuel &amp; Resister'!$B$3:$G$6,4,FALSE)</f>
        <v>2.2642399999999996</v>
      </c>
      <c r="AJ5" s="41">
        <f>HLOOKUP(HLOOKUP(G5,'THP2'!$B$4:$J$8,5,FALSE),'Fuel &amp; Resister'!$B$3:$G$6,3,FALSE)</f>
        <v>6.3540000000000001</v>
      </c>
      <c r="AK5" s="41">
        <f t="shared" si="11"/>
        <v>0.39142092373243992</v>
      </c>
      <c r="AO5" s="1">
        <v>1</v>
      </c>
      <c r="AP5" s="1">
        <v>1</v>
      </c>
    </row>
    <row r="6" spans="1:42" x14ac:dyDescent="0.15">
      <c r="A6" s="83"/>
      <c r="B6" s="43" t="s">
        <v>582</v>
      </c>
      <c r="C6" s="61">
        <f>VLOOKUP(B6,[1]SYS!$F$5:$G$359,2,FALSE)</f>
        <v>40</v>
      </c>
      <c r="D6" s="1" t="s">
        <v>23</v>
      </c>
      <c r="E6" s="65" t="s">
        <v>55</v>
      </c>
      <c r="F6" s="63" t="s">
        <v>509</v>
      </c>
      <c r="G6" s="1">
        <v>1</v>
      </c>
      <c r="H6" s="1">
        <f t="shared" si="1"/>
        <v>0.3</v>
      </c>
      <c r="I6" s="1">
        <f t="shared" si="2"/>
        <v>0.65</v>
      </c>
      <c r="J6" s="1">
        <f t="shared" si="0"/>
        <v>6.2000000000000055E-2</v>
      </c>
      <c r="K6" s="1">
        <f t="shared" si="3"/>
        <v>2.3969999999999998</v>
      </c>
      <c r="L6" s="1">
        <f t="shared" si="4"/>
        <v>2</v>
      </c>
      <c r="M6" s="49">
        <f t="shared" si="5"/>
        <v>4.0580996411709149</v>
      </c>
      <c r="N6" s="49">
        <v>6.7125000000000004</v>
      </c>
      <c r="O6" s="1">
        <v>403</v>
      </c>
      <c r="P6" s="51">
        <v>0.05</v>
      </c>
      <c r="Q6" s="51">
        <v>8</v>
      </c>
      <c r="R6" s="51">
        <v>1</v>
      </c>
      <c r="S6" s="1">
        <v>1</v>
      </c>
      <c r="T6" s="1">
        <v>0</v>
      </c>
      <c r="U6" s="47">
        <v>1</v>
      </c>
      <c r="V6" s="47">
        <v>5</v>
      </c>
      <c r="W6" s="41">
        <v>195</v>
      </c>
      <c r="X6">
        <v>650</v>
      </c>
      <c r="Y6">
        <v>0.93799999999999994</v>
      </c>
      <c r="Z6">
        <v>2397</v>
      </c>
      <c r="AA6">
        <v>2000</v>
      </c>
      <c r="AB6">
        <v>671.25</v>
      </c>
      <c r="AC6">
        <v>55</v>
      </c>
      <c r="AD6" s="41">
        <f t="shared" si="6"/>
        <v>0.35878181059657904</v>
      </c>
      <c r="AE6" s="41">
        <f t="shared" si="7"/>
        <v>0.43</v>
      </c>
      <c r="AF6">
        <f t="shared" si="8"/>
        <v>1.8298571428571428</v>
      </c>
      <c r="AG6">
        <f t="shared" si="9"/>
        <v>0.11059285714285715</v>
      </c>
      <c r="AH6">
        <f t="shared" si="10"/>
        <v>6.7125000000000004</v>
      </c>
      <c r="AI6">
        <f>HLOOKUP(HLOOKUP(G6,'THP2'!$B$4:$J$8,5,FALSE),'Fuel &amp; Resister'!$B$3:$G$6,4,FALSE)</f>
        <v>2.2642399999999996</v>
      </c>
      <c r="AJ6" s="41">
        <f>HLOOKUP(HLOOKUP(G6,'THP2'!$B$4:$J$8,5,FALSE),'Fuel &amp; Resister'!$B$3:$G$6,3,FALSE)</f>
        <v>6.3540000000000001</v>
      </c>
      <c r="AK6" s="41">
        <f t="shared" si="11"/>
        <v>0.429925</v>
      </c>
      <c r="AO6" s="1">
        <v>1</v>
      </c>
      <c r="AP6" s="1">
        <v>1</v>
      </c>
    </row>
    <row r="7" spans="1:42" x14ac:dyDescent="0.15">
      <c r="A7" s="83"/>
      <c r="B7" s="43" t="s">
        <v>582</v>
      </c>
      <c r="C7" s="61">
        <f>VLOOKUP(B7,[1]SYS!$F$5:$G$359,2,FALSE)</f>
        <v>40</v>
      </c>
      <c r="D7" s="1" t="s">
        <v>23</v>
      </c>
      <c r="E7" s="65" t="s">
        <v>56</v>
      </c>
      <c r="F7" s="63" t="s">
        <v>510</v>
      </c>
      <c r="G7" s="1">
        <v>1</v>
      </c>
      <c r="H7" s="1">
        <f t="shared" si="1"/>
        <v>0.3</v>
      </c>
      <c r="I7" s="1">
        <f t="shared" si="2"/>
        <v>0.65</v>
      </c>
      <c r="J7" s="1">
        <f t="shared" si="0"/>
        <v>6.2000000000000055E-2</v>
      </c>
      <c r="K7" s="1">
        <f t="shared" si="3"/>
        <v>2.3969999999999998</v>
      </c>
      <c r="L7" s="1">
        <f t="shared" si="4"/>
        <v>2</v>
      </c>
      <c r="M7" s="49">
        <f t="shared" si="5"/>
        <v>4.0580996411709149</v>
      </c>
      <c r="N7" s="49">
        <v>6.7125000000000004</v>
      </c>
      <c r="O7" s="1">
        <v>903</v>
      </c>
      <c r="P7" s="51">
        <v>0.05</v>
      </c>
      <c r="Q7" s="51">
        <v>8</v>
      </c>
      <c r="R7" s="51">
        <v>1</v>
      </c>
      <c r="S7" s="1">
        <v>1</v>
      </c>
      <c r="T7" s="1">
        <v>0</v>
      </c>
      <c r="U7" s="47">
        <v>1</v>
      </c>
      <c r="V7" s="47">
        <v>6</v>
      </c>
      <c r="W7" s="41">
        <v>195</v>
      </c>
      <c r="X7">
        <v>650</v>
      </c>
      <c r="Y7">
        <v>0.93799999999999994</v>
      </c>
      <c r="Z7">
        <v>2397</v>
      </c>
      <c r="AA7">
        <v>2000</v>
      </c>
      <c r="AB7">
        <v>671.25</v>
      </c>
      <c r="AC7">
        <v>55</v>
      </c>
      <c r="AD7" s="41">
        <f t="shared" si="6"/>
        <v>0.35878181059657904</v>
      </c>
      <c r="AE7" s="41">
        <f t="shared" si="7"/>
        <v>0.43</v>
      </c>
      <c r="AF7">
        <f t="shared" si="8"/>
        <v>1.8298571428571428</v>
      </c>
      <c r="AG7">
        <f t="shared" si="9"/>
        <v>0.11059285714285715</v>
      </c>
      <c r="AH7">
        <f t="shared" si="10"/>
        <v>6.7125000000000004</v>
      </c>
      <c r="AI7">
        <f>HLOOKUP(HLOOKUP(G7,'THP2'!$B$4:$J$8,5,FALSE),'Fuel &amp; Resister'!$B$3:$G$6,4,FALSE)</f>
        <v>2.2642399999999996</v>
      </c>
      <c r="AJ7" s="41">
        <f>HLOOKUP(HLOOKUP(G7,'THP2'!$B$4:$J$8,5,FALSE),'Fuel &amp; Resister'!$B$3:$G$6,3,FALSE)</f>
        <v>6.3540000000000001</v>
      </c>
      <c r="AO7" s="1">
        <v>1</v>
      </c>
      <c r="AP7" s="1">
        <v>1</v>
      </c>
    </row>
    <row r="8" spans="1:42" x14ac:dyDescent="0.15">
      <c r="A8" s="83" t="s">
        <v>681</v>
      </c>
      <c r="B8" s="43" t="s">
        <v>583</v>
      </c>
      <c r="C8" s="61">
        <f>VLOOKUP(B8,[1]SYS!$F$5:$G$359,2,FALSE)</f>
        <v>39</v>
      </c>
      <c r="D8" s="1" t="s">
        <v>23</v>
      </c>
      <c r="E8" s="65" t="s">
        <v>57</v>
      </c>
      <c r="F8" s="63" t="s">
        <v>488</v>
      </c>
      <c r="G8" s="1">
        <v>1</v>
      </c>
      <c r="H8" s="1">
        <f t="shared" si="1"/>
        <v>0.3</v>
      </c>
      <c r="I8" s="1">
        <f t="shared" si="2"/>
        <v>0.6</v>
      </c>
      <c r="J8" s="1">
        <f t="shared" si="0"/>
        <v>5.1699999999999968E-2</v>
      </c>
      <c r="K8" s="1">
        <f t="shared" si="3"/>
        <v>2.3969999999999998</v>
      </c>
      <c r="L8" s="1">
        <f t="shared" si="4"/>
        <v>2</v>
      </c>
      <c r="M8" s="49">
        <f t="shared" si="5"/>
        <v>3.7459381303116137</v>
      </c>
      <c r="N8" s="49">
        <v>6.1449999999999996</v>
      </c>
      <c r="O8" s="1">
        <v>903</v>
      </c>
      <c r="P8" s="51">
        <v>0.05</v>
      </c>
      <c r="Q8" s="51">
        <v>8</v>
      </c>
      <c r="R8" s="51">
        <v>1</v>
      </c>
      <c r="S8" s="1">
        <v>1</v>
      </c>
      <c r="T8" s="1">
        <v>0</v>
      </c>
      <c r="U8" s="47">
        <v>1</v>
      </c>
      <c r="V8" s="47">
        <v>7</v>
      </c>
      <c r="W8" s="41">
        <v>180</v>
      </c>
      <c r="X8">
        <v>600</v>
      </c>
      <c r="Y8">
        <v>0.94830000000000003</v>
      </c>
      <c r="Z8">
        <v>2397</v>
      </c>
      <c r="AA8">
        <v>2000</v>
      </c>
      <c r="AB8">
        <v>614.5</v>
      </c>
      <c r="AC8">
        <v>55</v>
      </c>
      <c r="AD8" s="41">
        <f t="shared" si="6"/>
        <v>0.35878181059657904</v>
      </c>
      <c r="AE8" s="41">
        <f t="shared" si="7"/>
        <v>0.43</v>
      </c>
      <c r="AF8">
        <f t="shared" si="8"/>
        <v>1.8298571428571428</v>
      </c>
      <c r="AG8">
        <f t="shared" si="9"/>
        <v>0.10208571428571429</v>
      </c>
      <c r="AH8">
        <f t="shared" si="10"/>
        <v>6.1449999999999996</v>
      </c>
      <c r="AI8">
        <f>HLOOKUP(HLOOKUP(G8,'THP2'!$B$4:$J$8,5,FALSE),'Fuel &amp; Resister'!$B$3:$G$6,4,FALSE)</f>
        <v>2.2642399999999996</v>
      </c>
      <c r="AJ8" s="41">
        <f>HLOOKUP(HLOOKUP(G8,'THP2'!$B$4:$J$8,5,FALSE),'Fuel &amp; Resister'!$B$3:$G$6,3,FALSE)</f>
        <v>6.3540000000000001</v>
      </c>
      <c r="AO8" s="1">
        <v>1</v>
      </c>
      <c r="AP8" s="1">
        <v>1</v>
      </c>
    </row>
    <row r="9" spans="1:42" x14ac:dyDescent="0.15">
      <c r="A9" s="84">
        <f>ROWS(D135:D446)</f>
        <v>312</v>
      </c>
      <c r="B9" s="43" t="s">
        <v>584</v>
      </c>
      <c r="C9" s="61">
        <f>VLOOKUP(B9,[1]SYS!$F$5:$G$359,2,FALSE)</f>
        <v>62</v>
      </c>
      <c r="D9" s="1" t="s">
        <v>23</v>
      </c>
      <c r="E9" s="42" t="s">
        <v>58</v>
      </c>
      <c r="F9" s="63" t="s">
        <v>497</v>
      </c>
      <c r="G9" s="1">
        <v>1</v>
      </c>
      <c r="H9" s="1">
        <f t="shared" si="1"/>
        <v>0.187</v>
      </c>
      <c r="I9" s="1">
        <f t="shared" si="2"/>
        <v>1</v>
      </c>
      <c r="J9" s="1">
        <f t="shared" si="0"/>
        <v>5.3000000000000047E-2</v>
      </c>
      <c r="K9" s="1">
        <f t="shared" si="3"/>
        <v>2.6754199999999999</v>
      </c>
      <c r="L9" s="1">
        <f t="shared" si="4"/>
        <v>2.02793</v>
      </c>
      <c r="M9" s="49">
        <f t="shared" si="5"/>
        <v>6.3304169271690265</v>
      </c>
      <c r="N9" s="49">
        <v>15</v>
      </c>
      <c r="O9" s="1">
        <v>403</v>
      </c>
      <c r="P9" s="51">
        <v>0.05</v>
      </c>
      <c r="Q9" s="51">
        <v>8</v>
      </c>
      <c r="R9" s="51">
        <v>1</v>
      </c>
      <c r="S9" s="1">
        <v>1</v>
      </c>
      <c r="T9" s="1">
        <v>0</v>
      </c>
      <c r="U9" s="47">
        <v>0</v>
      </c>
      <c r="V9" s="47">
        <v>8</v>
      </c>
      <c r="W9" s="41">
        <v>187</v>
      </c>
      <c r="X9">
        <v>1000</v>
      </c>
      <c r="Y9">
        <v>0.94699999999999995</v>
      </c>
      <c r="Z9">
        <v>2675.42</v>
      </c>
      <c r="AA9">
        <v>2027.93</v>
      </c>
      <c r="AB9">
        <v>1500</v>
      </c>
      <c r="AC9">
        <v>55</v>
      </c>
      <c r="AD9" s="41">
        <f t="shared" si="6"/>
        <v>0.32144485725605698</v>
      </c>
      <c r="AE9" s="41">
        <f t="shared" si="7"/>
        <v>0.42407775416311211</v>
      </c>
      <c r="AF9">
        <f t="shared" si="8"/>
        <v>1.8789993357933581</v>
      </c>
      <c r="AG9">
        <f t="shared" si="9"/>
        <v>0.14893066420664192</v>
      </c>
      <c r="AH9">
        <f t="shared" si="10"/>
        <v>15</v>
      </c>
      <c r="AI9">
        <f>HLOOKUP(HLOOKUP(G9,'THP2'!$B$4:$J$8,5,FALSE),'Fuel &amp; Resister'!$B$3:$G$6,4,FALSE)</f>
        <v>2.2642399999999996</v>
      </c>
      <c r="AJ9" s="41">
        <f>HLOOKUP(HLOOKUP(G9,'THP2'!$B$4:$J$8,5,FALSE),'Fuel &amp; Resister'!$B$3:$G$6,3,FALSE)</f>
        <v>6.3540000000000001</v>
      </c>
      <c r="AO9" s="62">
        <v>0</v>
      </c>
      <c r="AP9" s="62">
        <v>0</v>
      </c>
    </row>
    <row r="10" spans="1:42" x14ac:dyDescent="0.15">
      <c r="A10" s="83"/>
      <c r="B10" s="43" t="s">
        <v>584</v>
      </c>
      <c r="C10" s="61">
        <f>VLOOKUP(B10,[1]SYS!$F$5:$G$359,2,FALSE)</f>
        <v>62</v>
      </c>
      <c r="D10" s="1" t="s">
        <v>23</v>
      </c>
      <c r="E10" s="42" t="s">
        <v>59</v>
      </c>
      <c r="F10" s="63" t="s">
        <v>497</v>
      </c>
      <c r="G10" s="1">
        <v>1</v>
      </c>
      <c r="H10" s="1">
        <f t="shared" si="1"/>
        <v>0.16200000000000001</v>
      </c>
      <c r="I10" s="1">
        <f t="shared" si="2"/>
        <v>1</v>
      </c>
      <c r="J10" s="1">
        <f t="shared" si="0"/>
        <v>5.600000000000005E-2</v>
      </c>
      <c r="K10" s="1">
        <f t="shared" si="3"/>
        <v>2.87622</v>
      </c>
      <c r="L10" s="1">
        <f t="shared" si="4"/>
        <v>2.03233</v>
      </c>
      <c r="M10" s="49">
        <f t="shared" si="5"/>
        <v>6.3441520336468358</v>
      </c>
      <c r="N10" s="49">
        <v>15</v>
      </c>
      <c r="O10" s="1">
        <v>504</v>
      </c>
      <c r="P10" s="51">
        <v>0.05</v>
      </c>
      <c r="Q10" s="51">
        <v>8</v>
      </c>
      <c r="R10" s="51">
        <v>1</v>
      </c>
      <c r="S10" s="1">
        <v>1</v>
      </c>
      <c r="T10" s="1">
        <v>0</v>
      </c>
      <c r="U10" s="47">
        <v>0</v>
      </c>
      <c r="V10" s="47">
        <v>9</v>
      </c>
      <c r="W10" s="41">
        <v>162</v>
      </c>
      <c r="X10">
        <v>1000</v>
      </c>
      <c r="Y10">
        <v>0.94399999999999995</v>
      </c>
      <c r="Z10">
        <v>2876.22</v>
      </c>
      <c r="AA10">
        <v>2032.33</v>
      </c>
      <c r="AB10">
        <v>1500</v>
      </c>
      <c r="AC10">
        <v>55</v>
      </c>
      <c r="AD10" s="41">
        <f t="shared" si="6"/>
        <v>0.29900355327478428</v>
      </c>
      <c r="AE10" s="41">
        <f t="shared" si="7"/>
        <v>0.42315962466725388</v>
      </c>
      <c r="AF10">
        <f t="shared" si="8"/>
        <v>1.8691913603818615</v>
      </c>
      <c r="AG10">
        <f t="shared" si="9"/>
        <v>0.16313863961813846</v>
      </c>
      <c r="AH10">
        <f t="shared" si="10"/>
        <v>15</v>
      </c>
      <c r="AI10">
        <f>HLOOKUP(HLOOKUP(G10,'THP2'!$B$4:$J$8,5,FALSE),'Fuel &amp; Resister'!$B$3:$G$6,4,FALSE)</f>
        <v>2.2642399999999996</v>
      </c>
      <c r="AJ10" s="41">
        <f>HLOOKUP(HLOOKUP(G10,'THP2'!$B$4:$J$8,5,FALSE),'Fuel &amp; Resister'!$B$3:$G$6,3,FALSE)</f>
        <v>6.3540000000000001</v>
      </c>
      <c r="AO10" s="62">
        <v>0</v>
      </c>
      <c r="AP10" s="62">
        <v>0</v>
      </c>
    </row>
    <row r="11" spans="1:42" x14ac:dyDescent="0.15">
      <c r="B11" s="43" t="s">
        <v>583</v>
      </c>
      <c r="C11" s="61">
        <f>VLOOKUP(B11,[1]SYS!$F$5:$G$359,2,FALSE)</f>
        <v>39</v>
      </c>
      <c r="D11" s="1" t="s">
        <v>23</v>
      </c>
      <c r="E11" s="42" t="s">
        <v>60</v>
      </c>
      <c r="F11" s="63" t="s">
        <v>488</v>
      </c>
      <c r="G11" s="1">
        <v>1</v>
      </c>
      <c r="H11" s="1">
        <f t="shared" si="1"/>
        <v>0.3</v>
      </c>
      <c r="I11" s="1">
        <f t="shared" si="2"/>
        <v>0.6</v>
      </c>
      <c r="J11" s="1">
        <f t="shared" si="0"/>
        <v>5.4000000000000048E-2</v>
      </c>
      <c r="K11" s="1">
        <f t="shared" si="3"/>
        <v>2.4974699999999999</v>
      </c>
      <c r="L11" s="1">
        <f t="shared" si="4"/>
        <v>2.0838200000000002</v>
      </c>
      <c r="M11" s="49">
        <f t="shared" si="5"/>
        <v>3.9029303973529745</v>
      </c>
      <c r="N11" s="49">
        <v>6.1449999999999996</v>
      </c>
      <c r="O11" s="6">
        <v>305</v>
      </c>
      <c r="P11" s="51">
        <v>0.05</v>
      </c>
      <c r="Q11" s="51">
        <v>8</v>
      </c>
      <c r="R11" s="51">
        <v>1</v>
      </c>
      <c r="S11" s="1">
        <v>1</v>
      </c>
      <c r="T11" s="1">
        <v>0</v>
      </c>
      <c r="U11" s="47">
        <v>0</v>
      </c>
      <c r="V11" s="47">
        <v>10</v>
      </c>
      <c r="W11" s="41">
        <v>180</v>
      </c>
      <c r="X11">
        <v>600</v>
      </c>
      <c r="Y11">
        <v>0.94599999999999995</v>
      </c>
      <c r="Z11">
        <v>2497.4699999999998</v>
      </c>
      <c r="AA11">
        <v>2083.8200000000002</v>
      </c>
      <c r="AB11">
        <v>614.5</v>
      </c>
      <c r="AC11">
        <v>55</v>
      </c>
      <c r="AD11" s="41">
        <f t="shared" si="6"/>
        <v>0.3443484806624304</v>
      </c>
      <c r="AE11" s="41">
        <f t="shared" si="7"/>
        <v>0.41270359244080579</v>
      </c>
      <c r="AF11">
        <f t="shared" si="8"/>
        <v>1.9065414285714291</v>
      </c>
      <c r="AG11">
        <f t="shared" si="9"/>
        <v>0.1063671428571427</v>
      </c>
      <c r="AH11">
        <f t="shared" si="10"/>
        <v>6.1449999999999996</v>
      </c>
      <c r="AI11">
        <f>HLOOKUP(HLOOKUP(G11,'THP2'!$B$4:$J$8,5,FALSE),'Fuel &amp; Resister'!$B$3:$G$6,4,FALSE)</f>
        <v>2.2642399999999996</v>
      </c>
      <c r="AJ11" s="41">
        <f>HLOOKUP(HLOOKUP(G11,'THP2'!$B$4:$J$8,5,FALSE),'Fuel &amp; Resister'!$B$3:$G$6,3,FALSE)</f>
        <v>6.3540000000000001</v>
      </c>
      <c r="AO11" s="62">
        <v>0</v>
      </c>
      <c r="AP11" s="62">
        <v>0</v>
      </c>
    </row>
    <row r="12" spans="1:42" x14ac:dyDescent="0.15">
      <c r="A12" s="84" t="s">
        <v>682</v>
      </c>
      <c r="B12" s="43" t="s">
        <v>583</v>
      </c>
      <c r="C12" s="61">
        <f>VLOOKUP(B12,[1]SYS!$F$5:$G$359,2,FALSE)</f>
        <v>39</v>
      </c>
      <c r="D12" s="1" t="s">
        <v>23</v>
      </c>
      <c r="E12" s="42" t="s">
        <v>61</v>
      </c>
      <c r="F12" s="63" t="s">
        <v>488</v>
      </c>
      <c r="G12" s="1">
        <v>1</v>
      </c>
      <c r="H12" s="1">
        <f t="shared" si="1"/>
        <v>0.35</v>
      </c>
      <c r="I12" s="1">
        <f t="shared" si="2"/>
        <v>0.6</v>
      </c>
      <c r="J12" s="1">
        <f t="shared" si="0"/>
        <v>5.589999999999995E-2</v>
      </c>
      <c r="K12" s="1">
        <f t="shared" si="3"/>
        <v>2.44598</v>
      </c>
      <c r="L12" s="1">
        <f t="shared" si="4"/>
        <v>2.1020100000000004</v>
      </c>
      <c r="M12" s="49">
        <f t="shared" si="5"/>
        <v>3.9369997046481591</v>
      </c>
      <c r="N12" s="49">
        <v>6.1449999999999996</v>
      </c>
      <c r="O12" s="6">
        <v>305</v>
      </c>
      <c r="P12" s="51">
        <v>0.05</v>
      </c>
      <c r="Q12" s="51">
        <v>8</v>
      </c>
      <c r="R12" s="51">
        <v>1</v>
      </c>
      <c r="S12" s="1">
        <v>1</v>
      </c>
      <c r="T12" s="1">
        <v>0</v>
      </c>
      <c r="U12" s="47">
        <v>0</v>
      </c>
      <c r="V12" s="47">
        <v>11</v>
      </c>
      <c r="W12" s="41">
        <v>210</v>
      </c>
      <c r="X12">
        <v>600</v>
      </c>
      <c r="Y12">
        <v>0.94410000000000005</v>
      </c>
      <c r="Z12">
        <v>2445.98</v>
      </c>
      <c r="AA12">
        <v>2102.0100000000002</v>
      </c>
      <c r="AB12">
        <v>614.5</v>
      </c>
      <c r="AC12">
        <v>55</v>
      </c>
      <c r="AD12" s="41">
        <f t="shared" si="6"/>
        <v>0.35159731477771689</v>
      </c>
      <c r="AE12" s="41">
        <f t="shared" si="7"/>
        <v>0.40913221154989748</v>
      </c>
      <c r="AF12">
        <f t="shared" si="8"/>
        <v>1.9167953846153851</v>
      </c>
      <c r="AG12">
        <f t="shared" si="9"/>
        <v>0.11112876923076916</v>
      </c>
      <c r="AH12">
        <f t="shared" si="10"/>
        <v>6.1449999999999996</v>
      </c>
      <c r="AI12">
        <f>HLOOKUP(HLOOKUP(G12,'THP2'!$B$4:$J$8,5,FALSE),'Fuel &amp; Resister'!$B$3:$G$6,4,FALSE)</f>
        <v>2.2642399999999996</v>
      </c>
      <c r="AJ12" s="41">
        <f>HLOOKUP(HLOOKUP(G12,'THP2'!$B$4:$J$8,5,FALSE),'Fuel &amp; Resister'!$B$3:$G$6,3,FALSE)</f>
        <v>6.3540000000000001</v>
      </c>
      <c r="AO12" s="62">
        <v>0</v>
      </c>
      <c r="AP12" s="62">
        <v>0</v>
      </c>
    </row>
    <row r="13" spans="1:42" x14ac:dyDescent="0.15">
      <c r="A13" s="84">
        <f>ROWS(D447:D476)</f>
        <v>30</v>
      </c>
      <c r="B13" s="43" t="s">
        <v>585</v>
      </c>
      <c r="C13" s="61">
        <f>VLOOKUP(B13,[1]SYS!$F$5:$G$359,2,FALSE)</f>
        <v>37</v>
      </c>
      <c r="D13" s="1" t="s">
        <v>23</v>
      </c>
      <c r="E13" s="42" t="s">
        <v>62</v>
      </c>
      <c r="F13" s="63" t="s">
        <v>475</v>
      </c>
      <c r="G13" s="1">
        <v>1</v>
      </c>
      <c r="H13" s="1">
        <f t="shared" si="1"/>
        <v>0.16400000000000001</v>
      </c>
      <c r="I13" s="1">
        <f t="shared" si="2"/>
        <v>1</v>
      </c>
      <c r="J13" s="1">
        <f t="shared" si="0"/>
        <v>5.6100000000000039E-2</v>
      </c>
      <c r="K13" s="1">
        <f t="shared" si="3"/>
        <v>2.9920999999999998</v>
      </c>
      <c r="L13" s="1">
        <f t="shared" si="4"/>
        <v>2.1142099999999999</v>
      </c>
      <c r="M13" s="49">
        <f t="shared" si="5"/>
        <v>6.5997498787384306</v>
      </c>
      <c r="N13" s="49">
        <v>15</v>
      </c>
      <c r="O13" s="1">
        <v>903</v>
      </c>
      <c r="P13" s="51">
        <v>0.05</v>
      </c>
      <c r="Q13" s="51">
        <v>8</v>
      </c>
      <c r="R13" s="51">
        <v>1</v>
      </c>
      <c r="S13" s="1">
        <v>1</v>
      </c>
      <c r="T13" s="1">
        <v>0</v>
      </c>
      <c r="U13" s="47">
        <v>0</v>
      </c>
      <c r="V13" s="47">
        <v>12</v>
      </c>
      <c r="W13" s="41">
        <v>164</v>
      </c>
      <c r="X13">
        <v>1000</v>
      </c>
      <c r="Y13">
        <v>0.94389999999999996</v>
      </c>
      <c r="Z13">
        <v>2992.1</v>
      </c>
      <c r="AA13">
        <v>2114.21</v>
      </c>
      <c r="AB13">
        <v>1500</v>
      </c>
      <c r="AC13">
        <v>55</v>
      </c>
      <c r="AD13" s="41">
        <f t="shared" si="6"/>
        <v>0.28742354867818587</v>
      </c>
      <c r="AE13" s="41">
        <f t="shared" si="7"/>
        <v>0.40677132356766826</v>
      </c>
      <c r="AF13">
        <f t="shared" si="8"/>
        <v>1.9419923444976075</v>
      </c>
      <c r="AG13">
        <f t="shared" si="9"/>
        <v>0.17221765550239243</v>
      </c>
      <c r="AH13">
        <f t="shared" si="10"/>
        <v>15</v>
      </c>
      <c r="AI13">
        <f>HLOOKUP(HLOOKUP(G13,'THP2'!$B$4:$J$8,5,FALSE),'Fuel &amp; Resister'!$B$3:$G$6,4,FALSE)</f>
        <v>2.2642399999999996</v>
      </c>
      <c r="AJ13" s="41">
        <f>HLOOKUP(HLOOKUP(G13,'THP2'!$B$4:$J$8,5,FALSE),'Fuel &amp; Resister'!$B$3:$G$6,3,FALSE)</f>
        <v>6.3540000000000001</v>
      </c>
      <c r="AO13" s="62">
        <v>0</v>
      </c>
      <c r="AP13" s="62">
        <v>0</v>
      </c>
    </row>
    <row r="14" spans="1:42" x14ac:dyDescent="0.15">
      <c r="A14" s="84"/>
      <c r="B14" s="43" t="s">
        <v>585</v>
      </c>
      <c r="C14" s="61">
        <f>VLOOKUP(B14,[1]SYS!$F$5:$G$359,2,FALSE)</f>
        <v>37</v>
      </c>
      <c r="D14" s="1" t="s">
        <v>23</v>
      </c>
      <c r="E14" s="42" t="s">
        <v>63</v>
      </c>
      <c r="F14" s="63" t="s">
        <v>475</v>
      </c>
      <c r="G14" s="1">
        <v>1</v>
      </c>
      <c r="H14" s="1">
        <f t="shared" si="1"/>
        <v>0.16400000000000001</v>
      </c>
      <c r="I14" s="1">
        <f t="shared" si="2"/>
        <v>1</v>
      </c>
      <c r="J14" s="1">
        <f t="shared" si="0"/>
        <v>5.7899999999999952E-2</v>
      </c>
      <c r="K14" s="1">
        <f t="shared" si="3"/>
        <v>3.0019899999999997</v>
      </c>
      <c r="L14" s="1">
        <f t="shared" si="4"/>
        <v>2.1212</v>
      </c>
      <c r="M14" s="49">
        <f t="shared" si="5"/>
        <v>6.6215699683474964</v>
      </c>
      <c r="N14" s="49">
        <v>15</v>
      </c>
      <c r="O14" s="1">
        <v>403</v>
      </c>
      <c r="P14" s="51">
        <v>0.05</v>
      </c>
      <c r="Q14" s="51">
        <v>8</v>
      </c>
      <c r="R14" s="51">
        <v>1</v>
      </c>
      <c r="S14" s="1">
        <v>1</v>
      </c>
      <c r="T14" s="1">
        <v>0</v>
      </c>
      <c r="U14" s="47">
        <v>0</v>
      </c>
      <c r="V14" s="47">
        <v>13</v>
      </c>
      <c r="W14" s="41">
        <v>164</v>
      </c>
      <c r="X14">
        <v>1000</v>
      </c>
      <c r="Y14">
        <v>0.94210000000000005</v>
      </c>
      <c r="Z14">
        <v>3001.99</v>
      </c>
      <c r="AA14">
        <v>2121.1999999999998</v>
      </c>
      <c r="AB14">
        <v>1500</v>
      </c>
      <c r="AC14">
        <v>55</v>
      </c>
      <c r="AD14" s="41">
        <f t="shared" si="6"/>
        <v>0.28647663716401456</v>
      </c>
      <c r="AE14" s="41">
        <f t="shared" si="7"/>
        <v>0.40543088817650391</v>
      </c>
      <c r="AF14">
        <f t="shared" si="8"/>
        <v>1.9484134449760768</v>
      </c>
      <c r="AG14">
        <f t="shared" si="9"/>
        <v>0.17278655502392315</v>
      </c>
      <c r="AH14">
        <f t="shared" si="10"/>
        <v>15</v>
      </c>
      <c r="AI14">
        <f>HLOOKUP(HLOOKUP(G14,'THP2'!$B$4:$J$8,5,FALSE),'Fuel &amp; Resister'!$B$3:$G$6,4,FALSE)</f>
        <v>2.2642399999999996</v>
      </c>
      <c r="AJ14" s="41">
        <f>HLOOKUP(HLOOKUP(G14,'THP2'!$B$4:$J$8,5,FALSE),'Fuel &amp; Resister'!$B$3:$G$6,3,FALSE)</f>
        <v>6.3540000000000001</v>
      </c>
      <c r="AO14" s="62">
        <v>0</v>
      </c>
      <c r="AP14" s="62">
        <v>0</v>
      </c>
    </row>
    <row r="15" spans="1:42" x14ac:dyDescent="0.15">
      <c r="A15" s="84"/>
      <c r="B15" s="43" t="s">
        <v>586</v>
      </c>
      <c r="C15" s="61">
        <f>VLOOKUP(B15,[1]SYS!$F$5:$G$359,2,FALSE)</f>
        <v>46</v>
      </c>
      <c r="D15" s="1" t="s">
        <v>23</v>
      </c>
      <c r="E15" s="65" t="s">
        <v>64</v>
      </c>
      <c r="F15" s="63" t="s">
        <v>532</v>
      </c>
      <c r="G15" s="1">
        <v>1</v>
      </c>
      <c r="H15" s="1">
        <f t="shared" si="1"/>
        <v>0.30201342281879195</v>
      </c>
      <c r="I15" s="1">
        <f t="shared" si="2"/>
        <v>0.14899999999999999</v>
      </c>
      <c r="J15" s="1">
        <f t="shared" si="0"/>
        <v>6.2000000000000055E-2</v>
      </c>
      <c r="K15" s="1">
        <f t="shared" si="3"/>
        <v>2.5709899999999997</v>
      </c>
      <c r="L15" s="1">
        <f t="shared" si="4"/>
        <v>2.1451700000000002</v>
      </c>
      <c r="M15" s="49">
        <f t="shared" si="5"/>
        <v>0.99776286729257024</v>
      </c>
      <c r="N15" s="49">
        <v>1.1919999999999999</v>
      </c>
      <c r="O15" s="1">
        <v>200</v>
      </c>
      <c r="P15" s="51">
        <v>0</v>
      </c>
      <c r="Q15" s="51">
        <v>8</v>
      </c>
      <c r="R15" s="51">
        <v>1</v>
      </c>
      <c r="S15" s="1">
        <v>1</v>
      </c>
      <c r="T15" s="1">
        <v>0</v>
      </c>
      <c r="U15" s="47">
        <v>1</v>
      </c>
      <c r="V15" s="47">
        <v>14</v>
      </c>
      <c r="W15" s="41">
        <v>45</v>
      </c>
      <c r="X15">
        <v>149</v>
      </c>
      <c r="Y15">
        <v>0.93799999999999994</v>
      </c>
      <c r="Z15">
        <v>2570.9899999999998</v>
      </c>
      <c r="AA15">
        <v>2145.17</v>
      </c>
      <c r="AB15">
        <v>119.2</v>
      </c>
      <c r="AC15">
        <v>55</v>
      </c>
      <c r="AD15" s="41">
        <f t="shared" si="6"/>
        <v>0.33450149553284925</v>
      </c>
      <c r="AE15" s="41">
        <f t="shared" si="7"/>
        <v>0.40090062792226255</v>
      </c>
      <c r="AF15">
        <f t="shared" si="8"/>
        <v>1.9609209615384622</v>
      </c>
      <c r="AG15">
        <f t="shared" si="9"/>
        <v>2.7453106730769169E-2</v>
      </c>
      <c r="AH15">
        <f t="shared" si="10"/>
        <v>1.1919999999999999</v>
      </c>
      <c r="AI15">
        <f>HLOOKUP(HLOOKUP(G15,'THP2'!$B$4:$J$8,5,FALSE),'Fuel &amp; Resister'!$B$3:$G$6,4,FALSE)</f>
        <v>2.2642399999999996</v>
      </c>
      <c r="AJ15" s="41">
        <f>HLOOKUP(HLOOKUP(G15,'THP2'!$B$4:$J$8,5,FALSE),'Fuel &amp; Resister'!$B$3:$G$6,3,FALSE)</f>
        <v>6.3540000000000001</v>
      </c>
      <c r="AO15" s="1">
        <v>1</v>
      </c>
      <c r="AP15" s="1">
        <v>1</v>
      </c>
    </row>
    <row r="16" spans="1:42" x14ac:dyDescent="0.15">
      <c r="A16" s="84" t="s">
        <v>683</v>
      </c>
      <c r="B16" s="43" t="s">
        <v>587</v>
      </c>
      <c r="C16" s="61">
        <f>VLOOKUP(B16,[1]SYS!$F$5:$G$359,2,FALSE)</f>
        <v>47</v>
      </c>
      <c r="D16" s="1" t="s">
        <v>23</v>
      </c>
      <c r="E16" s="65" t="s">
        <v>65</v>
      </c>
      <c r="F16" s="63" t="s">
        <v>534</v>
      </c>
      <c r="G16" s="1">
        <v>1</v>
      </c>
      <c r="H16" s="1">
        <f t="shared" si="1"/>
        <v>0.30097087378640774</v>
      </c>
      <c r="I16" s="1">
        <f t="shared" si="2"/>
        <v>0.10299999999999999</v>
      </c>
      <c r="J16" s="1">
        <f t="shared" si="0"/>
        <v>0</v>
      </c>
      <c r="K16" s="1">
        <f t="shared" si="3"/>
        <v>2.6005400000000001</v>
      </c>
      <c r="L16" s="1">
        <f t="shared" si="4"/>
        <v>2.1698300000000001</v>
      </c>
      <c r="M16" s="49">
        <f t="shared" si="5"/>
        <v>0.69765753344107262</v>
      </c>
      <c r="N16" s="49">
        <v>0.82400000000000007</v>
      </c>
      <c r="O16" s="1">
        <v>504</v>
      </c>
      <c r="P16" s="51">
        <v>0</v>
      </c>
      <c r="Q16" s="51">
        <v>8</v>
      </c>
      <c r="R16" s="51">
        <v>1</v>
      </c>
      <c r="S16" s="1">
        <v>1</v>
      </c>
      <c r="T16" s="1">
        <v>0</v>
      </c>
      <c r="U16" s="47">
        <v>1</v>
      </c>
      <c r="V16" s="47">
        <v>15</v>
      </c>
      <c r="W16" s="41">
        <v>31</v>
      </c>
      <c r="X16">
        <v>103</v>
      </c>
      <c r="Y16">
        <v>1</v>
      </c>
      <c r="Z16">
        <v>2600.54</v>
      </c>
      <c r="AA16">
        <v>2169.83</v>
      </c>
      <c r="AB16">
        <v>82.4</v>
      </c>
      <c r="AC16">
        <v>55</v>
      </c>
      <c r="AD16" s="41">
        <f t="shared" si="6"/>
        <v>0.33070054680950883</v>
      </c>
      <c r="AE16" s="41">
        <f t="shared" si="7"/>
        <v>0.39634441407852228</v>
      </c>
      <c r="AF16">
        <f t="shared" si="8"/>
        <v>1.984385416666667</v>
      </c>
      <c r="AG16">
        <f t="shared" si="9"/>
        <v>1.9100792083333311E-2</v>
      </c>
      <c r="AH16">
        <f t="shared" si="10"/>
        <v>0.82400000000000007</v>
      </c>
      <c r="AI16">
        <f>HLOOKUP(HLOOKUP(G16,'THP2'!$B$4:$J$8,5,FALSE),'Fuel &amp; Resister'!$B$3:$G$6,4,FALSE)</f>
        <v>2.2642399999999996</v>
      </c>
      <c r="AJ16" s="41">
        <f>HLOOKUP(HLOOKUP(G16,'THP2'!$B$4:$J$8,5,FALSE),'Fuel &amp; Resister'!$B$3:$G$6,3,FALSE)</f>
        <v>6.3540000000000001</v>
      </c>
      <c r="AO16" s="1">
        <v>1</v>
      </c>
      <c r="AP16" s="1">
        <v>1</v>
      </c>
    </row>
    <row r="17" spans="1:42" x14ac:dyDescent="0.15">
      <c r="A17" s="84">
        <f>ROWS(D477:D503)</f>
        <v>27</v>
      </c>
      <c r="B17" s="43" t="s">
        <v>587</v>
      </c>
      <c r="C17" s="61">
        <f>VLOOKUP(B17,[1]SYS!$F$5:$G$359,2,FALSE)</f>
        <v>47</v>
      </c>
      <c r="D17" s="1" t="s">
        <v>23</v>
      </c>
      <c r="E17" s="65" t="s">
        <v>66</v>
      </c>
      <c r="F17" s="42"/>
      <c r="G17" s="1">
        <v>1</v>
      </c>
      <c r="H17" s="1">
        <f t="shared" si="1"/>
        <v>0.30476190476190479</v>
      </c>
      <c r="I17" s="1">
        <f t="shared" si="2"/>
        <v>0.105</v>
      </c>
      <c r="J17" s="1">
        <f t="shared" si="0"/>
        <v>0</v>
      </c>
      <c r="K17" s="1">
        <f t="shared" si="3"/>
        <v>2.6005400000000001</v>
      </c>
      <c r="L17" s="1">
        <f t="shared" si="4"/>
        <v>2.1698300000000001</v>
      </c>
      <c r="M17" s="49">
        <f t="shared" si="5"/>
        <v>0.71120428166322947</v>
      </c>
      <c r="N17" s="49">
        <v>0.84</v>
      </c>
      <c r="O17" s="1">
        <v>1106</v>
      </c>
      <c r="P17" s="51">
        <v>0</v>
      </c>
      <c r="Q17" s="51">
        <v>8</v>
      </c>
      <c r="R17" s="51">
        <v>1</v>
      </c>
      <c r="S17" s="1">
        <v>1</v>
      </c>
      <c r="T17" s="1">
        <v>0</v>
      </c>
      <c r="U17" s="47">
        <v>1</v>
      </c>
      <c r="V17" s="47">
        <v>16</v>
      </c>
      <c r="W17" s="41">
        <v>32</v>
      </c>
      <c r="X17">
        <v>105</v>
      </c>
      <c r="Y17">
        <v>1</v>
      </c>
      <c r="Z17">
        <v>2600.54</v>
      </c>
      <c r="AA17">
        <v>2169.83</v>
      </c>
      <c r="AB17">
        <v>84</v>
      </c>
      <c r="AC17">
        <v>55</v>
      </c>
      <c r="AD17" s="41">
        <f t="shared" si="6"/>
        <v>0.33070054680950883</v>
      </c>
      <c r="AE17" s="41">
        <f t="shared" si="7"/>
        <v>0.39634441407852228</v>
      </c>
      <c r="AF17">
        <f t="shared" si="8"/>
        <v>1.9810256164383564</v>
      </c>
      <c r="AG17">
        <f t="shared" si="9"/>
        <v>1.9824460273972593E-2</v>
      </c>
      <c r="AH17">
        <f t="shared" si="10"/>
        <v>0.84</v>
      </c>
      <c r="AI17">
        <f>HLOOKUP(HLOOKUP(G17,'THP2'!$B$4:$J$8,5,FALSE),'Fuel &amp; Resister'!$B$3:$G$6,4,FALSE)</f>
        <v>2.2642399999999996</v>
      </c>
      <c r="AJ17" s="41">
        <f>HLOOKUP(HLOOKUP(G17,'THP2'!$B$4:$J$8,5,FALSE),'Fuel &amp; Resister'!$B$3:$G$6,3,FALSE)</f>
        <v>6.3540000000000001</v>
      </c>
      <c r="AO17" s="1">
        <v>1</v>
      </c>
      <c r="AP17" s="1">
        <v>1</v>
      </c>
    </row>
    <row r="18" spans="1:42" x14ac:dyDescent="0.15">
      <c r="B18" s="43" t="s">
        <v>588</v>
      </c>
      <c r="C18" s="61">
        <f>VLOOKUP(B18,[1]SYS!$F$5:$G$359,2,FALSE)</f>
        <v>43</v>
      </c>
      <c r="D18" s="1" t="s">
        <v>23</v>
      </c>
      <c r="E18" s="42" t="s">
        <v>67</v>
      </c>
      <c r="F18" s="63" t="s">
        <v>531</v>
      </c>
      <c r="G18" s="1">
        <v>1</v>
      </c>
      <c r="H18" s="1">
        <f t="shared" si="1"/>
        <v>0.3014705882352941</v>
      </c>
      <c r="I18" s="1">
        <f t="shared" si="2"/>
        <v>0.13600000000000001</v>
      </c>
      <c r="J18" s="1">
        <f t="shared" si="0"/>
        <v>6.3999999999999946E-2</v>
      </c>
      <c r="K18" s="1">
        <f t="shared" si="3"/>
        <v>2.6215900000000003</v>
      </c>
      <c r="L18" s="1">
        <f t="shared" si="4"/>
        <v>2.1873899999999997</v>
      </c>
      <c r="M18" s="49">
        <f t="shared" si="5"/>
        <v>0.92863379544439628</v>
      </c>
      <c r="N18" s="49">
        <v>1.0880000000000001</v>
      </c>
      <c r="O18" s="1">
        <v>903</v>
      </c>
      <c r="P18" s="51">
        <v>0</v>
      </c>
      <c r="Q18" s="51">
        <v>8</v>
      </c>
      <c r="R18" s="51">
        <v>1</v>
      </c>
      <c r="S18" s="1">
        <v>1</v>
      </c>
      <c r="T18" s="1">
        <v>0</v>
      </c>
      <c r="U18" s="47">
        <v>0</v>
      </c>
      <c r="V18" s="47">
        <v>17</v>
      </c>
      <c r="W18" s="41">
        <v>41</v>
      </c>
      <c r="X18">
        <v>136</v>
      </c>
      <c r="Y18">
        <v>0.93600000000000005</v>
      </c>
      <c r="Z18">
        <v>2621.59</v>
      </c>
      <c r="AA18">
        <v>2187.39</v>
      </c>
      <c r="AB18">
        <v>108.8</v>
      </c>
      <c r="AC18">
        <v>55</v>
      </c>
      <c r="AD18" s="41">
        <f t="shared" si="6"/>
        <v>0.32804519394718468</v>
      </c>
      <c r="AE18" s="41">
        <f t="shared" si="7"/>
        <v>0.39316262760641679</v>
      </c>
      <c r="AF18">
        <f t="shared" si="8"/>
        <v>1.9999984210526314</v>
      </c>
      <c r="AG18">
        <f t="shared" si="9"/>
        <v>2.5485254736842097E-2</v>
      </c>
      <c r="AH18">
        <f t="shared" si="10"/>
        <v>1.0880000000000001</v>
      </c>
      <c r="AI18">
        <f>HLOOKUP(HLOOKUP(G18,'THP2'!$B$4:$J$8,5,FALSE),'Fuel &amp; Resister'!$B$3:$G$6,4,FALSE)</f>
        <v>2.2642399999999996</v>
      </c>
      <c r="AJ18" s="41">
        <f>HLOOKUP(HLOOKUP(G18,'THP2'!$B$4:$J$8,5,FALSE),'Fuel &amp; Resister'!$B$3:$G$6,3,FALSE)</f>
        <v>6.3540000000000001</v>
      </c>
      <c r="AO18" s="62">
        <v>0</v>
      </c>
      <c r="AP18" s="62">
        <v>0</v>
      </c>
    </row>
    <row r="19" spans="1:42" x14ac:dyDescent="0.15">
      <c r="B19" s="43" t="s">
        <v>586</v>
      </c>
      <c r="C19" s="61">
        <f>VLOOKUP(B19,[1]SYS!$F$5:$G$359,2,FALSE)</f>
        <v>46</v>
      </c>
      <c r="D19" s="1" t="s">
        <v>23</v>
      </c>
      <c r="E19" s="65" t="s">
        <v>68</v>
      </c>
      <c r="F19" s="63" t="s">
        <v>533</v>
      </c>
      <c r="G19" s="1">
        <v>1</v>
      </c>
      <c r="H19" s="1">
        <f t="shared" si="1"/>
        <v>0.30181818181818182</v>
      </c>
      <c r="I19" s="1">
        <f t="shared" si="2"/>
        <v>0.27500000000000002</v>
      </c>
      <c r="J19" s="1">
        <f t="shared" si="0"/>
        <v>6.2000000000000055E-2</v>
      </c>
      <c r="K19" s="1">
        <f t="shared" si="3"/>
        <v>2.6271900000000001</v>
      </c>
      <c r="L19" s="1">
        <f t="shared" si="4"/>
        <v>2.1920700000000002</v>
      </c>
      <c r="M19" s="49">
        <f t="shared" si="5"/>
        <v>1.8817696785507079</v>
      </c>
      <c r="N19" s="49">
        <v>2.4525000000000001</v>
      </c>
      <c r="O19" s="1">
        <v>1202</v>
      </c>
      <c r="P19" s="51">
        <v>0</v>
      </c>
      <c r="Q19" s="51">
        <v>8</v>
      </c>
      <c r="R19" s="51">
        <v>1</v>
      </c>
      <c r="S19" s="1">
        <v>1</v>
      </c>
      <c r="T19" s="1">
        <v>0</v>
      </c>
      <c r="U19" s="47">
        <v>1</v>
      </c>
      <c r="V19" s="47">
        <v>18</v>
      </c>
      <c r="W19" s="41">
        <v>83</v>
      </c>
      <c r="X19">
        <v>275</v>
      </c>
      <c r="Y19">
        <v>0.93799999999999994</v>
      </c>
      <c r="Z19">
        <v>2627.19</v>
      </c>
      <c r="AA19">
        <v>2192.0700000000002</v>
      </c>
      <c r="AB19">
        <v>245.25</v>
      </c>
      <c r="AC19">
        <v>55</v>
      </c>
      <c r="AD19" s="41">
        <f t="shared" si="6"/>
        <v>0.32734594757135954</v>
      </c>
      <c r="AE19" s="41">
        <f t="shared" si="7"/>
        <v>0.39232323785280576</v>
      </c>
      <c r="AF19">
        <f t="shared" si="8"/>
        <v>2.0039712499999998</v>
      </c>
      <c r="AG19">
        <f t="shared" si="9"/>
        <v>5.1727156250000121E-2</v>
      </c>
      <c r="AH19">
        <f t="shared" si="10"/>
        <v>2.4525000000000001</v>
      </c>
      <c r="AI19">
        <f>HLOOKUP(HLOOKUP(G19,'THP2'!$B$4:$J$8,5,FALSE),'Fuel &amp; Resister'!$B$3:$G$6,4,FALSE)</f>
        <v>2.2642399999999996</v>
      </c>
      <c r="AJ19" s="41">
        <f>HLOOKUP(HLOOKUP(G19,'THP2'!$B$4:$J$8,5,FALSE),'Fuel &amp; Resister'!$B$3:$G$6,3,FALSE)</f>
        <v>6.3540000000000001</v>
      </c>
      <c r="AO19" s="1">
        <v>1</v>
      </c>
      <c r="AP19" s="1">
        <v>1</v>
      </c>
    </row>
    <row r="20" spans="1:42" x14ac:dyDescent="0.15">
      <c r="B20" s="43" t="s">
        <v>589</v>
      </c>
      <c r="C20" s="61">
        <f>VLOOKUP(B20,[1]SYS!$F$5:$G$359,2,FALSE)</f>
        <v>59</v>
      </c>
      <c r="D20" s="1" t="s">
        <v>23</v>
      </c>
      <c r="E20" s="65" t="s">
        <v>69</v>
      </c>
      <c r="F20" s="63" t="s">
        <v>498</v>
      </c>
      <c r="G20" s="1">
        <v>1</v>
      </c>
      <c r="H20" s="1">
        <f t="shared" si="1"/>
        <v>0.30201342281879195</v>
      </c>
      <c r="I20" s="1">
        <f t="shared" si="2"/>
        <v>0.14899999999999999</v>
      </c>
      <c r="J20" s="1">
        <f t="shared" si="0"/>
        <v>6.0000000000000053E-2</v>
      </c>
      <c r="K20" s="1">
        <f t="shared" si="3"/>
        <v>2.6328</v>
      </c>
      <c r="L20" s="1">
        <f t="shared" si="4"/>
        <v>2.1967399999999997</v>
      </c>
      <c r="M20" s="49">
        <f t="shared" si="5"/>
        <v>1.0217491392739411</v>
      </c>
      <c r="N20" s="49">
        <v>1.1919999999999999</v>
      </c>
      <c r="O20" s="1">
        <v>603</v>
      </c>
      <c r="P20" s="51">
        <v>0</v>
      </c>
      <c r="Q20" s="51">
        <v>8</v>
      </c>
      <c r="R20" s="51">
        <v>1</v>
      </c>
      <c r="S20" s="1">
        <v>1</v>
      </c>
      <c r="T20" s="1">
        <v>0</v>
      </c>
      <c r="U20" s="47">
        <v>1</v>
      </c>
      <c r="V20" s="47">
        <v>19</v>
      </c>
      <c r="W20" s="41">
        <v>45</v>
      </c>
      <c r="X20">
        <v>149</v>
      </c>
      <c r="Y20">
        <v>0.94</v>
      </c>
      <c r="Z20">
        <v>2632.8</v>
      </c>
      <c r="AA20">
        <v>2196.7399999999998</v>
      </c>
      <c r="AB20">
        <v>119.2</v>
      </c>
      <c r="AC20">
        <v>55</v>
      </c>
      <c r="AD20" s="41">
        <f t="shared" si="6"/>
        <v>0.32664843512610148</v>
      </c>
      <c r="AE20" s="41">
        <f t="shared" si="7"/>
        <v>0.39148920673361437</v>
      </c>
      <c r="AF20">
        <f t="shared" si="8"/>
        <v>2.0080601923076919</v>
      </c>
      <c r="AG20">
        <f t="shared" si="9"/>
        <v>2.8113291346153854E-2</v>
      </c>
      <c r="AH20">
        <f t="shared" si="10"/>
        <v>1.1919999999999999</v>
      </c>
      <c r="AI20">
        <f>HLOOKUP(HLOOKUP(G20,'THP2'!$B$4:$J$8,5,FALSE),'Fuel &amp; Resister'!$B$3:$G$6,4,FALSE)</f>
        <v>2.2642399999999996</v>
      </c>
      <c r="AJ20" s="41">
        <f>HLOOKUP(HLOOKUP(G20,'THP2'!$B$4:$J$8,5,FALSE),'Fuel &amp; Resister'!$B$3:$G$6,3,FALSE)</f>
        <v>6.3540000000000001</v>
      </c>
      <c r="AO20" s="1">
        <v>1</v>
      </c>
      <c r="AP20" s="1">
        <v>1</v>
      </c>
    </row>
    <row r="21" spans="1:42" x14ac:dyDescent="0.15">
      <c r="B21" s="43" t="s">
        <v>587</v>
      </c>
      <c r="C21" s="61">
        <f>VLOOKUP(B21,[1]SYS!$F$5:$G$359,2,FALSE)</f>
        <v>47</v>
      </c>
      <c r="D21" s="1" t="s">
        <v>23</v>
      </c>
      <c r="E21" s="65" t="s">
        <v>70</v>
      </c>
      <c r="F21" s="63" t="s">
        <v>502</v>
      </c>
      <c r="G21" s="1">
        <v>1</v>
      </c>
      <c r="H21" s="1">
        <f t="shared" si="1"/>
        <v>0.30357142857142855</v>
      </c>
      <c r="I21" s="1">
        <f t="shared" si="2"/>
        <v>5.6000000000000001E-2</v>
      </c>
      <c r="J21" s="1">
        <f t="shared" si="0"/>
        <v>0.4</v>
      </c>
      <c r="K21" s="1">
        <f t="shared" si="3"/>
        <v>2.94489</v>
      </c>
      <c r="L21" s="1">
        <f t="shared" si="4"/>
        <v>2.4571399999999999</v>
      </c>
      <c r="M21" s="49">
        <f t="shared" si="5"/>
        <v>0.42953373948398094</v>
      </c>
      <c r="N21" s="49">
        <v>0.44799999999999995</v>
      </c>
      <c r="O21" s="1">
        <v>601</v>
      </c>
      <c r="P21" s="51">
        <v>0</v>
      </c>
      <c r="Q21" s="51">
        <v>8</v>
      </c>
      <c r="R21" s="51">
        <v>1</v>
      </c>
      <c r="S21" s="1">
        <v>1</v>
      </c>
      <c r="T21" s="1">
        <v>0</v>
      </c>
      <c r="U21" s="47">
        <v>1</v>
      </c>
      <c r="V21" s="47">
        <v>20</v>
      </c>
      <c r="W21" s="41">
        <v>17</v>
      </c>
      <c r="X21">
        <v>56</v>
      </c>
      <c r="Y21">
        <v>0.6</v>
      </c>
      <c r="Z21">
        <v>2944.89</v>
      </c>
      <c r="AA21">
        <v>2457.14</v>
      </c>
      <c r="AB21">
        <v>44.8</v>
      </c>
      <c r="AC21">
        <v>55</v>
      </c>
      <c r="AD21" s="41">
        <f t="shared" si="6"/>
        <v>0.29203128130422529</v>
      </c>
      <c r="AE21" s="41">
        <f t="shared" si="7"/>
        <v>0.35000040697721746</v>
      </c>
      <c r="AF21">
        <f t="shared" si="8"/>
        <v>2.2445310256410256</v>
      </c>
      <c r="AG21">
        <f t="shared" si="9"/>
        <v>1.1906102564102562E-2</v>
      </c>
      <c r="AH21">
        <f t="shared" si="10"/>
        <v>0.44799999999999995</v>
      </c>
      <c r="AI21">
        <f>HLOOKUP(HLOOKUP(G21,'THP2'!$B$4:$J$8,5,FALSE),'Fuel &amp; Resister'!$B$3:$G$6,4,FALSE)</f>
        <v>2.2642399999999996</v>
      </c>
      <c r="AJ21" s="41">
        <f>HLOOKUP(HLOOKUP(G21,'THP2'!$B$4:$J$8,5,FALSE),'Fuel &amp; Resister'!$B$3:$G$6,3,FALSE)</f>
        <v>6.3540000000000001</v>
      </c>
      <c r="AO21" s="1">
        <v>1</v>
      </c>
      <c r="AP21" s="1">
        <v>1</v>
      </c>
    </row>
    <row r="22" spans="1:42" x14ac:dyDescent="0.15">
      <c r="B22" s="43" t="s">
        <v>590</v>
      </c>
      <c r="C22" s="61">
        <f>VLOOKUP(B22,[1]SYS!$F$5:$G$359,2,FALSE)</f>
        <v>64</v>
      </c>
      <c r="D22" s="1" t="s">
        <v>23</v>
      </c>
      <c r="E22" s="42" t="s">
        <v>71</v>
      </c>
      <c r="F22" s="42"/>
      <c r="G22" s="1">
        <v>1</v>
      </c>
      <c r="H22" s="1">
        <f t="shared" si="1"/>
        <v>0.3</v>
      </c>
      <c r="I22" s="1">
        <f t="shared" si="2"/>
        <v>1</v>
      </c>
      <c r="J22" s="1">
        <f t="shared" si="0"/>
        <v>6.2000000000000055E-2</v>
      </c>
      <c r="K22" s="1">
        <f t="shared" si="3"/>
        <v>2.40035</v>
      </c>
      <c r="L22" s="1">
        <f t="shared" si="4"/>
        <v>2.0027900000000001</v>
      </c>
      <c r="M22" s="49">
        <f t="shared" si="5"/>
        <v>6.2519395233389989</v>
      </c>
      <c r="N22" s="49">
        <v>15</v>
      </c>
      <c r="O22" s="1">
        <v>403</v>
      </c>
      <c r="P22" s="51">
        <v>0.05</v>
      </c>
      <c r="Q22" s="51">
        <v>8</v>
      </c>
      <c r="R22" s="51">
        <v>1</v>
      </c>
      <c r="S22" s="1">
        <v>1</v>
      </c>
      <c r="T22" s="1">
        <v>0</v>
      </c>
      <c r="U22" s="47">
        <v>0</v>
      </c>
      <c r="V22" s="47">
        <v>21</v>
      </c>
      <c r="W22" s="41">
        <v>300</v>
      </c>
      <c r="X22">
        <v>1000</v>
      </c>
      <c r="Y22">
        <v>0.93799999999999994</v>
      </c>
      <c r="Z22">
        <v>2400.35</v>
      </c>
      <c r="AA22">
        <v>2002.79</v>
      </c>
      <c r="AB22">
        <v>1500</v>
      </c>
      <c r="AC22">
        <v>55</v>
      </c>
      <c r="AD22" s="41">
        <f t="shared" si="6"/>
        <v>0.35828108400858211</v>
      </c>
      <c r="AE22" s="41">
        <f t="shared" si="7"/>
        <v>0.42940098562505302</v>
      </c>
      <c r="AF22">
        <f t="shared" si="8"/>
        <v>1.8324071428571431</v>
      </c>
      <c r="AG22">
        <f t="shared" si="9"/>
        <v>0.17038285714285695</v>
      </c>
      <c r="AH22">
        <f t="shared" si="10"/>
        <v>15</v>
      </c>
      <c r="AI22">
        <f>HLOOKUP(HLOOKUP(G22,'THP2'!$B$4:$J$8,5,FALSE),'Fuel &amp; Resister'!$B$3:$G$6,4,FALSE)</f>
        <v>2.2642399999999996</v>
      </c>
      <c r="AJ22" s="41">
        <f>HLOOKUP(HLOOKUP(G22,'THP2'!$B$4:$J$8,5,FALSE),'Fuel &amp; Resister'!$B$3:$G$6,3,FALSE)</f>
        <v>6.3540000000000001</v>
      </c>
      <c r="AO22" s="62">
        <v>0</v>
      </c>
      <c r="AP22" s="62">
        <v>0</v>
      </c>
    </row>
    <row r="23" spans="1:42" x14ac:dyDescent="0.15">
      <c r="B23" s="43" t="s">
        <v>590</v>
      </c>
      <c r="C23" s="61">
        <f>VLOOKUP(B23,[1]SYS!$F$5:$G$359,2,FALSE)</f>
        <v>64</v>
      </c>
      <c r="D23" s="1" t="s">
        <v>23</v>
      </c>
      <c r="E23" s="42" t="s">
        <v>71</v>
      </c>
      <c r="F23" s="42"/>
      <c r="G23" s="1">
        <v>1</v>
      </c>
      <c r="H23" s="1">
        <f t="shared" si="1"/>
        <v>0.3</v>
      </c>
      <c r="I23" s="1">
        <f t="shared" si="2"/>
        <v>1</v>
      </c>
      <c r="J23" s="1">
        <f t="shared" si="0"/>
        <v>6.2000000000000055E-2</v>
      </c>
      <c r="K23" s="1">
        <f t="shared" si="3"/>
        <v>2.40035</v>
      </c>
      <c r="L23" s="1">
        <f t="shared" si="4"/>
        <v>2.0027900000000001</v>
      </c>
      <c r="M23" s="49">
        <f t="shared" si="5"/>
        <v>6.2519395233389989</v>
      </c>
      <c r="N23" s="49">
        <v>15</v>
      </c>
      <c r="O23" s="1">
        <v>504</v>
      </c>
      <c r="P23" s="51">
        <v>0.05</v>
      </c>
      <c r="Q23" s="51">
        <v>8</v>
      </c>
      <c r="R23" s="51">
        <v>1</v>
      </c>
      <c r="S23" s="1">
        <v>1</v>
      </c>
      <c r="T23" s="1">
        <v>0</v>
      </c>
      <c r="U23" s="47">
        <v>0</v>
      </c>
      <c r="V23" s="47">
        <v>22</v>
      </c>
      <c r="W23" s="41">
        <v>300</v>
      </c>
      <c r="X23">
        <v>1000</v>
      </c>
      <c r="Y23">
        <v>0.93799999999999994</v>
      </c>
      <c r="Z23">
        <v>2400.35</v>
      </c>
      <c r="AA23">
        <v>2002.79</v>
      </c>
      <c r="AB23">
        <v>1500</v>
      </c>
      <c r="AC23">
        <v>55</v>
      </c>
      <c r="AD23" s="41">
        <f t="shared" si="6"/>
        <v>0.35828108400858211</v>
      </c>
      <c r="AE23" s="41">
        <f t="shared" si="7"/>
        <v>0.42940098562505302</v>
      </c>
      <c r="AF23">
        <f t="shared" si="8"/>
        <v>1.8324071428571431</v>
      </c>
      <c r="AG23">
        <f t="shared" si="9"/>
        <v>0.17038285714285695</v>
      </c>
      <c r="AH23">
        <f t="shared" si="10"/>
        <v>15</v>
      </c>
      <c r="AI23">
        <f>HLOOKUP(HLOOKUP(G23,'THP2'!$B$4:$J$8,5,FALSE),'Fuel &amp; Resister'!$B$3:$G$6,4,FALSE)</f>
        <v>2.2642399999999996</v>
      </c>
      <c r="AJ23" s="41">
        <f>HLOOKUP(HLOOKUP(G23,'THP2'!$B$4:$J$8,5,FALSE),'Fuel &amp; Resister'!$B$3:$G$6,3,FALSE)</f>
        <v>6.3540000000000001</v>
      </c>
      <c r="AO23" s="62">
        <v>0</v>
      </c>
      <c r="AP23" s="62">
        <v>0</v>
      </c>
    </row>
    <row r="24" spans="1:42" x14ac:dyDescent="0.15">
      <c r="B24" s="43" t="s">
        <v>590</v>
      </c>
      <c r="C24" s="61">
        <f>VLOOKUP(B24,[1]SYS!$F$5:$G$359,2,FALSE)</f>
        <v>64</v>
      </c>
      <c r="D24" s="1" t="s">
        <v>23</v>
      </c>
      <c r="E24" s="42" t="s">
        <v>71</v>
      </c>
      <c r="F24" s="42"/>
      <c r="G24" s="1">
        <v>1</v>
      </c>
      <c r="H24" s="1">
        <f t="shared" si="1"/>
        <v>0.3</v>
      </c>
      <c r="I24" s="1">
        <f t="shared" si="2"/>
        <v>1</v>
      </c>
      <c r="J24" s="1">
        <f t="shared" si="0"/>
        <v>6.2000000000000055E-2</v>
      </c>
      <c r="K24" s="1">
        <f t="shared" si="3"/>
        <v>2.40035</v>
      </c>
      <c r="L24" s="1">
        <f t="shared" si="4"/>
        <v>2.0027900000000001</v>
      </c>
      <c r="M24" s="49">
        <f t="shared" si="5"/>
        <v>6.2519395233389989</v>
      </c>
      <c r="N24" s="49">
        <v>15</v>
      </c>
      <c r="O24" s="1">
        <v>403</v>
      </c>
      <c r="P24" s="51">
        <v>0.05</v>
      </c>
      <c r="Q24" s="51">
        <v>8</v>
      </c>
      <c r="R24" s="51">
        <v>1</v>
      </c>
      <c r="S24" s="1">
        <v>1</v>
      </c>
      <c r="T24" s="1">
        <v>0</v>
      </c>
      <c r="U24" s="47">
        <v>0</v>
      </c>
      <c r="V24" s="47">
        <v>23</v>
      </c>
      <c r="W24" s="41">
        <v>300</v>
      </c>
      <c r="X24">
        <v>1000</v>
      </c>
      <c r="Y24">
        <v>0.93799999999999994</v>
      </c>
      <c r="Z24">
        <v>2400.35</v>
      </c>
      <c r="AA24">
        <v>2002.79</v>
      </c>
      <c r="AB24">
        <v>1500</v>
      </c>
      <c r="AC24">
        <v>55</v>
      </c>
      <c r="AD24" s="41">
        <f t="shared" si="6"/>
        <v>0.35828108400858211</v>
      </c>
      <c r="AE24" s="41">
        <f t="shared" si="7"/>
        <v>0.42940098562505302</v>
      </c>
      <c r="AF24">
        <f t="shared" si="8"/>
        <v>1.8324071428571431</v>
      </c>
      <c r="AG24">
        <f t="shared" si="9"/>
        <v>0.17038285714285695</v>
      </c>
      <c r="AH24">
        <f t="shared" si="10"/>
        <v>15</v>
      </c>
      <c r="AI24">
        <f>HLOOKUP(HLOOKUP(G24,'THP2'!$B$4:$J$8,5,FALSE),'Fuel &amp; Resister'!$B$3:$G$6,4,FALSE)</f>
        <v>2.2642399999999996</v>
      </c>
      <c r="AJ24" s="41">
        <f>HLOOKUP(HLOOKUP(G24,'THP2'!$B$4:$J$8,5,FALSE),'Fuel &amp; Resister'!$B$3:$G$6,3,FALSE)</f>
        <v>6.3540000000000001</v>
      </c>
      <c r="AO24" s="62">
        <v>0</v>
      </c>
      <c r="AP24" s="62">
        <v>0</v>
      </c>
    </row>
    <row r="25" spans="1:42" x14ac:dyDescent="0.15">
      <c r="B25" s="43" t="s">
        <v>590</v>
      </c>
      <c r="C25" s="61">
        <f>VLOOKUP(B25,[1]SYS!$F$5:$G$359,2,FALSE)</f>
        <v>64</v>
      </c>
      <c r="D25" s="1" t="s">
        <v>23</v>
      </c>
      <c r="E25" s="42" t="s">
        <v>71</v>
      </c>
      <c r="F25" s="42"/>
      <c r="G25" s="1">
        <v>1</v>
      </c>
      <c r="H25" s="1">
        <f t="shared" si="1"/>
        <v>0.3</v>
      </c>
      <c r="I25" s="1">
        <f t="shared" si="2"/>
        <v>1</v>
      </c>
      <c r="J25" s="1">
        <f t="shared" si="0"/>
        <v>6.2000000000000055E-2</v>
      </c>
      <c r="K25" s="1">
        <f t="shared" si="3"/>
        <v>2.40035</v>
      </c>
      <c r="L25" s="1">
        <f t="shared" si="4"/>
        <v>2.0027900000000001</v>
      </c>
      <c r="M25" s="49">
        <f t="shared" si="5"/>
        <v>6.2519395233389989</v>
      </c>
      <c r="N25" s="49">
        <v>15</v>
      </c>
      <c r="O25" s="1">
        <v>504</v>
      </c>
      <c r="P25" s="51">
        <v>0.05</v>
      </c>
      <c r="Q25" s="51">
        <v>8</v>
      </c>
      <c r="R25" s="51">
        <v>1</v>
      </c>
      <c r="S25" s="1">
        <v>1</v>
      </c>
      <c r="T25" s="1">
        <v>0</v>
      </c>
      <c r="U25" s="47">
        <v>0</v>
      </c>
      <c r="V25" s="47">
        <v>24</v>
      </c>
      <c r="W25" s="41">
        <v>300</v>
      </c>
      <c r="X25">
        <v>1000</v>
      </c>
      <c r="Y25">
        <v>0.93799999999999994</v>
      </c>
      <c r="Z25">
        <v>2400.35</v>
      </c>
      <c r="AA25">
        <v>2002.79</v>
      </c>
      <c r="AB25">
        <v>1500</v>
      </c>
      <c r="AC25">
        <v>55</v>
      </c>
      <c r="AD25" s="41">
        <f t="shared" si="6"/>
        <v>0.35828108400858211</v>
      </c>
      <c r="AE25" s="41">
        <f t="shared" si="7"/>
        <v>0.42940098562505302</v>
      </c>
      <c r="AF25">
        <f t="shared" si="8"/>
        <v>1.8324071428571431</v>
      </c>
      <c r="AG25">
        <f t="shared" si="9"/>
        <v>0.17038285714285695</v>
      </c>
      <c r="AH25">
        <f t="shared" si="10"/>
        <v>15</v>
      </c>
      <c r="AI25">
        <f>HLOOKUP(HLOOKUP(G25,'THP2'!$B$4:$J$8,5,FALSE),'Fuel &amp; Resister'!$B$3:$G$6,4,FALSE)</f>
        <v>2.2642399999999996</v>
      </c>
      <c r="AJ25" s="41">
        <f>HLOOKUP(HLOOKUP(G25,'THP2'!$B$4:$J$8,5,FALSE),'Fuel &amp; Resister'!$B$3:$G$6,3,FALSE)</f>
        <v>6.3540000000000001</v>
      </c>
      <c r="AO25" s="62">
        <v>0</v>
      </c>
      <c r="AP25" s="62">
        <v>0</v>
      </c>
    </row>
    <row r="26" spans="1:42" x14ac:dyDescent="0.15">
      <c r="B26" s="43" t="s">
        <v>590</v>
      </c>
      <c r="C26" s="61">
        <f>VLOOKUP(B26,[1]SYS!$F$5:$G$359,2,FALSE)</f>
        <v>64</v>
      </c>
      <c r="D26" s="1" t="s">
        <v>23</v>
      </c>
      <c r="E26" s="42" t="s">
        <v>71</v>
      </c>
      <c r="F26" s="42"/>
      <c r="G26" s="1">
        <v>1</v>
      </c>
      <c r="H26" s="1">
        <f t="shared" si="1"/>
        <v>0.3</v>
      </c>
      <c r="I26" s="1">
        <f t="shared" si="2"/>
        <v>1</v>
      </c>
      <c r="J26" s="1">
        <f t="shared" si="0"/>
        <v>6.2000000000000055E-2</v>
      </c>
      <c r="K26" s="1">
        <f t="shared" si="3"/>
        <v>2.40035</v>
      </c>
      <c r="L26" s="1">
        <f t="shared" si="4"/>
        <v>2.0027900000000001</v>
      </c>
      <c r="M26" s="49">
        <f t="shared" si="5"/>
        <v>6.2519395233389989</v>
      </c>
      <c r="N26" s="49">
        <v>15</v>
      </c>
      <c r="O26" s="1">
        <v>403</v>
      </c>
      <c r="P26" s="51">
        <v>0.05</v>
      </c>
      <c r="Q26" s="51">
        <v>8</v>
      </c>
      <c r="R26" s="51">
        <v>1</v>
      </c>
      <c r="S26" s="1">
        <v>1</v>
      </c>
      <c r="T26" s="1">
        <v>0</v>
      </c>
      <c r="U26" s="47">
        <v>0</v>
      </c>
      <c r="V26" s="47">
        <v>25</v>
      </c>
      <c r="W26" s="41">
        <v>300</v>
      </c>
      <c r="X26">
        <v>1000</v>
      </c>
      <c r="Y26">
        <v>0.93799999999999994</v>
      </c>
      <c r="Z26">
        <v>2400.35</v>
      </c>
      <c r="AA26">
        <v>2002.79</v>
      </c>
      <c r="AB26">
        <v>1500</v>
      </c>
      <c r="AC26">
        <v>55</v>
      </c>
      <c r="AD26" s="41">
        <f t="shared" si="6"/>
        <v>0.35828108400858211</v>
      </c>
      <c r="AE26" s="41">
        <f t="shared" si="7"/>
        <v>0.42940098562505302</v>
      </c>
      <c r="AF26">
        <f t="shared" si="8"/>
        <v>1.8324071428571431</v>
      </c>
      <c r="AG26">
        <f t="shared" si="9"/>
        <v>0.17038285714285695</v>
      </c>
      <c r="AH26">
        <f t="shared" si="10"/>
        <v>15</v>
      </c>
      <c r="AI26">
        <f>HLOOKUP(HLOOKUP(G26,'THP2'!$B$4:$J$8,5,FALSE),'Fuel &amp; Resister'!$B$3:$G$6,4,FALSE)</f>
        <v>2.2642399999999996</v>
      </c>
      <c r="AJ26" s="41">
        <f>HLOOKUP(HLOOKUP(G26,'THP2'!$B$4:$J$8,5,FALSE),'Fuel &amp; Resister'!$B$3:$G$6,3,FALSE)</f>
        <v>6.3540000000000001</v>
      </c>
      <c r="AO26" s="62">
        <v>0</v>
      </c>
      <c r="AP26" s="62">
        <v>0</v>
      </c>
    </row>
    <row r="27" spans="1:42" x14ac:dyDescent="0.15">
      <c r="B27" s="43" t="s">
        <v>590</v>
      </c>
      <c r="C27" s="61">
        <f>VLOOKUP(B27,[1]SYS!$F$5:$G$359,2,FALSE)</f>
        <v>64</v>
      </c>
      <c r="D27" s="1" t="s">
        <v>23</v>
      </c>
      <c r="E27" s="42" t="s">
        <v>71</v>
      </c>
      <c r="F27" s="42"/>
      <c r="G27" s="1">
        <v>1</v>
      </c>
      <c r="H27" s="1">
        <f t="shared" si="1"/>
        <v>0.3</v>
      </c>
      <c r="I27" s="1">
        <f t="shared" si="2"/>
        <v>1</v>
      </c>
      <c r="J27" s="1">
        <f t="shared" si="0"/>
        <v>6.2000000000000055E-2</v>
      </c>
      <c r="K27" s="1">
        <f t="shared" si="3"/>
        <v>2.40035</v>
      </c>
      <c r="L27" s="1">
        <f t="shared" si="4"/>
        <v>2.0027900000000001</v>
      </c>
      <c r="M27" s="49">
        <f t="shared" si="5"/>
        <v>6.2519395233389989</v>
      </c>
      <c r="N27" s="49">
        <v>15</v>
      </c>
      <c r="O27" s="1">
        <v>504</v>
      </c>
      <c r="P27" s="51">
        <v>0.05</v>
      </c>
      <c r="Q27" s="51">
        <v>8</v>
      </c>
      <c r="R27" s="51">
        <v>1</v>
      </c>
      <c r="S27" s="1">
        <v>1</v>
      </c>
      <c r="T27" s="1">
        <v>0</v>
      </c>
      <c r="U27" s="47">
        <v>0</v>
      </c>
      <c r="V27" s="47">
        <v>26</v>
      </c>
      <c r="W27" s="41">
        <v>300</v>
      </c>
      <c r="X27">
        <v>1000</v>
      </c>
      <c r="Y27">
        <v>0.93799999999999994</v>
      </c>
      <c r="Z27">
        <v>2400.35</v>
      </c>
      <c r="AA27">
        <v>2002.79</v>
      </c>
      <c r="AB27">
        <v>1500</v>
      </c>
      <c r="AC27">
        <v>55</v>
      </c>
      <c r="AD27" s="41">
        <f t="shared" si="6"/>
        <v>0.35828108400858211</v>
      </c>
      <c r="AE27" s="41">
        <f t="shared" si="7"/>
        <v>0.42940098562505302</v>
      </c>
      <c r="AF27">
        <f t="shared" si="8"/>
        <v>1.8324071428571431</v>
      </c>
      <c r="AG27">
        <f t="shared" si="9"/>
        <v>0.17038285714285695</v>
      </c>
      <c r="AH27">
        <f t="shared" si="10"/>
        <v>15</v>
      </c>
      <c r="AI27">
        <f>HLOOKUP(HLOOKUP(G27,'THP2'!$B$4:$J$8,5,FALSE),'Fuel &amp; Resister'!$B$3:$G$6,4,FALSE)</f>
        <v>2.2642399999999996</v>
      </c>
      <c r="AJ27" s="41">
        <f>HLOOKUP(HLOOKUP(G27,'THP2'!$B$4:$J$8,5,FALSE),'Fuel &amp; Resister'!$B$3:$G$6,3,FALSE)</f>
        <v>6.3540000000000001</v>
      </c>
      <c r="AO27" s="62">
        <v>0</v>
      </c>
      <c r="AP27" s="62">
        <v>0</v>
      </c>
    </row>
    <row r="28" spans="1:42" x14ac:dyDescent="0.15">
      <c r="B28" s="43" t="s">
        <v>590</v>
      </c>
      <c r="C28" s="61">
        <f>VLOOKUP(B28,[1]SYS!$F$5:$G$359,2,FALSE)</f>
        <v>64</v>
      </c>
      <c r="D28" s="1" t="s">
        <v>23</v>
      </c>
      <c r="E28" s="42" t="s">
        <v>71</v>
      </c>
      <c r="F28" s="42"/>
      <c r="G28" s="1">
        <v>1</v>
      </c>
      <c r="H28" s="1">
        <f t="shared" si="1"/>
        <v>0.3</v>
      </c>
      <c r="I28" s="1">
        <f t="shared" si="2"/>
        <v>1</v>
      </c>
      <c r="J28" s="1">
        <f t="shared" si="0"/>
        <v>6.2000000000000055E-2</v>
      </c>
      <c r="K28" s="1">
        <f t="shared" si="3"/>
        <v>2.40035</v>
      </c>
      <c r="L28" s="1">
        <f t="shared" si="4"/>
        <v>2.0027900000000001</v>
      </c>
      <c r="M28" s="49">
        <f t="shared" si="5"/>
        <v>6.2519395233389989</v>
      </c>
      <c r="N28" s="49">
        <v>15</v>
      </c>
      <c r="O28" s="1">
        <v>403</v>
      </c>
      <c r="P28" s="51">
        <v>0.05</v>
      </c>
      <c r="Q28" s="51">
        <v>8</v>
      </c>
      <c r="R28" s="51">
        <v>1</v>
      </c>
      <c r="S28" s="1">
        <v>1</v>
      </c>
      <c r="T28" s="1">
        <v>0</v>
      </c>
      <c r="U28" s="47">
        <v>0</v>
      </c>
      <c r="V28" s="47">
        <v>27</v>
      </c>
      <c r="W28" s="41">
        <v>300</v>
      </c>
      <c r="X28">
        <v>1000</v>
      </c>
      <c r="Y28">
        <v>0.93799999999999994</v>
      </c>
      <c r="Z28">
        <v>2400.35</v>
      </c>
      <c r="AA28">
        <v>2002.79</v>
      </c>
      <c r="AB28">
        <v>1500</v>
      </c>
      <c r="AC28">
        <v>55</v>
      </c>
      <c r="AD28" s="41">
        <f t="shared" si="6"/>
        <v>0.35828108400858211</v>
      </c>
      <c r="AE28" s="41">
        <f t="shared" si="7"/>
        <v>0.42940098562505302</v>
      </c>
      <c r="AF28">
        <f t="shared" si="8"/>
        <v>1.8324071428571431</v>
      </c>
      <c r="AG28">
        <f t="shared" si="9"/>
        <v>0.17038285714285695</v>
      </c>
      <c r="AH28">
        <f t="shared" si="10"/>
        <v>15</v>
      </c>
      <c r="AI28">
        <f>HLOOKUP(HLOOKUP(G28,'THP2'!$B$4:$J$8,5,FALSE),'Fuel &amp; Resister'!$B$3:$G$6,4,FALSE)</f>
        <v>2.2642399999999996</v>
      </c>
      <c r="AJ28" s="41">
        <f>HLOOKUP(HLOOKUP(G28,'THP2'!$B$4:$J$8,5,FALSE),'Fuel &amp; Resister'!$B$3:$G$6,3,FALSE)</f>
        <v>6.3540000000000001</v>
      </c>
      <c r="AO28" s="62">
        <v>0</v>
      </c>
      <c r="AP28" s="62">
        <v>0</v>
      </c>
    </row>
    <row r="29" spans="1:42" x14ac:dyDescent="0.15">
      <c r="B29" s="43" t="s">
        <v>590</v>
      </c>
      <c r="C29" s="61">
        <f>VLOOKUP(B29,[1]SYS!$F$5:$G$359,2,FALSE)</f>
        <v>64</v>
      </c>
      <c r="D29" s="1" t="s">
        <v>23</v>
      </c>
      <c r="E29" s="42" t="s">
        <v>71</v>
      </c>
      <c r="F29" s="42"/>
      <c r="G29" s="1">
        <v>1</v>
      </c>
      <c r="H29" s="1">
        <f t="shared" si="1"/>
        <v>0.3</v>
      </c>
      <c r="I29" s="1">
        <f t="shared" si="2"/>
        <v>1</v>
      </c>
      <c r="J29" s="1">
        <f t="shared" si="0"/>
        <v>6.2000000000000055E-2</v>
      </c>
      <c r="K29" s="1">
        <f t="shared" si="3"/>
        <v>2.40035</v>
      </c>
      <c r="L29" s="1">
        <f t="shared" si="4"/>
        <v>2.0027900000000001</v>
      </c>
      <c r="M29" s="49">
        <f t="shared" si="5"/>
        <v>6.2519395233389989</v>
      </c>
      <c r="N29" s="49">
        <v>15</v>
      </c>
      <c r="O29" s="1">
        <v>403</v>
      </c>
      <c r="P29" s="51">
        <v>0.05</v>
      </c>
      <c r="Q29" s="51">
        <v>8</v>
      </c>
      <c r="R29" s="51">
        <v>1</v>
      </c>
      <c r="S29" s="1">
        <v>1</v>
      </c>
      <c r="T29" s="1">
        <v>0</v>
      </c>
      <c r="U29" s="47">
        <v>0</v>
      </c>
      <c r="V29" s="47">
        <v>28</v>
      </c>
      <c r="W29" s="41">
        <v>300</v>
      </c>
      <c r="X29">
        <v>1000</v>
      </c>
      <c r="Y29">
        <v>0.93799999999999994</v>
      </c>
      <c r="Z29">
        <v>2400.35</v>
      </c>
      <c r="AA29">
        <v>2002.79</v>
      </c>
      <c r="AB29">
        <v>1500</v>
      </c>
      <c r="AC29">
        <v>55</v>
      </c>
      <c r="AD29" s="41">
        <f t="shared" si="6"/>
        <v>0.35828108400858211</v>
      </c>
      <c r="AE29" s="41">
        <f t="shared" si="7"/>
        <v>0.42940098562505302</v>
      </c>
      <c r="AF29">
        <f t="shared" si="8"/>
        <v>1.8324071428571431</v>
      </c>
      <c r="AG29">
        <f t="shared" si="9"/>
        <v>0.17038285714285695</v>
      </c>
      <c r="AH29">
        <f t="shared" si="10"/>
        <v>15</v>
      </c>
      <c r="AI29">
        <f>HLOOKUP(HLOOKUP(G29,'THP2'!$B$4:$J$8,5,FALSE),'Fuel &amp; Resister'!$B$3:$G$6,4,FALSE)</f>
        <v>2.2642399999999996</v>
      </c>
      <c r="AJ29" s="41">
        <f>HLOOKUP(HLOOKUP(G29,'THP2'!$B$4:$J$8,5,FALSE),'Fuel &amp; Resister'!$B$3:$G$6,3,FALSE)</f>
        <v>6.3540000000000001</v>
      </c>
      <c r="AO29" s="62">
        <v>0</v>
      </c>
      <c r="AP29" s="62">
        <v>0</v>
      </c>
    </row>
    <row r="30" spans="1:42" x14ac:dyDescent="0.15">
      <c r="B30" s="43" t="s">
        <v>590</v>
      </c>
      <c r="C30" s="61">
        <f>VLOOKUP(B30,[1]SYS!$F$5:$G$359,2,FALSE)</f>
        <v>64</v>
      </c>
      <c r="D30" s="1" t="s">
        <v>23</v>
      </c>
      <c r="E30" s="42" t="s">
        <v>71</v>
      </c>
      <c r="F30" s="42"/>
      <c r="G30" s="1">
        <v>1</v>
      </c>
      <c r="H30" s="1">
        <f t="shared" si="1"/>
        <v>0.3</v>
      </c>
      <c r="I30" s="1">
        <f t="shared" si="2"/>
        <v>1</v>
      </c>
      <c r="J30" s="1">
        <f t="shared" si="0"/>
        <v>6.2000000000000055E-2</v>
      </c>
      <c r="K30" s="1">
        <f t="shared" si="3"/>
        <v>2.40035</v>
      </c>
      <c r="L30" s="1">
        <f t="shared" si="4"/>
        <v>2.0027900000000001</v>
      </c>
      <c r="M30" s="49">
        <f t="shared" si="5"/>
        <v>6.2519395233389989</v>
      </c>
      <c r="N30" s="49">
        <v>15</v>
      </c>
      <c r="O30" s="1">
        <v>403</v>
      </c>
      <c r="P30" s="51">
        <v>0.05</v>
      </c>
      <c r="Q30" s="51">
        <v>8</v>
      </c>
      <c r="R30" s="51">
        <v>1</v>
      </c>
      <c r="S30" s="1">
        <v>1</v>
      </c>
      <c r="T30" s="1">
        <v>0</v>
      </c>
      <c r="U30" s="47">
        <v>0</v>
      </c>
      <c r="V30" s="47">
        <v>29</v>
      </c>
      <c r="W30" s="41">
        <v>300</v>
      </c>
      <c r="X30">
        <v>1000</v>
      </c>
      <c r="Y30">
        <v>0.93799999999999994</v>
      </c>
      <c r="Z30">
        <v>2400.35</v>
      </c>
      <c r="AA30">
        <v>2002.79</v>
      </c>
      <c r="AB30">
        <v>1500</v>
      </c>
      <c r="AC30">
        <v>55</v>
      </c>
      <c r="AD30" s="41">
        <f t="shared" si="6"/>
        <v>0.35828108400858211</v>
      </c>
      <c r="AE30" s="41">
        <f t="shared" si="7"/>
        <v>0.42940098562505302</v>
      </c>
      <c r="AF30">
        <f t="shared" si="8"/>
        <v>1.8324071428571431</v>
      </c>
      <c r="AG30">
        <f t="shared" si="9"/>
        <v>0.17038285714285695</v>
      </c>
      <c r="AH30">
        <f t="shared" si="10"/>
        <v>15</v>
      </c>
      <c r="AI30">
        <f>HLOOKUP(HLOOKUP(G30,'THP2'!$B$4:$J$8,5,FALSE),'Fuel &amp; Resister'!$B$3:$G$6,4,FALSE)</f>
        <v>2.2642399999999996</v>
      </c>
      <c r="AJ30" s="41">
        <f>HLOOKUP(HLOOKUP(G30,'THP2'!$B$4:$J$8,5,FALSE),'Fuel &amp; Resister'!$B$3:$G$6,3,FALSE)</f>
        <v>6.3540000000000001</v>
      </c>
      <c r="AO30" s="62">
        <v>0</v>
      </c>
      <c r="AP30" s="62">
        <v>0</v>
      </c>
    </row>
    <row r="31" spans="1:42" x14ac:dyDescent="0.15">
      <c r="B31" s="43" t="s">
        <v>590</v>
      </c>
      <c r="C31" s="61">
        <f>VLOOKUP(B31,[1]SYS!$F$5:$G$359,2,FALSE)</f>
        <v>64</v>
      </c>
      <c r="D31" s="1" t="s">
        <v>23</v>
      </c>
      <c r="E31" s="42" t="s">
        <v>71</v>
      </c>
      <c r="F31" s="42"/>
      <c r="G31" s="1">
        <v>1</v>
      </c>
      <c r="H31" s="1">
        <f t="shared" si="1"/>
        <v>0.3</v>
      </c>
      <c r="I31" s="1">
        <f t="shared" si="2"/>
        <v>1</v>
      </c>
      <c r="J31" s="1">
        <f t="shared" si="0"/>
        <v>6.2000000000000055E-2</v>
      </c>
      <c r="K31" s="1">
        <f t="shared" si="3"/>
        <v>2.40035</v>
      </c>
      <c r="L31" s="1">
        <f t="shared" si="4"/>
        <v>2.0027900000000001</v>
      </c>
      <c r="M31" s="49">
        <f t="shared" si="5"/>
        <v>6.2519395233389989</v>
      </c>
      <c r="N31" s="49">
        <v>15</v>
      </c>
      <c r="O31" s="1">
        <v>403</v>
      </c>
      <c r="P31" s="51">
        <v>0.05</v>
      </c>
      <c r="Q31" s="51">
        <v>8</v>
      </c>
      <c r="R31" s="51">
        <v>1</v>
      </c>
      <c r="S31" s="1">
        <v>1</v>
      </c>
      <c r="T31" s="1">
        <v>0</v>
      </c>
      <c r="U31" s="47">
        <v>0</v>
      </c>
      <c r="V31" s="47">
        <v>30</v>
      </c>
      <c r="W31" s="41">
        <v>300</v>
      </c>
      <c r="X31">
        <v>1000</v>
      </c>
      <c r="Y31">
        <v>0.93799999999999994</v>
      </c>
      <c r="Z31">
        <v>2400.35</v>
      </c>
      <c r="AA31">
        <v>2002.79</v>
      </c>
      <c r="AB31">
        <v>1500</v>
      </c>
      <c r="AC31">
        <v>55</v>
      </c>
      <c r="AD31" s="41">
        <f t="shared" si="6"/>
        <v>0.35828108400858211</v>
      </c>
      <c r="AE31" s="41">
        <f t="shared" si="7"/>
        <v>0.42940098562505302</v>
      </c>
      <c r="AF31">
        <f t="shared" si="8"/>
        <v>1.8324071428571431</v>
      </c>
      <c r="AG31">
        <f t="shared" si="9"/>
        <v>0.17038285714285695</v>
      </c>
      <c r="AH31">
        <f t="shared" si="10"/>
        <v>15</v>
      </c>
      <c r="AI31">
        <f>HLOOKUP(HLOOKUP(G31,'THP2'!$B$4:$J$8,5,FALSE),'Fuel &amp; Resister'!$B$3:$G$6,4,FALSE)</f>
        <v>2.2642399999999996</v>
      </c>
      <c r="AJ31" s="41">
        <f>HLOOKUP(HLOOKUP(G31,'THP2'!$B$4:$J$8,5,FALSE),'Fuel &amp; Resister'!$B$3:$G$6,3,FALSE)</f>
        <v>6.3540000000000001</v>
      </c>
      <c r="AO31" s="62">
        <v>0</v>
      </c>
      <c r="AP31" s="62">
        <v>0</v>
      </c>
    </row>
    <row r="32" spans="1:42" x14ac:dyDescent="0.15">
      <c r="B32" s="43" t="s">
        <v>590</v>
      </c>
      <c r="C32" s="61">
        <f>VLOOKUP(B32,[1]SYS!$F$5:$G$359,2,FALSE)</f>
        <v>64</v>
      </c>
      <c r="D32" s="1" t="s">
        <v>23</v>
      </c>
      <c r="E32" s="42" t="s">
        <v>71</v>
      </c>
      <c r="F32" s="42"/>
      <c r="G32" s="1">
        <v>1</v>
      </c>
      <c r="H32" s="1">
        <f t="shared" si="1"/>
        <v>0.3</v>
      </c>
      <c r="I32" s="1">
        <f t="shared" si="2"/>
        <v>1</v>
      </c>
      <c r="J32" s="1">
        <f t="shared" si="0"/>
        <v>6.2000000000000055E-2</v>
      </c>
      <c r="K32" s="1">
        <f t="shared" si="3"/>
        <v>2.40035</v>
      </c>
      <c r="L32" s="1">
        <f t="shared" si="4"/>
        <v>2.0027900000000001</v>
      </c>
      <c r="M32" s="49">
        <f t="shared" si="5"/>
        <v>6.2519395233389989</v>
      </c>
      <c r="N32" s="49">
        <v>15</v>
      </c>
      <c r="O32" s="1">
        <v>204</v>
      </c>
      <c r="P32" s="51">
        <v>0.05</v>
      </c>
      <c r="Q32" s="51">
        <v>8</v>
      </c>
      <c r="R32" s="51">
        <v>1</v>
      </c>
      <c r="S32" s="1">
        <v>1</v>
      </c>
      <c r="T32" s="1">
        <v>0</v>
      </c>
      <c r="U32" s="47">
        <v>0</v>
      </c>
      <c r="V32" s="47">
        <v>31</v>
      </c>
      <c r="W32" s="41">
        <v>300</v>
      </c>
      <c r="X32">
        <v>1000</v>
      </c>
      <c r="Y32">
        <v>0.93799999999999994</v>
      </c>
      <c r="Z32">
        <v>2400.35</v>
      </c>
      <c r="AA32">
        <v>2002.79</v>
      </c>
      <c r="AB32">
        <v>1500</v>
      </c>
      <c r="AC32">
        <v>55</v>
      </c>
      <c r="AD32" s="41">
        <f t="shared" si="6"/>
        <v>0.35828108400858211</v>
      </c>
      <c r="AE32" s="41">
        <f t="shared" si="7"/>
        <v>0.42940098562505302</v>
      </c>
      <c r="AF32">
        <f t="shared" si="8"/>
        <v>1.8324071428571431</v>
      </c>
      <c r="AG32">
        <f t="shared" si="9"/>
        <v>0.17038285714285695</v>
      </c>
      <c r="AH32">
        <f t="shared" si="10"/>
        <v>15</v>
      </c>
      <c r="AI32">
        <f>HLOOKUP(HLOOKUP(G32,'THP2'!$B$4:$J$8,5,FALSE),'Fuel &amp; Resister'!$B$3:$G$6,4,FALSE)</f>
        <v>2.2642399999999996</v>
      </c>
      <c r="AJ32" s="41">
        <f>HLOOKUP(HLOOKUP(G32,'THP2'!$B$4:$J$8,5,FALSE),'Fuel &amp; Resister'!$B$3:$G$6,3,FALSE)</f>
        <v>6.3540000000000001</v>
      </c>
      <c r="AO32" s="62">
        <v>0</v>
      </c>
      <c r="AP32" s="62">
        <v>0</v>
      </c>
    </row>
    <row r="33" spans="2:42" x14ac:dyDescent="0.15">
      <c r="B33" s="43" t="s">
        <v>590</v>
      </c>
      <c r="C33" s="61">
        <f>VLOOKUP(B33,[1]SYS!$F$5:$G$359,2,FALSE)</f>
        <v>64</v>
      </c>
      <c r="D33" s="1" t="s">
        <v>23</v>
      </c>
      <c r="E33" s="42" t="s">
        <v>71</v>
      </c>
      <c r="F33" s="42"/>
      <c r="G33" s="1">
        <v>1</v>
      </c>
      <c r="H33" s="1">
        <f t="shared" si="1"/>
        <v>0.3</v>
      </c>
      <c r="I33" s="1">
        <f t="shared" si="2"/>
        <v>1</v>
      </c>
      <c r="J33" s="1">
        <f t="shared" si="0"/>
        <v>6.2000000000000055E-2</v>
      </c>
      <c r="K33" s="1">
        <f t="shared" si="3"/>
        <v>2.40035</v>
      </c>
      <c r="L33" s="1">
        <f t="shared" si="4"/>
        <v>2.0027900000000001</v>
      </c>
      <c r="M33" s="49">
        <f t="shared" si="5"/>
        <v>6.2519395233389989</v>
      </c>
      <c r="N33" s="49">
        <v>15</v>
      </c>
      <c r="O33" s="1">
        <v>1103</v>
      </c>
      <c r="P33" s="51">
        <v>0.05</v>
      </c>
      <c r="Q33" s="51">
        <v>8</v>
      </c>
      <c r="R33" s="51">
        <v>1</v>
      </c>
      <c r="S33" s="1">
        <v>1</v>
      </c>
      <c r="T33" s="1">
        <v>0</v>
      </c>
      <c r="U33" s="47">
        <v>0</v>
      </c>
      <c r="V33" s="47">
        <v>32</v>
      </c>
      <c r="W33" s="41">
        <v>300</v>
      </c>
      <c r="X33">
        <v>1000</v>
      </c>
      <c r="Y33">
        <v>0.93799999999999994</v>
      </c>
      <c r="Z33">
        <v>2400.35</v>
      </c>
      <c r="AA33">
        <v>2002.79</v>
      </c>
      <c r="AB33">
        <v>1500</v>
      </c>
      <c r="AC33">
        <v>55</v>
      </c>
      <c r="AD33" s="41">
        <f t="shared" si="6"/>
        <v>0.35828108400858211</v>
      </c>
      <c r="AE33" s="41">
        <f t="shared" si="7"/>
        <v>0.42940098562505302</v>
      </c>
      <c r="AF33">
        <f t="shared" si="8"/>
        <v>1.8324071428571431</v>
      </c>
      <c r="AG33">
        <f t="shared" si="9"/>
        <v>0.17038285714285695</v>
      </c>
      <c r="AH33">
        <f t="shared" si="10"/>
        <v>15</v>
      </c>
      <c r="AI33">
        <f>HLOOKUP(HLOOKUP(G33,'THP2'!$B$4:$J$8,5,FALSE),'Fuel &amp; Resister'!$B$3:$G$6,4,FALSE)</f>
        <v>2.2642399999999996</v>
      </c>
      <c r="AJ33" s="41">
        <f>HLOOKUP(HLOOKUP(G33,'THP2'!$B$4:$J$8,5,FALSE),'Fuel &amp; Resister'!$B$3:$G$6,3,FALSE)</f>
        <v>6.3540000000000001</v>
      </c>
      <c r="AO33" s="62">
        <v>0</v>
      </c>
      <c r="AP33" s="62">
        <v>0</v>
      </c>
    </row>
    <row r="34" spans="2:42" x14ac:dyDescent="0.15">
      <c r="B34" s="43" t="s">
        <v>590</v>
      </c>
      <c r="C34" s="61">
        <f>VLOOKUP(B34,[1]SYS!$F$5:$G$359,2,FALSE)</f>
        <v>64</v>
      </c>
      <c r="D34" s="1" t="s">
        <v>23</v>
      </c>
      <c r="E34" s="42" t="s">
        <v>71</v>
      </c>
      <c r="F34" s="42"/>
      <c r="G34" s="1">
        <v>1</v>
      </c>
      <c r="H34" s="1">
        <f t="shared" si="1"/>
        <v>0.3</v>
      </c>
      <c r="I34" s="1">
        <f t="shared" si="2"/>
        <v>1</v>
      </c>
      <c r="J34" s="1">
        <f t="shared" si="0"/>
        <v>6.2000000000000055E-2</v>
      </c>
      <c r="K34" s="1">
        <f t="shared" si="3"/>
        <v>2.40035</v>
      </c>
      <c r="L34" s="1">
        <f t="shared" si="4"/>
        <v>2.0027900000000001</v>
      </c>
      <c r="M34" s="49">
        <f t="shared" si="5"/>
        <v>6.2519395233389989</v>
      </c>
      <c r="N34" s="49">
        <v>15</v>
      </c>
      <c r="O34" s="1">
        <v>903</v>
      </c>
      <c r="P34" s="51">
        <v>0.05</v>
      </c>
      <c r="Q34" s="51">
        <v>8</v>
      </c>
      <c r="R34" s="51">
        <v>1</v>
      </c>
      <c r="S34" s="1">
        <v>1</v>
      </c>
      <c r="T34" s="1">
        <v>0</v>
      </c>
      <c r="U34" s="47">
        <v>0</v>
      </c>
      <c r="V34" s="47">
        <v>33</v>
      </c>
      <c r="W34" s="41">
        <v>300</v>
      </c>
      <c r="X34">
        <v>1000</v>
      </c>
      <c r="Y34">
        <v>0.93799999999999994</v>
      </c>
      <c r="Z34">
        <v>2400.35</v>
      </c>
      <c r="AA34">
        <v>2002.79</v>
      </c>
      <c r="AB34">
        <v>1500</v>
      </c>
      <c r="AC34">
        <v>55</v>
      </c>
      <c r="AD34" s="41">
        <f t="shared" si="6"/>
        <v>0.35828108400858211</v>
      </c>
      <c r="AE34" s="41">
        <f t="shared" si="7"/>
        <v>0.42940098562505302</v>
      </c>
      <c r="AF34">
        <f t="shared" si="8"/>
        <v>1.8324071428571431</v>
      </c>
      <c r="AG34">
        <f t="shared" si="9"/>
        <v>0.17038285714285695</v>
      </c>
      <c r="AH34">
        <f t="shared" si="10"/>
        <v>15</v>
      </c>
      <c r="AI34">
        <f>HLOOKUP(HLOOKUP(G34,'THP2'!$B$4:$J$8,5,FALSE),'Fuel &amp; Resister'!$B$3:$G$6,4,FALSE)</f>
        <v>2.2642399999999996</v>
      </c>
      <c r="AJ34" s="41">
        <f>HLOOKUP(HLOOKUP(G34,'THP2'!$B$4:$J$8,5,FALSE),'Fuel &amp; Resister'!$B$3:$G$6,3,FALSE)</f>
        <v>6.3540000000000001</v>
      </c>
      <c r="AO34" s="62">
        <v>0</v>
      </c>
      <c r="AP34" s="62">
        <v>0</v>
      </c>
    </row>
    <row r="35" spans="2:42" x14ac:dyDescent="0.15">
      <c r="B35" s="43" t="s">
        <v>590</v>
      </c>
      <c r="C35" s="61">
        <f>VLOOKUP(B35,[1]SYS!$F$5:$G$359,2,FALSE)</f>
        <v>64</v>
      </c>
      <c r="D35" s="1" t="s">
        <v>23</v>
      </c>
      <c r="E35" s="42" t="s">
        <v>71</v>
      </c>
      <c r="F35" s="42"/>
      <c r="G35" s="1">
        <v>1</v>
      </c>
      <c r="H35" s="1">
        <f t="shared" si="1"/>
        <v>0.3</v>
      </c>
      <c r="I35" s="1">
        <f t="shared" si="2"/>
        <v>1</v>
      </c>
      <c r="J35" s="1">
        <f t="shared" si="0"/>
        <v>6.2000000000000055E-2</v>
      </c>
      <c r="K35" s="1">
        <f t="shared" si="3"/>
        <v>2.40035</v>
      </c>
      <c r="L35" s="1">
        <f t="shared" si="4"/>
        <v>2.0027900000000001</v>
      </c>
      <c r="M35" s="49">
        <f t="shared" si="5"/>
        <v>6.2519395233389989</v>
      </c>
      <c r="N35" s="49">
        <v>15</v>
      </c>
      <c r="O35" s="1">
        <v>601</v>
      </c>
      <c r="P35" s="51">
        <v>0.05</v>
      </c>
      <c r="Q35" s="51">
        <v>8</v>
      </c>
      <c r="R35" s="51">
        <v>1</v>
      </c>
      <c r="S35" s="1">
        <v>1</v>
      </c>
      <c r="T35" s="1">
        <v>0</v>
      </c>
      <c r="U35" s="47">
        <v>0</v>
      </c>
      <c r="V35" s="47">
        <v>34</v>
      </c>
      <c r="W35" s="41">
        <v>300</v>
      </c>
      <c r="X35">
        <v>1000</v>
      </c>
      <c r="Y35">
        <v>0.93799999999999994</v>
      </c>
      <c r="Z35">
        <v>2400.35</v>
      </c>
      <c r="AA35">
        <v>2002.79</v>
      </c>
      <c r="AB35">
        <v>1500</v>
      </c>
      <c r="AC35">
        <v>55</v>
      </c>
      <c r="AD35" s="41">
        <f t="shared" si="6"/>
        <v>0.35828108400858211</v>
      </c>
      <c r="AE35" s="41">
        <f t="shared" si="7"/>
        <v>0.42940098562505302</v>
      </c>
      <c r="AF35">
        <f t="shared" si="8"/>
        <v>1.8324071428571431</v>
      </c>
      <c r="AG35">
        <f t="shared" si="9"/>
        <v>0.17038285714285695</v>
      </c>
      <c r="AH35">
        <f t="shared" si="10"/>
        <v>15</v>
      </c>
      <c r="AI35">
        <f>HLOOKUP(HLOOKUP(G35,'THP2'!$B$4:$J$8,5,FALSE),'Fuel &amp; Resister'!$B$3:$G$6,4,FALSE)</f>
        <v>2.2642399999999996</v>
      </c>
      <c r="AJ35" s="41">
        <f>HLOOKUP(HLOOKUP(G35,'THP2'!$B$4:$J$8,5,FALSE),'Fuel &amp; Resister'!$B$3:$G$6,3,FALSE)</f>
        <v>6.3540000000000001</v>
      </c>
      <c r="AO35" s="62">
        <v>0</v>
      </c>
      <c r="AP35" s="62">
        <v>0</v>
      </c>
    </row>
    <row r="36" spans="2:42" x14ac:dyDescent="0.15">
      <c r="B36" s="43" t="s">
        <v>590</v>
      </c>
      <c r="C36" s="61">
        <f>VLOOKUP(B36,[1]SYS!$F$5:$G$359,2,FALSE)</f>
        <v>64</v>
      </c>
      <c r="D36" s="1" t="s">
        <v>23</v>
      </c>
      <c r="E36" s="42" t="s">
        <v>71</v>
      </c>
      <c r="F36" s="42"/>
      <c r="G36" s="1">
        <v>1</v>
      </c>
      <c r="H36" s="1">
        <f t="shared" si="1"/>
        <v>0.3</v>
      </c>
      <c r="I36" s="1">
        <f t="shared" si="2"/>
        <v>1</v>
      </c>
      <c r="J36" s="1">
        <f t="shared" si="0"/>
        <v>6.2000000000000055E-2</v>
      </c>
      <c r="K36" s="1">
        <f t="shared" si="3"/>
        <v>2.40035</v>
      </c>
      <c r="L36" s="1">
        <f t="shared" si="4"/>
        <v>2.0027900000000001</v>
      </c>
      <c r="M36" s="49">
        <f t="shared" si="5"/>
        <v>6.2519395233389989</v>
      </c>
      <c r="N36" s="49">
        <v>15</v>
      </c>
      <c r="O36" s="1">
        <v>401</v>
      </c>
      <c r="P36" s="51">
        <v>0.05</v>
      </c>
      <c r="Q36" s="51">
        <v>8</v>
      </c>
      <c r="R36" s="51">
        <v>1</v>
      </c>
      <c r="S36" s="1">
        <v>1</v>
      </c>
      <c r="T36" s="1">
        <v>0</v>
      </c>
      <c r="U36" s="47">
        <v>0</v>
      </c>
      <c r="V36" s="47">
        <v>35</v>
      </c>
      <c r="W36" s="41">
        <v>300</v>
      </c>
      <c r="X36">
        <v>1000</v>
      </c>
      <c r="Y36">
        <v>0.93799999999999994</v>
      </c>
      <c r="Z36">
        <v>2400.35</v>
      </c>
      <c r="AA36">
        <v>2002.79</v>
      </c>
      <c r="AB36">
        <v>1500</v>
      </c>
      <c r="AC36">
        <v>55</v>
      </c>
      <c r="AD36" s="41">
        <f t="shared" si="6"/>
        <v>0.35828108400858211</v>
      </c>
      <c r="AE36" s="41">
        <f t="shared" si="7"/>
        <v>0.42940098562505302</v>
      </c>
      <c r="AF36">
        <f t="shared" si="8"/>
        <v>1.8324071428571431</v>
      </c>
      <c r="AG36">
        <f t="shared" si="9"/>
        <v>0.17038285714285695</v>
      </c>
      <c r="AH36">
        <f t="shared" si="10"/>
        <v>15</v>
      </c>
      <c r="AI36">
        <f>HLOOKUP(HLOOKUP(G36,'THP2'!$B$4:$J$8,5,FALSE),'Fuel &amp; Resister'!$B$3:$G$6,4,FALSE)</f>
        <v>2.2642399999999996</v>
      </c>
      <c r="AJ36" s="41">
        <f>HLOOKUP(HLOOKUP(G36,'THP2'!$B$4:$J$8,5,FALSE),'Fuel &amp; Resister'!$B$3:$G$6,3,FALSE)</f>
        <v>6.3540000000000001</v>
      </c>
      <c r="AO36" s="62">
        <v>0</v>
      </c>
      <c r="AP36" s="62">
        <v>0</v>
      </c>
    </row>
    <row r="37" spans="2:42" x14ac:dyDescent="0.15">
      <c r="B37" s="43" t="s">
        <v>590</v>
      </c>
      <c r="C37" s="61">
        <f>VLOOKUP(B37,[1]SYS!$F$5:$G$359,2,FALSE)</f>
        <v>64</v>
      </c>
      <c r="D37" s="1" t="s">
        <v>23</v>
      </c>
      <c r="E37" s="65" t="s">
        <v>72</v>
      </c>
      <c r="F37" s="63" t="s">
        <v>465</v>
      </c>
      <c r="G37" s="1">
        <v>1</v>
      </c>
      <c r="H37" s="1">
        <f t="shared" si="1"/>
        <v>0.4</v>
      </c>
      <c r="I37" s="1">
        <f t="shared" si="2"/>
        <v>0.25</v>
      </c>
      <c r="J37" s="1">
        <f t="shared" si="0"/>
        <v>0.125</v>
      </c>
      <c r="K37" s="1">
        <f t="shared" si="3"/>
        <v>2.4389000000000003</v>
      </c>
      <c r="L37" s="1">
        <f t="shared" si="4"/>
        <v>1.86957</v>
      </c>
      <c r="M37" s="49">
        <f t="shared" si="5"/>
        <v>1.4590194896430591</v>
      </c>
      <c r="N37" s="49">
        <v>2.1683000000000003</v>
      </c>
      <c r="O37" s="6">
        <v>302</v>
      </c>
      <c r="P37" s="51">
        <v>0.05</v>
      </c>
      <c r="Q37" s="51">
        <v>8</v>
      </c>
      <c r="R37" s="51">
        <v>1</v>
      </c>
      <c r="S37" s="1">
        <v>1</v>
      </c>
      <c r="T37" s="1">
        <v>0</v>
      </c>
      <c r="U37" s="47">
        <v>1</v>
      </c>
      <c r="V37" s="47">
        <v>36</v>
      </c>
      <c r="W37" s="41">
        <v>100</v>
      </c>
      <c r="X37">
        <v>250</v>
      </c>
      <c r="Y37">
        <v>0.875</v>
      </c>
      <c r="Z37">
        <v>2438.9</v>
      </c>
      <c r="AA37">
        <v>1869.57</v>
      </c>
      <c r="AB37">
        <v>216.83</v>
      </c>
      <c r="AC37">
        <v>55</v>
      </c>
      <c r="AD37" s="41">
        <f t="shared" si="6"/>
        <v>0.35261798351715939</v>
      </c>
      <c r="AE37" s="41">
        <f t="shared" si="7"/>
        <v>0.45999882325882424</v>
      </c>
      <c r="AF37">
        <f t="shared" si="8"/>
        <v>1.4900166666666663</v>
      </c>
      <c r="AG37">
        <f t="shared" si="9"/>
        <v>9.4888333333333408E-2</v>
      </c>
      <c r="AH37">
        <f t="shared" si="10"/>
        <v>2.1683000000000003</v>
      </c>
      <c r="AI37">
        <f>HLOOKUP(HLOOKUP(G37,'THP2'!$B$4:$J$8,5,FALSE),'Fuel &amp; Resister'!$B$3:$G$6,4,FALSE)</f>
        <v>2.2642399999999996</v>
      </c>
      <c r="AJ37" s="41">
        <f>HLOOKUP(HLOOKUP(G37,'THP2'!$B$4:$J$8,5,FALSE),'Fuel &amp; Resister'!$B$3:$G$6,3,FALSE)</f>
        <v>6.3540000000000001</v>
      </c>
      <c r="AO37" s="1">
        <v>1</v>
      </c>
      <c r="AP37" s="1">
        <v>1</v>
      </c>
    </row>
    <row r="38" spans="2:42" x14ac:dyDescent="0.15">
      <c r="B38" s="43" t="s">
        <v>590</v>
      </c>
      <c r="C38" s="61">
        <f>VLOOKUP(B38,[1]SYS!$F$5:$G$359,2,FALSE)</f>
        <v>64</v>
      </c>
      <c r="D38" s="1" t="s">
        <v>23</v>
      </c>
      <c r="E38" s="65" t="s">
        <v>73</v>
      </c>
      <c r="F38" s="63" t="s">
        <v>465</v>
      </c>
      <c r="G38" s="1">
        <v>1</v>
      </c>
      <c r="H38" s="1">
        <f t="shared" si="1"/>
        <v>0.4</v>
      </c>
      <c r="I38" s="1">
        <f t="shared" si="2"/>
        <v>0.54</v>
      </c>
      <c r="J38" s="1">
        <f t="shared" si="0"/>
        <v>0.125</v>
      </c>
      <c r="K38" s="1">
        <f t="shared" si="3"/>
        <v>2.4602900000000001</v>
      </c>
      <c r="L38" s="1">
        <f t="shared" si="4"/>
        <v>1.8859600000000001</v>
      </c>
      <c r="M38" s="49">
        <f t="shared" si="5"/>
        <v>3.1791102643091209</v>
      </c>
      <c r="N38" s="49">
        <v>5.4639999999999995</v>
      </c>
      <c r="O38" s="1">
        <v>403</v>
      </c>
      <c r="P38" s="51">
        <v>0.05</v>
      </c>
      <c r="Q38" s="51">
        <v>8</v>
      </c>
      <c r="R38" s="51">
        <v>1</v>
      </c>
      <c r="S38" s="1">
        <v>1</v>
      </c>
      <c r="T38" s="1">
        <v>0</v>
      </c>
      <c r="U38" s="47">
        <v>1</v>
      </c>
      <c r="V38" s="47">
        <v>37</v>
      </c>
      <c r="W38" s="41">
        <v>216</v>
      </c>
      <c r="X38">
        <v>540</v>
      </c>
      <c r="Y38">
        <v>0.875</v>
      </c>
      <c r="Z38">
        <v>2460.29</v>
      </c>
      <c r="AA38">
        <v>1885.96</v>
      </c>
      <c r="AB38">
        <v>546.4</v>
      </c>
      <c r="AC38">
        <v>55</v>
      </c>
      <c r="AD38" s="41">
        <f t="shared" si="6"/>
        <v>0.34955228855134962</v>
      </c>
      <c r="AE38" s="41">
        <f t="shared" si="7"/>
        <v>0.45600118772402382</v>
      </c>
      <c r="AF38">
        <f t="shared" si="8"/>
        <v>1.5030733333333333</v>
      </c>
      <c r="AG38">
        <f t="shared" si="9"/>
        <v>0.2067588000000001</v>
      </c>
      <c r="AH38">
        <f t="shared" si="10"/>
        <v>5.4639999999999995</v>
      </c>
      <c r="AI38">
        <f>HLOOKUP(HLOOKUP(G38,'THP2'!$B$4:$J$8,5,FALSE),'Fuel &amp; Resister'!$B$3:$G$6,4,FALSE)</f>
        <v>2.2642399999999996</v>
      </c>
      <c r="AJ38" s="41">
        <f>HLOOKUP(HLOOKUP(G38,'THP2'!$B$4:$J$8,5,FALSE),'Fuel &amp; Resister'!$B$3:$G$6,3,FALSE)</f>
        <v>6.3540000000000001</v>
      </c>
      <c r="AO38" s="1">
        <v>1</v>
      </c>
      <c r="AP38" s="1">
        <v>1</v>
      </c>
    </row>
    <row r="39" spans="2:42" x14ac:dyDescent="0.15">
      <c r="B39" s="43" t="s">
        <v>590</v>
      </c>
      <c r="C39" s="61">
        <f>VLOOKUP(B39,[1]SYS!$F$5:$G$359,2,FALSE)</f>
        <v>64</v>
      </c>
      <c r="D39" s="1" t="s">
        <v>23</v>
      </c>
      <c r="E39" s="65" t="s">
        <v>74</v>
      </c>
      <c r="F39" s="63" t="s">
        <v>465</v>
      </c>
      <c r="G39" s="1">
        <v>1</v>
      </c>
      <c r="H39" s="1">
        <f t="shared" si="1"/>
        <v>0.4</v>
      </c>
      <c r="I39" s="1">
        <f t="shared" si="2"/>
        <v>0.54</v>
      </c>
      <c r="J39" s="1">
        <f t="shared" si="0"/>
        <v>0.125</v>
      </c>
      <c r="K39" s="1">
        <f t="shared" si="3"/>
        <v>2.4602900000000001</v>
      </c>
      <c r="L39" s="1">
        <f t="shared" si="4"/>
        <v>1.8859600000000001</v>
      </c>
      <c r="M39" s="49">
        <f t="shared" si="5"/>
        <v>3.1791102643091209</v>
      </c>
      <c r="N39" s="49">
        <v>5.4639999999999995</v>
      </c>
      <c r="O39" s="1">
        <v>903</v>
      </c>
      <c r="P39" s="51">
        <v>0.05</v>
      </c>
      <c r="Q39" s="51">
        <v>8</v>
      </c>
      <c r="R39" s="51">
        <v>1</v>
      </c>
      <c r="S39" s="1">
        <v>1</v>
      </c>
      <c r="T39" s="1">
        <v>0</v>
      </c>
      <c r="U39" s="47">
        <v>1</v>
      </c>
      <c r="V39" s="47">
        <v>38</v>
      </c>
      <c r="W39" s="41">
        <v>216</v>
      </c>
      <c r="X39">
        <v>540</v>
      </c>
      <c r="Y39">
        <v>0.875</v>
      </c>
      <c r="Z39">
        <v>2460.29</v>
      </c>
      <c r="AA39">
        <v>1885.96</v>
      </c>
      <c r="AB39">
        <v>546.4</v>
      </c>
      <c r="AC39">
        <v>55</v>
      </c>
      <c r="AD39" s="41">
        <f t="shared" si="6"/>
        <v>0.34955228855134962</v>
      </c>
      <c r="AE39" s="41">
        <f t="shared" si="7"/>
        <v>0.45600118772402382</v>
      </c>
      <c r="AF39">
        <f t="shared" si="8"/>
        <v>1.5030733333333333</v>
      </c>
      <c r="AG39">
        <f t="shared" si="9"/>
        <v>0.2067588000000001</v>
      </c>
      <c r="AH39">
        <f t="shared" si="10"/>
        <v>5.4639999999999995</v>
      </c>
      <c r="AI39">
        <f>HLOOKUP(HLOOKUP(G39,'THP2'!$B$4:$J$8,5,FALSE),'Fuel &amp; Resister'!$B$3:$G$6,4,FALSE)</f>
        <v>2.2642399999999996</v>
      </c>
      <c r="AJ39" s="41">
        <f>HLOOKUP(HLOOKUP(G39,'THP2'!$B$4:$J$8,5,FALSE),'Fuel &amp; Resister'!$B$3:$G$6,3,FALSE)</f>
        <v>6.3540000000000001</v>
      </c>
      <c r="AO39" s="1">
        <v>1</v>
      </c>
      <c r="AP39" s="1">
        <v>1</v>
      </c>
    </row>
    <row r="40" spans="2:42" x14ac:dyDescent="0.15">
      <c r="B40" s="43" t="s">
        <v>590</v>
      </c>
      <c r="C40" s="61">
        <f>VLOOKUP(B40,[1]SYS!$F$5:$G$359,2,FALSE)</f>
        <v>64</v>
      </c>
      <c r="D40" s="1" t="s">
        <v>23</v>
      </c>
      <c r="E40" s="65" t="s">
        <v>75</v>
      </c>
      <c r="F40" s="63" t="s">
        <v>511</v>
      </c>
      <c r="G40" s="1">
        <v>1</v>
      </c>
      <c r="H40" s="1">
        <f t="shared" si="1"/>
        <v>0.3</v>
      </c>
      <c r="I40" s="1">
        <f t="shared" si="2"/>
        <v>0.65</v>
      </c>
      <c r="J40" s="1">
        <f t="shared" si="0"/>
        <v>6.2000000000000055E-2</v>
      </c>
      <c r="K40" s="1">
        <f t="shared" si="3"/>
        <v>2.3969999999999998</v>
      </c>
      <c r="L40" s="1">
        <f t="shared" si="4"/>
        <v>2</v>
      </c>
      <c r="M40" s="49">
        <f t="shared" si="5"/>
        <v>4.0580996411709149</v>
      </c>
      <c r="N40" s="49">
        <v>6.7125000000000004</v>
      </c>
      <c r="O40" s="1">
        <v>504</v>
      </c>
      <c r="P40" s="51">
        <v>0.05</v>
      </c>
      <c r="Q40" s="51">
        <v>8</v>
      </c>
      <c r="R40" s="51">
        <v>1</v>
      </c>
      <c r="S40" s="1">
        <v>1</v>
      </c>
      <c r="T40" s="1">
        <v>0</v>
      </c>
      <c r="U40" s="47">
        <v>1</v>
      </c>
      <c r="V40" s="47">
        <v>39</v>
      </c>
      <c r="W40" s="41">
        <v>195</v>
      </c>
      <c r="X40">
        <v>650</v>
      </c>
      <c r="Y40">
        <v>0.93799999999999994</v>
      </c>
      <c r="Z40">
        <v>2397</v>
      </c>
      <c r="AA40">
        <v>2000</v>
      </c>
      <c r="AB40">
        <v>671.25</v>
      </c>
      <c r="AC40">
        <v>55</v>
      </c>
      <c r="AD40" s="41">
        <f t="shared" si="6"/>
        <v>0.35878181059657904</v>
      </c>
      <c r="AE40" s="41">
        <f t="shared" si="7"/>
        <v>0.43</v>
      </c>
      <c r="AF40">
        <f t="shared" si="8"/>
        <v>1.8298571428571428</v>
      </c>
      <c r="AG40">
        <f t="shared" si="9"/>
        <v>0.11059285714285715</v>
      </c>
      <c r="AH40">
        <f t="shared" si="10"/>
        <v>6.7125000000000004</v>
      </c>
      <c r="AI40">
        <f>HLOOKUP(HLOOKUP(G40,'THP2'!$B$4:$J$8,5,FALSE),'Fuel &amp; Resister'!$B$3:$G$6,4,FALSE)</f>
        <v>2.2642399999999996</v>
      </c>
      <c r="AJ40" s="41">
        <f>HLOOKUP(HLOOKUP(G40,'THP2'!$B$4:$J$8,5,FALSE),'Fuel &amp; Resister'!$B$3:$G$6,3,FALSE)</f>
        <v>6.3540000000000001</v>
      </c>
      <c r="AO40" s="1">
        <v>1</v>
      </c>
      <c r="AP40" s="1">
        <v>1</v>
      </c>
    </row>
    <row r="41" spans="2:42" x14ac:dyDescent="0.15">
      <c r="B41" s="43" t="s">
        <v>591</v>
      </c>
      <c r="C41" s="61">
        <f>VLOOKUP(B41,[1]SYS!$F$5:$G$359,2,FALSE)</f>
        <v>75</v>
      </c>
      <c r="D41" s="1" t="s">
        <v>23</v>
      </c>
      <c r="E41" s="65" t="s">
        <v>76</v>
      </c>
      <c r="F41" s="63" t="s">
        <v>535</v>
      </c>
      <c r="G41" s="1">
        <v>1</v>
      </c>
      <c r="H41" s="1">
        <f t="shared" si="1"/>
        <v>0.3</v>
      </c>
      <c r="I41" s="1">
        <f t="shared" si="2"/>
        <v>1</v>
      </c>
      <c r="J41" s="1">
        <f t="shared" si="0"/>
        <v>2.0000000000000018E-2</v>
      </c>
      <c r="K41" s="1">
        <f t="shared" si="3"/>
        <v>2.3969999999999998</v>
      </c>
      <c r="L41" s="1">
        <f t="shared" si="4"/>
        <v>2</v>
      </c>
      <c r="M41" s="49">
        <f t="shared" si="5"/>
        <v>6.2432302171860226</v>
      </c>
      <c r="N41" s="49">
        <v>15</v>
      </c>
      <c r="O41" s="1">
        <v>403</v>
      </c>
      <c r="P41" s="51">
        <v>0.05</v>
      </c>
      <c r="Q41" s="51">
        <v>8</v>
      </c>
      <c r="R41" s="51">
        <v>1</v>
      </c>
      <c r="S41" s="1">
        <v>1</v>
      </c>
      <c r="T41" s="1">
        <v>0</v>
      </c>
      <c r="U41" s="47">
        <v>1</v>
      </c>
      <c r="V41" s="47">
        <v>40</v>
      </c>
      <c r="W41" s="41">
        <v>300</v>
      </c>
      <c r="X41">
        <v>1000</v>
      </c>
      <c r="Y41">
        <v>0.98</v>
      </c>
      <c r="Z41">
        <v>2397</v>
      </c>
      <c r="AA41">
        <v>2000</v>
      </c>
      <c r="AB41">
        <v>1500</v>
      </c>
      <c r="AC41">
        <v>55</v>
      </c>
      <c r="AD41" s="41">
        <f t="shared" si="6"/>
        <v>0.35878181059657904</v>
      </c>
      <c r="AE41" s="41">
        <f t="shared" si="7"/>
        <v>0.43</v>
      </c>
      <c r="AF41">
        <f t="shared" si="8"/>
        <v>1.8298571428571428</v>
      </c>
      <c r="AG41">
        <f t="shared" si="9"/>
        <v>0.17014285714285715</v>
      </c>
      <c r="AH41">
        <f t="shared" si="10"/>
        <v>15</v>
      </c>
      <c r="AI41">
        <f>HLOOKUP(HLOOKUP(G41,'THP2'!$B$4:$J$8,5,FALSE),'Fuel &amp; Resister'!$B$3:$G$6,4,FALSE)</f>
        <v>2.2642399999999996</v>
      </c>
      <c r="AJ41" s="41">
        <f>HLOOKUP(HLOOKUP(G41,'THP2'!$B$4:$J$8,5,FALSE),'Fuel &amp; Resister'!$B$3:$G$6,3,FALSE)</f>
        <v>6.3540000000000001</v>
      </c>
      <c r="AO41" s="1">
        <v>1</v>
      </c>
      <c r="AP41" s="1">
        <v>1</v>
      </c>
    </row>
    <row r="42" spans="2:42" x14ac:dyDescent="0.15">
      <c r="B42" s="43" t="s">
        <v>591</v>
      </c>
      <c r="C42" s="61">
        <f>VLOOKUP(B42,[1]SYS!$F$5:$G$359,2,FALSE)</f>
        <v>75</v>
      </c>
      <c r="D42" s="1" t="s">
        <v>23</v>
      </c>
      <c r="E42" s="65" t="s">
        <v>77</v>
      </c>
      <c r="F42" s="63" t="s">
        <v>535</v>
      </c>
      <c r="G42" s="1">
        <v>1</v>
      </c>
      <c r="H42" s="1">
        <f t="shared" si="1"/>
        <v>0.3</v>
      </c>
      <c r="I42" s="1">
        <f t="shared" si="2"/>
        <v>1</v>
      </c>
      <c r="J42" s="1">
        <f t="shared" si="0"/>
        <v>2.0000000000000018E-2</v>
      </c>
      <c r="K42" s="1">
        <f t="shared" si="3"/>
        <v>2.3969999999999998</v>
      </c>
      <c r="L42" s="1">
        <f t="shared" si="4"/>
        <v>2</v>
      </c>
      <c r="M42" s="49">
        <f t="shared" si="5"/>
        <v>6.2432302171860226</v>
      </c>
      <c r="N42" s="49">
        <v>15</v>
      </c>
      <c r="O42" s="1">
        <v>403</v>
      </c>
      <c r="P42" s="51">
        <v>0.05</v>
      </c>
      <c r="Q42" s="51">
        <v>8</v>
      </c>
      <c r="R42" s="51">
        <v>1</v>
      </c>
      <c r="S42" s="1">
        <v>1</v>
      </c>
      <c r="T42" s="1">
        <v>0</v>
      </c>
      <c r="U42" s="47">
        <v>1</v>
      </c>
      <c r="V42" s="47">
        <v>41</v>
      </c>
      <c r="W42" s="41">
        <v>300</v>
      </c>
      <c r="X42">
        <v>1000</v>
      </c>
      <c r="Y42">
        <v>0.98</v>
      </c>
      <c r="Z42">
        <v>2397</v>
      </c>
      <c r="AA42">
        <v>2000</v>
      </c>
      <c r="AB42">
        <v>1500</v>
      </c>
      <c r="AC42">
        <v>55</v>
      </c>
      <c r="AD42" s="41">
        <f t="shared" si="6"/>
        <v>0.35878181059657904</v>
      </c>
      <c r="AE42" s="41">
        <f t="shared" si="7"/>
        <v>0.43</v>
      </c>
      <c r="AF42">
        <f t="shared" si="8"/>
        <v>1.8298571428571428</v>
      </c>
      <c r="AG42">
        <f t="shared" si="9"/>
        <v>0.17014285714285715</v>
      </c>
      <c r="AH42">
        <f t="shared" si="10"/>
        <v>15</v>
      </c>
      <c r="AI42">
        <f>HLOOKUP(HLOOKUP(G42,'THP2'!$B$4:$J$8,5,FALSE),'Fuel &amp; Resister'!$B$3:$G$6,4,FALSE)</f>
        <v>2.2642399999999996</v>
      </c>
      <c r="AJ42" s="41">
        <f>HLOOKUP(HLOOKUP(G42,'THP2'!$B$4:$J$8,5,FALSE),'Fuel &amp; Resister'!$B$3:$G$6,3,FALSE)</f>
        <v>6.3540000000000001</v>
      </c>
      <c r="AO42" s="1">
        <v>1</v>
      </c>
      <c r="AP42" s="1">
        <v>1</v>
      </c>
    </row>
    <row r="43" spans="2:42" x14ac:dyDescent="0.15">
      <c r="B43" s="43" t="s">
        <v>592</v>
      </c>
      <c r="C43" s="61">
        <f>VLOOKUP(B43,[1]SYS!$F$5:$G$359,2,FALSE)</f>
        <v>77</v>
      </c>
      <c r="D43" s="1" t="s">
        <v>23</v>
      </c>
      <c r="E43" s="65" t="s">
        <v>78</v>
      </c>
      <c r="F43" s="63" t="s">
        <v>468</v>
      </c>
      <c r="G43" s="1">
        <v>1</v>
      </c>
      <c r="H43" s="1">
        <f t="shared" si="1"/>
        <v>0.30077519379844964</v>
      </c>
      <c r="I43" s="1">
        <f t="shared" si="2"/>
        <v>0.64500000000000002</v>
      </c>
      <c r="J43" s="1">
        <f t="shared" si="0"/>
        <v>6.2000000000000055E-2</v>
      </c>
      <c r="K43" s="1">
        <f t="shared" si="3"/>
        <v>2.3969999999999998</v>
      </c>
      <c r="L43" s="1">
        <f t="shared" si="4"/>
        <v>2</v>
      </c>
      <c r="M43" s="49">
        <f t="shared" si="5"/>
        <v>4.0268834900849848</v>
      </c>
      <c r="N43" s="49">
        <v>6.6558000000000002</v>
      </c>
      <c r="O43" s="1">
        <v>504</v>
      </c>
      <c r="P43" s="51">
        <v>0.05</v>
      </c>
      <c r="Q43" s="51">
        <v>8</v>
      </c>
      <c r="R43" s="51">
        <v>1</v>
      </c>
      <c r="S43" s="1">
        <v>1</v>
      </c>
      <c r="T43" s="1">
        <v>0</v>
      </c>
      <c r="U43" s="47">
        <v>1</v>
      </c>
      <c r="V43" s="47">
        <v>42</v>
      </c>
      <c r="W43" s="41">
        <v>194</v>
      </c>
      <c r="X43">
        <v>645</v>
      </c>
      <c r="Y43">
        <v>0.93799999999999994</v>
      </c>
      <c r="Z43">
        <v>2397</v>
      </c>
      <c r="AA43">
        <v>2000</v>
      </c>
      <c r="AB43">
        <v>665.58</v>
      </c>
      <c r="AC43">
        <v>55</v>
      </c>
      <c r="AD43" s="41">
        <f t="shared" si="6"/>
        <v>0.35878181059657904</v>
      </c>
      <c r="AE43" s="41">
        <f t="shared" si="7"/>
        <v>0.43</v>
      </c>
      <c r="AF43">
        <f t="shared" si="8"/>
        <v>1.829228381374723</v>
      </c>
      <c r="AG43">
        <f t="shared" si="9"/>
        <v>0.11014769401330367</v>
      </c>
      <c r="AH43">
        <f t="shared" si="10"/>
        <v>6.6558000000000002</v>
      </c>
      <c r="AI43">
        <f>HLOOKUP(HLOOKUP(G43,'THP2'!$B$4:$J$8,5,FALSE),'Fuel &amp; Resister'!$B$3:$G$6,4,FALSE)</f>
        <v>2.2642399999999996</v>
      </c>
      <c r="AJ43" s="41">
        <f>HLOOKUP(HLOOKUP(G43,'THP2'!$B$4:$J$8,5,FALSE),'Fuel &amp; Resister'!$B$3:$G$6,3,FALSE)</f>
        <v>6.3540000000000001</v>
      </c>
      <c r="AO43" s="1">
        <v>1</v>
      </c>
      <c r="AP43" s="1">
        <v>1</v>
      </c>
    </row>
    <row r="44" spans="2:42" x14ac:dyDescent="0.15">
      <c r="B44" s="43" t="s">
        <v>593</v>
      </c>
      <c r="C44" s="61">
        <f>VLOOKUP(B44,[1]SYS!$F$5:$G$359,2,FALSE)</f>
        <v>105</v>
      </c>
      <c r="D44" s="1" t="s">
        <v>23</v>
      </c>
      <c r="E44" s="65" t="s">
        <v>79</v>
      </c>
      <c r="F44" s="63" t="s">
        <v>466</v>
      </c>
      <c r="G44" s="1">
        <v>1</v>
      </c>
      <c r="H44" s="1">
        <f t="shared" si="1"/>
        <v>0.3</v>
      </c>
      <c r="I44" s="1">
        <f t="shared" si="2"/>
        <v>0.6</v>
      </c>
      <c r="J44" s="1">
        <f t="shared" si="0"/>
        <v>5.5000000000000049E-2</v>
      </c>
      <c r="K44" s="1">
        <f t="shared" si="3"/>
        <v>2.39812</v>
      </c>
      <c r="L44" s="1">
        <f t="shared" si="4"/>
        <v>2.0009299999999999</v>
      </c>
      <c r="M44" s="49">
        <f t="shared" si="5"/>
        <v>3.7476799915422085</v>
      </c>
      <c r="N44" s="49">
        <v>6.1449999999999996</v>
      </c>
      <c r="O44" s="1">
        <v>504</v>
      </c>
      <c r="P44" s="51">
        <v>0.05</v>
      </c>
      <c r="Q44" s="51">
        <v>8</v>
      </c>
      <c r="R44" s="51">
        <v>1</v>
      </c>
      <c r="S44" s="1">
        <v>1</v>
      </c>
      <c r="T44" s="1">
        <v>0</v>
      </c>
      <c r="U44" s="47">
        <v>1</v>
      </c>
      <c r="V44" s="47">
        <v>43</v>
      </c>
      <c r="W44" s="41">
        <v>180</v>
      </c>
      <c r="X44">
        <v>600</v>
      </c>
      <c r="Y44">
        <v>0.94499999999999995</v>
      </c>
      <c r="Z44">
        <v>2398.12</v>
      </c>
      <c r="AA44">
        <v>2000.93</v>
      </c>
      <c r="AB44">
        <v>614.5</v>
      </c>
      <c r="AC44">
        <v>55</v>
      </c>
      <c r="AD44" s="41">
        <f t="shared" si="6"/>
        <v>0.35861424782746487</v>
      </c>
      <c r="AE44" s="41">
        <f t="shared" si="7"/>
        <v>0.42980014293353591</v>
      </c>
      <c r="AF44">
        <f t="shared" si="8"/>
        <v>1.8307057142857144</v>
      </c>
      <c r="AG44">
        <f t="shared" si="9"/>
        <v>0.1021345714285713</v>
      </c>
      <c r="AH44">
        <f t="shared" si="10"/>
        <v>6.1449999999999996</v>
      </c>
      <c r="AI44">
        <f>HLOOKUP(HLOOKUP(G44,'THP2'!$B$4:$J$8,5,FALSE),'Fuel &amp; Resister'!$B$3:$G$6,4,FALSE)</f>
        <v>2.2642399999999996</v>
      </c>
      <c r="AJ44" s="41">
        <f>HLOOKUP(HLOOKUP(G44,'THP2'!$B$4:$J$8,5,FALSE),'Fuel &amp; Resister'!$B$3:$G$6,3,FALSE)</f>
        <v>6.3540000000000001</v>
      </c>
      <c r="AO44" s="1">
        <v>1</v>
      </c>
      <c r="AP44" s="1">
        <v>1</v>
      </c>
    </row>
    <row r="45" spans="2:42" x14ac:dyDescent="0.15">
      <c r="B45" s="43" t="s">
        <v>593</v>
      </c>
      <c r="C45" s="61">
        <f>VLOOKUP(B45,[1]SYS!$F$5:$G$359,2,FALSE)</f>
        <v>105</v>
      </c>
      <c r="D45" s="1" t="s">
        <v>23</v>
      </c>
      <c r="E45" s="65" t="s">
        <v>80</v>
      </c>
      <c r="F45" s="63" t="s">
        <v>466</v>
      </c>
      <c r="G45" s="1">
        <v>1</v>
      </c>
      <c r="H45" s="1">
        <f t="shared" si="1"/>
        <v>0.30071174377224197</v>
      </c>
      <c r="I45" s="1">
        <f t="shared" si="2"/>
        <v>0.56200000000000006</v>
      </c>
      <c r="J45" s="1">
        <f t="shared" si="0"/>
        <v>5.5000000000000049E-2</v>
      </c>
      <c r="K45" s="1">
        <f t="shared" si="3"/>
        <v>2.39812</v>
      </c>
      <c r="L45" s="1">
        <f t="shared" si="4"/>
        <v>2.0009299999999999</v>
      </c>
      <c r="M45" s="49">
        <f t="shared" si="5"/>
        <v>3.5103269254112015</v>
      </c>
      <c r="N45" s="49">
        <v>5.7137000000000002</v>
      </c>
      <c r="O45" s="1">
        <v>603</v>
      </c>
      <c r="P45" s="51">
        <v>0.05</v>
      </c>
      <c r="Q45" s="51">
        <v>8</v>
      </c>
      <c r="R45" s="51">
        <v>1</v>
      </c>
      <c r="S45" s="1">
        <v>1</v>
      </c>
      <c r="T45" s="1">
        <v>0</v>
      </c>
      <c r="U45" s="47">
        <v>1</v>
      </c>
      <c r="V45" s="47">
        <v>44</v>
      </c>
      <c r="W45" s="41">
        <v>169</v>
      </c>
      <c r="X45">
        <v>562</v>
      </c>
      <c r="Y45">
        <v>0.94499999999999995</v>
      </c>
      <c r="Z45">
        <v>2398.12</v>
      </c>
      <c r="AA45">
        <v>2000.93</v>
      </c>
      <c r="AB45">
        <v>571.37</v>
      </c>
      <c r="AC45">
        <v>55</v>
      </c>
      <c r="AD45" s="41">
        <f t="shared" si="6"/>
        <v>0.35861424782746487</v>
      </c>
      <c r="AE45" s="41">
        <f t="shared" si="7"/>
        <v>0.42980014293353591</v>
      </c>
      <c r="AF45">
        <f t="shared" si="8"/>
        <v>1.8301281933842237</v>
      </c>
      <c r="AG45">
        <f t="shared" si="9"/>
        <v>9.5990615318066214E-2</v>
      </c>
      <c r="AH45">
        <f t="shared" si="10"/>
        <v>5.7137000000000002</v>
      </c>
      <c r="AI45">
        <f>HLOOKUP(HLOOKUP(G45,'THP2'!$B$4:$J$8,5,FALSE),'Fuel &amp; Resister'!$B$3:$G$6,4,FALSE)</f>
        <v>2.2642399999999996</v>
      </c>
      <c r="AJ45" s="41">
        <f>HLOOKUP(HLOOKUP(G45,'THP2'!$B$4:$J$8,5,FALSE),'Fuel &amp; Resister'!$B$3:$G$6,3,FALSE)</f>
        <v>6.3540000000000001</v>
      </c>
      <c r="AO45" s="1">
        <v>1</v>
      </c>
      <c r="AP45" s="1">
        <v>1</v>
      </c>
    </row>
    <row r="46" spans="2:42" x14ac:dyDescent="0.15">
      <c r="B46" s="43" t="s">
        <v>594</v>
      </c>
      <c r="C46" s="61">
        <f>VLOOKUP(B46,[1]SYS!$F$5:$G$359,2,FALSE)</f>
        <v>70</v>
      </c>
      <c r="D46" s="1" t="s">
        <v>23</v>
      </c>
      <c r="E46" s="65" t="s">
        <v>81</v>
      </c>
      <c r="F46" s="63" t="s">
        <v>512</v>
      </c>
      <c r="G46" s="1">
        <v>1</v>
      </c>
      <c r="H46" s="1">
        <f t="shared" si="1"/>
        <v>0.3</v>
      </c>
      <c r="I46" s="1">
        <f t="shared" si="2"/>
        <v>1</v>
      </c>
      <c r="J46" s="1">
        <f t="shared" si="0"/>
        <v>6.2000000000000055E-2</v>
      </c>
      <c r="K46" s="1">
        <f t="shared" si="3"/>
        <v>2.40035</v>
      </c>
      <c r="L46" s="1">
        <f t="shared" si="4"/>
        <v>2.0027900000000001</v>
      </c>
      <c r="M46" s="49">
        <f t="shared" si="5"/>
        <v>6.2519395233389989</v>
      </c>
      <c r="N46" s="49">
        <v>15</v>
      </c>
      <c r="O46" s="1">
        <v>403</v>
      </c>
      <c r="P46" s="51">
        <v>0.05</v>
      </c>
      <c r="Q46" s="51">
        <v>8</v>
      </c>
      <c r="R46" s="51">
        <v>1</v>
      </c>
      <c r="S46" s="1">
        <v>1</v>
      </c>
      <c r="T46" s="1">
        <v>0</v>
      </c>
      <c r="U46" s="47">
        <v>1</v>
      </c>
      <c r="V46" s="47">
        <v>45</v>
      </c>
      <c r="W46" s="41">
        <v>300</v>
      </c>
      <c r="X46">
        <v>1000</v>
      </c>
      <c r="Y46">
        <v>0.93799999999999994</v>
      </c>
      <c r="Z46">
        <v>2400.35</v>
      </c>
      <c r="AA46">
        <v>2002.79</v>
      </c>
      <c r="AB46">
        <v>1500</v>
      </c>
      <c r="AC46">
        <v>55</v>
      </c>
      <c r="AD46" s="41">
        <f t="shared" si="6"/>
        <v>0.35828108400858211</v>
      </c>
      <c r="AE46" s="41">
        <f t="shared" si="7"/>
        <v>0.42940098562505302</v>
      </c>
      <c r="AF46">
        <f t="shared" si="8"/>
        <v>1.8324071428571431</v>
      </c>
      <c r="AG46">
        <f t="shared" si="9"/>
        <v>0.17038285714285695</v>
      </c>
      <c r="AH46">
        <f t="shared" si="10"/>
        <v>15</v>
      </c>
      <c r="AI46">
        <f>HLOOKUP(HLOOKUP(G46,'THP2'!$B$4:$J$8,5,FALSE),'Fuel &amp; Resister'!$B$3:$G$6,4,FALSE)</f>
        <v>2.2642399999999996</v>
      </c>
      <c r="AJ46" s="41">
        <f>HLOOKUP(HLOOKUP(G46,'THP2'!$B$4:$J$8,5,FALSE),'Fuel &amp; Resister'!$B$3:$G$6,3,FALSE)</f>
        <v>6.3540000000000001</v>
      </c>
      <c r="AO46" s="1">
        <v>1</v>
      </c>
      <c r="AP46" s="1">
        <v>1</v>
      </c>
    </row>
    <row r="47" spans="2:42" x14ac:dyDescent="0.15">
      <c r="B47" s="43" t="s">
        <v>594</v>
      </c>
      <c r="C47" s="61">
        <f>VLOOKUP(B47,[1]SYS!$F$5:$G$359,2,FALSE)</f>
        <v>70</v>
      </c>
      <c r="D47" s="1" t="s">
        <v>23</v>
      </c>
      <c r="E47" s="65" t="s">
        <v>82</v>
      </c>
      <c r="F47" s="63" t="s">
        <v>512</v>
      </c>
      <c r="G47" s="1">
        <v>1</v>
      </c>
      <c r="H47" s="1">
        <f t="shared" si="1"/>
        <v>0.3</v>
      </c>
      <c r="I47" s="1">
        <f t="shared" si="2"/>
        <v>1</v>
      </c>
      <c r="J47" s="1">
        <f t="shared" si="0"/>
        <v>6.2000000000000055E-2</v>
      </c>
      <c r="K47" s="1">
        <f t="shared" si="3"/>
        <v>2.40035</v>
      </c>
      <c r="L47" s="1">
        <f t="shared" si="4"/>
        <v>2.0027900000000001</v>
      </c>
      <c r="M47" s="49">
        <f t="shared" si="5"/>
        <v>6.2519395233389989</v>
      </c>
      <c r="N47" s="49">
        <v>15</v>
      </c>
      <c r="O47" s="1">
        <v>403</v>
      </c>
      <c r="P47" s="51">
        <v>0.05</v>
      </c>
      <c r="Q47" s="51">
        <v>8</v>
      </c>
      <c r="R47" s="51">
        <v>1</v>
      </c>
      <c r="S47" s="1">
        <v>1</v>
      </c>
      <c r="T47" s="1">
        <v>0</v>
      </c>
      <c r="U47" s="47">
        <v>1</v>
      </c>
      <c r="V47" s="47">
        <v>46</v>
      </c>
      <c r="W47" s="41">
        <v>300</v>
      </c>
      <c r="X47">
        <v>1000</v>
      </c>
      <c r="Y47">
        <v>0.93799999999999994</v>
      </c>
      <c r="Z47">
        <v>2400.35</v>
      </c>
      <c r="AA47">
        <v>2002.79</v>
      </c>
      <c r="AB47">
        <v>1500</v>
      </c>
      <c r="AC47">
        <v>55</v>
      </c>
      <c r="AD47" s="41">
        <f t="shared" si="6"/>
        <v>0.35828108400858211</v>
      </c>
      <c r="AE47" s="41">
        <f t="shared" si="7"/>
        <v>0.42940098562505302</v>
      </c>
      <c r="AF47">
        <f t="shared" si="8"/>
        <v>1.8324071428571431</v>
      </c>
      <c r="AG47">
        <f t="shared" si="9"/>
        <v>0.17038285714285695</v>
      </c>
      <c r="AH47">
        <f t="shared" si="10"/>
        <v>15</v>
      </c>
      <c r="AI47">
        <f>HLOOKUP(HLOOKUP(G47,'THP2'!$B$4:$J$8,5,FALSE),'Fuel &amp; Resister'!$B$3:$G$6,4,FALSE)</f>
        <v>2.2642399999999996</v>
      </c>
      <c r="AJ47" s="41">
        <f>HLOOKUP(HLOOKUP(G47,'THP2'!$B$4:$J$8,5,FALSE),'Fuel &amp; Resister'!$B$3:$G$6,3,FALSE)</f>
        <v>6.3540000000000001</v>
      </c>
      <c r="AO47" s="1">
        <v>1</v>
      </c>
      <c r="AP47" s="1">
        <v>1</v>
      </c>
    </row>
    <row r="48" spans="2:42" x14ac:dyDescent="0.15">
      <c r="B48" s="43" t="s">
        <v>590</v>
      </c>
      <c r="C48" s="61">
        <f>VLOOKUP(B48,[1]SYS!$F$5:$G$359,2,FALSE)</f>
        <v>64</v>
      </c>
      <c r="D48" s="1" t="s">
        <v>23</v>
      </c>
      <c r="E48" s="65" t="s">
        <v>83</v>
      </c>
      <c r="F48" s="63" t="s">
        <v>467</v>
      </c>
      <c r="G48" s="1">
        <v>1</v>
      </c>
      <c r="H48" s="1">
        <f t="shared" si="1"/>
        <v>0.3</v>
      </c>
      <c r="I48" s="1">
        <f t="shared" si="2"/>
        <v>0.6</v>
      </c>
      <c r="J48" s="1">
        <f t="shared" si="0"/>
        <v>6.2000000000000055E-2</v>
      </c>
      <c r="K48" s="1">
        <f t="shared" si="3"/>
        <v>2.40035</v>
      </c>
      <c r="L48" s="1">
        <f t="shared" si="4"/>
        <v>2.0027900000000001</v>
      </c>
      <c r="M48" s="49">
        <f t="shared" si="5"/>
        <v>3.7511637140033991</v>
      </c>
      <c r="N48" s="49">
        <v>6.1449999999999996</v>
      </c>
      <c r="O48" s="1">
        <v>603</v>
      </c>
      <c r="P48" s="51">
        <v>0.05</v>
      </c>
      <c r="Q48" s="51">
        <v>8</v>
      </c>
      <c r="R48" s="51">
        <v>1</v>
      </c>
      <c r="S48" s="1">
        <v>1</v>
      </c>
      <c r="T48" s="1">
        <v>0</v>
      </c>
      <c r="U48" s="47">
        <v>1</v>
      </c>
      <c r="V48" s="47">
        <v>47</v>
      </c>
      <c r="W48" s="41">
        <v>180</v>
      </c>
      <c r="X48">
        <v>600</v>
      </c>
      <c r="Y48">
        <v>0.93799999999999994</v>
      </c>
      <c r="Z48">
        <v>2400.35</v>
      </c>
      <c r="AA48">
        <v>2002.79</v>
      </c>
      <c r="AB48">
        <v>614.5</v>
      </c>
      <c r="AC48">
        <v>55</v>
      </c>
      <c r="AD48" s="41">
        <f t="shared" si="6"/>
        <v>0.35828108400858211</v>
      </c>
      <c r="AE48" s="41">
        <f t="shared" si="7"/>
        <v>0.42940098562505302</v>
      </c>
      <c r="AF48">
        <f t="shared" si="8"/>
        <v>1.8324071428571431</v>
      </c>
      <c r="AG48">
        <f t="shared" si="9"/>
        <v>0.10222971428571416</v>
      </c>
      <c r="AH48">
        <f t="shared" si="10"/>
        <v>6.1449999999999996</v>
      </c>
      <c r="AI48">
        <f>HLOOKUP(HLOOKUP(G48,'THP2'!$B$4:$J$8,5,FALSE),'Fuel &amp; Resister'!$B$3:$G$6,4,FALSE)</f>
        <v>2.2642399999999996</v>
      </c>
      <c r="AJ48" s="41">
        <f>HLOOKUP(HLOOKUP(G48,'THP2'!$B$4:$J$8,5,FALSE),'Fuel &amp; Resister'!$B$3:$G$6,3,FALSE)</f>
        <v>6.3540000000000001</v>
      </c>
      <c r="AO48" s="1">
        <v>1</v>
      </c>
      <c r="AP48" s="1">
        <v>1</v>
      </c>
    </row>
    <row r="49" spans="2:42" x14ac:dyDescent="0.15">
      <c r="B49" s="43" t="s">
        <v>590</v>
      </c>
      <c r="C49" s="61">
        <f>VLOOKUP(B49,[1]SYS!$F$5:$G$359,2,FALSE)</f>
        <v>64</v>
      </c>
      <c r="D49" s="1" t="s">
        <v>23</v>
      </c>
      <c r="E49" s="65" t="s">
        <v>84</v>
      </c>
      <c r="F49" s="63" t="s">
        <v>467</v>
      </c>
      <c r="G49" s="1">
        <v>1</v>
      </c>
      <c r="H49" s="1">
        <f t="shared" si="1"/>
        <v>0.3</v>
      </c>
      <c r="I49" s="1">
        <f t="shared" si="2"/>
        <v>0.6</v>
      </c>
      <c r="J49" s="1">
        <f t="shared" si="0"/>
        <v>6.2000000000000055E-2</v>
      </c>
      <c r="K49" s="1">
        <f t="shared" si="3"/>
        <v>2.40035</v>
      </c>
      <c r="L49" s="1">
        <f t="shared" si="4"/>
        <v>2.0027900000000001</v>
      </c>
      <c r="M49" s="49">
        <f t="shared" si="5"/>
        <v>3.7511637140033991</v>
      </c>
      <c r="N49" s="49">
        <v>6.1449999999999996</v>
      </c>
      <c r="O49" s="1">
        <v>504</v>
      </c>
      <c r="P49" s="51">
        <v>0.05</v>
      </c>
      <c r="Q49" s="51">
        <v>8</v>
      </c>
      <c r="R49" s="51">
        <v>1</v>
      </c>
      <c r="S49" s="1">
        <v>1</v>
      </c>
      <c r="T49" s="1">
        <v>0</v>
      </c>
      <c r="U49" s="47">
        <v>1</v>
      </c>
      <c r="V49" s="47">
        <v>48</v>
      </c>
      <c r="W49" s="41">
        <v>180</v>
      </c>
      <c r="X49">
        <v>600</v>
      </c>
      <c r="Y49">
        <v>0.93799999999999994</v>
      </c>
      <c r="Z49">
        <v>2400.35</v>
      </c>
      <c r="AA49">
        <v>2002.79</v>
      </c>
      <c r="AB49">
        <v>614.5</v>
      </c>
      <c r="AC49">
        <v>55</v>
      </c>
      <c r="AD49" s="41">
        <f t="shared" si="6"/>
        <v>0.35828108400858211</v>
      </c>
      <c r="AE49" s="41">
        <f t="shared" si="7"/>
        <v>0.42940098562505302</v>
      </c>
      <c r="AF49">
        <f t="shared" si="8"/>
        <v>1.8324071428571431</v>
      </c>
      <c r="AG49">
        <f t="shared" si="9"/>
        <v>0.10222971428571416</v>
      </c>
      <c r="AH49">
        <f t="shared" si="10"/>
        <v>6.1449999999999996</v>
      </c>
      <c r="AI49">
        <f>HLOOKUP(HLOOKUP(G49,'THP2'!$B$4:$J$8,5,FALSE),'Fuel &amp; Resister'!$B$3:$G$6,4,FALSE)</f>
        <v>2.2642399999999996</v>
      </c>
      <c r="AJ49" s="41">
        <f>HLOOKUP(HLOOKUP(G49,'THP2'!$B$4:$J$8,5,FALSE),'Fuel &amp; Resister'!$B$3:$G$6,3,FALSE)</f>
        <v>6.3540000000000001</v>
      </c>
      <c r="AO49" s="1">
        <v>1</v>
      </c>
      <c r="AP49" s="1">
        <v>1</v>
      </c>
    </row>
    <row r="50" spans="2:42" x14ac:dyDescent="0.15">
      <c r="B50" s="43" t="s">
        <v>595</v>
      </c>
      <c r="C50" s="61">
        <f>VLOOKUP(B50,[1]SYS!$F$5:$G$359,2,FALSE)</f>
        <v>104</v>
      </c>
      <c r="D50" s="1" t="s">
        <v>23</v>
      </c>
      <c r="E50" s="65" t="s">
        <v>85</v>
      </c>
      <c r="F50" s="63" t="s">
        <v>513</v>
      </c>
      <c r="G50" s="1">
        <v>1</v>
      </c>
      <c r="H50" s="1">
        <f t="shared" si="1"/>
        <v>0.3</v>
      </c>
      <c r="I50" s="1">
        <f t="shared" si="2"/>
        <v>0.65</v>
      </c>
      <c r="J50" s="1">
        <f t="shared" si="0"/>
        <v>0</v>
      </c>
      <c r="K50" s="1">
        <f t="shared" si="3"/>
        <v>2.5421399999999998</v>
      </c>
      <c r="L50" s="1">
        <f t="shared" si="4"/>
        <v>2.1210999999999998</v>
      </c>
      <c r="M50" s="49">
        <f t="shared" si="5"/>
        <v>4.303817574443813</v>
      </c>
      <c r="N50" s="49">
        <v>6.7125000000000004</v>
      </c>
      <c r="O50" s="1">
        <v>504</v>
      </c>
      <c r="P50" s="51">
        <v>0.05</v>
      </c>
      <c r="Q50" s="51">
        <v>8</v>
      </c>
      <c r="R50" s="51">
        <v>1</v>
      </c>
      <c r="S50" s="1">
        <v>1</v>
      </c>
      <c r="T50" s="1">
        <v>0</v>
      </c>
      <c r="U50" s="47">
        <v>1</v>
      </c>
      <c r="V50" s="47">
        <v>49</v>
      </c>
      <c r="W50" s="41">
        <v>195</v>
      </c>
      <c r="X50">
        <v>650</v>
      </c>
      <c r="Y50">
        <v>1</v>
      </c>
      <c r="Z50">
        <v>2542.14</v>
      </c>
      <c r="AA50">
        <v>2121.1</v>
      </c>
      <c r="AB50">
        <v>671.25</v>
      </c>
      <c r="AC50">
        <v>55</v>
      </c>
      <c r="AD50" s="41">
        <f t="shared" si="6"/>
        <v>0.33829765473184015</v>
      </c>
      <c r="AE50" s="41">
        <f t="shared" si="7"/>
        <v>0.40545000235726747</v>
      </c>
      <c r="AF50">
        <f t="shared" si="8"/>
        <v>1.9406542857142854</v>
      </c>
      <c r="AG50">
        <f t="shared" si="9"/>
        <v>0.11728971428571432</v>
      </c>
      <c r="AH50">
        <f t="shared" si="10"/>
        <v>6.7125000000000004</v>
      </c>
      <c r="AI50">
        <f>HLOOKUP(HLOOKUP(G50,'THP2'!$B$4:$J$8,5,FALSE),'Fuel &amp; Resister'!$B$3:$G$6,4,FALSE)</f>
        <v>2.2642399999999996</v>
      </c>
      <c r="AJ50" s="41">
        <f>HLOOKUP(HLOOKUP(G50,'THP2'!$B$4:$J$8,5,FALSE),'Fuel &amp; Resister'!$B$3:$G$6,3,FALSE)</f>
        <v>6.3540000000000001</v>
      </c>
      <c r="AO50" s="1">
        <v>1</v>
      </c>
      <c r="AP50" s="1">
        <v>1</v>
      </c>
    </row>
    <row r="51" spans="2:42" x14ac:dyDescent="0.15">
      <c r="B51" s="43" t="s">
        <v>595</v>
      </c>
      <c r="C51" s="61">
        <f>VLOOKUP(B51,[1]SYS!$F$5:$G$359,2,FALSE)</f>
        <v>104</v>
      </c>
      <c r="D51" s="1" t="s">
        <v>23</v>
      </c>
      <c r="E51" s="65" t="s">
        <v>86</v>
      </c>
      <c r="F51" s="63" t="s">
        <v>513</v>
      </c>
      <c r="G51" s="1">
        <v>1</v>
      </c>
      <c r="H51" s="1">
        <f t="shared" si="1"/>
        <v>0.3</v>
      </c>
      <c r="I51" s="1">
        <f t="shared" si="2"/>
        <v>0.65</v>
      </c>
      <c r="J51" s="1">
        <f t="shared" si="0"/>
        <v>0</v>
      </c>
      <c r="K51" s="1">
        <f t="shared" si="3"/>
        <v>2.5421399999999998</v>
      </c>
      <c r="L51" s="1">
        <f t="shared" si="4"/>
        <v>2.1210999999999998</v>
      </c>
      <c r="M51" s="49">
        <f t="shared" si="5"/>
        <v>4.303817574443813</v>
      </c>
      <c r="N51" s="49">
        <v>6.7125000000000004</v>
      </c>
      <c r="O51" s="1">
        <v>403</v>
      </c>
      <c r="P51" s="51">
        <v>0.05</v>
      </c>
      <c r="Q51" s="51">
        <v>8</v>
      </c>
      <c r="R51" s="51">
        <v>1</v>
      </c>
      <c r="S51" s="1">
        <v>1</v>
      </c>
      <c r="T51" s="1">
        <v>0</v>
      </c>
      <c r="U51" s="47">
        <v>1</v>
      </c>
      <c r="V51" s="47">
        <v>50</v>
      </c>
      <c r="W51" s="41">
        <v>195</v>
      </c>
      <c r="X51">
        <v>650</v>
      </c>
      <c r="Y51">
        <v>1</v>
      </c>
      <c r="Z51">
        <v>2542.14</v>
      </c>
      <c r="AA51">
        <v>2121.1</v>
      </c>
      <c r="AB51">
        <v>671.25</v>
      </c>
      <c r="AC51">
        <v>55</v>
      </c>
      <c r="AD51" s="41">
        <f t="shared" si="6"/>
        <v>0.33829765473184015</v>
      </c>
      <c r="AE51" s="41">
        <f t="shared" si="7"/>
        <v>0.40545000235726747</v>
      </c>
      <c r="AF51">
        <f t="shared" si="8"/>
        <v>1.9406542857142854</v>
      </c>
      <c r="AG51">
        <f t="shared" si="9"/>
        <v>0.11728971428571432</v>
      </c>
      <c r="AH51">
        <f t="shared" si="10"/>
        <v>6.7125000000000004</v>
      </c>
      <c r="AI51">
        <f>HLOOKUP(HLOOKUP(G51,'THP2'!$B$4:$J$8,5,FALSE),'Fuel &amp; Resister'!$B$3:$G$6,4,FALSE)</f>
        <v>2.2642399999999996</v>
      </c>
      <c r="AJ51" s="41">
        <f>HLOOKUP(HLOOKUP(G51,'THP2'!$B$4:$J$8,5,FALSE),'Fuel &amp; Resister'!$B$3:$G$6,3,FALSE)</f>
        <v>6.3540000000000001</v>
      </c>
      <c r="AO51" s="1">
        <v>1</v>
      </c>
      <c r="AP51" s="1">
        <v>1</v>
      </c>
    </row>
    <row r="52" spans="2:42" x14ac:dyDescent="0.15">
      <c r="B52" s="43" t="s">
        <v>595</v>
      </c>
      <c r="C52" s="61">
        <f>VLOOKUP(B52,[1]SYS!$F$5:$G$359,2,FALSE)</f>
        <v>104</v>
      </c>
      <c r="D52" s="1" t="s">
        <v>23</v>
      </c>
      <c r="E52" s="65" t="s">
        <v>87</v>
      </c>
      <c r="F52" s="63" t="s">
        <v>514</v>
      </c>
      <c r="G52" s="1">
        <v>1</v>
      </c>
      <c r="H52" s="1">
        <f t="shared" si="1"/>
        <v>0.30434782608695654</v>
      </c>
      <c r="I52" s="1">
        <f t="shared" si="2"/>
        <v>9.1999999999999998E-2</v>
      </c>
      <c r="J52" s="1">
        <f t="shared" si="0"/>
        <v>6.0000000000000053E-2</v>
      </c>
      <c r="K52" s="1">
        <f t="shared" si="3"/>
        <v>2.5605599999999997</v>
      </c>
      <c r="L52" s="1">
        <f t="shared" si="4"/>
        <v>2.1364699999999996</v>
      </c>
      <c r="M52" s="49">
        <f t="shared" si="5"/>
        <v>0.61356980685712537</v>
      </c>
      <c r="N52" s="49">
        <v>0.73599999999999999</v>
      </c>
      <c r="O52" s="6">
        <v>302</v>
      </c>
      <c r="P52" s="51">
        <v>0</v>
      </c>
      <c r="Q52" s="51">
        <v>8</v>
      </c>
      <c r="R52" s="51">
        <v>1</v>
      </c>
      <c r="S52" s="1">
        <v>1</v>
      </c>
      <c r="T52" s="1">
        <v>0</v>
      </c>
      <c r="U52" s="47">
        <v>1</v>
      </c>
      <c r="V52" s="47">
        <v>51</v>
      </c>
      <c r="W52" s="41">
        <v>28</v>
      </c>
      <c r="X52">
        <v>92</v>
      </c>
      <c r="Y52">
        <v>0.94</v>
      </c>
      <c r="Z52">
        <v>2560.56</v>
      </c>
      <c r="AA52">
        <v>2136.4699999999998</v>
      </c>
      <c r="AB52">
        <v>73.599999999999994</v>
      </c>
      <c r="AC52">
        <v>55</v>
      </c>
      <c r="AD52" s="41">
        <f t="shared" si="6"/>
        <v>0.33586402974349366</v>
      </c>
      <c r="AE52" s="41">
        <f t="shared" si="7"/>
        <v>0.40253315047718902</v>
      </c>
      <c r="AF52">
        <f t="shared" si="8"/>
        <v>1.9509306249999998</v>
      </c>
      <c r="AG52">
        <f t="shared" si="9"/>
        <v>1.7069622499999985E-2</v>
      </c>
      <c r="AH52">
        <f t="shared" si="10"/>
        <v>0.73599999999999999</v>
      </c>
      <c r="AI52">
        <f>HLOOKUP(HLOOKUP(G52,'THP2'!$B$4:$J$8,5,FALSE),'Fuel &amp; Resister'!$B$3:$G$6,4,FALSE)</f>
        <v>2.2642399999999996</v>
      </c>
      <c r="AJ52" s="41">
        <f>HLOOKUP(HLOOKUP(G52,'THP2'!$B$4:$J$8,5,FALSE),'Fuel &amp; Resister'!$B$3:$G$6,3,FALSE)</f>
        <v>6.3540000000000001</v>
      </c>
      <c r="AO52" s="1">
        <v>1</v>
      </c>
      <c r="AP52" s="1">
        <v>1</v>
      </c>
    </row>
    <row r="53" spans="2:42" x14ac:dyDescent="0.15">
      <c r="B53" s="43" t="s">
        <v>595</v>
      </c>
      <c r="C53" s="61">
        <f>VLOOKUP(B53,[1]SYS!$F$5:$G$359,2,FALSE)</f>
        <v>104</v>
      </c>
      <c r="D53" s="1" t="s">
        <v>23</v>
      </c>
      <c r="E53" s="65" t="s">
        <v>88</v>
      </c>
      <c r="F53" s="42"/>
      <c r="G53" s="1">
        <v>1</v>
      </c>
      <c r="H53" s="1">
        <f t="shared" si="1"/>
        <v>0.29980276134122286</v>
      </c>
      <c r="I53" s="1">
        <f t="shared" si="2"/>
        <v>0.50700000000000001</v>
      </c>
      <c r="J53" s="1">
        <f t="shared" si="0"/>
        <v>4.9000000000000044E-2</v>
      </c>
      <c r="K53" s="1">
        <f t="shared" si="3"/>
        <v>2.6069299999999997</v>
      </c>
      <c r="L53" s="1">
        <f t="shared" si="4"/>
        <v>2.17516</v>
      </c>
      <c r="M53" s="49">
        <f t="shared" si="5"/>
        <v>3.442536246040838</v>
      </c>
      <c r="N53" s="49">
        <v>5.0895000000000001</v>
      </c>
      <c r="O53" s="1">
        <v>603</v>
      </c>
      <c r="P53" s="51">
        <v>0</v>
      </c>
      <c r="Q53" s="51">
        <v>8</v>
      </c>
      <c r="R53" s="51">
        <v>1</v>
      </c>
      <c r="S53" s="1">
        <v>1</v>
      </c>
      <c r="T53" s="1">
        <v>0</v>
      </c>
      <c r="U53" s="47">
        <v>1</v>
      </c>
      <c r="V53" s="47">
        <v>52</v>
      </c>
      <c r="W53" s="41">
        <v>152</v>
      </c>
      <c r="X53">
        <v>507</v>
      </c>
      <c r="Y53">
        <v>0.95099999999999996</v>
      </c>
      <c r="Z53">
        <v>2606.9299999999998</v>
      </c>
      <c r="AA53">
        <v>2175.16</v>
      </c>
      <c r="AB53">
        <v>508.95</v>
      </c>
      <c r="AC53">
        <v>55</v>
      </c>
      <c r="AD53" s="41">
        <f t="shared" si="6"/>
        <v>0.32988994717924919</v>
      </c>
      <c r="AE53" s="41">
        <f t="shared" si="7"/>
        <v>0.39537321392449293</v>
      </c>
      <c r="AF53">
        <f t="shared" si="8"/>
        <v>1.9902894647887326</v>
      </c>
      <c r="AG53">
        <f t="shared" si="9"/>
        <v>9.3729361352112572E-2</v>
      </c>
      <c r="AH53">
        <f t="shared" si="10"/>
        <v>5.0895000000000001</v>
      </c>
      <c r="AI53">
        <f>HLOOKUP(HLOOKUP(G53,'THP2'!$B$4:$J$8,5,FALSE),'Fuel &amp; Resister'!$B$3:$G$6,4,FALSE)</f>
        <v>2.2642399999999996</v>
      </c>
      <c r="AJ53" s="41">
        <f>HLOOKUP(HLOOKUP(G53,'THP2'!$B$4:$J$8,5,FALSE),'Fuel &amp; Resister'!$B$3:$G$6,3,FALSE)</f>
        <v>6.3540000000000001</v>
      </c>
      <c r="AO53" s="1">
        <v>1</v>
      </c>
      <c r="AP53" s="1">
        <v>1</v>
      </c>
    </row>
    <row r="54" spans="2:42" x14ac:dyDescent="0.15">
      <c r="B54" s="43" t="s">
        <v>596</v>
      </c>
      <c r="C54" s="61">
        <f>VLOOKUP(B54,[1]SYS!$F$5:$G$359,2,FALSE)</f>
        <v>155</v>
      </c>
      <c r="D54" s="1" t="s">
        <v>23</v>
      </c>
      <c r="E54" s="42" t="s">
        <v>89</v>
      </c>
      <c r="F54" s="42"/>
      <c r="G54" s="1">
        <v>1</v>
      </c>
      <c r="H54" s="1">
        <f t="shared" si="1"/>
        <v>0.3</v>
      </c>
      <c r="I54" s="1">
        <f t="shared" si="2"/>
        <v>1</v>
      </c>
      <c r="J54" s="1">
        <f t="shared" si="0"/>
        <v>5.2000000000000046E-2</v>
      </c>
      <c r="K54" s="1">
        <f t="shared" si="3"/>
        <v>2.4611999999999998</v>
      </c>
      <c r="L54" s="1">
        <f t="shared" si="4"/>
        <v>2.0535700000000001</v>
      </c>
      <c r="M54" s="49">
        <f t="shared" si="5"/>
        <v>6.4104551385533517</v>
      </c>
      <c r="N54" s="49">
        <v>15</v>
      </c>
      <c r="O54" s="1">
        <v>702</v>
      </c>
      <c r="P54" s="51">
        <v>0.05</v>
      </c>
      <c r="Q54" s="51">
        <v>8</v>
      </c>
      <c r="R54" s="51">
        <v>1</v>
      </c>
      <c r="S54" s="1">
        <v>1</v>
      </c>
      <c r="T54" s="1">
        <v>0</v>
      </c>
      <c r="U54" s="47">
        <v>0</v>
      </c>
      <c r="V54" s="47">
        <v>53</v>
      </c>
      <c r="W54" s="41">
        <v>300</v>
      </c>
      <c r="X54">
        <v>1000</v>
      </c>
      <c r="Y54">
        <v>0.94799999999999995</v>
      </c>
      <c r="Z54">
        <v>2461.1999999999998</v>
      </c>
      <c r="AA54">
        <v>2053.5700000000002</v>
      </c>
      <c r="AB54">
        <v>1500</v>
      </c>
      <c r="AC54">
        <v>55</v>
      </c>
      <c r="AD54" s="41">
        <f t="shared" si="6"/>
        <v>0.34942304566877952</v>
      </c>
      <c r="AE54" s="41">
        <f t="shared" si="7"/>
        <v>0.41878290002288693</v>
      </c>
      <c r="AF54">
        <f t="shared" si="8"/>
        <v>1.878871428571429</v>
      </c>
      <c r="AG54">
        <f t="shared" si="9"/>
        <v>0.17469857142857115</v>
      </c>
      <c r="AH54">
        <f t="shared" si="10"/>
        <v>15</v>
      </c>
      <c r="AI54">
        <f>HLOOKUP(HLOOKUP(G54,'THP2'!$B$4:$J$8,5,FALSE),'Fuel &amp; Resister'!$B$3:$G$6,4,FALSE)</f>
        <v>2.2642399999999996</v>
      </c>
      <c r="AJ54" s="41">
        <f>HLOOKUP(HLOOKUP(G54,'THP2'!$B$4:$J$8,5,FALSE),'Fuel &amp; Resister'!$B$3:$G$6,3,FALSE)</f>
        <v>6.3540000000000001</v>
      </c>
      <c r="AO54" s="62">
        <v>0</v>
      </c>
      <c r="AP54" s="62">
        <v>0</v>
      </c>
    </row>
    <row r="55" spans="2:42" x14ac:dyDescent="0.15">
      <c r="B55" s="43" t="s">
        <v>596</v>
      </c>
      <c r="C55" s="61">
        <f>VLOOKUP(B55,[1]SYS!$F$5:$G$359,2,FALSE)</f>
        <v>155</v>
      </c>
      <c r="D55" s="1" t="s">
        <v>23</v>
      </c>
      <c r="E55" s="42" t="s">
        <v>89</v>
      </c>
      <c r="F55" s="42"/>
      <c r="G55" s="1">
        <v>1</v>
      </c>
      <c r="H55" s="1">
        <f t="shared" si="1"/>
        <v>0.3</v>
      </c>
      <c r="I55" s="1">
        <f t="shared" si="2"/>
        <v>1</v>
      </c>
      <c r="J55" s="1">
        <f t="shared" si="0"/>
        <v>5.2000000000000046E-2</v>
      </c>
      <c r="K55" s="1">
        <f t="shared" si="3"/>
        <v>2.4611999999999998</v>
      </c>
      <c r="L55" s="1">
        <f t="shared" si="4"/>
        <v>2.0535700000000001</v>
      </c>
      <c r="M55" s="49">
        <f t="shared" si="5"/>
        <v>6.4104551385533517</v>
      </c>
      <c r="N55" s="49">
        <v>15</v>
      </c>
      <c r="O55" s="1">
        <v>104</v>
      </c>
      <c r="P55" s="51">
        <v>0.05</v>
      </c>
      <c r="Q55" s="51">
        <v>8</v>
      </c>
      <c r="R55" s="51">
        <v>1</v>
      </c>
      <c r="S55" s="1">
        <v>1</v>
      </c>
      <c r="T55" s="1">
        <v>0</v>
      </c>
      <c r="U55" s="47">
        <v>0</v>
      </c>
      <c r="V55" s="47">
        <v>54</v>
      </c>
      <c r="W55" s="41">
        <v>300</v>
      </c>
      <c r="X55">
        <v>1000</v>
      </c>
      <c r="Y55">
        <v>0.94799999999999995</v>
      </c>
      <c r="Z55">
        <v>2461.1999999999998</v>
      </c>
      <c r="AA55">
        <v>2053.5700000000002</v>
      </c>
      <c r="AB55">
        <v>1500</v>
      </c>
      <c r="AC55">
        <v>55</v>
      </c>
      <c r="AD55" s="41">
        <f t="shared" si="6"/>
        <v>0.34942304566877952</v>
      </c>
      <c r="AE55" s="41">
        <f t="shared" si="7"/>
        <v>0.41878290002288693</v>
      </c>
      <c r="AF55">
        <f t="shared" si="8"/>
        <v>1.878871428571429</v>
      </c>
      <c r="AG55">
        <f t="shared" si="9"/>
        <v>0.17469857142857115</v>
      </c>
      <c r="AH55">
        <f t="shared" si="10"/>
        <v>15</v>
      </c>
      <c r="AI55">
        <f>HLOOKUP(HLOOKUP(G55,'THP2'!$B$4:$J$8,5,FALSE),'Fuel &amp; Resister'!$B$3:$G$6,4,FALSE)</f>
        <v>2.2642399999999996</v>
      </c>
      <c r="AJ55" s="41">
        <f>HLOOKUP(HLOOKUP(G55,'THP2'!$B$4:$J$8,5,FALSE),'Fuel &amp; Resister'!$B$3:$G$6,3,FALSE)</f>
        <v>6.3540000000000001</v>
      </c>
      <c r="AO55" s="62">
        <v>0</v>
      </c>
      <c r="AP55" s="62">
        <v>0</v>
      </c>
    </row>
    <row r="56" spans="2:42" x14ac:dyDescent="0.15">
      <c r="B56" s="43" t="s">
        <v>596</v>
      </c>
      <c r="C56" s="61">
        <f>VLOOKUP(B56,[1]SYS!$F$5:$G$359,2,FALSE)</f>
        <v>155</v>
      </c>
      <c r="D56" s="1" t="s">
        <v>23</v>
      </c>
      <c r="E56" s="42" t="s">
        <v>89</v>
      </c>
      <c r="F56" s="42"/>
      <c r="G56" s="1">
        <v>1</v>
      </c>
      <c r="H56" s="1">
        <f t="shared" si="1"/>
        <v>0.3</v>
      </c>
      <c r="I56" s="1">
        <f t="shared" si="2"/>
        <v>1</v>
      </c>
      <c r="J56" s="1">
        <f t="shared" si="0"/>
        <v>5.2000000000000046E-2</v>
      </c>
      <c r="K56" s="1">
        <f t="shared" si="3"/>
        <v>2.4611999999999998</v>
      </c>
      <c r="L56" s="1">
        <f t="shared" si="4"/>
        <v>2.0535700000000001</v>
      </c>
      <c r="M56" s="49">
        <f t="shared" si="5"/>
        <v>6.4104551385533517</v>
      </c>
      <c r="N56" s="49">
        <v>15</v>
      </c>
      <c r="O56" s="1">
        <v>1103</v>
      </c>
      <c r="P56" s="51">
        <v>0.05</v>
      </c>
      <c r="Q56" s="51">
        <v>8</v>
      </c>
      <c r="R56" s="51">
        <v>1</v>
      </c>
      <c r="S56" s="1">
        <v>1</v>
      </c>
      <c r="T56" s="1">
        <v>0</v>
      </c>
      <c r="U56" s="47">
        <v>0</v>
      </c>
      <c r="V56" s="47">
        <v>55</v>
      </c>
      <c r="W56" s="41">
        <v>300</v>
      </c>
      <c r="X56">
        <v>1000</v>
      </c>
      <c r="Y56">
        <v>0.94799999999999995</v>
      </c>
      <c r="Z56">
        <v>2461.1999999999998</v>
      </c>
      <c r="AA56">
        <v>2053.5700000000002</v>
      </c>
      <c r="AB56">
        <v>1500</v>
      </c>
      <c r="AC56">
        <v>55</v>
      </c>
      <c r="AD56" s="41">
        <f t="shared" si="6"/>
        <v>0.34942304566877952</v>
      </c>
      <c r="AE56" s="41">
        <f t="shared" si="7"/>
        <v>0.41878290002288693</v>
      </c>
      <c r="AF56">
        <f t="shared" si="8"/>
        <v>1.878871428571429</v>
      </c>
      <c r="AG56">
        <f t="shared" si="9"/>
        <v>0.17469857142857115</v>
      </c>
      <c r="AH56">
        <f t="shared" si="10"/>
        <v>15</v>
      </c>
      <c r="AI56">
        <f>HLOOKUP(HLOOKUP(G56,'THP2'!$B$4:$J$8,5,FALSE),'Fuel &amp; Resister'!$B$3:$G$6,4,FALSE)</f>
        <v>2.2642399999999996</v>
      </c>
      <c r="AJ56" s="41">
        <f>HLOOKUP(HLOOKUP(G56,'THP2'!$B$4:$J$8,5,FALSE),'Fuel &amp; Resister'!$B$3:$G$6,3,FALSE)</f>
        <v>6.3540000000000001</v>
      </c>
      <c r="AO56" s="62">
        <v>0</v>
      </c>
      <c r="AP56" s="62">
        <v>0</v>
      </c>
    </row>
    <row r="57" spans="2:42" x14ac:dyDescent="0.15">
      <c r="B57" s="43" t="s">
        <v>596</v>
      </c>
      <c r="C57" s="61">
        <f>VLOOKUP(B57,[1]SYS!$F$5:$G$359,2,FALSE)</f>
        <v>155</v>
      </c>
      <c r="D57" s="1" t="s">
        <v>23</v>
      </c>
      <c r="E57" s="42" t="s">
        <v>89</v>
      </c>
      <c r="F57" s="42"/>
      <c r="G57" s="1">
        <v>1</v>
      </c>
      <c r="H57" s="1">
        <f t="shared" si="1"/>
        <v>0.3</v>
      </c>
      <c r="I57" s="1">
        <f t="shared" si="2"/>
        <v>1</v>
      </c>
      <c r="J57" s="1">
        <f t="shared" si="0"/>
        <v>5.2000000000000046E-2</v>
      </c>
      <c r="K57" s="1">
        <f t="shared" si="3"/>
        <v>2.4611999999999998</v>
      </c>
      <c r="L57" s="1">
        <f t="shared" si="4"/>
        <v>2.0535700000000001</v>
      </c>
      <c r="M57" s="49">
        <f t="shared" si="5"/>
        <v>6.4104551385533517</v>
      </c>
      <c r="N57" s="49">
        <v>15</v>
      </c>
      <c r="O57" s="6">
        <v>305</v>
      </c>
      <c r="P57" s="51">
        <v>0.05</v>
      </c>
      <c r="Q57" s="51">
        <v>8</v>
      </c>
      <c r="R57" s="51">
        <v>1</v>
      </c>
      <c r="S57" s="1">
        <v>1</v>
      </c>
      <c r="T57" s="1">
        <v>0</v>
      </c>
      <c r="U57" s="47">
        <v>0</v>
      </c>
      <c r="V57" s="47">
        <v>56</v>
      </c>
      <c r="W57" s="41">
        <v>300</v>
      </c>
      <c r="X57">
        <v>1000</v>
      </c>
      <c r="Y57">
        <v>0.94799999999999995</v>
      </c>
      <c r="Z57">
        <v>2461.1999999999998</v>
      </c>
      <c r="AA57">
        <v>2053.5700000000002</v>
      </c>
      <c r="AB57">
        <v>1500</v>
      </c>
      <c r="AC57">
        <v>55</v>
      </c>
      <c r="AD57" s="41">
        <f t="shared" si="6"/>
        <v>0.34942304566877952</v>
      </c>
      <c r="AE57" s="41">
        <f t="shared" si="7"/>
        <v>0.41878290002288693</v>
      </c>
      <c r="AF57">
        <f t="shared" si="8"/>
        <v>1.878871428571429</v>
      </c>
      <c r="AG57">
        <f t="shared" si="9"/>
        <v>0.17469857142857115</v>
      </c>
      <c r="AH57">
        <f t="shared" si="10"/>
        <v>15</v>
      </c>
      <c r="AI57">
        <f>HLOOKUP(HLOOKUP(G57,'THP2'!$B$4:$J$8,5,FALSE),'Fuel &amp; Resister'!$B$3:$G$6,4,FALSE)</f>
        <v>2.2642399999999996</v>
      </c>
      <c r="AJ57" s="41">
        <f>HLOOKUP(HLOOKUP(G57,'THP2'!$B$4:$J$8,5,FALSE),'Fuel &amp; Resister'!$B$3:$G$6,3,FALSE)</f>
        <v>6.3540000000000001</v>
      </c>
      <c r="AO57" s="62">
        <v>0</v>
      </c>
      <c r="AP57" s="62">
        <v>0</v>
      </c>
    </row>
    <row r="58" spans="2:42" x14ac:dyDescent="0.15">
      <c r="B58" s="43" t="s">
        <v>596</v>
      </c>
      <c r="C58" s="61">
        <f>VLOOKUP(B58,[1]SYS!$F$5:$G$359,2,FALSE)</f>
        <v>155</v>
      </c>
      <c r="D58" s="1" t="s">
        <v>23</v>
      </c>
      <c r="E58" s="42" t="s">
        <v>89</v>
      </c>
      <c r="F58" s="42"/>
      <c r="G58" s="1">
        <v>1</v>
      </c>
      <c r="H58" s="1">
        <f t="shared" si="1"/>
        <v>0.3</v>
      </c>
      <c r="I58" s="1">
        <f t="shared" si="2"/>
        <v>1</v>
      </c>
      <c r="J58" s="1">
        <f t="shared" si="0"/>
        <v>5.2000000000000046E-2</v>
      </c>
      <c r="K58" s="1">
        <f t="shared" si="3"/>
        <v>2.4611999999999998</v>
      </c>
      <c r="L58" s="1">
        <f t="shared" si="4"/>
        <v>2.0535700000000001</v>
      </c>
      <c r="M58" s="49">
        <f t="shared" si="5"/>
        <v>6.4104551385533517</v>
      </c>
      <c r="N58" s="49">
        <v>15</v>
      </c>
      <c r="O58" s="1">
        <v>906</v>
      </c>
      <c r="P58" s="51">
        <v>0.05</v>
      </c>
      <c r="Q58" s="51">
        <v>8</v>
      </c>
      <c r="R58" s="51">
        <v>1</v>
      </c>
      <c r="S58" s="1">
        <v>1</v>
      </c>
      <c r="T58" s="1">
        <v>0</v>
      </c>
      <c r="U58" s="47">
        <v>0</v>
      </c>
      <c r="V58" s="47">
        <v>57</v>
      </c>
      <c r="W58" s="41">
        <v>300</v>
      </c>
      <c r="X58">
        <v>1000</v>
      </c>
      <c r="Y58">
        <v>0.94799999999999995</v>
      </c>
      <c r="Z58">
        <v>2461.1999999999998</v>
      </c>
      <c r="AA58">
        <v>2053.5700000000002</v>
      </c>
      <c r="AB58">
        <v>1500</v>
      </c>
      <c r="AC58">
        <v>55</v>
      </c>
      <c r="AD58" s="41">
        <f t="shared" si="6"/>
        <v>0.34942304566877952</v>
      </c>
      <c r="AE58" s="41">
        <f t="shared" si="7"/>
        <v>0.41878290002288693</v>
      </c>
      <c r="AF58">
        <f t="shared" si="8"/>
        <v>1.878871428571429</v>
      </c>
      <c r="AG58">
        <f t="shared" si="9"/>
        <v>0.17469857142857115</v>
      </c>
      <c r="AH58">
        <f t="shared" si="10"/>
        <v>15</v>
      </c>
      <c r="AI58">
        <f>HLOOKUP(HLOOKUP(G58,'THP2'!$B$4:$J$8,5,FALSE),'Fuel &amp; Resister'!$B$3:$G$6,4,FALSE)</f>
        <v>2.2642399999999996</v>
      </c>
      <c r="AJ58" s="41">
        <f>HLOOKUP(HLOOKUP(G58,'THP2'!$B$4:$J$8,5,FALSE),'Fuel &amp; Resister'!$B$3:$G$6,3,FALSE)</f>
        <v>6.3540000000000001</v>
      </c>
      <c r="AO58" s="62">
        <v>0</v>
      </c>
      <c r="AP58" s="62">
        <v>0</v>
      </c>
    </row>
    <row r="59" spans="2:42" x14ac:dyDescent="0.15">
      <c r="B59" s="43" t="s">
        <v>596</v>
      </c>
      <c r="C59" s="61">
        <f>VLOOKUP(B59,[1]SYS!$F$5:$G$359,2,FALSE)</f>
        <v>155</v>
      </c>
      <c r="D59" s="1" t="s">
        <v>23</v>
      </c>
      <c r="E59" s="42" t="s">
        <v>89</v>
      </c>
      <c r="F59" s="42"/>
      <c r="G59" s="1">
        <v>1</v>
      </c>
      <c r="H59" s="1">
        <f t="shared" si="1"/>
        <v>0.3</v>
      </c>
      <c r="I59" s="1">
        <f t="shared" si="2"/>
        <v>1</v>
      </c>
      <c r="J59" s="1">
        <f t="shared" si="0"/>
        <v>5.2000000000000046E-2</v>
      </c>
      <c r="K59" s="1">
        <f t="shared" si="3"/>
        <v>2.4611999999999998</v>
      </c>
      <c r="L59" s="1">
        <f t="shared" si="4"/>
        <v>2.0535700000000001</v>
      </c>
      <c r="M59" s="49">
        <f t="shared" si="5"/>
        <v>6.4104551385533517</v>
      </c>
      <c r="N59" s="49">
        <v>15</v>
      </c>
      <c r="O59" s="1">
        <v>504</v>
      </c>
      <c r="P59" s="51">
        <v>0.05</v>
      </c>
      <c r="Q59" s="51">
        <v>8</v>
      </c>
      <c r="R59" s="51">
        <v>1</v>
      </c>
      <c r="S59" s="1">
        <v>1</v>
      </c>
      <c r="T59" s="1">
        <v>0</v>
      </c>
      <c r="U59" s="47">
        <v>0</v>
      </c>
      <c r="V59" s="47">
        <v>58</v>
      </c>
      <c r="W59" s="41">
        <v>300</v>
      </c>
      <c r="X59">
        <v>1000</v>
      </c>
      <c r="Y59">
        <v>0.94799999999999995</v>
      </c>
      <c r="Z59">
        <v>2461.1999999999998</v>
      </c>
      <c r="AA59">
        <v>2053.5700000000002</v>
      </c>
      <c r="AB59">
        <v>1500</v>
      </c>
      <c r="AC59">
        <v>55</v>
      </c>
      <c r="AD59" s="41">
        <f t="shared" si="6"/>
        <v>0.34942304566877952</v>
      </c>
      <c r="AE59" s="41">
        <f t="shared" si="7"/>
        <v>0.41878290002288693</v>
      </c>
      <c r="AF59">
        <f t="shared" si="8"/>
        <v>1.878871428571429</v>
      </c>
      <c r="AG59">
        <f t="shared" si="9"/>
        <v>0.17469857142857115</v>
      </c>
      <c r="AH59">
        <f t="shared" si="10"/>
        <v>15</v>
      </c>
      <c r="AI59">
        <f>HLOOKUP(HLOOKUP(G59,'THP2'!$B$4:$J$8,5,FALSE),'Fuel &amp; Resister'!$B$3:$G$6,4,FALSE)</f>
        <v>2.2642399999999996</v>
      </c>
      <c r="AJ59" s="41">
        <f>HLOOKUP(HLOOKUP(G59,'THP2'!$B$4:$J$8,5,FALSE),'Fuel &amp; Resister'!$B$3:$G$6,3,FALSE)</f>
        <v>6.3540000000000001</v>
      </c>
      <c r="AO59" s="62">
        <v>0</v>
      </c>
      <c r="AP59" s="62">
        <v>0</v>
      </c>
    </row>
    <row r="60" spans="2:42" x14ac:dyDescent="0.15">
      <c r="B60" s="43" t="s">
        <v>596</v>
      </c>
      <c r="C60" s="61">
        <f>VLOOKUP(B60,[1]SYS!$F$5:$G$359,2,FALSE)</f>
        <v>155</v>
      </c>
      <c r="D60" s="1" t="s">
        <v>23</v>
      </c>
      <c r="E60" s="65" t="s">
        <v>90</v>
      </c>
      <c r="F60" s="63" t="s">
        <v>482</v>
      </c>
      <c r="G60" s="1">
        <v>1</v>
      </c>
      <c r="H60" s="1">
        <f t="shared" si="1"/>
        <v>0.3</v>
      </c>
      <c r="I60" s="1">
        <f t="shared" si="2"/>
        <v>1.07</v>
      </c>
      <c r="J60" s="1">
        <f t="shared" si="0"/>
        <v>6.5400000000000014E-2</v>
      </c>
      <c r="K60" s="1">
        <f t="shared" si="3"/>
        <v>2.4110200000000002</v>
      </c>
      <c r="L60" s="1">
        <f t="shared" si="4"/>
        <v>2.0117000000000003</v>
      </c>
      <c r="M60" s="49">
        <f t="shared" si="5"/>
        <v>6.7193358319335212</v>
      </c>
      <c r="N60" s="49">
        <v>16.801300000000001</v>
      </c>
      <c r="O60" s="1">
        <v>401</v>
      </c>
      <c r="P60" s="51">
        <v>0.05</v>
      </c>
      <c r="Q60" s="51">
        <v>8</v>
      </c>
      <c r="R60" s="51">
        <v>1</v>
      </c>
      <c r="S60" s="1">
        <v>1</v>
      </c>
      <c r="T60" s="1">
        <v>0</v>
      </c>
      <c r="U60" s="47">
        <v>1</v>
      </c>
      <c r="V60" s="47">
        <v>59</v>
      </c>
      <c r="W60" s="41">
        <v>321</v>
      </c>
      <c r="X60">
        <v>1070</v>
      </c>
      <c r="Y60">
        <v>0.93459999999999999</v>
      </c>
      <c r="Z60">
        <v>2411.02</v>
      </c>
      <c r="AA60">
        <v>2011.7</v>
      </c>
      <c r="AB60">
        <v>1680.13</v>
      </c>
      <c r="AC60">
        <v>55</v>
      </c>
      <c r="AD60" s="41">
        <f t="shared" si="6"/>
        <v>0.35669550646614295</v>
      </c>
      <c r="AE60" s="41">
        <f t="shared" si="7"/>
        <v>0.4274991300889795</v>
      </c>
      <c r="AF60">
        <f t="shared" si="8"/>
        <v>1.8405628571428576</v>
      </c>
      <c r="AG60">
        <f t="shared" si="9"/>
        <v>0.18311674285714266</v>
      </c>
      <c r="AH60">
        <f t="shared" si="10"/>
        <v>16.801300000000001</v>
      </c>
      <c r="AI60">
        <f>HLOOKUP(HLOOKUP(G60,'THP2'!$B$4:$J$8,5,FALSE),'Fuel &amp; Resister'!$B$3:$G$6,4,FALSE)</f>
        <v>2.2642399999999996</v>
      </c>
      <c r="AJ60" s="41">
        <f>HLOOKUP(HLOOKUP(G60,'THP2'!$B$4:$J$8,5,FALSE),'Fuel &amp; Resister'!$B$3:$G$6,3,FALSE)</f>
        <v>6.3540000000000001</v>
      </c>
      <c r="AO60" s="1">
        <v>1</v>
      </c>
      <c r="AP60" s="1">
        <v>1</v>
      </c>
    </row>
    <row r="61" spans="2:42" x14ac:dyDescent="0.15">
      <c r="B61" s="43" t="s">
        <v>597</v>
      </c>
      <c r="C61" s="61">
        <f>VLOOKUP(B61,[1]SYS!$F$5:$G$359,2,FALSE)</f>
        <v>187</v>
      </c>
      <c r="D61" s="1" t="s">
        <v>23</v>
      </c>
      <c r="E61" s="65" t="s">
        <v>91</v>
      </c>
      <c r="F61" s="63" t="s">
        <v>481</v>
      </c>
      <c r="G61" s="1">
        <v>1</v>
      </c>
      <c r="H61" s="1">
        <f t="shared" si="1"/>
        <v>0.3</v>
      </c>
      <c r="I61" s="1">
        <f t="shared" si="2"/>
        <v>1</v>
      </c>
      <c r="J61" s="1">
        <f t="shared" si="0"/>
        <v>5.2000000000000046E-2</v>
      </c>
      <c r="K61" s="1">
        <f t="shared" si="3"/>
        <v>2.4611999999999998</v>
      </c>
      <c r="L61" s="1">
        <f t="shared" si="4"/>
        <v>2.0535700000000001</v>
      </c>
      <c r="M61" s="49">
        <f t="shared" si="5"/>
        <v>6.4104551385533517</v>
      </c>
      <c r="N61" s="49">
        <v>15</v>
      </c>
      <c r="O61" s="1">
        <v>603</v>
      </c>
      <c r="P61" s="51">
        <v>0.05</v>
      </c>
      <c r="Q61" s="51">
        <v>8</v>
      </c>
      <c r="R61" s="51">
        <v>1</v>
      </c>
      <c r="S61" s="1">
        <v>1</v>
      </c>
      <c r="T61" s="1">
        <v>0</v>
      </c>
      <c r="U61" s="47">
        <v>1</v>
      </c>
      <c r="V61" s="47">
        <v>60</v>
      </c>
      <c r="W61" s="41">
        <v>300</v>
      </c>
      <c r="X61">
        <v>1000</v>
      </c>
      <c r="Y61">
        <v>0.94799999999999995</v>
      </c>
      <c r="Z61">
        <v>2461.1999999999998</v>
      </c>
      <c r="AA61">
        <v>2053.5700000000002</v>
      </c>
      <c r="AB61">
        <v>1500</v>
      </c>
      <c r="AC61">
        <v>55</v>
      </c>
      <c r="AD61" s="41">
        <f t="shared" si="6"/>
        <v>0.34942304566877952</v>
      </c>
      <c r="AE61" s="41">
        <f t="shared" si="7"/>
        <v>0.41878290002288693</v>
      </c>
      <c r="AF61">
        <f t="shared" si="8"/>
        <v>1.878871428571429</v>
      </c>
      <c r="AG61">
        <f t="shared" si="9"/>
        <v>0.17469857142857115</v>
      </c>
      <c r="AH61">
        <f t="shared" si="10"/>
        <v>15</v>
      </c>
      <c r="AI61">
        <f>HLOOKUP(HLOOKUP(G61,'THP2'!$B$4:$J$8,5,FALSE),'Fuel &amp; Resister'!$B$3:$G$6,4,FALSE)</f>
        <v>2.2642399999999996</v>
      </c>
      <c r="AJ61" s="41">
        <f>HLOOKUP(HLOOKUP(G61,'THP2'!$B$4:$J$8,5,FALSE),'Fuel &amp; Resister'!$B$3:$G$6,3,FALSE)</f>
        <v>6.3540000000000001</v>
      </c>
      <c r="AO61" s="1">
        <v>1</v>
      </c>
      <c r="AP61" s="1">
        <v>1</v>
      </c>
    </row>
    <row r="62" spans="2:42" x14ac:dyDescent="0.15">
      <c r="B62" s="43" t="s">
        <v>597</v>
      </c>
      <c r="C62" s="61">
        <f>VLOOKUP(B62,[1]SYS!$F$5:$G$359,2,FALSE)</f>
        <v>187</v>
      </c>
      <c r="D62" s="1" t="s">
        <v>23</v>
      </c>
      <c r="E62" s="65" t="s">
        <v>92</v>
      </c>
      <c r="F62" s="63" t="s">
        <v>481</v>
      </c>
      <c r="G62" s="1">
        <v>1</v>
      </c>
      <c r="H62" s="1">
        <f t="shared" si="1"/>
        <v>0.3</v>
      </c>
      <c r="I62" s="1">
        <f t="shared" si="2"/>
        <v>1</v>
      </c>
      <c r="J62" s="1">
        <f t="shared" si="0"/>
        <v>5.4000000000000048E-2</v>
      </c>
      <c r="K62" s="1">
        <f t="shared" si="3"/>
        <v>2.4691300000000003</v>
      </c>
      <c r="L62" s="1">
        <f t="shared" si="4"/>
        <v>2.0601799999999999</v>
      </c>
      <c r="M62" s="49">
        <f t="shared" si="5"/>
        <v>6.4310890144211506</v>
      </c>
      <c r="N62" s="49">
        <v>15</v>
      </c>
      <c r="O62" s="1">
        <v>401</v>
      </c>
      <c r="P62" s="51">
        <v>0.05</v>
      </c>
      <c r="Q62" s="51">
        <v>8</v>
      </c>
      <c r="R62" s="51">
        <v>1</v>
      </c>
      <c r="S62" s="1">
        <v>1</v>
      </c>
      <c r="T62" s="1">
        <v>0</v>
      </c>
      <c r="U62" s="47">
        <v>1</v>
      </c>
      <c r="V62" s="47">
        <v>61</v>
      </c>
      <c r="W62" s="41">
        <v>300</v>
      </c>
      <c r="X62">
        <v>1000</v>
      </c>
      <c r="Y62">
        <v>0.94599999999999995</v>
      </c>
      <c r="Z62">
        <v>2469.13</v>
      </c>
      <c r="AA62">
        <v>2060.1799999999998</v>
      </c>
      <c r="AB62">
        <v>1500</v>
      </c>
      <c r="AC62">
        <v>55</v>
      </c>
      <c r="AD62" s="41">
        <f t="shared" si="6"/>
        <v>0.34830081850692352</v>
      </c>
      <c r="AE62" s="41">
        <f t="shared" si="7"/>
        <v>0.41743925288081624</v>
      </c>
      <c r="AF62">
        <f t="shared" si="8"/>
        <v>1.8849157142857142</v>
      </c>
      <c r="AG62">
        <f t="shared" si="9"/>
        <v>0.17526428571428565</v>
      </c>
      <c r="AH62">
        <f t="shared" si="10"/>
        <v>15</v>
      </c>
      <c r="AI62">
        <f>HLOOKUP(HLOOKUP(G62,'THP2'!$B$4:$J$8,5,FALSE),'Fuel &amp; Resister'!$B$3:$G$6,4,FALSE)</f>
        <v>2.2642399999999996</v>
      </c>
      <c r="AJ62" s="41">
        <f>HLOOKUP(HLOOKUP(G62,'THP2'!$B$4:$J$8,5,FALSE),'Fuel &amp; Resister'!$B$3:$G$6,3,FALSE)</f>
        <v>6.3540000000000001</v>
      </c>
      <c r="AO62" s="1">
        <v>1</v>
      </c>
      <c r="AP62" s="1">
        <v>1</v>
      </c>
    </row>
    <row r="63" spans="2:42" x14ac:dyDescent="0.15">
      <c r="B63" s="43" t="s">
        <v>598</v>
      </c>
      <c r="C63" s="61">
        <f>VLOOKUP(B63,[1]SYS!$F$5:$G$359,2,FALSE)</f>
        <v>190</v>
      </c>
      <c r="D63" s="1" t="s">
        <v>23</v>
      </c>
      <c r="E63" s="42" t="s">
        <v>93</v>
      </c>
      <c r="F63" s="63" t="s">
        <v>487</v>
      </c>
      <c r="G63" s="1">
        <v>1</v>
      </c>
      <c r="H63" s="1">
        <f t="shared" si="1"/>
        <v>0.29931972789115646</v>
      </c>
      <c r="I63" s="1">
        <f t="shared" si="2"/>
        <v>0.14699999999999999</v>
      </c>
      <c r="J63" s="1">
        <f t="shared" si="0"/>
        <v>8.1600000000000006E-2</v>
      </c>
      <c r="K63" s="1">
        <f t="shared" si="3"/>
        <v>2.5723000000000003</v>
      </c>
      <c r="L63" s="1">
        <f t="shared" si="4"/>
        <v>2.1462600000000003</v>
      </c>
      <c r="M63" s="49">
        <f t="shared" si="5"/>
        <v>0.98487025351641921</v>
      </c>
      <c r="N63" s="49">
        <v>1.1759999999999999</v>
      </c>
      <c r="O63" s="1">
        <v>1004</v>
      </c>
      <c r="P63" s="51">
        <v>0</v>
      </c>
      <c r="Q63" s="51">
        <v>8</v>
      </c>
      <c r="R63" s="51">
        <v>1</v>
      </c>
      <c r="S63" s="1">
        <v>1</v>
      </c>
      <c r="T63" s="1">
        <v>0</v>
      </c>
      <c r="U63" s="47">
        <v>0</v>
      </c>
      <c r="V63" s="47">
        <v>62</v>
      </c>
      <c r="W63" s="41">
        <v>44</v>
      </c>
      <c r="X63">
        <v>147</v>
      </c>
      <c r="Y63">
        <v>0.91839999999999999</v>
      </c>
      <c r="Z63">
        <v>2572.3000000000002</v>
      </c>
      <c r="AA63">
        <v>2146.2600000000002</v>
      </c>
      <c r="AB63">
        <v>117.6</v>
      </c>
      <c r="AC63">
        <v>55</v>
      </c>
      <c r="AD63" s="41">
        <f t="shared" si="6"/>
        <v>0.33433114333475872</v>
      </c>
      <c r="AE63" s="41">
        <f t="shared" si="7"/>
        <v>0.40069702645532224</v>
      </c>
      <c r="AF63">
        <f t="shared" si="8"/>
        <v>1.9642623300970878</v>
      </c>
      <c r="AG63">
        <f t="shared" si="9"/>
        <v>2.6753657475728127E-2</v>
      </c>
      <c r="AH63">
        <f t="shared" si="10"/>
        <v>1.1759999999999999</v>
      </c>
      <c r="AI63">
        <f>HLOOKUP(HLOOKUP(G63,'THP2'!$B$4:$J$8,5,FALSE),'Fuel &amp; Resister'!$B$3:$G$6,4,FALSE)</f>
        <v>2.2642399999999996</v>
      </c>
      <c r="AJ63" s="41">
        <f>HLOOKUP(HLOOKUP(G63,'THP2'!$B$4:$J$8,5,FALSE),'Fuel &amp; Resister'!$B$3:$G$6,3,FALSE)</f>
        <v>6.3540000000000001</v>
      </c>
      <c r="AO63" s="62">
        <v>0</v>
      </c>
      <c r="AP63" s="62">
        <v>0</v>
      </c>
    </row>
    <row r="64" spans="2:42" x14ac:dyDescent="0.15">
      <c r="B64" s="43" t="s">
        <v>598</v>
      </c>
      <c r="C64" s="61">
        <f>VLOOKUP(B64,[1]SYS!$F$5:$G$359,2,FALSE)</f>
        <v>190</v>
      </c>
      <c r="D64" s="1" t="s">
        <v>23</v>
      </c>
      <c r="E64" s="65" t="s">
        <v>94</v>
      </c>
      <c r="F64" s="42"/>
      <c r="G64" s="1">
        <v>1</v>
      </c>
      <c r="H64" s="1">
        <f t="shared" si="1"/>
        <v>0.30357142857142855</v>
      </c>
      <c r="I64" s="1">
        <f t="shared" si="2"/>
        <v>0.112</v>
      </c>
      <c r="J64" s="1">
        <f t="shared" si="0"/>
        <v>6.3999999999999946E-2</v>
      </c>
      <c r="K64" s="1">
        <f t="shared" si="3"/>
        <v>2.5767800000000003</v>
      </c>
      <c r="L64" s="1">
        <f t="shared" si="4"/>
        <v>2.15</v>
      </c>
      <c r="M64" s="49">
        <f t="shared" si="5"/>
        <v>0.75168491814919702</v>
      </c>
      <c r="N64" s="49">
        <v>0.89599999999999991</v>
      </c>
      <c r="O64" s="1">
        <v>1004</v>
      </c>
      <c r="P64" s="51">
        <v>0</v>
      </c>
      <c r="Q64" s="51">
        <v>8</v>
      </c>
      <c r="R64" s="51">
        <v>1</v>
      </c>
      <c r="S64" s="1">
        <v>1</v>
      </c>
      <c r="T64" s="1">
        <v>0</v>
      </c>
      <c r="U64" s="47">
        <v>1</v>
      </c>
      <c r="V64" s="47">
        <v>63</v>
      </c>
      <c r="W64" s="41">
        <v>34</v>
      </c>
      <c r="X64">
        <v>112</v>
      </c>
      <c r="Y64">
        <v>0.93600000000000005</v>
      </c>
      <c r="Z64">
        <v>2576.7800000000002</v>
      </c>
      <c r="AA64">
        <v>2150</v>
      </c>
      <c r="AB64">
        <v>89.6</v>
      </c>
      <c r="AC64">
        <v>55</v>
      </c>
      <c r="AD64" s="41">
        <f t="shared" si="6"/>
        <v>0.33374987387359417</v>
      </c>
      <c r="AE64" s="41">
        <f t="shared" si="7"/>
        <v>0.4</v>
      </c>
      <c r="AF64">
        <f t="shared" si="8"/>
        <v>1.9639676923076921</v>
      </c>
      <c r="AG64">
        <f t="shared" si="9"/>
        <v>2.0835618461538478E-2</v>
      </c>
      <c r="AH64">
        <f t="shared" si="10"/>
        <v>0.89599999999999991</v>
      </c>
      <c r="AI64">
        <f>HLOOKUP(HLOOKUP(G64,'THP2'!$B$4:$J$8,5,FALSE),'Fuel &amp; Resister'!$B$3:$G$6,4,FALSE)</f>
        <v>2.2642399999999996</v>
      </c>
      <c r="AJ64" s="41">
        <f>HLOOKUP(HLOOKUP(G64,'THP2'!$B$4:$J$8,5,FALSE),'Fuel &amp; Resister'!$B$3:$G$6,3,FALSE)</f>
        <v>6.3540000000000001</v>
      </c>
      <c r="AO64" s="1">
        <v>1</v>
      </c>
      <c r="AP64" s="1">
        <v>1</v>
      </c>
    </row>
    <row r="65" spans="2:42" x14ac:dyDescent="0.15">
      <c r="B65" s="43" t="s">
        <v>597</v>
      </c>
      <c r="C65" s="61">
        <f>VLOOKUP(B65,[1]SYS!$F$5:$G$359,2,FALSE)</f>
        <v>187</v>
      </c>
      <c r="D65" s="1" t="s">
        <v>23</v>
      </c>
      <c r="E65" s="42" t="s">
        <v>95</v>
      </c>
      <c r="F65" s="63" t="s">
        <v>481</v>
      </c>
      <c r="G65" s="1">
        <v>1</v>
      </c>
      <c r="H65" s="1">
        <f t="shared" si="1"/>
        <v>0.3</v>
      </c>
      <c r="I65" s="1">
        <f t="shared" si="2"/>
        <v>0.7</v>
      </c>
      <c r="J65" s="1">
        <f t="shared" si="0"/>
        <v>5.6300000000000017E-2</v>
      </c>
      <c r="K65" s="1">
        <f t="shared" si="3"/>
        <v>2.5824699999999998</v>
      </c>
      <c r="L65" s="1">
        <f t="shared" si="4"/>
        <v>2.1547499999999999</v>
      </c>
      <c r="M65" s="49">
        <f t="shared" si="5"/>
        <v>4.7084101086685539</v>
      </c>
      <c r="N65" s="49">
        <v>7.28</v>
      </c>
      <c r="O65" s="1">
        <v>504</v>
      </c>
      <c r="P65" s="51">
        <v>0.05</v>
      </c>
      <c r="Q65" s="51">
        <v>8</v>
      </c>
      <c r="R65" s="51">
        <v>1</v>
      </c>
      <c r="S65" s="1">
        <v>1</v>
      </c>
      <c r="T65" s="1">
        <v>0</v>
      </c>
      <c r="U65" s="47">
        <v>0</v>
      </c>
      <c r="V65" s="47">
        <v>64</v>
      </c>
      <c r="W65" s="41">
        <v>210</v>
      </c>
      <c r="X65">
        <v>700</v>
      </c>
      <c r="Y65">
        <v>0.94369999999999998</v>
      </c>
      <c r="Z65">
        <v>2582.4699999999998</v>
      </c>
      <c r="AA65">
        <v>2154.75</v>
      </c>
      <c r="AB65">
        <v>728</v>
      </c>
      <c r="AC65">
        <v>55</v>
      </c>
      <c r="AD65" s="41">
        <f t="shared" si="6"/>
        <v>0.3330145171095889</v>
      </c>
      <c r="AE65" s="41">
        <f t="shared" si="7"/>
        <v>0.39911822717252582</v>
      </c>
      <c r="AF65">
        <f t="shared" si="8"/>
        <v>1.9714414285714288</v>
      </c>
      <c r="AG65">
        <f t="shared" si="9"/>
        <v>0.12831599999999979</v>
      </c>
      <c r="AH65">
        <f t="shared" si="10"/>
        <v>7.28</v>
      </c>
      <c r="AI65">
        <f>HLOOKUP(HLOOKUP(G65,'THP2'!$B$4:$J$8,5,FALSE),'Fuel &amp; Resister'!$B$3:$G$6,4,FALSE)</f>
        <v>2.2642399999999996</v>
      </c>
      <c r="AJ65" s="41">
        <f>HLOOKUP(HLOOKUP(G65,'THP2'!$B$4:$J$8,5,FALSE),'Fuel &amp; Resister'!$B$3:$G$6,3,FALSE)</f>
        <v>6.3540000000000001</v>
      </c>
      <c r="AO65" s="62">
        <v>0</v>
      </c>
      <c r="AP65" s="62">
        <v>0</v>
      </c>
    </row>
    <row r="66" spans="2:42" x14ac:dyDescent="0.15">
      <c r="B66" s="43" t="s">
        <v>597</v>
      </c>
      <c r="C66" s="61">
        <f>VLOOKUP(B66,[1]SYS!$F$5:$G$359,2,FALSE)</f>
        <v>187</v>
      </c>
      <c r="D66" s="1" t="s">
        <v>23</v>
      </c>
      <c r="E66" s="42" t="s">
        <v>96</v>
      </c>
      <c r="F66" s="63" t="s">
        <v>481</v>
      </c>
      <c r="G66" s="1">
        <v>1</v>
      </c>
      <c r="H66" s="1">
        <f t="shared" si="1"/>
        <v>0.3</v>
      </c>
      <c r="I66" s="1">
        <f t="shared" si="2"/>
        <v>0.7</v>
      </c>
      <c r="J66" s="1">
        <f t="shared" ref="J66:J129" si="12">1-Y66</f>
        <v>5.8100000000000041E-2</v>
      </c>
      <c r="K66" s="1">
        <f t="shared" si="3"/>
        <v>2.5908600000000002</v>
      </c>
      <c r="L66" s="1">
        <f t="shared" si="4"/>
        <v>2.1617500000000001</v>
      </c>
      <c r="M66" s="49">
        <f t="shared" si="5"/>
        <v>4.72370602270066</v>
      </c>
      <c r="N66" s="49">
        <v>7.28</v>
      </c>
      <c r="O66" s="1">
        <v>903</v>
      </c>
      <c r="P66" s="51">
        <v>0.05</v>
      </c>
      <c r="Q66" s="51">
        <v>8</v>
      </c>
      <c r="R66" s="51">
        <v>1</v>
      </c>
      <c r="S66" s="1">
        <v>1</v>
      </c>
      <c r="T66" s="1">
        <v>0</v>
      </c>
      <c r="U66" s="47">
        <v>0</v>
      </c>
      <c r="V66" s="47">
        <v>65</v>
      </c>
      <c r="W66" s="41">
        <v>210</v>
      </c>
      <c r="X66">
        <v>700</v>
      </c>
      <c r="Y66">
        <v>0.94189999999999996</v>
      </c>
      <c r="Z66">
        <v>2590.86</v>
      </c>
      <c r="AA66">
        <v>2161.75</v>
      </c>
      <c r="AB66">
        <v>728</v>
      </c>
      <c r="AC66">
        <v>55</v>
      </c>
      <c r="AD66" s="41">
        <f t="shared" si="6"/>
        <v>0.33193611387724536</v>
      </c>
      <c r="AE66" s="41">
        <f t="shared" si="7"/>
        <v>0.3978258355499017</v>
      </c>
      <c r="AF66">
        <f t="shared" si="8"/>
        <v>1.9778457142857144</v>
      </c>
      <c r="AG66">
        <f t="shared" si="9"/>
        <v>0.12873299999999993</v>
      </c>
      <c r="AH66">
        <f t="shared" si="10"/>
        <v>7.28</v>
      </c>
      <c r="AI66">
        <f>HLOOKUP(HLOOKUP(G66,'THP2'!$B$4:$J$8,5,FALSE),'Fuel &amp; Resister'!$B$3:$G$6,4,FALSE)</f>
        <v>2.2642399999999996</v>
      </c>
      <c r="AJ66" s="41">
        <f>HLOOKUP(HLOOKUP(G66,'THP2'!$B$4:$J$8,5,FALSE),'Fuel &amp; Resister'!$B$3:$G$6,3,FALSE)</f>
        <v>6.3540000000000001</v>
      </c>
      <c r="AO66" s="62">
        <v>0</v>
      </c>
      <c r="AP66" s="62">
        <v>0</v>
      </c>
    </row>
    <row r="67" spans="2:42" x14ac:dyDescent="0.15">
      <c r="B67" s="43" t="s">
        <v>597</v>
      </c>
      <c r="C67" s="61">
        <f>VLOOKUP(B67,[1]SYS!$F$5:$G$359,2,FALSE)</f>
        <v>187</v>
      </c>
      <c r="D67" s="1" t="s">
        <v>23</v>
      </c>
      <c r="E67" s="42" t="s">
        <v>97</v>
      </c>
      <c r="F67" s="63" t="s">
        <v>481</v>
      </c>
      <c r="G67" s="1">
        <v>1</v>
      </c>
      <c r="H67" s="1">
        <f t="shared" ref="H67:H130" si="13">W67/X67</f>
        <v>0.3</v>
      </c>
      <c r="I67" s="1">
        <f t="shared" ref="I67:I130" si="14">X67/1000</f>
        <v>0.7</v>
      </c>
      <c r="J67" s="1">
        <f t="shared" si="12"/>
        <v>5.8100000000000041E-2</v>
      </c>
      <c r="K67" s="1">
        <f t="shared" ref="K67:K130" si="15">Z67/1000</f>
        <v>2.5908600000000002</v>
      </c>
      <c r="L67" s="1">
        <f t="shared" ref="L67:L130" si="16">AA67/1000</f>
        <v>2.1617500000000001</v>
      </c>
      <c r="M67" s="49">
        <f t="shared" ref="M67:M130" si="17">(I67*10^6*L67/AJ67*AI67/10^6)*24*365/1000</f>
        <v>4.72370602270066</v>
      </c>
      <c r="N67" s="49">
        <v>7.28</v>
      </c>
      <c r="O67" s="1">
        <v>504</v>
      </c>
      <c r="P67" s="51">
        <v>0.05</v>
      </c>
      <c r="Q67" s="51">
        <v>8</v>
      </c>
      <c r="R67" s="51">
        <v>1</v>
      </c>
      <c r="S67" s="1">
        <v>1</v>
      </c>
      <c r="T67" s="1">
        <v>0</v>
      </c>
      <c r="U67" s="47">
        <v>0</v>
      </c>
      <c r="V67" s="47">
        <v>66</v>
      </c>
      <c r="W67" s="41">
        <v>210</v>
      </c>
      <c r="X67">
        <v>700</v>
      </c>
      <c r="Y67">
        <v>0.94189999999999996</v>
      </c>
      <c r="Z67">
        <v>2590.86</v>
      </c>
      <c r="AA67">
        <v>2161.75</v>
      </c>
      <c r="AB67">
        <v>728</v>
      </c>
      <c r="AC67">
        <v>55</v>
      </c>
      <c r="AD67" s="41">
        <f t="shared" ref="AD67:AD130" si="18">1/Z67*860</f>
        <v>0.33193611387724536</v>
      </c>
      <c r="AE67" s="41">
        <f t="shared" ref="AE67:AE130" si="19">1/AA67*860</f>
        <v>0.3978258355499017</v>
      </c>
      <c r="AF67">
        <f t="shared" ref="AF67:AF130" si="20">(L67-H67*K67)/(1-H67)</f>
        <v>1.9778457142857144</v>
      </c>
      <c r="AG67">
        <f t="shared" ref="AG67:AG130" si="21">I67*(L67-AF67)</f>
        <v>0.12873299999999993</v>
      </c>
      <c r="AH67">
        <f t="shared" ref="AH67:AH130" si="22">AB67/100</f>
        <v>7.28</v>
      </c>
      <c r="AI67">
        <f>HLOOKUP(HLOOKUP(G67,'THP2'!$B$4:$J$8,5,FALSE),'Fuel &amp; Resister'!$B$3:$G$6,4,FALSE)</f>
        <v>2.2642399999999996</v>
      </c>
      <c r="AJ67" s="41">
        <f>HLOOKUP(HLOOKUP(G67,'THP2'!$B$4:$J$8,5,FALSE),'Fuel &amp; Resister'!$B$3:$G$6,3,FALSE)</f>
        <v>6.3540000000000001</v>
      </c>
      <c r="AO67" s="62">
        <v>0</v>
      </c>
      <c r="AP67" s="62">
        <v>0</v>
      </c>
    </row>
    <row r="68" spans="2:42" x14ac:dyDescent="0.15">
      <c r="B68" s="43" t="s">
        <v>596</v>
      </c>
      <c r="C68" s="61">
        <f>VLOOKUP(B68,[1]SYS!$F$5:$G$359,2,FALSE)</f>
        <v>155</v>
      </c>
      <c r="D68" s="1" t="s">
        <v>23</v>
      </c>
      <c r="E68" s="65" t="s">
        <v>98</v>
      </c>
      <c r="F68" s="63" t="s">
        <v>486</v>
      </c>
      <c r="G68" s="1">
        <v>1</v>
      </c>
      <c r="H68" s="1">
        <f t="shared" si="13"/>
        <v>0.3</v>
      </c>
      <c r="I68" s="1">
        <f t="shared" si="14"/>
        <v>0.11</v>
      </c>
      <c r="J68" s="1">
        <f t="shared" si="12"/>
        <v>6.4500000000000002E-2</v>
      </c>
      <c r="K68" s="1">
        <f t="shared" si="15"/>
        <v>2.8008500000000001</v>
      </c>
      <c r="L68" s="1">
        <f t="shared" si="16"/>
        <v>2.3369599999999999</v>
      </c>
      <c r="M68" s="49">
        <f t="shared" si="17"/>
        <v>0.80245986085952759</v>
      </c>
      <c r="N68" s="49">
        <v>0.88</v>
      </c>
      <c r="O68" s="1">
        <v>1002</v>
      </c>
      <c r="P68" s="51">
        <v>0</v>
      </c>
      <c r="Q68" s="51">
        <v>8</v>
      </c>
      <c r="R68" s="51">
        <v>1</v>
      </c>
      <c r="S68" s="1">
        <v>1</v>
      </c>
      <c r="T68" s="1">
        <v>0</v>
      </c>
      <c r="U68" s="47">
        <v>1</v>
      </c>
      <c r="V68" s="47">
        <v>67</v>
      </c>
      <c r="W68" s="41">
        <v>33</v>
      </c>
      <c r="X68">
        <v>110</v>
      </c>
      <c r="Y68">
        <v>0.9355</v>
      </c>
      <c r="Z68">
        <v>2800.85</v>
      </c>
      <c r="AA68">
        <v>2336.96</v>
      </c>
      <c r="AB68">
        <v>88</v>
      </c>
      <c r="AC68">
        <v>55</v>
      </c>
      <c r="AD68" s="41">
        <f t="shared" si="18"/>
        <v>0.30704964564328691</v>
      </c>
      <c r="AE68" s="41">
        <f t="shared" si="19"/>
        <v>0.36799945227988495</v>
      </c>
      <c r="AF68">
        <f t="shared" si="20"/>
        <v>2.13815</v>
      </c>
      <c r="AG68">
        <f t="shared" si="21"/>
        <v>2.1869099999999992E-2</v>
      </c>
      <c r="AH68">
        <f t="shared" si="22"/>
        <v>0.88</v>
      </c>
      <c r="AI68">
        <f>HLOOKUP(HLOOKUP(G68,'THP2'!$B$4:$J$8,5,FALSE),'Fuel &amp; Resister'!$B$3:$G$6,4,FALSE)</f>
        <v>2.2642399999999996</v>
      </c>
      <c r="AJ68" s="41">
        <f>HLOOKUP(HLOOKUP(G68,'THP2'!$B$4:$J$8,5,FALSE),'Fuel &amp; Resister'!$B$3:$G$6,3,FALSE)</f>
        <v>6.3540000000000001</v>
      </c>
      <c r="AO68" s="1">
        <v>1</v>
      </c>
      <c r="AP68" s="1">
        <v>1</v>
      </c>
    </row>
    <row r="69" spans="2:42" x14ac:dyDescent="0.15">
      <c r="B69" s="43" t="s">
        <v>596</v>
      </c>
      <c r="C69" s="61">
        <f>VLOOKUP(B69,[1]SYS!$F$5:$G$359,2,FALSE)</f>
        <v>155</v>
      </c>
      <c r="D69" s="1" t="s">
        <v>23</v>
      </c>
      <c r="E69" s="42" t="s">
        <v>99</v>
      </c>
      <c r="F69" s="63" t="s">
        <v>486</v>
      </c>
      <c r="G69" s="1">
        <v>1</v>
      </c>
      <c r="H69" s="1">
        <f t="shared" si="13"/>
        <v>0.30201342281879195</v>
      </c>
      <c r="I69" s="1">
        <f t="shared" si="14"/>
        <v>0.14899999999999999</v>
      </c>
      <c r="J69" s="1">
        <f t="shared" si="12"/>
        <v>6.4500000000000002E-2</v>
      </c>
      <c r="K69" s="1">
        <f t="shared" si="15"/>
        <v>2.8008500000000001</v>
      </c>
      <c r="L69" s="1">
        <f t="shared" si="16"/>
        <v>2.3369599999999999</v>
      </c>
      <c r="M69" s="49">
        <f t="shared" si="17"/>
        <v>1.0869683569824511</v>
      </c>
      <c r="N69" s="49">
        <v>1.1919999999999999</v>
      </c>
      <c r="O69" s="1">
        <v>1002</v>
      </c>
      <c r="P69" s="51">
        <v>0</v>
      </c>
      <c r="Q69" s="51">
        <v>8</v>
      </c>
      <c r="R69" s="51">
        <v>1</v>
      </c>
      <c r="S69" s="1">
        <v>1</v>
      </c>
      <c r="T69" s="1">
        <v>0</v>
      </c>
      <c r="U69" s="47">
        <v>0</v>
      </c>
      <c r="V69" s="47">
        <v>68</v>
      </c>
      <c r="W69" s="41">
        <v>45</v>
      </c>
      <c r="X69">
        <v>149</v>
      </c>
      <c r="Y69">
        <v>0.9355</v>
      </c>
      <c r="Z69">
        <v>2800.85</v>
      </c>
      <c r="AA69">
        <v>2336.96</v>
      </c>
      <c r="AB69">
        <v>119.2</v>
      </c>
      <c r="AC69">
        <v>55</v>
      </c>
      <c r="AD69" s="41">
        <f t="shared" si="18"/>
        <v>0.30704964564328691</v>
      </c>
      <c r="AE69" s="41">
        <f t="shared" si="19"/>
        <v>0.36799945227988495</v>
      </c>
      <c r="AF69">
        <f t="shared" si="20"/>
        <v>2.1362383653846151</v>
      </c>
      <c r="AG69">
        <f t="shared" si="21"/>
        <v>2.9907523557692339E-2</v>
      </c>
      <c r="AH69">
        <f t="shared" si="22"/>
        <v>1.1919999999999999</v>
      </c>
      <c r="AI69">
        <f>HLOOKUP(HLOOKUP(G69,'THP2'!$B$4:$J$8,5,FALSE),'Fuel &amp; Resister'!$B$3:$G$6,4,FALSE)</f>
        <v>2.2642399999999996</v>
      </c>
      <c r="AJ69" s="41">
        <f>HLOOKUP(HLOOKUP(G69,'THP2'!$B$4:$J$8,5,FALSE),'Fuel &amp; Resister'!$B$3:$G$6,3,FALSE)</f>
        <v>6.3540000000000001</v>
      </c>
      <c r="AO69" s="62">
        <v>0</v>
      </c>
      <c r="AP69" s="62">
        <v>0</v>
      </c>
    </row>
    <row r="70" spans="2:42" x14ac:dyDescent="0.15">
      <c r="B70" s="43" t="s">
        <v>599</v>
      </c>
      <c r="C70" s="61">
        <f>VLOOKUP(B70,[1]SYS!$F$5:$G$359,2,FALSE)</f>
        <v>207</v>
      </c>
      <c r="D70" s="1" t="s">
        <v>23</v>
      </c>
      <c r="E70" s="42" t="s">
        <v>100</v>
      </c>
      <c r="F70" s="63" t="s">
        <v>485</v>
      </c>
      <c r="G70" s="1">
        <v>1</v>
      </c>
      <c r="H70" s="1">
        <f t="shared" si="13"/>
        <v>0.2</v>
      </c>
      <c r="I70" s="1">
        <f t="shared" si="14"/>
        <v>0.7</v>
      </c>
      <c r="J70" s="1">
        <f t="shared" si="12"/>
        <v>5.3000000000000047E-2</v>
      </c>
      <c r="K70" s="1">
        <f t="shared" si="15"/>
        <v>2.7547600000000001</v>
      </c>
      <c r="L70" s="1">
        <f t="shared" si="16"/>
        <v>2.0880700000000001</v>
      </c>
      <c r="M70" s="49">
        <f t="shared" si="17"/>
        <v>4.562705601859868</v>
      </c>
      <c r="N70" s="49">
        <v>7.28</v>
      </c>
      <c r="O70" s="1">
        <v>1004</v>
      </c>
      <c r="P70" s="51">
        <v>0.05</v>
      </c>
      <c r="Q70" s="51">
        <v>8</v>
      </c>
      <c r="R70" s="51">
        <v>1</v>
      </c>
      <c r="S70" s="1">
        <v>1</v>
      </c>
      <c r="T70" s="1">
        <v>0</v>
      </c>
      <c r="U70" s="47">
        <v>0</v>
      </c>
      <c r="V70" s="47">
        <v>69</v>
      </c>
      <c r="W70" s="41">
        <v>140</v>
      </c>
      <c r="X70">
        <v>700</v>
      </c>
      <c r="Y70">
        <v>0.94699999999999995</v>
      </c>
      <c r="Z70">
        <v>2754.76</v>
      </c>
      <c r="AA70">
        <v>2088.0700000000002</v>
      </c>
      <c r="AB70">
        <v>728</v>
      </c>
      <c r="AC70">
        <v>55</v>
      </c>
      <c r="AD70" s="41">
        <f t="shared" si="18"/>
        <v>0.31218690557435125</v>
      </c>
      <c r="AE70" s="41">
        <f t="shared" si="19"/>
        <v>0.41186358694871333</v>
      </c>
      <c r="AF70">
        <f t="shared" si="20"/>
        <v>1.9213974999999999</v>
      </c>
      <c r="AG70">
        <f t="shared" si="21"/>
        <v>0.11667075000000014</v>
      </c>
      <c r="AH70">
        <f t="shared" si="22"/>
        <v>7.28</v>
      </c>
      <c r="AI70">
        <f>HLOOKUP(HLOOKUP(G70,'THP2'!$B$4:$J$8,5,FALSE),'Fuel &amp; Resister'!$B$3:$G$6,4,FALSE)</f>
        <v>2.2642399999999996</v>
      </c>
      <c r="AJ70" s="41">
        <f>HLOOKUP(HLOOKUP(G70,'THP2'!$B$4:$J$8,5,FALSE),'Fuel &amp; Resister'!$B$3:$G$6,3,FALSE)</f>
        <v>6.3540000000000001</v>
      </c>
      <c r="AO70" s="62">
        <v>0</v>
      </c>
      <c r="AP70" s="62">
        <v>0</v>
      </c>
    </row>
    <row r="71" spans="2:42" x14ac:dyDescent="0.15">
      <c r="B71" s="43" t="s">
        <v>600</v>
      </c>
      <c r="C71" s="61">
        <f>VLOOKUP(B71,[1]SYS!$F$5:$G$359,2,FALSE)</f>
        <v>201</v>
      </c>
      <c r="D71" s="1" t="s">
        <v>23</v>
      </c>
      <c r="E71" s="42" t="s">
        <v>101</v>
      </c>
      <c r="F71" s="63" t="s">
        <v>484</v>
      </c>
      <c r="G71" s="1">
        <v>1</v>
      </c>
      <c r="H71" s="1">
        <f t="shared" si="13"/>
        <v>0.2</v>
      </c>
      <c r="I71" s="1">
        <f t="shared" si="14"/>
        <v>0.7</v>
      </c>
      <c r="J71" s="1">
        <f t="shared" si="12"/>
        <v>5.1000000000000045E-2</v>
      </c>
      <c r="K71" s="1">
        <f t="shared" si="15"/>
        <v>2.7918699999999999</v>
      </c>
      <c r="L71" s="1">
        <f t="shared" si="16"/>
        <v>2.1161999999999996</v>
      </c>
      <c r="M71" s="49">
        <f t="shared" si="17"/>
        <v>4.6241733249631709</v>
      </c>
      <c r="N71" s="49">
        <v>7.28</v>
      </c>
      <c r="O71" s="1">
        <v>504</v>
      </c>
      <c r="P71" s="51">
        <v>0.05</v>
      </c>
      <c r="Q71" s="51">
        <v>8</v>
      </c>
      <c r="R71" s="51">
        <v>1</v>
      </c>
      <c r="S71" s="1">
        <v>1</v>
      </c>
      <c r="T71" s="1">
        <v>0</v>
      </c>
      <c r="U71" s="47">
        <v>0</v>
      </c>
      <c r="V71" s="47">
        <v>70</v>
      </c>
      <c r="W71" s="41">
        <v>140</v>
      </c>
      <c r="X71">
        <v>700</v>
      </c>
      <c r="Y71">
        <v>0.94899999999999995</v>
      </c>
      <c r="Z71">
        <v>2791.87</v>
      </c>
      <c r="AA71">
        <v>2116.1999999999998</v>
      </c>
      <c r="AB71">
        <v>728</v>
      </c>
      <c r="AC71">
        <v>55</v>
      </c>
      <c r="AD71" s="41">
        <f t="shared" si="18"/>
        <v>0.30803726534544951</v>
      </c>
      <c r="AE71" s="41">
        <f t="shared" si="19"/>
        <v>0.40638881013136757</v>
      </c>
      <c r="AF71">
        <f t="shared" si="20"/>
        <v>1.9472824999999994</v>
      </c>
      <c r="AG71">
        <f t="shared" si="21"/>
        <v>0.11824225000000019</v>
      </c>
      <c r="AH71">
        <f t="shared" si="22"/>
        <v>7.28</v>
      </c>
      <c r="AI71">
        <f>HLOOKUP(HLOOKUP(G71,'THP2'!$B$4:$J$8,5,FALSE),'Fuel &amp; Resister'!$B$3:$G$6,4,FALSE)</f>
        <v>2.2642399999999996</v>
      </c>
      <c r="AJ71" s="41">
        <f>HLOOKUP(HLOOKUP(G71,'THP2'!$B$4:$J$8,5,FALSE),'Fuel &amp; Resister'!$B$3:$G$6,3,FALSE)</f>
        <v>6.3540000000000001</v>
      </c>
      <c r="AO71" s="62">
        <v>0</v>
      </c>
      <c r="AP71" s="62">
        <v>0</v>
      </c>
    </row>
    <row r="72" spans="2:42" x14ac:dyDescent="0.15">
      <c r="B72" s="43" t="s">
        <v>600</v>
      </c>
      <c r="C72" s="61">
        <f>VLOOKUP(B72,[1]SYS!$F$5:$G$359,2,FALSE)</f>
        <v>201</v>
      </c>
      <c r="D72" s="1" t="s">
        <v>23</v>
      </c>
      <c r="E72" s="42" t="s">
        <v>102</v>
      </c>
      <c r="F72" s="63" t="s">
        <v>484</v>
      </c>
      <c r="G72" s="1">
        <v>1</v>
      </c>
      <c r="H72" s="1">
        <f t="shared" si="13"/>
        <v>0.2</v>
      </c>
      <c r="I72" s="1">
        <f t="shared" si="14"/>
        <v>0.5</v>
      </c>
      <c r="J72" s="1">
        <f t="shared" si="12"/>
        <v>5.3799999999999959E-2</v>
      </c>
      <c r="K72" s="1">
        <f t="shared" si="15"/>
        <v>2.8278099999999999</v>
      </c>
      <c r="L72" s="1">
        <f t="shared" si="16"/>
        <v>2.14344</v>
      </c>
      <c r="M72" s="49">
        <f t="shared" si="17"/>
        <v>3.345497344181303</v>
      </c>
      <c r="N72" s="49">
        <v>5.01</v>
      </c>
      <c r="O72" s="6">
        <v>305</v>
      </c>
      <c r="P72" s="51">
        <v>0.05</v>
      </c>
      <c r="Q72" s="51">
        <v>8</v>
      </c>
      <c r="R72" s="51">
        <v>1</v>
      </c>
      <c r="S72" s="1">
        <v>1</v>
      </c>
      <c r="T72" s="1">
        <v>0</v>
      </c>
      <c r="U72" s="47">
        <v>0</v>
      </c>
      <c r="V72" s="47">
        <v>71</v>
      </c>
      <c r="W72" s="41">
        <v>100</v>
      </c>
      <c r="X72">
        <v>500</v>
      </c>
      <c r="Y72">
        <v>0.94620000000000004</v>
      </c>
      <c r="Z72">
        <v>2827.81</v>
      </c>
      <c r="AA72">
        <v>2143.44</v>
      </c>
      <c r="AB72">
        <v>501</v>
      </c>
      <c r="AC72">
        <v>55</v>
      </c>
      <c r="AD72" s="41">
        <f t="shared" si="18"/>
        <v>0.30412227129828384</v>
      </c>
      <c r="AE72" s="41">
        <f t="shared" si="19"/>
        <v>0.40122420035083789</v>
      </c>
      <c r="AF72">
        <f t="shared" si="20"/>
        <v>1.9723475000000001</v>
      </c>
      <c r="AG72">
        <f t="shared" si="21"/>
        <v>8.5546249999999935E-2</v>
      </c>
      <c r="AH72">
        <f t="shared" si="22"/>
        <v>5.01</v>
      </c>
      <c r="AI72">
        <f>HLOOKUP(HLOOKUP(G72,'THP2'!$B$4:$J$8,5,FALSE),'Fuel &amp; Resister'!$B$3:$G$6,4,FALSE)</f>
        <v>2.2642399999999996</v>
      </c>
      <c r="AJ72" s="41">
        <f>HLOOKUP(HLOOKUP(G72,'THP2'!$B$4:$J$8,5,FALSE),'Fuel &amp; Resister'!$B$3:$G$6,3,FALSE)</f>
        <v>6.3540000000000001</v>
      </c>
      <c r="AO72" s="62">
        <v>0</v>
      </c>
      <c r="AP72" s="62">
        <v>0</v>
      </c>
    </row>
    <row r="73" spans="2:42" x14ac:dyDescent="0.15">
      <c r="B73" s="43" t="s">
        <v>599</v>
      </c>
      <c r="C73" s="61">
        <f>VLOOKUP(B73,[1]SYS!$F$5:$G$359,2,FALSE)</f>
        <v>207</v>
      </c>
      <c r="D73" s="1" t="s">
        <v>23</v>
      </c>
      <c r="E73" s="42" t="s">
        <v>103</v>
      </c>
      <c r="F73" s="63" t="s">
        <v>485</v>
      </c>
      <c r="G73" s="1">
        <v>1</v>
      </c>
      <c r="H73" s="1">
        <f t="shared" si="13"/>
        <v>0.2</v>
      </c>
      <c r="I73" s="1">
        <f t="shared" si="14"/>
        <v>0.5</v>
      </c>
      <c r="J73" s="1">
        <f t="shared" si="12"/>
        <v>5.9400000000000008E-2</v>
      </c>
      <c r="K73" s="1">
        <f t="shared" si="15"/>
        <v>2.8681300000000003</v>
      </c>
      <c r="L73" s="1">
        <f t="shared" si="16"/>
        <v>2.1739999999999999</v>
      </c>
      <c r="M73" s="49">
        <f t="shared" si="17"/>
        <v>3.3931956230406044</v>
      </c>
      <c r="N73" s="49">
        <v>5.01</v>
      </c>
      <c r="O73" s="1">
        <v>903</v>
      </c>
      <c r="P73" s="51">
        <v>0.05</v>
      </c>
      <c r="Q73" s="51">
        <v>8</v>
      </c>
      <c r="R73" s="51">
        <v>1</v>
      </c>
      <c r="S73" s="1">
        <v>1</v>
      </c>
      <c r="T73" s="1">
        <v>0</v>
      </c>
      <c r="U73" s="47">
        <v>0</v>
      </c>
      <c r="V73" s="47">
        <v>72</v>
      </c>
      <c r="W73" s="41">
        <v>100</v>
      </c>
      <c r="X73">
        <v>500</v>
      </c>
      <c r="Y73">
        <v>0.94059999999999999</v>
      </c>
      <c r="Z73">
        <v>2868.13</v>
      </c>
      <c r="AA73">
        <v>2174</v>
      </c>
      <c r="AB73">
        <v>501</v>
      </c>
      <c r="AC73">
        <v>55</v>
      </c>
      <c r="AD73" s="41">
        <f t="shared" si="18"/>
        <v>0.29984693859762285</v>
      </c>
      <c r="AE73" s="41">
        <f t="shared" si="19"/>
        <v>0.39558417663293466</v>
      </c>
      <c r="AF73">
        <f t="shared" si="20"/>
        <v>2.0004675000000001</v>
      </c>
      <c r="AG73">
        <f t="shared" si="21"/>
        <v>8.6766249999999934E-2</v>
      </c>
      <c r="AH73">
        <f t="shared" si="22"/>
        <v>5.01</v>
      </c>
      <c r="AI73">
        <f>HLOOKUP(HLOOKUP(G73,'THP2'!$B$4:$J$8,5,FALSE),'Fuel &amp; Resister'!$B$3:$G$6,4,FALSE)</f>
        <v>2.2642399999999996</v>
      </c>
      <c r="AJ73" s="41">
        <f>HLOOKUP(HLOOKUP(G73,'THP2'!$B$4:$J$8,5,FALSE),'Fuel &amp; Resister'!$B$3:$G$6,3,FALSE)</f>
        <v>6.3540000000000001</v>
      </c>
      <c r="AO73" s="62">
        <v>0</v>
      </c>
      <c r="AP73" s="62">
        <v>0</v>
      </c>
    </row>
    <row r="74" spans="2:42" x14ac:dyDescent="0.15">
      <c r="B74" s="43" t="s">
        <v>601</v>
      </c>
      <c r="C74" s="61">
        <f>VLOOKUP(B74,[1]SYS!$F$5:$G$359,2,FALSE)</f>
        <v>220</v>
      </c>
      <c r="D74" s="1" t="s">
        <v>23</v>
      </c>
      <c r="E74" s="42" t="s">
        <v>104</v>
      </c>
      <c r="F74" s="42"/>
      <c r="G74" s="1">
        <v>1</v>
      </c>
      <c r="H74" s="1">
        <f t="shared" si="13"/>
        <v>0.3</v>
      </c>
      <c r="I74" s="1">
        <f t="shared" si="14"/>
        <v>0.9</v>
      </c>
      <c r="J74" s="1">
        <f t="shared" si="12"/>
        <v>6.2000000000000055E-2</v>
      </c>
      <c r="K74" s="1">
        <f t="shared" si="15"/>
        <v>2.4110200000000002</v>
      </c>
      <c r="L74" s="1">
        <f t="shared" si="16"/>
        <v>2.0117000000000003</v>
      </c>
      <c r="M74" s="49">
        <f t="shared" si="17"/>
        <v>5.6517778025609058</v>
      </c>
      <c r="N74" s="49">
        <v>12.4267</v>
      </c>
      <c r="O74" s="6">
        <v>305</v>
      </c>
      <c r="P74" s="51">
        <v>0.05</v>
      </c>
      <c r="Q74" s="51">
        <v>8</v>
      </c>
      <c r="R74" s="51">
        <v>1</v>
      </c>
      <c r="S74" s="1">
        <v>1</v>
      </c>
      <c r="T74" s="1">
        <v>0</v>
      </c>
      <c r="U74" s="47">
        <v>0</v>
      </c>
      <c r="V74" s="47">
        <v>73</v>
      </c>
      <c r="W74" s="41">
        <v>270</v>
      </c>
      <c r="X74">
        <v>900</v>
      </c>
      <c r="Y74">
        <v>0.93799999999999994</v>
      </c>
      <c r="Z74">
        <v>2411.02</v>
      </c>
      <c r="AA74">
        <v>2011.7</v>
      </c>
      <c r="AB74">
        <v>1242.67</v>
      </c>
      <c r="AC74">
        <v>55</v>
      </c>
      <c r="AD74" s="41">
        <f t="shared" si="18"/>
        <v>0.35669550646614295</v>
      </c>
      <c r="AE74" s="41">
        <f t="shared" si="19"/>
        <v>0.4274991300889795</v>
      </c>
      <c r="AF74">
        <f t="shared" si="20"/>
        <v>1.8405628571428576</v>
      </c>
      <c r="AG74">
        <f t="shared" si="21"/>
        <v>0.15402342857142839</v>
      </c>
      <c r="AH74">
        <f t="shared" si="22"/>
        <v>12.4267</v>
      </c>
      <c r="AI74">
        <f>HLOOKUP(HLOOKUP(G74,'THP2'!$B$4:$J$8,5,FALSE),'Fuel &amp; Resister'!$B$3:$G$6,4,FALSE)</f>
        <v>2.2642399999999996</v>
      </c>
      <c r="AJ74" s="41">
        <f>HLOOKUP(HLOOKUP(G74,'THP2'!$B$4:$J$8,5,FALSE),'Fuel &amp; Resister'!$B$3:$G$6,3,FALSE)</f>
        <v>6.3540000000000001</v>
      </c>
      <c r="AO74" s="62">
        <v>0</v>
      </c>
      <c r="AP74" s="62">
        <v>0</v>
      </c>
    </row>
    <row r="75" spans="2:42" x14ac:dyDescent="0.15">
      <c r="B75" s="43" t="s">
        <v>601</v>
      </c>
      <c r="C75" s="61">
        <f>VLOOKUP(B75,[1]SYS!$F$5:$G$359,2,FALSE)</f>
        <v>220</v>
      </c>
      <c r="D75" s="1" t="s">
        <v>23</v>
      </c>
      <c r="E75" s="42" t="s">
        <v>104</v>
      </c>
      <c r="F75" s="42"/>
      <c r="G75" s="1">
        <v>1</v>
      </c>
      <c r="H75" s="1">
        <f t="shared" si="13"/>
        <v>0.3</v>
      </c>
      <c r="I75" s="1">
        <f t="shared" si="14"/>
        <v>0.9</v>
      </c>
      <c r="J75" s="1">
        <f t="shared" si="12"/>
        <v>6.2000000000000055E-2</v>
      </c>
      <c r="K75" s="1">
        <f t="shared" si="15"/>
        <v>2.4110200000000002</v>
      </c>
      <c r="L75" s="1">
        <f t="shared" si="16"/>
        <v>2.0117000000000003</v>
      </c>
      <c r="M75" s="49">
        <f t="shared" si="17"/>
        <v>5.6517778025609058</v>
      </c>
      <c r="N75" s="49">
        <v>12.4267</v>
      </c>
      <c r="O75" s="1">
        <v>504</v>
      </c>
      <c r="P75" s="51">
        <v>0.05</v>
      </c>
      <c r="Q75" s="51">
        <v>8</v>
      </c>
      <c r="R75" s="51">
        <v>1</v>
      </c>
      <c r="S75" s="1">
        <v>1</v>
      </c>
      <c r="T75" s="1">
        <v>0</v>
      </c>
      <c r="U75" s="47">
        <v>0</v>
      </c>
      <c r="V75" s="47">
        <v>74</v>
      </c>
      <c r="W75" s="41">
        <v>270</v>
      </c>
      <c r="X75">
        <v>900</v>
      </c>
      <c r="Y75">
        <v>0.93799999999999994</v>
      </c>
      <c r="Z75">
        <v>2411.02</v>
      </c>
      <c r="AA75">
        <v>2011.7</v>
      </c>
      <c r="AB75">
        <v>1242.67</v>
      </c>
      <c r="AC75">
        <v>55</v>
      </c>
      <c r="AD75" s="41">
        <f t="shared" si="18"/>
        <v>0.35669550646614295</v>
      </c>
      <c r="AE75" s="41">
        <f t="shared" si="19"/>
        <v>0.4274991300889795</v>
      </c>
      <c r="AF75">
        <f t="shared" si="20"/>
        <v>1.8405628571428576</v>
      </c>
      <c r="AG75">
        <f t="shared" si="21"/>
        <v>0.15402342857142839</v>
      </c>
      <c r="AH75">
        <f t="shared" si="22"/>
        <v>12.4267</v>
      </c>
      <c r="AI75">
        <f>HLOOKUP(HLOOKUP(G75,'THP2'!$B$4:$J$8,5,FALSE),'Fuel &amp; Resister'!$B$3:$G$6,4,FALSE)</f>
        <v>2.2642399999999996</v>
      </c>
      <c r="AJ75" s="41">
        <f>HLOOKUP(HLOOKUP(G75,'THP2'!$B$4:$J$8,5,FALSE),'Fuel &amp; Resister'!$B$3:$G$6,3,FALSE)</f>
        <v>6.3540000000000001</v>
      </c>
      <c r="AO75" s="62">
        <v>0</v>
      </c>
      <c r="AP75" s="62">
        <v>0</v>
      </c>
    </row>
    <row r="76" spans="2:42" x14ac:dyDescent="0.15">
      <c r="B76" s="43" t="s">
        <v>601</v>
      </c>
      <c r="C76" s="61">
        <f>VLOOKUP(B76,[1]SYS!$F$5:$G$359,2,FALSE)</f>
        <v>220</v>
      </c>
      <c r="D76" s="1" t="s">
        <v>23</v>
      </c>
      <c r="E76" s="42" t="s">
        <v>104</v>
      </c>
      <c r="F76" s="42"/>
      <c r="G76" s="1">
        <v>1</v>
      </c>
      <c r="H76" s="1">
        <f t="shared" si="13"/>
        <v>0.3</v>
      </c>
      <c r="I76" s="1">
        <f t="shared" si="14"/>
        <v>0.9</v>
      </c>
      <c r="J76" s="1">
        <f t="shared" si="12"/>
        <v>6.2000000000000055E-2</v>
      </c>
      <c r="K76" s="1">
        <f t="shared" si="15"/>
        <v>2.4110200000000002</v>
      </c>
      <c r="L76" s="1">
        <f t="shared" si="16"/>
        <v>2.0117000000000003</v>
      </c>
      <c r="M76" s="49">
        <f t="shared" si="17"/>
        <v>5.6517778025609058</v>
      </c>
      <c r="N76" s="49">
        <v>12.4267</v>
      </c>
      <c r="O76" s="6">
        <v>305</v>
      </c>
      <c r="P76" s="51">
        <v>0.05</v>
      </c>
      <c r="Q76" s="51">
        <v>8</v>
      </c>
      <c r="R76" s="51">
        <v>1</v>
      </c>
      <c r="S76" s="1">
        <v>1</v>
      </c>
      <c r="T76" s="1">
        <v>0</v>
      </c>
      <c r="U76" s="47">
        <v>0</v>
      </c>
      <c r="V76" s="47">
        <v>75</v>
      </c>
      <c r="W76" s="41">
        <v>270</v>
      </c>
      <c r="X76">
        <v>900</v>
      </c>
      <c r="Y76">
        <v>0.93799999999999994</v>
      </c>
      <c r="Z76">
        <v>2411.02</v>
      </c>
      <c r="AA76">
        <v>2011.7</v>
      </c>
      <c r="AB76">
        <v>1242.67</v>
      </c>
      <c r="AC76">
        <v>55</v>
      </c>
      <c r="AD76" s="41">
        <f t="shared" si="18"/>
        <v>0.35669550646614295</v>
      </c>
      <c r="AE76" s="41">
        <f t="shared" si="19"/>
        <v>0.4274991300889795</v>
      </c>
      <c r="AF76">
        <f t="shared" si="20"/>
        <v>1.8405628571428576</v>
      </c>
      <c r="AG76">
        <f t="shared" si="21"/>
        <v>0.15402342857142839</v>
      </c>
      <c r="AH76">
        <f t="shared" si="22"/>
        <v>12.4267</v>
      </c>
      <c r="AI76">
        <f>HLOOKUP(HLOOKUP(G76,'THP2'!$B$4:$J$8,5,FALSE),'Fuel &amp; Resister'!$B$3:$G$6,4,FALSE)</f>
        <v>2.2642399999999996</v>
      </c>
      <c r="AJ76" s="41">
        <f>HLOOKUP(HLOOKUP(G76,'THP2'!$B$4:$J$8,5,FALSE),'Fuel &amp; Resister'!$B$3:$G$6,3,FALSE)</f>
        <v>6.3540000000000001</v>
      </c>
      <c r="AO76" s="62">
        <v>0</v>
      </c>
      <c r="AP76" s="62">
        <v>0</v>
      </c>
    </row>
    <row r="77" spans="2:42" x14ac:dyDescent="0.15">
      <c r="B77" s="43" t="s">
        <v>601</v>
      </c>
      <c r="C77" s="61">
        <f>VLOOKUP(B77,[1]SYS!$F$5:$G$359,2,FALSE)</f>
        <v>220</v>
      </c>
      <c r="D77" s="1" t="s">
        <v>23</v>
      </c>
      <c r="E77" s="42" t="s">
        <v>104</v>
      </c>
      <c r="F77" s="42"/>
      <c r="G77" s="1">
        <v>1</v>
      </c>
      <c r="H77" s="1">
        <f t="shared" si="13"/>
        <v>0.3</v>
      </c>
      <c r="I77" s="1">
        <f t="shared" si="14"/>
        <v>0.9</v>
      </c>
      <c r="J77" s="1">
        <f t="shared" si="12"/>
        <v>6.2000000000000055E-2</v>
      </c>
      <c r="K77" s="1">
        <f t="shared" si="15"/>
        <v>2.4110200000000002</v>
      </c>
      <c r="L77" s="1">
        <f t="shared" si="16"/>
        <v>2.0117000000000003</v>
      </c>
      <c r="M77" s="49">
        <f t="shared" si="17"/>
        <v>5.6517778025609058</v>
      </c>
      <c r="N77" s="49">
        <v>12.4267</v>
      </c>
      <c r="O77" s="1">
        <v>504</v>
      </c>
      <c r="P77" s="51">
        <v>0.05</v>
      </c>
      <c r="Q77" s="51">
        <v>8</v>
      </c>
      <c r="R77" s="51">
        <v>1</v>
      </c>
      <c r="S77" s="1">
        <v>1</v>
      </c>
      <c r="T77" s="1">
        <v>0</v>
      </c>
      <c r="U77" s="47">
        <v>0</v>
      </c>
      <c r="V77" s="47">
        <v>76</v>
      </c>
      <c r="W77" s="41">
        <v>270</v>
      </c>
      <c r="X77">
        <v>900</v>
      </c>
      <c r="Y77">
        <v>0.93799999999999994</v>
      </c>
      <c r="Z77">
        <v>2411.02</v>
      </c>
      <c r="AA77">
        <v>2011.7</v>
      </c>
      <c r="AB77">
        <v>1242.67</v>
      </c>
      <c r="AC77">
        <v>55</v>
      </c>
      <c r="AD77" s="41">
        <f t="shared" si="18"/>
        <v>0.35669550646614295</v>
      </c>
      <c r="AE77" s="41">
        <f t="shared" si="19"/>
        <v>0.4274991300889795</v>
      </c>
      <c r="AF77">
        <f t="shared" si="20"/>
        <v>1.8405628571428576</v>
      </c>
      <c r="AG77">
        <f t="shared" si="21"/>
        <v>0.15402342857142839</v>
      </c>
      <c r="AH77">
        <f t="shared" si="22"/>
        <v>12.4267</v>
      </c>
      <c r="AI77">
        <f>HLOOKUP(HLOOKUP(G77,'THP2'!$B$4:$J$8,5,FALSE),'Fuel &amp; Resister'!$B$3:$G$6,4,FALSE)</f>
        <v>2.2642399999999996</v>
      </c>
      <c r="AJ77" s="41">
        <f>HLOOKUP(HLOOKUP(G77,'THP2'!$B$4:$J$8,5,FALSE),'Fuel &amp; Resister'!$B$3:$G$6,3,FALSE)</f>
        <v>6.3540000000000001</v>
      </c>
      <c r="AO77" s="62">
        <v>0</v>
      </c>
      <c r="AP77" s="62">
        <v>0</v>
      </c>
    </row>
    <row r="78" spans="2:42" x14ac:dyDescent="0.15">
      <c r="B78" s="43" t="s">
        <v>601</v>
      </c>
      <c r="C78" s="61">
        <f>VLOOKUP(B78,[1]SYS!$F$5:$G$359,2,FALSE)</f>
        <v>220</v>
      </c>
      <c r="D78" s="1" t="s">
        <v>23</v>
      </c>
      <c r="E78" s="42" t="s">
        <v>104</v>
      </c>
      <c r="F78" s="42"/>
      <c r="G78" s="1">
        <v>1</v>
      </c>
      <c r="H78" s="1">
        <f t="shared" si="13"/>
        <v>0.3</v>
      </c>
      <c r="I78" s="1">
        <f t="shared" si="14"/>
        <v>0.9</v>
      </c>
      <c r="J78" s="1">
        <f t="shared" si="12"/>
        <v>6.2000000000000055E-2</v>
      </c>
      <c r="K78" s="1">
        <f t="shared" si="15"/>
        <v>2.4110200000000002</v>
      </c>
      <c r="L78" s="1">
        <f t="shared" si="16"/>
        <v>2.0117000000000003</v>
      </c>
      <c r="M78" s="49">
        <f t="shared" si="17"/>
        <v>5.6517778025609058</v>
      </c>
      <c r="N78" s="49">
        <v>12.4267</v>
      </c>
      <c r="O78" s="6">
        <v>305</v>
      </c>
      <c r="P78" s="51">
        <v>0.05</v>
      </c>
      <c r="Q78" s="51">
        <v>8</v>
      </c>
      <c r="R78" s="51">
        <v>1</v>
      </c>
      <c r="S78" s="1">
        <v>1</v>
      </c>
      <c r="T78" s="1">
        <v>0</v>
      </c>
      <c r="U78" s="47">
        <v>0</v>
      </c>
      <c r="V78" s="47">
        <v>77</v>
      </c>
      <c r="W78" s="41">
        <v>270</v>
      </c>
      <c r="X78">
        <v>900</v>
      </c>
      <c r="Y78">
        <v>0.93799999999999994</v>
      </c>
      <c r="Z78">
        <v>2411.02</v>
      </c>
      <c r="AA78">
        <v>2011.7</v>
      </c>
      <c r="AB78">
        <v>1242.67</v>
      </c>
      <c r="AC78">
        <v>55</v>
      </c>
      <c r="AD78" s="41">
        <f t="shared" si="18"/>
        <v>0.35669550646614295</v>
      </c>
      <c r="AE78" s="41">
        <f t="shared" si="19"/>
        <v>0.4274991300889795</v>
      </c>
      <c r="AF78">
        <f t="shared" si="20"/>
        <v>1.8405628571428576</v>
      </c>
      <c r="AG78">
        <f t="shared" si="21"/>
        <v>0.15402342857142839</v>
      </c>
      <c r="AH78">
        <f t="shared" si="22"/>
        <v>12.4267</v>
      </c>
      <c r="AI78">
        <f>HLOOKUP(HLOOKUP(G78,'THP2'!$B$4:$J$8,5,FALSE),'Fuel &amp; Resister'!$B$3:$G$6,4,FALSE)</f>
        <v>2.2642399999999996</v>
      </c>
      <c r="AJ78" s="41">
        <f>HLOOKUP(HLOOKUP(G78,'THP2'!$B$4:$J$8,5,FALSE),'Fuel &amp; Resister'!$B$3:$G$6,3,FALSE)</f>
        <v>6.3540000000000001</v>
      </c>
      <c r="AO78" s="62">
        <v>0</v>
      </c>
      <c r="AP78" s="62">
        <v>0</v>
      </c>
    </row>
    <row r="79" spans="2:42" x14ac:dyDescent="0.15">
      <c r="B79" s="43" t="s">
        <v>601</v>
      </c>
      <c r="C79" s="61">
        <f>VLOOKUP(B79,[1]SYS!$F$5:$G$359,2,FALSE)</f>
        <v>220</v>
      </c>
      <c r="D79" s="1" t="s">
        <v>23</v>
      </c>
      <c r="E79" s="42" t="s">
        <v>104</v>
      </c>
      <c r="F79" s="42"/>
      <c r="G79" s="1">
        <v>1</v>
      </c>
      <c r="H79" s="1">
        <f t="shared" si="13"/>
        <v>0.3</v>
      </c>
      <c r="I79" s="1">
        <f t="shared" si="14"/>
        <v>0.9</v>
      </c>
      <c r="J79" s="1">
        <f t="shared" si="12"/>
        <v>6.2000000000000055E-2</v>
      </c>
      <c r="K79" s="1">
        <f t="shared" si="15"/>
        <v>2.4110200000000002</v>
      </c>
      <c r="L79" s="1">
        <f t="shared" si="16"/>
        <v>2.0117000000000003</v>
      </c>
      <c r="M79" s="49">
        <f t="shared" si="17"/>
        <v>5.6517778025609058</v>
      </c>
      <c r="N79" s="49">
        <v>12.4267</v>
      </c>
      <c r="O79" s="1">
        <v>504</v>
      </c>
      <c r="P79" s="51">
        <v>0.05</v>
      </c>
      <c r="Q79" s="51">
        <v>8</v>
      </c>
      <c r="R79" s="51">
        <v>1</v>
      </c>
      <c r="S79" s="1">
        <v>1</v>
      </c>
      <c r="T79" s="1">
        <v>0</v>
      </c>
      <c r="U79" s="47">
        <v>0</v>
      </c>
      <c r="V79" s="47">
        <v>78</v>
      </c>
      <c r="W79" s="41">
        <v>270</v>
      </c>
      <c r="X79">
        <v>900</v>
      </c>
      <c r="Y79">
        <v>0.93799999999999994</v>
      </c>
      <c r="Z79">
        <v>2411.02</v>
      </c>
      <c r="AA79">
        <v>2011.7</v>
      </c>
      <c r="AB79">
        <v>1242.67</v>
      </c>
      <c r="AC79">
        <v>55</v>
      </c>
      <c r="AD79" s="41">
        <f t="shared" si="18"/>
        <v>0.35669550646614295</v>
      </c>
      <c r="AE79" s="41">
        <f t="shared" si="19"/>
        <v>0.4274991300889795</v>
      </c>
      <c r="AF79">
        <f t="shared" si="20"/>
        <v>1.8405628571428576</v>
      </c>
      <c r="AG79">
        <f t="shared" si="21"/>
        <v>0.15402342857142839</v>
      </c>
      <c r="AH79">
        <f t="shared" si="22"/>
        <v>12.4267</v>
      </c>
      <c r="AI79">
        <f>HLOOKUP(HLOOKUP(G79,'THP2'!$B$4:$J$8,5,FALSE),'Fuel &amp; Resister'!$B$3:$G$6,4,FALSE)</f>
        <v>2.2642399999999996</v>
      </c>
      <c r="AJ79" s="41">
        <f>HLOOKUP(HLOOKUP(G79,'THP2'!$B$4:$J$8,5,FALSE),'Fuel &amp; Resister'!$B$3:$G$6,3,FALSE)</f>
        <v>6.3540000000000001</v>
      </c>
      <c r="AO79" s="62">
        <v>0</v>
      </c>
      <c r="AP79" s="62">
        <v>0</v>
      </c>
    </row>
    <row r="80" spans="2:42" x14ac:dyDescent="0.15">
      <c r="B80" s="43" t="s">
        <v>602</v>
      </c>
      <c r="C80" s="61">
        <f>VLOOKUP(B80,[1]SYS!$F$5:$G$359,2,FALSE)</f>
        <v>234</v>
      </c>
      <c r="D80" s="1" t="s">
        <v>23</v>
      </c>
      <c r="E80" s="42" t="s">
        <v>104</v>
      </c>
      <c r="F80" s="42"/>
      <c r="G80" s="1">
        <v>1</v>
      </c>
      <c r="H80" s="1">
        <f t="shared" si="13"/>
        <v>0.3</v>
      </c>
      <c r="I80" s="1">
        <f t="shared" si="14"/>
        <v>0.9</v>
      </c>
      <c r="J80" s="1">
        <f t="shared" si="12"/>
        <v>6.2000000000000055E-2</v>
      </c>
      <c r="K80" s="1">
        <f t="shared" si="15"/>
        <v>2.4110200000000002</v>
      </c>
      <c r="L80" s="1">
        <f t="shared" si="16"/>
        <v>2.0117000000000003</v>
      </c>
      <c r="M80" s="49">
        <f t="shared" si="17"/>
        <v>5.6517778025609058</v>
      </c>
      <c r="N80" s="49">
        <v>12.4267</v>
      </c>
      <c r="O80" s="1">
        <v>403</v>
      </c>
      <c r="P80" s="51">
        <v>0.05</v>
      </c>
      <c r="Q80" s="51">
        <v>8</v>
      </c>
      <c r="R80" s="51">
        <v>1</v>
      </c>
      <c r="S80" s="1">
        <v>1</v>
      </c>
      <c r="T80" s="1">
        <v>0</v>
      </c>
      <c r="U80" s="47">
        <v>0</v>
      </c>
      <c r="V80" s="47">
        <v>79</v>
      </c>
      <c r="W80" s="41">
        <v>270</v>
      </c>
      <c r="X80">
        <v>900</v>
      </c>
      <c r="Y80">
        <v>0.93799999999999994</v>
      </c>
      <c r="Z80">
        <v>2411.02</v>
      </c>
      <c r="AA80">
        <v>2011.7</v>
      </c>
      <c r="AB80">
        <v>1242.67</v>
      </c>
      <c r="AC80">
        <v>55</v>
      </c>
      <c r="AD80" s="41">
        <f t="shared" si="18"/>
        <v>0.35669550646614295</v>
      </c>
      <c r="AE80" s="41">
        <f t="shared" si="19"/>
        <v>0.4274991300889795</v>
      </c>
      <c r="AF80">
        <f t="shared" si="20"/>
        <v>1.8405628571428576</v>
      </c>
      <c r="AG80">
        <f t="shared" si="21"/>
        <v>0.15402342857142839</v>
      </c>
      <c r="AH80">
        <f t="shared" si="22"/>
        <v>12.4267</v>
      </c>
      <c r="AI80">
        <f>HLOOKUP(HLOOKUP(G80,'THP2'!$B$4:$J$8,5,FALSE),'Fuel &amp; Resister'!$B$3:$G$6,4,FALSE)</f>
        <v>2.2642399999999996</v>
      </c>
      <c r="AJ80" s="41">
        <f>HLOOKUP(HLOOKUP(G80,'THP2'!$B$4:$J$8,5,FALSE),'Fuel &amp; Resister'!$B$3:$G$6,3,FALSE)</f>
        <v>6.3540000000000001</v>
      </c>
      <c r="AO80" s="62">
        <v>0</v>
      </c>
      <c r="AP80" s="62">
        <v>0</v>
      </c>
    </row>
    <row r="81" spans="2:42" x14ac:dyDescent="0.15">
      <c r="B81" s="43" t="s">
        <v>602</v>
      </c>
      <c r="C81" s="61">
        <f>VLOOKUP(B81,[1]SYS!$F$5:$G$359,2,FALSE)</f>
        <v>234</v>
      </c>
      <c r="D81" s="1" t="s">
        <v>23</v>
      </c>
      <c r="E81" s="42" t="s">
        <v>104</v>
      </c>
      <c r="F81" s="42"/>
      <c r="G81" s="1">
        <v>1</v>
      </c>
      <c r="H81" s="1">
        <f t="shared" si="13"/>
        <v>0.3</v>
      </c>
      <c r="I81" s="1">
        <f t="shared" si="14"/>
        <v>0.9</v>
      </c>
      <c r="J81" s="1">
        <f t="shared" si="12"/>
        <v>6.2000000000000055E-2</v>
      </c>
      <c r="K81" s="1">
        <f t="shared" si="15"/>
        <v>2.4110200000000002</v>
      </c>
      <c r="L81" s="1">
        <f t="shared" si="16"/>
        <v>2.0117000000000003</v>
      </c>
      <c r="M81" s="49">
        <f t="shared" si="17"/>
        <v>5.6517778025609058</v>
      </c>
      <c r="N81" s="49">
        <v>12.4267</v>
      </c>
      <c r="O81" s="1">
        <v>603</v>
      </c>
      <c r="P81" s="51">
        <v>0.05</v>
      </c>
      <c r="Q81" s="51">
        <v>8</v>
      </c>
      <c r="R81" s="51">
        <v>1</v>
      </c>
      <c r="S81" s="1">
        <v>1</v>
      </c>
      <c r="T81" s="1">
        <v>0</v>
      </c>
      <c r="U81" s="47">
        <v>0</v>
      </c>
      <c r="V81" s="47">
        <v>80</v>
      </c>
      <c r="W81" s="41">
        <v>270</v>
      </c>
      <c r="X81">
        <v>900</v>
      </c>
      <c r="Y81">
        <v>0.93799999999999994</v>
      </c>
      <c r="Z81">
        <v>2411.02</v>
      </c>
      <c r="AA81">
        <v>2011.7</v>
      </c>
      <c r="AB81">
        <v>1242.67</v>
      </c>
      <c r="AC81">
        <v>55</v>
      </c>
      <c r="AD81" s="41">
        <f t="shared" si="18"/>
        <v>0.35669550646614295</v>
      </c>
      <c r="AE81" s="41">
        <f t="shared" si="19"/>
        <v>0.4274991300889795</v>
      </c>
      <c r="AF81">
        <f t="shared" si="20"/>
        <v>1.8405628571428576</v>
      </c>
      <c r="AG81">
        <f t="shared" si="21"/>
        <v>0.15402342857142839</v>
      </c>
      <c r="AH81">
        <f t="shared" si="22"/>
        <v>12.4267</v>
      </c>
      <c r="AI81">
        <f>HLOOKUP(HLOOKUP(G81,'THP2'!$B$4:$J$8,5,FALSE),'Fuel &amp; Resister'!$B$3:$G$6,4,FALSE)</f>
        <v>2.2642399999999996</v>
      </c>
      <c r="AJ81" s="41">
        <f>HLOOKUP(HLOOKUP(G81,'THP2'!$B$4:$J$8,5,FALSE),'Fuel &amp; Resister'!$B$3:$G$6,3,FALSE)</f>
        <v>6.3540000000000001</v>
      </c>
      <c r="AO81" s="62">
        <v>0</v>
      </c>
      <c r="AP81" s="62">
        <v>0</v>
      </c>
    </row>
    <row r="82" spans="2:42" x14ac:dyDescent="0.15">
      <c r="B82" s="43" t="s">
        <v>602</v>
      </c>
      <c r="C82" s="61">
        <f>VLOOKUP(B82,[1]SYS!$F$5:$G$359,2,FALSE)</f>
        <v>234</v>
      </c>
      <c r="D82" s="1" t="s">
        <v>23</v>
      </c>
      <c r="E82" s="42" t="s">
        <v>104</v>
      </c>
      <c r="F82" s="42"/>
      <c r="G82" s="1">
        <v>1</v>
      </c>
      <c r="H82" s="1">
        <f t="shared" si="13"/>
        <v>0.3</v>
      </c>
      <c r="I82" s="1">
        <f t="shared" si="14"/>
        <v>0.9</v>
      </c>
      <c r="J82" s="1">
        <f t="shared" si="12"/>
        <v>6.2000000000000055E-2</v>
      </c>
      <c r="K82" s="1">
        <f t="shared" si="15"/>
        <v>2.4110200000000002</v>
      </c>
      <c r="L82" s="1">
        <f t="shared" si="16"/>
        <v>2.0117000000000003</v>
      </c>
      <c r="M82" s="49">
        <f t="shared" si="17"/>
        <v>5.6517778025609058</v>
      </c>
      <c r="N82" s="49">
        <v>12.4267</v>
      </c>
      <c r="O82" s="1">
        <v>201</v>
      </c>
      <c r="P82" s="51">
        <v>0.05</v>
      </c>
      <c r="Q82" s="51">
        <v>8</v>
      </c>
      <c r="R82" s="51">
        <v>1</v>
      </c>
      <c r="S82" s="1">
        <v>1</v>
      </c>
      <c r="T82" s="1">
        <v>0</v>
      </c>
      <c r="U82" s="47">
        <v>0</v>
      </c>
      <c r="V82" s="47">
        <v>81</v>
      </c>
      <c r="W82" s="41">
        <v>270</v>
      </c>
      <c r="X82">
        <v>900</v>
      </c>
      <c r="Y82">
        <v>0.93799999999999994</v>
      </c>
      <c r="Z82">
        <v>2411.02</v>
      </c>
      <c r="AA82">
        <v>2011.7</v>
      </c>
      <c r="AB82">
        <v>1242.67</v>
      </c>
      <c r="AC82">
        <v>55</v>
      </c>
      <c r="AD82" s="41">
        <f t="shared" si="18"/>
        <v>0.35669550646614295</v>
      </c>
      <c r="AE82" s="41">
        <f t="shared" si="19"/>
        <v>0.4274991300889795</v>
      </c>
      <c r="AF82">
        <f t="shared" si="20"/>
        <v>1.8405628571428576</v>
      </c>
      <c r="AG82">
        <f t="shared" si="21"/>
        <v>0.15402342857142839</v>
      </c>
      <c r="AH82">
        <f t="shared" si="22"/>
        <v>12.4267</v>
      </c>
      <c r="AI82">
        <f>HLOOKUP(HLOOKUP(G82,'THP2'!$B$4:$J$8,5,FALSE),'Fuel &amp; Resister'!$B$3:$G$6,4,FALSE)</f>
        <v>2.2642399999999996</v>
      </c>
      <c r="AJ82" s="41">
        <f>HLOOKUP(HLOOKUP(G82,'THP2'!$B$4:$J$8,5,FALSE),'Fuel &amp; Resister'!$B$3:$G$6,3,FALSE)</f>
        <v>6.3540000000000001</v>
      </c>
      <c r="AO82" s="62">
        <v>0</v>
      </c>
      <c r="AP82" s="62">
        <v>0</v>
      </c>
    </row>
    <row r="83" spans="2:42" x14ac:dyDescent="0.15">
      <c r="B83" s="43" t="s">
        <v>602</v>
      </c>
      <c r="C83" s="61">
        <f>VLOOKUP(B83,[1]SYS!$F$5:$G$359,2,FALSE)</f>
        <v>234</v>
      </c>
      <c r="D83" s="1" t="s">
        <v>23</v>
      </c>
      <c r="E83" s="42" t="s">
        <v>104</v>
      </c>
      <c r="F83" s="42"/>
      <c r="G83" s="1">
        <v>1</v>
      </c>
      <c r="H83" s="1">
        <f t="shared" si="13"/>
        <v>0.3</v>
      </c>
      <c r="I83" s="1">
        <f t="shared" si="14"/>
        <v>0.9</v>
      </c>
      <c r="J83" s="1">
        <f t="shared" si="12"/>
        <v>6.2000000000000055E-2</v>
      </c>
      <c r="K83" s="1">
        <f t="shared" si="15"/>
        <v>2.4110200000000002</v>
      </c>
      <c r="L83" s="1">
        <f t="shared" si="16"/>
        <v>2.0117000000000003</v>
      </c>
      <c r="M83" s="49">
        <f t="shared" si="17"/>
        <v>5.6517778025609058</v>
      </c>
      <c r="N83" s="49">
        <v>12.4267</v>
      </c>
      <c r="O83" s="1">
        <v>1103</v>
      </c>
      <c r="P83" s="51">
        <v>0.05</v>
      </c>
      <c r="Q83" s="51">
        <v>8</v>
      </c>
      <c r="R83" s="51">
        <v>1</v>
      </c>
      <c r="S83" s="1">
        <v>1</v>
      </c>
      <c r="T83" s="1">
        <v>0</v>
      </c>
      <c r="U83" s="47">
        <v>0</v>
      </c>
      <c r="V83" s="47">
        <v>82</v>
      </c>
      <c r="W83" s="41">
        <v>270</v>
      </c>
      <c r="X83">
        <v>900</v>
      </c>
      <c r="Y83">
        <v>0.93799999999999994</v>
      </c>
      <c r="Z83">
        <v>2411.02</v>
      </c>
      <c r="AA83">
        <v>2011.7</v>
      </c>
      <c r="AB83">
        <v>1242.67</v>
      </c>
      <c r="AC83">
        <v>55</v>
      </c>
      <c r="AD83" s="41">
        <f t="shared" si="18"/>
        <v>0.35669550646614295</v>
      </c>
      <c r="AE83" s="41">
        <f t="shared" si="19"/>
        <v>0.4274991300889795</v>
      </c>
      <c r="AF83">
        <f t="shared" si="20"/>
        <v>1.8405628571428576</v>
      </c>
      <c r="AG83">
        <f t="shared" si="21"/>
        <v>0.15402342857142839</v>
      </c>
      <c r="AH83">
        <f t="shared" si="22"/>
        <v>12.4267</v>
      </c>
      <c r="AI83">
        <f>HLOOKUP(HLOOKUP(G83,'THP2'!$B$4:$J$8,5,FALSE),'Fuel &amp; Resister'!$B$3:$G$6,4,FALSE)</f>
        <v>2.2642399999999996</v>
      </c>
      <c r="AJ83" s="41">
        <f>HLOOKUP(HLOOKUP(G83,'THP2'!$B$4:$J$8,5,FALSE),'Fuel &amp; Resister'!$B$3:$G$6,3,FALSE)</f>
        <v>6.3540000000000001</v>
      </c>
      <c r="AO83" s="62">
        <v>0</v>
      </c>
      <c r="AP83" s="62">
        <v>0</v>
      </c>
    </row>
    <row r="84" spans="2:42" x14ac:dyDescent="0.15">
      <c r="B84" s="43" t="s">
        <v>602</v>
      </c>
      <c r="C84" s="61">
        <f>VLOOKUP(B84,[1]SYS!$F$5:$G$359,2,FALSE)</f>
        <v>234</v>
      </c>
      <c r="D84" s="1" t="s">
        <v>23</v>
      </c>
      <c r="E84" s="42" t="s">
        <v>104</v>
      </c>
      <c r="F84" s="42"/>
      <c r="G84" s="1">
        <v>1</v>
      </c>
      <c r="H84" s="1">
        <f t="shared" si="13"/>
        <v>0.3</v>
      </c>
      <c r="I84" s="1">
        <f t="shared" si="14"/>
        <v>0.9</v>
      </c>
      <c r="J84" s="1">
        <f t="shared" si="12"/>
        <v>6.2000000000000055E-2</v>
      </c>
      <c r="K84" s="1">
        <f t="shared" si="15"/>
        <v>2.4110200000000002</v>
      </c>
      <c r="L84" s="1">
        <f t="shared" si="16"/>
        <v>2.0117000000000003</v>
      </c>
      <c r="M84" s="49">
        <f t="shared" si="17"/>
        <v>5.6517778025609058</v>
      </c>
      <c r="N84" s="49">
        <v>12.4267</v>
      </c>
      <c r="O84" s="1">
        <v>903</v>
      </c>
      <c r="P84" s="51">
        <v>0.05</v>
      </c>
      <c r="Q84" s="51">
        <v>8</v>
      </c>
      <c r="R84" s="51">
        <v>1</v>
      </c>
      <c r="S84" s="1">
        <v>1</v>
      </c>
      <c r="T84" s="1">
        <v>0</v>
      </c>
      <c r="U84" s="47">
        <v>0</v>
      </c>
      <c r="V84" s="47">
        <v>83</v>
      </c>
      <c r="W84" s="41">
        <v>270</v>
      </c>
      <c r="X84">
        <v>900</v>
      </c>
      <c r="Y84">
        <v>0.93799999999999994</v>
      </c>
      <c r="Z84">
        <v>2411.02</v>
      </c>
      <c r="AA84">
        <v>2011.7</v>
      </c>
      <c r="AB84">
        <v>1242.67</v>
      </c>
      <c r="AC84">
        <v>55</v>
      </c>
      <c r="AD84" s="41">
        <f t="shared" si="18"/>
        <v>0.35669550646614295</v>
      </c>
      <c r="AE84" s="41">
        <f t="shared" si="19"/>
        <v>0.4274991300889795</v>
      </c>
      <c r="AF84">
        <f t="shared" si="20"/>
        <v>1.8405628571428576</v>
      </c>
      <c r="AG84">
        <f t="shared" si="21"/>
        <v>0.15402342857142839</v>
      </c>
      <c r="AH84">
        <f t="shared" si="22"/>
        <v>12.4267</v>
      </c>
      <c r="AI84">
        <f>HLOOKUP(HLOOKUP(G84,'THP2'!$B$4:$J$8,5,FALSE),'Fuel &amp; Resister'!$B$3:$G$6,4,FALSE)</f>
        <v>2.2642399999999996</v>
      </c>
      <c r="AJ84" s="41">
        <f>HLOOKUP(HLOOKUP(G84,'THP2'!$B$4:$J$8,5,FALSE),'Fuel &amp; Resister'!$B$3:$G$6,3,FALSE)</f>
        <v>6.3540000000000001</v>
      </c>
      <c r="AO84" s="62">
        <v>0</v>
      </c>
      <c r="AP84" s="62">
        <v>0</v>
      </c>
    </row>
    <row r="85" spans="2:42" x14ac:dyDescent="0.15">
      <c r="B85" s="43" t="s">
        <v>602</v>
      </c>
      <c r="C85" s="61">
        <f>VLOOKUP(B85,[1]SYS!$F$5:$G$359,2,FALSE)</f>
        <v>234</v>
      </c>
      <c r="D85" s="1" t="s">
        <v>23</v>
      </c>
      <c r="E85" s="42" t="s">
        <v>104</v>
      </c>
      <c r="F85" s="42"/>
      <c r="G85" s="1">
        <v>1</v>
      </c>
      <c r="H85" s="1">
        <f t="shared" si="13"/>
        <v>0.3</v>
      </c>
      <c r="I85" s="1">
        <f t="shared" si="14"/>
        <v>0.9</v>
      </c>
      <c r="J85" s="1">
        <f t="shared" si="12"/>
        <v>6.2000000000000055E-2</v>
      </c>
      <c r="K85" s="1">
        <f t="shared" si="15"/>
        <v>2.4110200000000002</v>
      </c>
      <c r="L85" s="1">
        <f t="shared" si="16"/>
        <v>2.0117000000000003</v>
      </c>
      <c r="M85" s="49">
        <f t="shared" si="17"/>
        <v>5.6517778025609058</v>
      </c>
      <c r="N85" s="49">
        <v>12.4267</v>
      </c>
      <c r="O85" s="1">
        <v>403</v>
      </c>
      <c r="P85" s="51">
        <v>0.05</v>
      </c>
      <c r="Q85" s="51">
        <v>8</v>
      </c>
      <c r="R85" s="51">
        <v>1</v>
      </c>
      <c r="S85" s="1">
        <v>1</v>
      </c>
      <c r="T85" s="1">
        <v>0</v>
      </c>
      <c r="U85" s="47">
        <v>0</v>
      </c>
      <c r="V85" s="47">
        <v>84</v>
      </c>
      <c r="W85" s="41">
        <v>270</v>
      </c>
      <c r="X85">
        <v>900</v>
      </c>
      <c r="Y85">
        <v>0.93799999999999994</v>
      </c>
      <c r="Z85">
        <v>2411.02</v>
      </c>
      <c r="AA85">
        <v>2011.7</v>
      </c>
      <c r="AB85">
        <v>1242.67</v>
      </c>
      <c r="AC85">
        <v>55</v>
      </c>
      <c r="AD85" s="41">
        <f t="shared" si="18"/>
        <v>0.35669550646614295</v>
      </c>
      <c r="AE85" s="41">
        <f t="shared" si="19"/>
        <v>0.4274991300889795</v>
      </c>
      <c r="AF85">
        <f t="shared" si="20"/>
        <v>1.8405628571428576</v>
      </c>
      <c r="AG85">
        <f t="shared" si="21"/>
        <v>0.15402342857142839</v>
      </c>
      <c r="AH85">
        <f t="shared" si="22"/>
        <v>12.4267</v>
      </c>
      <c r="AI85">
        <f>HLOOKUP(HLOOKUP(G85,'THP2'!$B$4:$J$8,5,FALSE),'Fuel &amp; Resister'!$B$3:$G$6,4,FALSE)</f>
        <v>2.2642399999999996</v>
      </c>
      <c r="AJ85" s="41">
        <f>HLOOKUP(HLOOKUP(G85,'THP2'!$B$4:$J$8,5,FALSE),'Fuel &amp; Resister'!$B$3:$G$6,3,FALSE)</f>
        <v>6.3540000000000001</v>
      </c>
      <c r="AO85" s="62">
        <v>0</v>
      </c>
      <c r="AP85" s="62">
        <v>0</v>
      </c>
    </row>
    <row r="86" spans="2:42" x14ac:dyDescent="0.15">
      <c r="B86" s="43" t="s">
        <v>603</v>
      </c>
      <c r="C86" s="61">
        <f>VLOOKUP(B86,[1]SYS!$F$5:$G$359,2,FALSE)</f>
        <v>209</v>
      </c>
      <c r="D86" s="1" t="s">
        <v>23</v>
      </c>
      <c r="E86" s="65" t="s">
        <v>105</v>
      </c>
      <c r="F86" s="63" t="s">
        <v>517</v>
      </c>
      <c r="G86" s="1">
        <v>1</v>
      </c>
      <c r="H86" s="1">
        <f t="shared" si="13"/>
        <v>0.3</v>
      </c>
      <c r="I86" s="1">
        <f t="shared" si="14"/>
        <v>0.65</v>
      </c>
      <c r="J86" s="1">
        <f t="shared" si="12"/>
        <v>6.0799999999999965E-2</v>
      </c>
      <c r="K86" s="1">
        <f t="shared" si="15"/>
        <v>2.3969999999999998</v>
      </c>
      <c r="L86" s="1">
        <f t="shared" si="16"/>
        <v>2</v>
      </c>
      <c r="M86" s="49">
        <f t="shared" si="17"/>
        <v>4.0580996411709149</v>
      </c>
      <c r="N86" s="49">
        <v>6.7125000000000004</v>
      </c>
      <c r="O86" s="6">
        <v>305</v>
      </c>
      <c r="P86" s="51">
        <v>0.05</v>
      </c>
      <c r="Q86" s="51">
        <v>8</v>
      </c>
      <c r="R86" s="51">
        <v>1</v>
      </c>
      <c r="S86" s="1">
        <v>1</v>
      </c>
      <c r="T86" s="1">
        <v>0</v>
      </c>
      <c r="U86" s="47">
        <v>1</v>
      </c>
      <c r="V86" s="47">
        <v>85</v>
      </c>
      <c r="W86" s="41">
        <v>195</v>
      </c>
      <c r="X86">
        <v>650</v>
      </c>
      <c r="Y86">
        <v>0.93920000000000003</v>
      </c>
      <c r="Z86">
        <v>2397</v>
      </c>
      <c r="AA86">
        <v>2000</v>
      </c>
      <c r="AB86">
        <v>671.25</v>
      </c>
      <c r="AC86">
        <v>55</v>
      </c>
      <c r="AD86" s="41">
        <f t="shared" si="18"/>
        <v>0.35878181059657904</v>
      </c>
      <c r="AE86" s="41">
        <f t="shared" si="19"/>
        <v>0.43</v>
      </c>
      <c r="AF86">
        <f t="shared" si="20"/>
        <v>1.8298571428571428</v>
      </c>
      <c r="AG86">
        <f t="shared" si="21"/>
        <v>0.11059285714285715</v>
      </c>
      <c r="AH86">
        <f t="shared" si="22"/>
        <v>6.7125000000000004</v>
      </c>
      <c r="AI86">
        <f>HLOOKUP(HLOOKUP(G86,'THP2'!$B$4:$J$8,5,FALSE),'Fuel &amp; Resister'!$B$3:$G$6,4,FALSE)</f>
        <v>2.2642399999999996</v>
      </c>
      <c r="AJ86" s="41">
        <f>HLOOKUP(HLOOKUP(G86,'THP2'!$B$4:$J$8,5,FALSE),'Fuel &amp; Resister'!$B$3:$G$6,3,FALSE)</f>
        <v>6.3540000000000001</v>
      </c>
      <c r="AO86" s="1">
        <v>1</v>
      </c>
      <c r="AP86" s="1">
        <v>1</v>
      </c>
    </row>
    <row r="87" spans="2:42" x14ac:dyDescent="0.15">
      <c r="B87" s="43" t="s">
        <v>603</v>
      </c>
      <c r="C87" s="61">
        <f>VLOOKUP(B87,[1]SYS!$F$5:$G$359,2,FALSE)</f>
        <v>209</v>
      </c>
      <c r="D87" s="1" t="s">
        <v>23</v>
      </c>
      <c r="E87" s="65" t="s">
        <v>106</v>
      </c>
      <c r="F87" s="63" t="s">
        <v>517</v>
      </c>
      <c r="G87" s="1">
        <v>1</v>
      </c>
      <c r="H87" s="1">
        <f t="shared" si="13"/>
        <v>0.3</v>
      </c>
      <c r="I87" s="1">
        <f t="shared" si="14"/>
        <v>0.65</v>
      </c>
      <c r="J87" s="1">
        <f t="shared" si="12"/>
        <v>6.0799999999999965E-2</v>
      </c>
      <c r="K87" s="1">
        <f t="shared" si="15"/>
        <v>2.3969999999999998</v>
      </c>
      <c r="L87" s="1">
        <f t="shared" si="16"/>
        <v>2</v>
      </c>
      <c r="M87" s="49">
        <f t="shared" si="17"/>
        <v>4.0580996411709149</v>
      </c>
      <c r="N87" s="49">
        <v>6.7125000000000004</v>
      </c>
      <c r="O87" s="1">
        <v>504</v>
      </c>
      <c r="P87" s="51">
        <v>0.05</v>
      </c>
      <c r="Q87" s="51">
        <v>8</v>
      </c>
      <c r="R87" s="51">
        <v>1</v>
      </c>
      <c r="S87" s="1">
        <v>1</v>
      </c>
      <c r="T87" s="1">
        <v>0</v>
      </c>
      <c r="U87" s="47">
        <v>1</v>
      </c>
      <c r="V87" s="47">
        <v>86</v>
      </c>
      <c r="W87" s="41">
        <v>195</v>
      </c>
      <c r="X87">
        <v>650</v>
      </c>
      <c r="Y87">
        <v>0.93920000000000003</v>
      </c>
      <c r="Z87">
        <v>2397</v>
      </c>
      <c r="AA87">
        <v>2000</v>
      </c>
      <c r="AB87">
        <v>671.25</v>
      </c>
      <c r="AC87">
        <v>55</v>
      </c>
      <c r="AD87" s="41">
        <f t="shared" si="18"/>
        <v>0.35878181059657904</v>
      </c>
      <c r="AE87" s="41">
        <f t="shared" si="19"/>
        <v>0.43</v>
      </c>
      <c r="AF87">
        <f t="shared" si="20"/>
        <v>1.8298571428571428</v>
      </c>
      <c r="AG87">
        <f t="shared" si="21"/>
        <v>0.11059285714285715</v>
      </c>
      <c r="AH87">
        <f t="shared" si="22"/>
        <v>6.7125000000000004</v>
      </c>
      <c r="AI87">
        <f>HLOOKUP(HLOOKUP(G87,'THP2'!$B$4:$J$8,5,FALSE),'Fuel &amp; Resister'!$B$3:$G$6,4,FALSE)</f>
        <v>2.2642399999999996</v>
      </c>
      <c r="AJ87" s="41">
        <f>HLOOKUP(HLOOKUP(G87,'THP2'!$B$4:$J$8,5,FALSE),'Fuel &amp; Resister'!$B$3:$G$6,3,FALSE)</f>
        <v>6.3540000000000001</v>
      </c>
      <c r="AO87" s="1">
        <v>1</v>
      </c>
      <c r="AP87" s="1">
        <v>1</v>
      </c>
    </row>
    <row r="88" spans="2:42" x14ac:dyDescent="0.15">
      <c r="B88" s="43" t="s">
        <v>601</v>
      </c>
      <c r="C88" s="61">
        <f>VLOOKUP(B88,[1]SYS!$F$5:$G$359,2,FALSE)</f>
        <v>220</v>
      </c>
      <c r="D88" s="1" t="s">
        <v>23</v>
      </c>
      <c r="E88" s="65" t="s">
        <v>107</v>
      </c>
      <c r="F88" s="42" t="s">
        <v>462</v>
      </c>
      <c r="G88" s="1">
        <v>1</v>
      </c>
      <c r="H88" s="1">
        <f t="shared" si="13"/>
        <v>0.3</v>
      </c>
      <c r="I88" s="1">
        <f t="shared" si="14"/>
        <v>0.9</v>
      </c>
      <c r="J88" s="1">
        <f t="shared" si="12"/>
        <v>6.2000000000000055E-2</v>
      </c>
      <c r="K88" s="1">
        <f t="shared" si="15"/>
        <v>2.4110200000000002</v>
      </c>
      <c r="L88" s="1">
        <f t="shared" si="16"/>
        <v>2.0117000000000003</v>
      </c>
      <c r="M88" s="49">
        <f t="shared" si="17"/>
        <v>5.6517778025609058</v>
      </c>
      <c r="N88" s="49">
        <v>12.4267</v>
      </c>
      <c r="O88" s="1">
        <v>403</v>
      </c>
      <c r="P88" s="51">
        <v>0.05</v>
      </c>
      <c r="Q88" s="51">
        <v>8</v>
      </c>
      <c r="R88" s="51">
        <v>1</v>
      </c>
      <c r="S88" s="1">
        <v>1</v>
      </c>
      <c r="T88" s="1">
        <v>0</v>
      </c>
      <c r="U88" s="47">
        <v>1</v>
      </c>
      <c r="V88" s="47">
        <v>87</v>
      </c>
      <c r="W88" s="41">
        <v>270</v>
      </c>
      <c r="X88">
        <v>900</v>
      </c>
      <c r="Y88">
        <v>0.93799999999999994</v>
      </c>
      <c r="Z88">
        <v>2411.02</v>
      </c>
      <c r="AA88">
        <v>2011.7</v>
      </c>
      <c r="AB88">
        <v>1242.67</v>
      </c>
      <c r="AC88">
        <v>55</v>
      </c>
      <c r="AD88" s="41">
        <f t="shared" si="18"/>
        <v>0.35669550646614295</v>
      </c>
      <c r="AE88" s="41">
        <f t="shared" si="19"/>
        <v>0.4274991300889795</v>
      </c>
      <c r="AF88">
        <f t="shared" si="20"/>
        <v>1.8405628571428576</v>
      </c>
      <c r="AG88">
        <f t="shared" si="21"/>
        <v>0.15402342857142839</v>
      </c>
      <c r="AH88">
        <f t="shared" si="22"/>
        <v>12.4267</v>
      </c>
      <c r="AI88">
        <f>HLOOKUP(HLOOKUP(G88,'THP2'!$B$4:$J$8,5,FALSE),'Fuel &amp; Resister'!$B$3:$G$6,4,FALSE)</f>
        <v>2.2642399999999996</v>
      </c>
      <c r="AJ88" s="41">
        <f>HLOOKUP(HLOOKUP(G88,'THP2'!$B$4:$J$8,5,FALSE),'Fuel &amp; Resister'!$B$3:$G$6,3,FALSE)</f>
        <v>6.3540000000000001</v>
      </c>
      <c r="AO88" s="1">
        <v>1</v>
      </c>
      <c r="AP88" s="1">
        <v>1</v>
      </c>
    </row>
    <row r="89" spans="2:42" x14ac:dyDescent="0.15">
      <c r="B89" s="43" t="s">
        <v>601</v>
      </c>
      <c r="C89" s="61">
        <f>VLOOKUP(B89,[1]SYS!$F$5:$G$359,2,FALSE)</f>
        <v>220</v>
      </c>
      <c r="D89" s="1" t="s">
        <v>23</v>
      </c>
      <c r="E89" s="65" t="s">
        <v>108</v>
      </c>
      <c r="F89" s="42" t="s">
        <v>462</v>
      </c>
      <c r="G89" s="1">
        <v>1</v>
      </c>
      <c r="H89" s="1">
        <f t="shared" si="13"/>
        <v>0.3</v>
      </c>
      <c r="I89" s="1">
        <f t="shared" si="14"/>
        <v>0.9</v>
      </c>
      <c r="J89" s="1">
        <f t="shared" si="12"/>
        <v>6.2000000000000055E-2</v>
      </c>
      <c r="K89" s="1">
        <f t="shared" si="15"/>
        <v>2.4110200000000002</v>
      </c>
      <c r="L89" s="1">
        <f t="shared" si="16"/>
        <v>2.0117000000000003</v>
      </c>
      <c r="M89" s="49">
        <f t="shared" si="17"/>
        <v>5.6517778025609058</v>
      </c>
      <c r="N89" s="49">
        <v>12.4267</v>
      </c>
      <c r="O89" s="1">
        <v>403</v>
      </c>
      <c r="P89" s="51">
        <v>0.05</v>
      </c>
      <c r="Q89" s="51">
        <v>8</v>
      </c>
      <c r="R89" s="51">
        <v>1</v>
      </c>
      <c r="S89" s="1">
        <v>1</v>
      </c>
      <c r="T89" s="1">
        <v>0</v>
      </c>
      <c r="U89" s="47">
        <v>1</v>
      </c>
      <c r="V89" s="47">
        <v>88</v>
      </c>
      <c r="W89" s="41">
        <v>270</v>
      </c>
      <c r="X89">
        <v>900</v>
      </c>
      <c r="Y89">
        <v>0.93799999999999994</v>
      </c>
      <c r="Z89">
        <v>2411.02</v>
      </c>
      <c r="AA89">
        <v>2011.7</v>
      </c>
      <c r="AB89">
        <v>1242.67</v>
      </c>
      <c r="AC89">
        <v>55</v>
      </c>
      <c r="AD89" s="41">
        <f t="shared" si="18"/>
        <v>0.35669550646614295</v>
      </c>
      <c r="AE89" s="41">
        <f t="shared" si="19"/>
        <v>0.4274991300889795</v>
      </c>
      <c r="AF89">
        <f t="shared" si="20"/>
        <v>1.8405628571428576</v>
      </c>
      <c r="AG89">
        <f t="shared" si="21"/>
        <v>0.15402342857142839</v>
      </c>
      <c r="AH89">
        <f t="shared" si="22"/>
        <v>12.4267</v>
      </c>
      <c r="AI89">
        <f>HLOOKUP(HLOOKUP(G89,'THP2'!$B$4:$J$8,5,FALSE),'Fuel &amp; Resister'!$B$3:$G$6,4,FALSE)</f>
        <v>2.2642399999999996</v>
      </c>
      <c r="AJ89" s="41">
        <f>HLOOKUP(HLOOKUP(G89,'THP2'!$B$4:$J$8,5,FALSE),'Fuel &amp; Resister'!$B$3:$G$6,3,FALSE)</f>
        <v>6.3540000000000001</v>
      </c>
      <c r="AO89" s="1">
        <v>1</v>
      </c>
      <c r="AP89" s="1">
        <v>1</v>
      </c>
    </row>
    <row r="90" spans="2:42" x14ac:dyDescent="0.15">
      <c r="B90" s="43" t="s">
        <v>603</v>
      </c>
      <c r="C90" s="61">
        <f>VLOOKUP(B90,[1]SYS!$F$5:$G$359,2,FALSE)</f>
        <v>209</v>
      </c>
      <c r="D90" s="1" t="s">
        <v>23</v>
      </c>
      <c r="E90" s="65" t="s">
        <v>109</v>
      </c>
      <c r="F90" s="63" t="s">
        <v>517</v>
      </c>
      <c r="G90" s="1">
        <v>1</v>
      </c>
      <c r="H90" s="1">
        <f t="shared" si="13"/>
        <v>0.3007518796992481</v>
      </c>
      <c r="I90" s="1">
        <f t="shared" si="14"/>
        <v>0.66500000000000004</v>
      </c>
      <c r="J90" s="1">
        <f t="shared" si="12"/>
        <v>6.0000000000000053E-2</v>
      </c>
      <c r="K90" s="1">
        <f t="shared" si="15"/>
        <v>2.5767800000000003</v>
      </c>
      <c r="L90" s="1">
        <f t="shared" si="16"/>
        <v>2.15</v>
      </c>
      <c r="M90" s="49">
        <f t="shared" si="17"/>
        <v>4.4631292015108581</v>
      </c>
      <c r="N90" s="49">
        <v>6.8827999999999996</v>
      </c>
      <c r="O90" s="1">
        <v>504</v>
      </c>
      <c r="P90" s="51">
        <v>0.05</v>
      </c>
      <c r="Q90" s="51">
        <v>8</v>
      </c>
      <c r="R90" s="51">
        <v>1</v>
      </c>
      <c r="S90" s="1">
        <v>1</v>
      </c>
      <c r="T90" s="1">
        <v>0</v>
      </c>
      <c r="U90" s="47">
        <v>1</v>
      </c>
      <c r="V90" s="47">
        <v>89</v>
      </c>
      <c r="W90" s="41">
        <v>200</v>
      </c>
      <c r="X90">
        <v>665</v>
      </c>
      <c r="Y90">
        <v>0.94</v>
      </c>
      <c r="Z90">
        <v>2576.7800000000002</v>
      </c>
      <c r="AA90">
        <v>2150</v>
      </c>
      <c r="AB90">
        <v>688.28</v>
      </c>
      <c r="AC90">
        <v>55</v>
      </c>
      <c r="AD90" s="41">
        <f t="shared" si="18"/>
        <v>0.33374987387359417</v>
      </c>
      <c r="AE90" s="41">
        <f t="shared" si="19"/>
        <v>0.4</v>
      </c>
      <c r="AF90">
        <f t="shared" si="20"/>
        <v>1.9664387096774192</v>
      </c>
      <c r="AG90">
        <f t="shared" si="21"/>
        <v>0.1220682580645162</v>
      </c>
      <c r="AH90">
        <f t="shared" si="22"/>
        <v>6.8827999999999996</v>
      </c>
      <c r="AI90">
        <f>HLOOKUP(HLOOKUP(G90,'THP2'!$B$4:$J$8,5,FALSE),'Fuel &amp; Resister'!$B$3:$G$6,4,FALSE)</f>
        <v>2.2642399999999996</v>
      </c>
      <c r="AJ90" s="41">
        <f>HLOOKUP(HLOOKUP(G90,'THP2'!$B$4:$J$8,5,FALSE),'Fuel &amp; Resister'!$B$3:$G$6,3,FALSE)</f>
        <v>6.3540000000000001</v>
      </c>
      <c r="AO90" s="1">
        <v>1</v>
      </c>
      <c r="AP90" s="1">
        <v>1</v>
      </c>
    </row>
    <row r="91" spans="2:42" x14ac:dyDescent="0.15">
      <c r="B91" s="43" t="s">
        <v>603</v>
      </c>
      <c r="C91" s="61">
        <f>VLOOKUP(B91,[1]SYS!$F$5:$G$359,2,FALSE)</f>
        <v>209</v>
      </c>
      <c r="D91" s="1" t="s">
        <v>23</v>
      </c>
      <c r="E91" s="65" t="s">
        <v>110</v>
      </c>
      <c r="F91" s="63" t="s">
        <v>517</v>
      </c>
      <c r="G91" s="1">
        <v>1</v>
      </c>
      <c r="H91" s="1">
        <f t="shared" si="13"/>
        <v>0.3007518796992481</v>
      </c>
      <c r="I91" s="1">
        <f t="shared" si="14"/>
        <v>0.66500000000000004</v>
      </c>
      <c r="J91" s="1">
        <f t="shared" si="12"/>
        <v>5.1400000000000001E-2</v>
      </c>
      <c r="K91" s="1">
        <f t="shared" si="15"/>
        <v>2.6003499999999997</v>
      </c>
      <c r="L91" s="1">
        <f t="shared" si="16"/>
        <v>2.16967</v>
      </c>
      <c r="M91" s="49">
        <f t="shared" si="17"/>
        <v>4.5039616440195651</v>
      </c>
      <c r="N91" s="49">
        <v>6.8827999999999996</v>
      </c>
      <c r="O91" s="6">
        <v>305</v>
      </c>
      <c r="P91" s="51">
        <v>0.05</v>
      </c>
      <c r="Q91" s="51">
        <v>8</v>
      </c>
      <c r="R91" s="51">
        <v>1</v>
      </c>
      <c r="S91" s="1">
        <v>1</v>
      </c>
      <c r="T91" s="1">
        <v>0</v>
      </c>
      <c r="U91" s="47">
        <v>1</v>
      </c>
      <c r="V91" s="47">
        <v>90</v>
      </c>
      <c r="W91" s="41">
        <v>200</v>
      </c>
      <c r="X91">
        <v>665</v>
      </c>
      <c r="Y91">
        <v>0.9486</v>
      </c>
      <c r="Z91">
        <v>2600.35</v>
      </c>
      <c r="AA91">
        <v>2169.67</v>
      </c>
      <c r="AB91">
        <v>688.28</v>
      </c>
      <c r="AC91">
        <v>55</v>
      </c>
      <c r="AD91" s="41">
        <f t="shared" si="18"/>
        <v>0.33072471013517413</v>
      </c>
      <c r="AE91" s="41">
        <f t="shared" si="19"/>
        <v>0.39637364207460118</v>
      </c>
      <c r="AF91">
        <f t="shared" si="20"/>
        <v>1.9844312903225809</v>
      </c>
      <c r="AG91">
        <f t="shared" si="21"/>
        <v>0.12318374193548369</v>
      </c>
      <c r="AH91">
        <f t="shared" si="22"/>
        <v>6.8827999999999996</v>
      </c>
      <c r="AI91">
        <f>HLOOKUP(HLOOKUP(G91,'THP2'!$B$4:$J$8,5,FALSE),'Fuel &amp; Resister'!$B$3:$G$6,4,FALSE)</f>
        <v>2.2642399999999996</v>
      </c>
      <c r="AJ91" s="41">
        <f>HLOOKUP(HLOOKUP(G91,'THP2'!$B$4:$J$8,5,FALSE),'Fuel &amp; Resister'!$B$3:$G$6,3,FALSE)</f>
        <v>6.3540000000000001</v>
      </c>
      <c r="AO91" s="1">
        <v>1</v>
      </c>
      <c r="AP91" s="1">
        <v>1</v>
      </c>
    </row>
    <row r="92" spans="2:42" x14ac:dyDescent="0.15">
      <c r="B92" s="43" t="s">
        <v>604</v>
      </c>
      <c r="C92" s="61">
        <f>VLOOKUP(B92,[1]SYS!$F$5:$G$359,2,FALSE)</f>
        <v>226</v>
      </c>
      <c r="D92" s="1" t="s">
        <v>23</v>
      </c>
      <c r="E92" s="42" t="s">
        <v>111</v>
      </c>
      <c r="F92" s="63" t="s">
        <v>518</v>
      </c>
      <c r="G92" s="1">
        <v>1</v>
      </c>
      <c r="H92" s="1">
        <f t="shared" si="13"/>
        <v>0.3007518796992481</v>
      </c>
      <c r="I92" s="1">
        <f t="shared" si="14"/>
        <v>0.13300000000000001</v>
      </c>
      <c r="J92" s="1">
        <f t="shared" si="12"/>
        <v>6.0000000000000053E-2</v>
      </c>
      <c r="K92" s="1">
        <f t="shared" si="15"/>
        <v>2.6328</v>
      </c>
      <c r="L92" s="1">
        <f t="shared" si="16"/>
        <v>2.1967399999999997</v>
      </c>
      <c r="M92" s="49">
        <f t="shared" si="17"/>
        <v>0.91203111089553146</v>
      </c>
      <c r="N92" s="49">
        <v>1.0640000000000001</v>
      </c>
      <c r="O92" s="1">
        <v>903</v>
      </c>
      <c r="P92" s="51">
        <v>0</v>
      </c>
      <c r="Q92" s="51">
        <v>8</v>
      </c>
      <c r="R92" s="51">
        <v>1</v>
      </c>
      <c r="S92" s="1">
        <v>1</v>
      </c>
      <c r="T92" s="1">
        <v>0</v>
      </c>
      <c r="U92" s="47">
        <v>0</v>
      </c>
      <c r="V92" s="47">
        <v>91</v>
      </c>
      <c r="W92" s="41">
        <v>40</v>
      </c>
      <c r="X92">
        <v>133</v>
      </c>
      <c r="Y92">
        <v>0.94</v>
      </c>
      <c r="Z92">
        <v>2632.8</v>
      </c>
      <c r="AA92">
        <v>2196.7399999999998</v>
      </c>
      <c r="AB92">
        <v>106.4</v>
      </c>
      <c r="AC92">
        <v>55</v>
      </c>
      <c r="AD92" s="41">
        <f t="shared" si="18"/>
        <v>0.32664843512610148</v>
      </c>
      <c r="AE92" s="41">
        <f t="shared" si="19"/>
        <v>0.39148920673361437</v>
      </c>
      <c r="AF92">
        <f t="shared" si="20"/>
        <v>2.0091873118279566</v>
      </c>
      <c r="AG92">
        <f t="shared" si="21"/>
        <v>2.494450752688173E-2</v>
      </c>
      <c r="AH92">
        <f t="shared" si="22"/>
        <v>1.0640000000000001</v>
      </c>
      <c r="AI92">
        <f>HLOOKUP(HLOOKUP(G92,'THP2'!$B$4:$J$8,5,FALSE),'Fuel &amp; Resister'!$B$3:$G$6,4,FALSE)</f>
        <v>2.2642399999999996</v>
      </c>
      <c r="AJ92" s="41">
        <f>HLOOKUP(HLOOKUP(G92,'THP2'!$B$4:$J$8,5,FALSE),'Fuel &amp; Resister'!$B$3:$G$6,3,FALSE)</f>
        <v>6.3540000000000001</v>
      </c>
      <c r="AO92" s="62">
        <v>0</v>
      </c>
      <c r="AP92" s="62">
        <v>0</v>
      </c>
    </row>
    <row r="93" spans="2:42" x14ac:dyDescent="0.15">
      <c r="B93" s="43" t="s">
        <v>602</v>
      </c>
      <c r="C93" s="61">
        <f>VLOOKUP(B93,[1]SYS!$F$5:$G$359,2,FALSE)</f>
        <v>234</v>
      </c>
      <c r="D93" s="1" t="s">
        <v>23</v>
      </c>
      <c r="E93" s="65" t="s">
        <v>112</v>
      </c>
      <c r="F93" s="42"/>
      <c r="G93" s="1">
        <v>1</v>
      </c>
      <c r="H93" s="1">
        <f t="shared" si="13"/>
        <v>0.30337078651685395</v>
      </c>
      <c r="I93" s="1">
        <f t="shared" si="14"/>
        <v>8.8999999999999996E-2</v>
      </c>
      <c r="J93" s="1">
        <f t="shared" si="12"/>
        <v>0</v>
      </c>
      <c r="K93" s="1">
        <f t="shared" si="15"/>
        <v>2.9647299999999999</v>
      </c>
      <c r="L93" s="1">
        <f t="shared" si="16"/>
        <v>2.4737</v>
      </c>
      <c r="M93" s="49">
        <f t="shared" si="17"/>
        <v>0.68725259717726128</v>
      </c>
      <c r="N93" s="49">
        <v>0.71200000000000008</v>
      </c>
      <c r="O93" s="1">
        <v>1202</v>
      </c>
      <c r="P93" s="51">
        <v>0</v>
      </c>
      <c r="Q93" s="51">
        <v>8</v>
      </c>
      <c r="R93" s="51">
        <v>1</v>
      </c>
      <c r="S93" s="1">
        <v>1</v>
      </c>
      <c r="T93" s="1">
        <v>0</v>
      </c>
      <c r="U93" s="47">
        <v>1</v>
      </c>
      <c r="V93" s="47">
        <v>92</v>
      </c>
      <c r="W93" s="41">
        <v>27</v>
      </c>
      <c r="X93">
        <v>89</v>
      </c>
      <c r="Y93">
        <v>1</v>
      </c>
      <c r="Z93">
        <v>2964.73</v>
      </c>
      <c r="AA93">
        <v>2473.6999999999998</v>
      </c>
      <c r="AB93">
        <v>71.2</v>
      </c>
      <c r="AC93">
        <v>55</v>
      </c>
      <c r="AD93" s="41">
        <f t="shared" si="18"/>
        <v>0.29007700532594877</v>
      </c>
      <c r="AE93" s="41">
        <f t="shared" si="19"/>
        <v>0.34765735537858272</v>
      </c>
      <c r="AF93">
        <f t="shared" si="20"/>
        <v>2.2598643548387098</v>
      </c>
      <c r="AG93">
        <f t="shared" si="21"/>
        <v>1.9031372419354823E-2</v>
      </c>
      <c r="AH93">
        <f t="shared" si="22"/>
        <v>0.71200000000000008</v>
      </c>
      <c r="AI93">
        <f>HLOOKUP(HLOOKUP(G93,'THP2'!$B$4:$J$8,5,FALSE),'Fuel &amp; Resister'!$B$3:$G$6,4,FALSE)</f>
        <v>2.2642399999999996</v>
      </c>
      <c r="AJ93" s="41">
        <f>HLOOKUP(HLOOKUP(G93,'THP2'!$B$4:$J$8,5,FALSE),'Fuel &amp; Resister'!$B$3:$G$6,3,FALSE)</f>
        <v>6.3540000000000001</v>
      </c>
      <c r="AO93" s="1">
        <v>1</v>
      </c>
      <c r="AP93" s="1">
        <v>1</v>
      </c>
    </row>
    <row r="94" spans="2:42" x14ac:dyDescent="0.15">
      <c r="B94" s="43" t="s">
        <v>605</v>
      </c>
      <c r="C94" s="61">
        <f>VLOOKUP(B94,[1]SYS!$F$5:$G$359,2,FALSE)</f>
        <v>266</v>
      </c>
      <c r="D94" s="1" t="s">
        <v>23</v>
      </c>
      <c r="E94" s="65" t="s">
        <v>113</v>
      </c>
      <c r="F94" s="63" t="s">
        <v>444</v>
      </c>
      <c r="G94" s="1">
        <v>1</v>
      </c>
      <c r="H94" s="1">
        <f t="shared" si="13"/>
        <v>0.3</v>
      </c>
      <c r="I94" s="1">
        <f t="shared" si="14"/>
        <v>0.5</v>
      </c>
      <c r="J94" s="1">
        <f t="shared" si="12"/>
        <v>6.2000000000000055E-2</v>
      </c>
      <c r="K94" s="1">
        <f t="shared" si="15"/>
        <v>2.3969999999999998</v>
      </c>
      <c r="L94" s="1">
        <f t="shared" si="16"/>
        <v>2</v>
      </c>
      <c r="M94" s="49">
        <f t="shared" si="17"/>
        <v>3.1216151085930113</v>
      </c>
      <c r="N94" s="49">
        <v>5.01</v>
      </c>
      <c r="O94" s="1">
        <v>903</v>
      </c>
      <c r="P94" s="51">
        <v>0.05</v>
      </c>
      <c r="Q94" s="51">
        <v>8</v>
      </c>
      <c r="R94" s="51">
        <v>1</v>
      </c>
      <c r="S94" s="1">
        <v>1</v>
      </c>
      <c r="T94" s="1">
        <v>0</v>
      </c>
      <c r="U94" s="47">
        <v>1</v>
      </c>
      <c r="V94" s="47">
        <v>93</v>
      </c>
      <c r="W94" s="41">
        <v>150</v>
      </c>
      <c r="X94">
        <v>500</v>
      </c>
      <c r="Y94">
        <v>0.93799999999999994</v>
      </c>
      <c r="Z94">
        <v>2397</v>
      </c>
      <c r="AA94">
        <v>2000</v>
      </c>
      <c r="AB94">
        <v>501</v>
      </c>
      <c r="AC94">
        <v>55</v>
      </c>
      <c r="AD94" s="41">
        <f t="shared" si="18"/>
        <v>0.35878181059657904</v>
      </c>
      <c r="AE94" s="41">
        <f t="shared" si="19"/>
        <v>0.43</v>
      </c>
      <c r="AF94">
        <f t="shared" si="20"/>
        <v>1.8298571428571428</v>
      </c>
      <c r="AG94">
        <f t="shared" si="21"/>
        <v>8.5071428571428576E-2</v>
      </c>
      <c r="AH94">
        <f t="shared" si="22"/>
        <v>5.01</v>
      </c>
      <c r="AI94">
        <f>HLOOKUP(HLOOKUP(G94,'THP2'!$B$4:$J$8,5,FALSE),'Fuel &amp; Resister'!$B$3:$G$6,4,FALSE)</f>
        <v>2.2642399999999996</v>
      </c>
      <c r="AJ94" s="41">
        <f>HLOOKUP(HLOOKUP(G94,'THP2'!$B$4:$J$8,5,FALSE),'Fuel &amp; Resister'!$B$3:$G$6,3,FALSE)</f>
        <v>6.3540000000000001</v>
      </c>
      <c r="AO94" s="1">
        <v>1</v>
      </c>
      <c r="AP94" s="1">
        <v>1</v>
      </c>
    </row>
    <row r="95" spans="2:42" x14ac:dyDescent="0.15">
      <c r="B95" s="43" t="s">
        <v>606</v>
      </c>
      <c r="C95" s="61">
        <f>VLOOKUP(B95,[1]SYS!$F$5:$G$359,2,FALSE)</f>
        <v>260</v>
      </c>
      <c r="D95" s="1" t="s">
        <v>23</v>
      </c>
      <c r="E95" s="42" t="s">
        <v>114</v>
      </c>
      <c r="F95" s="64" t="s">
        <v>439</v>
      </c>
      <c r="G95" s="1">
        <v>1</v>
      </c>
      <c r="H95" s="1">
        <f t="shared" si="13"/>
        <v>0.25714285714285712</v>
      </c>
      <c r="I95" s="1">
        <f t="shared" si="14"/>
        <v>0.7</v>
      </c>
      <c r="J95" s="1">
        <f t="shared" si="12"/>
        <v>5.600000000000005E-2</v>
      </c>
      <c r="K95" s="1">
        <f t="shared" si="15"/>
        <v>2.6216300000000001</v>
      </c>
      <c r="L95" s="1">
        <f t="shared" si="16"/>
        <v>2.1218900000000001</v>
      </c>
      <c r="M95" s="49">
        <f t="shared" si="17"/>
        <v>4.6366067179406976</v>
      </c>
      <c r="N95" s="49">
        <v>7.28</v>
      </c>
      <c r="O95" s="1">
        <v>601</v>
      </c>
      <c r="P95" s="51">
        <v>0.05</v>
      </c>
      <c r="Q95" s="51">
        <v>8</v>
      </c>
      <c r="R95" s="51">
        <v>1</v>
      </c>
      <c r="S95" s="1">
        <v>1</v>
      </c>
      <c r="T95" s="1">
        <v>0</v>
      </c>
      <c r="U95" s="47">
        <v>0</v>
      </c>
      <c r="V95" s="47">
        <v>94</v>
      </c>
      <c r="W95" s="41">
        <v>180</v>
      </c>
      <c r="X95">
        <v>700</v>
      </c>
      <c r="Y95">
        <v>0.94399999999999995</v>
      </c>
      <c r="Z95">
        <v>2621.63</v>
      </c>
      <c r="AA95">
        <v>2121.89</v>
      </c>
      <c r="AB95">
        <v>728</v>
      </c>
      <c r="AC95">
        <v>55</v>
      </c>
      <c r="AD95" s="41">
        <f t="shared" si="18"/>
        <v>0.32804018873754115</v>
      </c>
      <c r="AE95" s="41">
        <f t="shared" si="19"/>
        <v>0.40529904943234568</v>
      </c>
      <c r="AF95">
        <f t="shared" si="20"/>
        <v>1.9489030769230771</v>
      </c>
      <c r="AG95">
        <f t="shared" si="21"/>
        <v>0.12109084615384608</v>
      </c>
      <c r="AH95">
        <f t="shared" si="22"/>
        <v>7.28</v>
      </c>
      <c r="AI95">
        <f>HLOOKUP(HLOOKUP(G95,'THP2'!$B$4:$J$8,5,FALSE),'Fuel &amp; Resister'!$B$3:$G$6,4,FALSE)</f>
        <v>2.2642399999999996</v>
      </c>
      <c r="AJ95" s="41">
        <f>HLOOKUP(HLOOKUP(G95,'THP2'!$B$4:$J$8,5,FALSE),'Fuel &amp; Resister'!$B$3:$G$6,3,FALSE)</f>
        <v>6.3540000000000001</v>
      </c>
      <c r="AO95" s="62">
        <v>0</v>
      </c>
      <c r="AP95" s="62">
        <v>0</v>
      </c>
    </row>
    <row r="96" spans="2:42" x14ac:dyDescent="0.15">
      <c r="B96" s="43" t="s">
        <v>606</v>
      </c>
      <c r="C96" s="61">
        <f>VLOOKUP(B96,[1]SYS!$F$5:$G$359,2,FALSE)</f>
        <v>260</v>
      </c>
      <c r="D96" s="1" t="s">
        <v>23</v>
      </c>
      <c r="E96" s="42" t="s">
        <v>115</v>
      </c>
      <c r="F96" s="63" t="s">
        <v>438</v>
      </c>
      <c r="G96" s="1">
        <v>1</v>
      </c>
      <c r="H96" s="1">
        <f t="shared" si="13"/>
        <v>0.3</v>
      </c>
      <c r="I96" s="1">
        <f t="shared" si="14"/>
        <v>1.05</v>
      </c>
      <c r="J96" s="1">
        <f t="shared" si="12"/>
        <v>5.3899999999999948E-2</v>
      </c>
      <c r="K96" s="1">
        <f t="shared" si="15"/>
        <v>2.5963699999999998</v>
      </c>
      <c r="L96" s="1">
        <f t="shared" si="16"/>
        <v>2.1663399999999999</v>
      </c>
      <c r="M96" s="49">
        <f t="shared" si="17"/>
        <v>7.100603658066853</v>
      </c>
      <c r="N96" s="49">
        <v>16.2867</v>
      </c>
      <c r="O96" s="1">
        <v>403</v>
      </c>
      <c r="P96" s="51">
        <v>0.05</v>
      </c>
      <c r="Q96" s="51">
        <v>8</v>
      </c>
      <c r="R96" s="51">
        <v>1</v>
      </c>
      <c r="S96" s="1">
        <v>1</v>
      </c>
      <c r="T96" s="1">
        <v>0</v>
      </c>
      <c r="U96" s="47">
        <v>0</v>
      </c>
      <c r="V96" s="47">
        <v>95</v>
      </c>
      <c r="W96" s="41">
        <v>315</v>
      </c>
      <c r="X96">
        <v>1050</v>
      </c>
      <c r="Y96">
        <v>0.94610000000000005</v>
      </c>
      <c r="Z96">
        <v>2596.37</v>
      </c>
      <c r="AA96">
        <v>2166.34</v>
      </c>
      <c r="AB96">
        <v>1628.67</v>
      </c>
      <c r="AC96">
        <v>55</v>
      </c>
      <c r="AD96" s="41">
        <f t="shared" si="18"/>
        <v>0.33123168115484308</v>
      </c>
      <c r="AE96" s="41">
        <f t="shared" si="19"/>
        <v>0.39698292973402144</v>
      </c>
      <c r="AF96">
        <f t="shared" si="20"/>
        <v>1.9820414285714287</v>
      </c>
      <c r="AG96">
        <f t="shared" si="21"/>
        <v>0.19351349999999976</v>
      </c>
      <c r="AH96">
        <f t="shared" si="22"/>
        <v>16.2867</v>
      </c>
      <c r="AI96">
        <f>HLOOKUP(HLOOKUP(G96,'THP2'!$B$4:$J$8,5,FALSE),'Fuel &amp; Resister'!$B$3:$G$6,4,FALSE)</f>
        <v>2.2642399999999996</v>
      </c>
      <c r="AJ96" s="41">
        <f>HLOOKUP(HLOOKUP(G96,'THP2'!$B$4:$J$8,5,FALSE),'Fuel &amp; Resister'!$B$3:$G$6,3,FALSE)</f>
        <v>6.3540000000000001</v>
      </c>
      <c r="AO96" s="62">
        <v>0</v>
      </c>
      <c r="AP96" s="62">
        <v>0</v>
      </c>
    </row>
    <row r="97" spans="2:42" x14ac:dyDescent="0.15">
      <c r="B97" s="43" t="s">
        <v>606</v>
      </c>
      <c r="C97" s="61">
        <f>VLOOKUP(B97,[1]SYS!$F$5:$G$359,2,FALSE)</f>
        <v>260</v>
      </c>
      <c r="D97" s="1" t="s">
        <v>23</v>
      </c>
      <c r="E97" s="42" t="s">
        <v>116</v>
      </c>
      <c r="F97" s="63" t="s">
        <v>438</v>
      </c>
      <c r="G97" s="1">
        <v>1</v>
      </c>
      <c r="H97" s="1">
        <f t="shared" si="13"/>
        <v>0.3</v>
      </c>
      <c r="I97" s="1">
        <f t="shared" si="14"/>
        <v>1.05</v>
      </c>
      <c r="J97" s="1">
        <f t="shared" si="12"/>
        <v>5.2100000000000035E-2</v>
      </c>
      <c r="K97" s="1">
        <f t="shared" si="15"/>
        <v>2.5963699999999998</v>
      </c>
      <c r="L97" s="1">
        <f t="shared" si="16"/>
        <v>2.1663399999999999</v>
      </c>
      <c r="M97" s="49">
        <f t="shared" si="17"/>
        <v>7.100603658066853</v>
      </c>
      <c r="N97" s="49">
        <v>16.2867</v>
      </c>
      <c r="O97" s="1">
        <v>1004</v>
      </c>
      <c r="P97" s="51">
        <v>0.05</v>
      </c>
      <c r="Q97" s="51">
        <v>8</v>
      </c>
      <c r="R97" s="51">
        <v>1</v>
      </c>
      <c r="S97" s="1">
        <v>1</v>
      </c>
      <c r="T97" s="1">
        <v>0</v>
      </c>
      <c r="U97" s="47">
        <v>0</v>
      </c>
      <c r="V97" s="47">
        <v>96</v>
      </c>
      <c r="W97" s="41">
        <v>315</v>
      </c>
      <c r="X97">
        <v>1050</v>
      </c>
      <c r="Y97">
        <v>0.94789999999999996</v>
      </c>
      <c r="Z97">
        <v>2596.37</v>
      </c>
      <c r="AA97">
        <v>2166.34</v>
      </c>
      <c r="AB97">
        <v>1628.67</v>
      </c>
      <c r="AC97">
        <v>55</v>
      </c>
      <c r="AD97" s="41">
        <f t="shared" si="18"/>
        <v>0.33123168115484308</v>
      </c>
      <c r="AE97" s="41">
        <f t="shared" si="19"/>
        <v>0.39698292973402144</v>
      </c>
      <c r="AF97">
        <f t="shared" si="20"/>
        <v>1.9820414285714287</v>
      </c>
      <c r="AG97">
        <f t="shared" si="21"/>
        <v>0.19351349999999976</v>
      </c>
      <c r="AH97">
        <f t="shared" si="22"/>
        <v>16.2867</v>
      </c>
      <c r="AI97">
        <f>HLOOKUP(HLOOKUP(G97,'THP2'!$B$4:$J$8,5,FALSE),'Fuel &amp; Resister'!$B$3:$G$6,4,FALSE)</f>
        <v>2.2642399999999996</v>
      </c>
      <c r="AJ97" s="41">
        <f>HLOOKUP(HLOOKUP(G97,'THP2'!$B$4:$J$8,5,FALSE),'Fuel &amp; Resister'!$B$3:$G$6,3,FALSE)</f>
        <v>6.3540000000000001</v>
      </c>
      <c r="AO97" s="62">
        <v>0</v>
      </c>
      <c r="AP97" s="62">
        <v>0</v>
      </c>
    </row>
    <row r="98" spans="2:42" x14ac:dyDescent="0.15">
      <c r="B98" s="43" t="s">
        <v>607</v>
      </c>
      <c r="C98" s="61">
        <f>VLOOKUP(B98,[1]SYS!$F$5:$G$359,2,FALSE)</f>
        <v>268</v>
      </c>
      <c r="D98" s="1" t="s">
        <v>23</v>
      </c>
      <c r="E98" s="65" t="s">
        <v>117</v>
      </c>
      <c r="F98" s="63" t="s">
        <v>525</v>
      </c>
      <c r="G98" s="1">
        <v>1</v>
      </c>
      <c r="H98" s="1">
        <f t="shared" si="13"/>
        <v>0.31428571428571428</v>
      </c>
      <c r="I98" s="1">
        <f t="shared" si="14"/>
        <v>3.5000000000000003E-2</v>
      </c>
      <c r="J98" s="1">
        <f t="shared" si="12"/>
        <v>6.3999999999999946E-2</v>
      </c>
      <c r="K98" s="1">
        <f t="shared" si="15"/>
        <v>2.6215900000000003</v>
      </c>
      <c r="L98" s="1">
        <f t="shared" si="16"/>
        <v>2.1873899999999997</v>
      </c>
      <c r="M98" s="49">
        <f t="shared" si="17"/>
        <v>0.23898663853348434</v>
      </c>
      <c r="N98" s="49">
        <v>0.28000000000000003</v>
      </c>
      <c r="O98" s="1">
        <v>903</v>
      </c>
      <c r="P98" s="51">
        <v>0</v>
      </c>
      <c r="Q98" s="51">
        <v>8</v>
      </c>
      <c r="R98" s="51">
        <v>1</v>
      </c>
      <c r="S98" s="1">
        <v>1</v>
      </c>
      <c r="T98" s="1">
        <v>0</v>
      </c>
      <c r="U98" s="47">
        <v>1</v>
      </c>
      <c r="V98" s="47">
        <v>97</v>
      </c>
      <c r="W98" s="41">
        <v>11</v>
      </c>
      <c r="X98">
        <v>35</v>
      </c>
      <c r="Y98">
        <v>0.93600000000000005</v>
      </c>
      <c r="Z98">
        <v>2621.59</v>
      </c>
      <c r="AA98">
        <v>2187.39</v>
      </c>
      <c r="AB98">
        <v>28</v>
      </c>
      <c r="AC98">
        <v>55</v>
      </c>
      <c r="AD98" s="41">
        <f t="shared" si="18"/>
        <v>0.32804519394718468</v>
      </c>
      <c r="AE98" s="41">
        <f t="shared" si="19"/>
        <v>0.39316262760641679</v>
      </c>
      <c r="AF98">
        <f t="shared" si="20"/>
        <v>1.988381666666666</v>
      </c>
      <c r="AG98">
        <f t="shared" si="21"/>
        <v>6.9652916666666795E-3</v>
      </c>
      <c r="AH98">
        <f t="shared" si="22"/>
        <v>0.28000000000000003</v>
      </c>
      <c r="AI98">
        <f>HLOOKUP(HLOOKUP(G98,'THP2'!$B$4:$J$8,5,FALSE),'Fuel &amp; Resister'!$B$3:$G$6,4,FALSE)</f>
        <v>2.2642399999999996</v>
      </c>
      <c r="AJ98" s="41">
        <f>HLOOKUP(HLOOKUP(G98,'THP2'!$B$4:$J$8,5,FALSE),'Fuel &amp; Resister'!$B$3:$G$6,3,FALSE)</f>
        <v>6.3540000000000001</v>
      </c>
      <c r="AO98" s="1">
        <v>1</v>
      </c>
      <c r="AP98" s="1">
        <v>1</v>
      </c>
    </row>
    <row r="99" spans="2:42" x14ac:dyDescent="0.15">
      <c r="B99" s="43" t="s">
        <v>605</v>
      </c>
      <c r="C99" s="61">
        <f>VLOOKUP(B99,[1]SYS!$F$5:$G$359,2,FALSE)</f>
        <v>266</v>
      </c>
      <c r="D99" s="1" t="s">
        <v>23</v>
      </c>
      <c r="E99" s="65" t="s">
        <v>118</v>
      </c>
      <c r="F99" s="63" t="s">
        <v>446</v>
      </c>
      <c r="G99" s="1">
        <v>1</v>
      </c>
      <c r="H99" s="1">
        <f t="shared" si="13"/>
        <v>0.30222222222222223</v>
      </c>
      <c r="I99" s="1">
        <f t="shared" si="14"/>
        <v>0.22500000000000001</v>
      </c>
      <c r="J99" s="1">
        <f t="shared" si="12"/>
        <v>6.3999999999999946E-2</v>
      </c>
      <c r="K99" s="1">
        <f t="shared" si="15"/>
        <v>2.6215900000000003</v>
      </c>
      <c r="L99" s="1">
        <f t="shared" si="16"/>
        <v>2.1873899999999997</v>
      </c>
      <c r="M99" s="49">
        <f t="shared" si="17"/>
        <v>1.536342676286685</v>
      </c>
      <c r="N99" s="49">
        <v>1.8841999999999999</v>
      </c>
      <c r="O99" s="1">
        <v>504</v>
      </c>
      <c r="P99" s="51">
        <v>0</v>
      </c>
      <c r="Q99" s="51">
        <v>8</v>
      </c>
      <c r="R99" s="51">
        <v>1</v>
      </c>
      <c r="S99" s="1">
        <v>1</v>
      </c>
      <c r="T99" s="1">
        <v>0</v>
      </c>
      <c r="U99" s="47">
        <v>1</v>
      </c>
      <c r="V99" s="47">
        <v>98</v>
      </c>
      <c r="W99" s="41">
        <v>68</v>
      </c>
      <c r="X99">
        <v>225</v>
      </c>
      <c r="Y99">
        <v>0.93600000000000005</v>
      </c>
      <c r="Z99">
        <v>2621.59</v>
      </c>
      <c r="AA99">
        <v>2187.39</v>
      </c>
      <c r="AB99">
        <v>188.42</v>
      </c>
      <c r="AC99">
        <v>55</v>
      </c>
      <c r="AD99" s="41">
        <f t="shared" si="18"/>
        <v>0.32804519394718468</v>
      </c>
      <c r="AE99" s="41">
        <f t="shared" si="19"/>
        <v>0.39316262760641679</v>
      </c>
      <c r="AF99">
        <f t="shared" si="20"/>
        <v>1.9993288535031839</v>
      </c>
      <c r="AG99">
        <f t="shared" si="21"/>
        <v>4.2313757961783563E-2</v>
      </c>
      <c r="AH99">
        <f t="shared" si="22"/>
        <v>1.8841999999999999</v>
      </c>
      <c r="AI99">
        <f>HLOOKUP(HLOOKUP(G99,'THP2'!$B$4:$J$8,5,FALSE),'Fuel &amp; Resister'!$B$3:$G$6,4,FALSE)</f>
        <v>2.2642399999999996</v>
      </c>
      <c r="AJ99" s="41">
        <f>HLOOKUP(HLOOKUP(G99,'THP2'!$B$4:$J$8,5,FALSE),'Fuel &amp; Resister'!$B$3:$G$6,3,FALSE)</f>
        <v>6.3540000000000001</v>
      </c>
      <c r="AO99" s="1">
        <v>1</v>
      </c>
      <c r="AP99" s="1">
        <v>1</v>
      </c>
    </row>
    <row r="100" spans="2:42" x14ac:dyDescent="0.15">
      <c r="B100" s="43" t="s">
        <v>607</v>
      </c>
      <c r="C100" s="61">
        <f>VLOOKUP(B100,[1]SYS!$F$5:$G$359,2,FALSE)</f>
        <v>268</v>
      </c>
      <c r="D100" s="1" t="s">
        <v>23</v>
      </c>
      <c r="E100" s="65" t="s">
        <v>119</v>
      </c>
      <c r="F100" s="63" t="s">
        <v>448</v>
      </c>
      <c r="G100" s="1">
        <v>1</v>
      </c>
      <c r="H100" s="1">
        <f t="shared" si="13"/>
        <v>0.29940119760479039</v>
      </c>
      <c r="I100" s="1">
        <f t="shared" si="14"/>
        <v>0.16700000000000001</v>
      </c>
      <c r="J100" s="1">
        <f t="shared" si="12"/>
        <v>6.0000000000000053E-2</v>
      </c>
      <c r="K100" s="1">
        <f t="shared" si="15"/>
        <v>2.7124000000000001</v>
      </c>
      <c r="L100" s="1">
        <f t="shared" si="16"/>
        <v>2.2631600000000001</v>
      </c>
      <c r="M100" s="49">
        <f t="shared" si="17"/>
        <v>1.1798073130102811</v>
      </c>
      <c r="N100" s="49">
        <v>1.3359999999999999</v>
      </c>
      <c r="O100" s="1">
        <v>201</v>
      </c>
      <c r="P100" s="51">
        <v>0</v>
      </c>
      <c r="Q100" s="51">
        <v>8</v>
      </c>
      <c r="R100" s="51">
        <v>1</v>
      </c>
      <c r="S100" s="1">
        <v>1</v>
      </c>
      <c r="T100" s="1">
        <v>0</v>
      </c>
      <c r="U100" s="47">
        <v>1</v>
      </c>
      <c r="V100" s="47">
        <v>99</v>
      </c>
      <c r="W100" s="41">
        <v>50</v>
      </c>
      <c r="X100">
        <v>167</v>
      </c>
      <c r="Y100">
        <v>0.94</v>
      </c>
      <c r="Z100">
        <v>2712.4</v>
      </c>
      <c r="AA100">
        <v>2263.16</v>
      </c>
      <c r="AB100">
        <v>133.6</v>
      </c>
      <c r="AC100">
        <v>55</v>
      </c>
      <c r="AD100" s="41">
        <f t="shared" si="18"/>
        <v>0.31706238017991445</v>
      </c>
      <c r="AE100" s="41">
        <f t="shared" si="19"/>
        <v>0.37999964651195672</v>
      </c>
      <c r="AF100">
        <f t="shared" si="20"/>
        <v>2.0711770940170942</v>
      </c>
      <c r="AG100">
        <f t="shared" si="21"/>
        <v>3.2061145299145291E-2</v>
      </c>
      <c r="AH100">
        <f t="shared" si="22"/>
        <v>1.3359999999999999</v>
      </c>
      <c r="AI100">
        <f>HLOOKUP(HLOOKUP(G100,'THP2'!$B$4:$J$8,5,FALSE),'Fuel &amp; Resister'!$B$3:$G$6,4,FALSE)</f>
        <v>2.2642399999999996</v>
      </c>
      <c r="AJ100" s="41">
        <f>HLOOKUP(HLOOKUP(G100,'THP2'!$B$4:$J$8,5,FALSE),'Fuel &amp; Resister'!$B$3:$G$6,3,FALSE)</f>
        <v>6.3540000000000001</v>
      </c>
      <c r="AO100" s="1">
        <v>1</v>
      </c>
      <c r="AP100" s="1">
        <v>1</v>
      </c>
    </row>
    <row r="101" spans="2:42" x14ac:dyDescent="0.15">
      <c r="B101" s="43" t="s">
        <v>608</v>
      </c>
      <c r="C101" s="61">
        <f>VLOOKUP(B101,[1]SYS!$F$5:$G$359,2,FALSE)</f>
        <v>271</v>
      </c>
      <c r="D101" s="1" t="s">
        <v>23</v>
      </c>
      <c r="E101" s="65" t="s">
        <v>120</v>
      </c>
      <c r="F101" s="63" t="s">
        <v>520</v>
      </c>
      <c r="G101" s="1">
        <v>1</v>
      </c>
      <c r="H101" s="1">
        <f t="shared" si="13"/>
        <v>0.30158730158730157</v>
      </c>
      <c r="I101" s="1">
        <f t="shared" si="14"/>
        <v>0.189</v>
      </c>
      <c r="J101" s="1">
        <f t="shared" si="12"/>
        <v>6.2000000000000055E-2</v>
      </c>
      <c r="K101" s="1">
        <f t="shared" si="15"/>
        <v>2.7411699999999999</v>
      </c>
      <c r="L101" s="1">
        <f t="shared" si="16"/>
        <v>2.2871599999999996</v>
      </c>
      <c r="M101" s="49">
        <f t="shared" si="17"/>
        <v>1.3493906770244528</v>
      </c>
      <c r="N101" s="49">
        <v>1.5119999999999998</v>
      </c>
      <c r="O101" s="1">
        <v>1106</v>
      </c>
      <c r="P101" s="51">
        <v>0</v>
      </c>
      <c r="Q101" s="51">
        <v>8</v>
      </c>
      <c r="R101" s="51">
        <v>1</v>
      </c>
      <c r="S101" s="1">
        <v>1</v>
      </c>
      <c r="T101" s="1">
        <v>0</v>
      </c>
      <c r="U101" s="47">
        <v>1</v>
      </c>
      <c r="V101" s="47">
        <v>100</v>
      </c>
      <c r="W101" s="41">
        <v>57</v>
      </c>
      <c r="X101">
        <v>189</v>
      </c>
      <c r="Y101">
        <v>0.93799999999999994</v>
      </c>
      <c r="Z101">
        <v>2741.17</v>
      </c>
      <c r="AA101">
        <v>2287.16</v>
      </c>
      <c r="AB101">
        <v>151.19999999999999</v>
      </c>
      <c r="AC101">
        <v>55</v>
      </c>
      <c r="AD101" s="41">
        <f t="shared" si="18"/>
        <v>0.31373464615474411</v>
      </c>
      <c r="AE101" s="41">
        <f t="shared" si="19"/>
        <v>0.37601217230101963</v>
      </c>
      <c r="AF101">
        <f t="shared" si="20"/>
        <v>2.0911102272727269</v>
      </c>
      <c r="AG101">
        <f t="shared" si="21"/>
        <v>3.7053407045454553E-2</v>
      </c>
      <c r="AH101">
        <f t="shared" si="22"/>
        <v>1.5119999999999998</v>
      </c>
      <c r="AI101">
        <f>HLOOKUP(HLOOKUP(G101,'THP2'!$B$4:$J$8,5,FALSE),'Fuel &amp; Resister'!$B$3:$G$6,4,FALSE)</f>
        <v>2.2642399999999996</v>
      </c>
      <c r="AJ101" s="41">
        <f>HLOOKUP(HLOOKUP(G101,'THP2'!$B$4:$J$8,5,FALSE),'Fuel &amp; Resister'!$B$3:$G$6,3,FALSE)</f>
        <v>6.3540000000000001</v>
      </c>
      <c r="AO101" s="1">
        <v>1</v>
      </c>
      <c r="AP101" s="1">
        <v>1</v>
      </c>
    </row>
    <row r="102" spans="2:42" x14ac:dyDescent="0.15">
      <c r="B102" s="43" t="s">
        <v>608</v>
      </c>
      <c r="C102" s="61">
        <f>VLOOKUP(B102,[1]SYS!$F$5:$G$359,2,FALSE)</f>
        <v>271</v>
      </c>
      <c r="D102" s="1" t="s">
        <v>23</v>
      </c>
      <c r="E102" s="65" t="s">
        <v>121</v>
      </c>
      <c r="F102" s="63" t="s">
        <v>445</v>
      </c>
      <c r="G102" s="1">
        <v>1</v>
      </c>
      <c r="H102" s="1">
        <f t="shared" si="13"/>
        <v>0.30057803468208094</v>
      </c>
      <c r="I102" s="1">
        <f t="shared" si="14"/>
        <v>0.51900000000000002</v>
      </c>
      <c r="J102" s="1">
        <f t="shared" si="12"/>
        <v>6.2000000000000055E-2</v>
      </c>
      <c r="K102" s="1">
        <f t="shared" si="15"/>
        <v>2.7411699999999999</v>
      </c>
      <c r="L102" s="1">
        <f t="shared" si="16"/>
        <v>2.2871599999999996</v>
      </c>
      <c r="M102" s="49">
        <f t="shared" si="17"/>
        <v>3.7054696369084179</v>
      </c>
      <c r="N102" s="49">
        <v>5.2257000000000007</v>
      </c>
      <c r="O102" s="1">
        <v>1103</v>
      </c>
      <c r="P102" s="51">
        <v>0</v>
      </c>
      <c r="Q102" s="51">
        <v>8</v>
      </c>
      <c r="R102" s="51">
        <v>1</v>
      </c>
      <c r="S102" s="1">
        <v>1</v>
      </c>
      <c r="T102" s="1">
        <v>0</v>
      </c>
      <c r="U102" s="47">
        <v>1</v>
      </c>
      <c r="V102" s="47">
        <v>101</v>
      </c>
      <c r="W102" s="41">
        <v>156</v>
      </c>
      <c r="X102">
        <v>519</v>
      </c>
      <c r="Y102">
        <v>0.93799999999999994</v>
      </c>
      <c r="Z102">
        <v>2741.17</v>
      </c>
      <c r="AA102">
        <v>2287.16</v>
      </c>
      <c r="AB102">
        <v>522.57000000000005</v>
      </c>
      <c r="AC102">
        <v>55</v>
      </c>
      <c r="AD102" s="41">
        <f t="shared" si="18"/>
        <v>0.31373464615474411</v>
      </c>
      <c r="AE102" s="41">
        <f t="shared" si="19"/>
        <v>0.37601217230101963</v>
      </c>
      <c r="AF102">
        <f t="shared" si="20"/>
        <v>2.0920482644628096</v>
      </c>
      <c r="AG102">
        <f t="shared" si="21"/>
        <v>0.10126299074380166</v>
      </c>
      <c r="AH102">
        <f t="shared" si="22"/>
        <v>5.2257000000000007</v>
      </c>
      <c r="AI102">
        <f>HLOOKUP(HLOOKUP(G102,'THP2'!$B$4:$J$8,5,FALSE),'Fuel &amp; Resister'!$B$3:$G$6,4,FALSE)</f>
        <v>2.2642399999999996</v>
      </c>
      <c r="AJ102" s="41">
        <f>HLOOKUP(HLOOKUP(G102,'THP2'!$B$4:$J$8,5,FALSE),'Fuel &amp; Resister'!$B$3:$G$6,3,FALSE)</f>
        <v>6.3540000000000001</v>
      </c>
      <c r="AO102" s="1">
        <v>1</v>
      </c>
      <c r="AP102" s="1">
        <v>1</v>
      </c>
    </row>
    <row r="103" spans="2:42" x14ac:dyDescent="0.15">
      <c r="B103" s="43" t="s">
        <v>606</v>
      </c>
      <c r="C103" s="61">
        <f>VLOOKUP(B103,[1]SYS!$F$5:$G$359,2,FALSE)</f>
        <v>260</v>
      </c>
      <c r="D103" s="1" t="s">
        <v>23</v>
      </c>
      <c r="E103" s="65" t="s">
        <v>122</v>
      </c>
      <c r="F103" s="63" t="s">
        <v>519</v>
      </c>
      <c r="G103" s="1">
        <v>1</v>
      </c>
      <c r="H103" s="1">
        <f t="shared" si="13"/>
        <v>0.30158730158730157</v>
      </c>
      <c r="I103" s="1">
        <f t="shared" si="14"/>
        <v>0.126</v>
      </c>
      <c r="J103" s="1">
        <f t="shared" si="12"/>
        <v>6.2000000000000055E-2</v>
      </c>
      <c r="K103" s="1">
        <f t="shared" si="15"/>
        <v>2.7411699999999999</v>
      </c>
      <c r="L103" s="1">
        <f t="shared" si="16"/>
        <v>2.2871599999999996</v>
      </c>
      <c r="M103" s="49">
        <f t="shared" si="17"/>
        <v>0.89959378468296847</v>
      </c>
      <c r="N103" s="49">
        <v>1.008</v>
      </c>
      <c r="O103" s="1">
        <v>200</v>
      </c>
      <c r="P103" s="51">
        <v>0</v>
      </c>
      <c r="Q103" s="51">
        <v>8</v>
      </c>
      <c r="R103" s="51">
        <v>1</v>
      </c>
      <c r="S103" s="1">
        <v>1</v>
      </c>
      <c r="T103" s="1">
        <v>0</v>
      </c>
      <c r="U103" s="47">
        <v>1</v>
      </c>
      <c r="V103" s="47">
        <v>102</v>
      </c>
      <c r="W103" s="41">
        <v>38</v>
      </c>
      <c r="X103">
        <v>126</v>
      </c>
      <c r="Y103">
        <v>0.93799999999999994</v>
      </c>
      <c r="Z103">
        <v>2741.17</v>
      </c>
      <c r="AA103">
        <v>2287.16</v>
      </c>
      <c r="AB103">
        <v>100.8</v>
      </c>
      <c r="AC103">
        <v>55</v>
      </c>
      <c r="AD103" s="41">
        <f t="shared" si="18"/>
        <v>0.31373464615474411</v>
      </c>
      <c r="AE103" s="41">
        <f t="shared" si="19"/>
        <v>0.37601217230101963</v>
      </c>
      <c r="AF103">
        <f t="shared" si="20"/>
        <v>2.0911102272727269</v>
      </c>
      <c r="AG103">
        <f t="shared" si="21"/>
        <v>2.4702271363636365E-2</v>
      </c>
      <c r="AH103">
        <f t="shared" si="22"/>
        <v>1.008</v>
      </c>
      <c r="AI103">
        <f>HLOOKUP(HLOOKUP(G103,'THP2'!$B$4:$J$8,5,FALSE),'Fuel &amp; Resister'!$B$3:$G$6,4,FALSE)</f>
        <v>2.2642399999999996</v>
      </c>
      <c r="AJ103" s="41">
        <f>HLOOKUP(HLOOKUP(G103,'THP2'!$B$4:$J$8,5,FALSE),'Fuel &amp; Resister'!$B$3:$G$6,3,FALSE)</f>
        <v>6.3540000000000001</v>
      </c>
      <c r="AO103" s="1">
        <v>1</v>
      </c>
      <c r="AP103" s="1">
        <v>1</v>
      </c>
    </row>
    <row r="104" spans="2:42" x14ac:dyDescent="0.15">
      <c r="B104" s="43" t="s">
        <v>607</v>
      </c>
      <c r="C104" s="61">
        <f>VLOOKUP(B104,[1]SYS!$F$5:$G$359,2,FALSE)</f>
        <v>268</v>
      </c>
      <c r="D104" s="1" t="s">
        <v>23</v>
      </c>
      <c r="E104" s="65" t="s">
        <v>123</v>
      </c>
      <c r="F104" s="63" t="s">
        <v>524</v>
      </c>
      <c r="G104" s="1">
        <v>1</v>
      </c>
      <c r="H104" s="1">
        <f t="shared" si="13"/>
        <v>0.29411764705882354</v>
      </c>
      <c r="I104" s="1">
        <f t="shared" si="14"/>
        <v>6.8000000000000005E-2</v>
      </c>
      <c r="J104" s="1">
        <f t="shared" si="12"/>
        <v>0</v>
      </c>
      <c r="K104" s="1">
        <f t="shared" si="15"/>
        <v>2.8008500000000001</v>
      </c>
      <c r="L104" s="1">
        <f t="shared" si="16"/>
        <v>2.3369599999999999</v>
      </c>
      <c r="M104" s="49">
        <f t="shared" si="17"/>
        <v>0.49606609580407168</v>
      </c>
      <c r="N104" s="49">
        <v>0.54400000000000004</v>
      </c>
      <c r="O104" s="1">
        <v>1103</v>
      </c>
      <c r="P104" s="51">
        <v>0</v>
      </c>
      <c r="Q104" s="51">
        <v>8</v>
      </c>
      <c r="R104" s="51">
        <v>1</v>
      </c>
      <c r="S104" s="1">
        <v>1</v>
      </c>
      <c r="T104" s="1">
        <v>0</v>
      </c>
      <c r="U104" s="47">
        <v>1</v>
      </c>
      <c r="V104" s="47">
        <v>103</v>
      </c>
      <c r="W104" s="41">
        <v>20</v>
      </c>
      <c r="X104">
        <v>68</v>
      </c>
      <c r="Y104">
        <v>1</v>
      </c>
      <c r="Z104">
        <v>2800.85</v>
      </c>
      <c r="AA104">
        <v>2336.96</v>
      </c>
      <c r="AB104">
        <v>54.4</v>
      </c>
      <c r="AC104">
        <v>55</v>
      </c>
      <c r="AD104" s="41">
        <f t="shared" si="18"/>
        <v>0.30704964564328691</v>
      </c>
      <c r="AE104" s="41">
        <f t="shared" si="19"/>
        <v>0.36799945227988495</v>
      </c>
      <c r="AF104">
        <f t="shared" si="20"/>
        <v>2.1436725000000001</v>
      </c>
      <c r="AG104">
        <f t="shared" si="21"/>
        <v>1.314354999999999E-2</v>
      </c>
      <c r="AH104">
        <f t="shared" si="22"/>
        <v>0.54400000000000004</v>
      </c>
      <c r="AI104">
        <f>HLOOKUP(HLOOKUP(G104,'THP2'!$B$4:$J$8,5,FALSE),'Fuel &amp; Resister'!$B$3:$G$6,4,FALSE)</f>
        <v>2.2642399999999996</v>
      </c>
      <c r="AJ104" s="41">
        <f>HLOOKUP(HLOOKUP(G104,'THP2'!$B$4:$J$8,5,FALSE),'Fuel &amp; Resister'!$B$3:$G$6,3,FALSE)</f>
        <v>6.3540000000000001</v>
      </c>
      <c r="AO104" s="1">
        <v>1</v>
      </c>
      <c r="AP104" s="1">
        <v>1</v>
      </c>
    </row>
    <row r="105" spans="2:42" x14ac:dyDescent="0.15">
      <c r="B105" s="43" t="s">
        <v>607</v>
      </c>
      <c r="C105" s="61">
        <f>VLOOKUP(B105,[1]SYS!$F$5:$G$359,2,FALSE)</f>
        <v>268</v>
      </c>
      <c r="D105" s="1" t="s">
        <v>23</v>
      </c>
      <c r="E105" s="65" t="s">
        <v>124</v>
      </c>
      <c r="F105" s="63" t="s">
        <v>524</v>
      </c>
      <c r="G105" s="1">
        <v>1</v>
      </c>
      <c r="H105" s="1">
        <f t="shared" si="13"/>
        <v>0.3048780487804878</v>
      </c>
      <c r="I105" s="1">
        <f t="shared" si="14"/>
        <v>8.2000000000000003E-2</v>
      </c>
      <c r="J105" s="1">
        <f t="shared" si="12"/>
        <v>0</v>
      </c>
      <c r="K105" s="1">
        <f t="shared" si="15"/>
        <v>2.8008500000000001</v>
      </c>
      <c r="L105" s="1">
        <f t="shared" si="16"/>
        <v>2.3369599999999999</v>
      </c>
      <c r="M105" s="49">
        <f t="shared" si="17"/>
        <v>0.59819735082255709</v>
      </c>
      <c r="N105" s="49">
        <v>0.65599999999999992</v>
      </c>
      <c r="O105" s="1">
        <v>1204</v>
      </c>
      <c r="P105" s="51">
        <v>0</v>
      </c>
      <c r="Q105" s="51">
        <v>8</v>
      </c>
      <c r="R105" s="51">
        <v>1</v>
      </c>
      <c r="S105" s="1">
        <v>1</v>
      </c>
      <c r="T105" s="1">
        <v>0</v>
      </c>
      <c r="U105" s="47">
        <v>1</v>
      </c>
      <c r="V105" s="47">
        <v>104</v>
      </c>
      <c r="W105" s="41">
        <v>25</v>
      </c>
      <c r="X105">
        <v>82</v>
      </c>
      <c r="Y105">
        <v>1</v>
      </c>
      <c r="Z105">
        <v>2800.85</v>
      </c>
      <c r="AA105">
        <v>2336.96</v>
      </c>
      <c r="AB105">
        <v>65.599999999999994</v>
      </c>
      <c r="AC105">
        <v>55</v>
      </c>
      <c r="AD105" s="41">
        <f t="shared" si="18"/>
        <v>0.30704964564328691</v>
      </c>
      <c r="AE105" s="41">
        <f t="shared" si="19"/>
        <v>0.36799945227988495</v>
      </c>
      <c r="AF105">
        <f t="shared" si="20"/>
        <v>2.1334994736842106</v>
      </c>
      <c r="AG105">
        <f t="shared" si="21"/>
        <v>1.6683763157894729E-2</v>
      </c>
      <c r="AH105">
        <f t="shared" si="22"/>
        <v>0.65599999999999992</v>
      </c>
      <c r="AI105">
        <f>HLOOKUP(HLOOKUP(G105,'THP2'!$B$4:$J$8,5,FALSE),'Fuel &amp; Resister'!$B$3:$G$6,4,FALSE)</f>
        <v>2.2642399999999996</v>
      </c>
      <c r="AJ105" s="41">
        <f>HLOOKUP(HLOOKUP(G105,'THP2'!$B$4:$J$8,5,FALSE),'Fuel &amp; Resister'!$B$3:$G$6,3,FALSE)</f>
        <v>6.3540000000000001</v>
      </c>
      <c r="AO105" s="1">
        <v>1</v>
      </c>
      <c r="AP105" s="1">
        <v>1</v>
      </c>
    </row>
    <row r="106" spans="2:42" x14ac:dyDescent="0.15">
      <c r="B106" s="43" t="s">
        <v>605</v>
      </c>
      <c r="C106" s="61">
        <f>VLOOKUP(B106,[1]SYS!$F$5:$G$359,2,FALSE)</f>
        <v>266</v>
      </c>
      <c r="D106" s="1" t="s">
        <v>23</v>
      </c>
      <c r="E106" s="65" t="s">
        <v>125</v>
      </c>
      <c r="F106" s="63" t="s">
        <v>447</v>
      </c>
      <c r="G106" s="1">
        <v>1</v>
      </c>
      <c r="H106" s="1">
        <f t="shared" si="13"/>
        <v>0.3</v>
      </c>
      <c r="I106" s="1">
        <f t="shared" si="14"/>
        <v>0.15</v>
      </c>
      <c r="J106" s="1">
        <f t="shared" si="12"/>
        <v>6.2000000000000055E-2</v>
      </c>
      <c r="K106" s="1">
        <f t="shared" si="15"/>
        <v>2.8197100000000002</v>
      </c>
      <c r="L106" s="1">
        <f t="shared" si="16"/>
        <v>2.3527</v>
      </c>
      <c r="M106" s="49">
        <f t="shared" si="17"/>
        <v>1.1016335798980172</v>
      </c>
      <c r="N106" s="49">
        <v>1.2</v>
      </c>
      <c r="O106" s="1">
        <v>403</v>
      </c>
      <c r="P106" s="51">
        <v>0.05</v>
      </c>
      <c r="Q106" s="51">
        <v>8</v>
      </c>
      <c r="R106" s="51">
        <v>1</v>
      </c>
      <c r="S106" s="1">
        <v>1</v>
      </c>
      <c r="T106" s="1">
        <v>0</v>
      </c>
      <c r="U106" s="47">
        <v>1</v>
      </c>
      <c r="V106" s="47">
        <v>105</v>
      </c>
      <c r="W106" s="41">
        <v>45</v>
      </c>
      <c r="X106">
        <v>150</v>
      </c>
      <c r="Y106">
        <v>0.93799999999999994</v>
      </c>
      <c r="Z106">
        <v>2819.71</v>
      </c>
      <c r="AA106">
        <v>2352.6999999999998</v>
      </c>
      <c r="AB106">
        <v>120</v>
      </c>
      <c r="AC106">
        <v>55</v>
      </c>
      <c r="AD106" s="41">
        <f t="shared" si="18"/>
        <v>0.3049959038340822</v>
      </c>
      <c r="AE106" s="41">
        <f t="shared" si="19"/>
        <v>0.36553746759042804</v>
      </c>
      <c r="AF106">
        <f t="shared" si="20"/>
        <v>2.1525528571428576</v>
      </c>
      <c r="AG106">
        <f t="shared" si="21"/>
        <v>3.002207142857136E-2</v>
      </c>
      <c r="AH106">
        <f t="shared" si="22"/>
        <v>1.2</v>
      </c>
      <c r="AI106">
        <f>HLOOKUP(HLOOKUP(G106,'THP2'!$B$4:$J$8,5,FALSE),'Fuel &amp; Resister'!$B$3:$G$6,4,FALSE)</f>
        <v>2.2642399999999996</v>
      </c>
      <c r="AJ106" s="41">
        <f>HLOOKUP(HLOOKUP(G106,'THP2'!$B$4:$J$8,5,FALSE),'Fuel &amp; Resister'!$B$3:$G$6,3,FALSE)</f>
        <v>6.3540000000000001</v>
      </c>
      <c r="AO106" s="1">
        <v>1</v>
      </c>
      <c r="AP106" s="1">
        <v>1</v>
      </c>
    </row>
    <row r="107" spans="2:42" x14ac:dyDescent="0.15">
      <c r="B107" s="43" t="s">
        <v>609</v>
      </c>
      <c r="C107" s="61">
        <f>VLOOKUP(B107,[1]SYS!$F$5:$G$359,2,FALSE)</f>
        <v>279</v>
      </c>
      <c r="D107" s="1" t="s">
        <v>23</v>
      </c>
      <c r="E107" s="65" t="s">
        <v>126</v>
      </c>
      <c r="F107" s="63" t="s">
        <v>454</v>
      </c>
      <c r="G107" s="1">
        <v>1</v>
      </c>
      <c r="H107" s="1">
        <f t="shared" si="13"/>
        <v>0.3</v>
      </c>
      <c r="I107" s="1">
        <f t="shared" si="14"/>
        <v>1</v>
      </c>
      <c r="J107" s="1">
        <f t="shared" si="12"/>
        <v>6.2000000000000055E-2</v>
      </c>
      <c r="K107" s="1">
        <f t="shared" si="15"/>
        <v>2.34253</v>
      </c>
      <c r="L107" s="1">
        <f t="shared" si="16"/>
        <v>1.95455</v>
      </c>
      <c r="M107" s="49">
        <f t="shared" si="17"/>
        <v>6.1013528105004706</v>
      </c>
      <c r="N107" s="49">
        <v>15</v>
      </c>
      <c r="O107" s="1">
        <v>504</v>
      </c>
      <c r="P107" s="51">
        <v>0.05</v>
      </c>
      <c r="Q107" s="51">
        <v>8</v>
      </c>
      <c r="R107" s="51">
        <v>1</v>
      </c>
      <c r="S107" s="1">
        <v>1</v>
      </c>
      <c r="T107" s="1">
        <v>0</v>
      </c>
      <c r="U107" s="47">
        <v>1</v>
      </c>
      <c r="V107" s="47">
        <v>106</v>
      </c>
      <c r="W107" s="41">
        <v>300</v>
      </c>
      <c r="X107">
        <v>1000</v>
      </c>
      <c r="Y107">
        <v>0.93799999999999994</v>
      </c>
      <c r="Z107">
        <v>2342.5300000000002</v>
      </c>
      <c r="AA107">
        <v>1954.55</v>
      </c>
      <c r="AB107">
        <v>1500</v>
      </c>
      <c r="AC107">
        <v>55</v>
      </c>
      <c r="AD107" s="41">
        <f t="shared" si="18"/>
        <v>0.36712443383862747</v>
      </c>
      <c r="AE107" s="41">
        <f t="shared" si="19"/>
        <v>0.43999897674656568</v>
      </c>
      <c r="AF107">
        <f t="shared" si="20"/>
        <v>1.788272857142857</v>
      </c>
      <c r="AG107">
        <f t="shared" si="21"/>
        <v>0.16627714285714301</v>
      </c>
      <c r="AH107">
        <f t="shared" si="22"/>
        <v>15</v>
      </c>
      <c r="AI107">
        <f>HLOOKUP(HLOOKUP(G107,'THP2'!$B$4:$J$8,5,FALSE),'Fuel &amp; Resister'!$B$3:$G$6,4,FALSE)</f>
        <v>2.2642399999999996</v>
      </c>
      <c r="AJ107" s="41">
        <f>HLOOKUP(HLOOKUP(G107,'THP2'!$B$4:$J$8,5,FALSE),'Fuel &amp; Resister'!$B$3:$G$6,3,FALSE)</f>
        <v>6.3540000000000001</v>
      </c>
      <c r="AO107" s="1">
        <v>1</v>
      </c>
      <c r="AP107" s="1">
        <v>1</v>
      </c>
    </row>
    <row r="108" spans="2:42" x14ac:dyDescent="0.15">
      <c r="B108" s="43" t="s">
        <v>610</v>
      </c>
      <c r="C108" s="61">
        <f>VLOOKUP(B108,[1]SYS!$F$5:$G$359,2,FALSE)</f>
        <v>288</v>
      </c>
      <c r="D108" s="1" t="s">
        <v>23</v>
      </c>
      <c r="E108" s="65" t="s">
        <v>127</v>
      </c>
      <c r="F108" s="63" t="s">
        <v>521</v>
      </c>
      <c r="G108" s="1">
        <v>1</v>
      </c>
      <c r="H108" s="1">
        <f t="shared" si="13"/>
        <v>0.3</v>
      </c>
      <c r="I108" s="1">
        <f t="shared" si="14"/>
        <v>0.6</v>
      </c>
      <c r="J108" s="1">
        <f t="shared" si="12"/>
        <v>6.2000000000000055E-2</v>
      </c>
      <c r="K108" s="1">
        <f t="shared" si="15"/>
        <v>2.3969999999999998</v>
      </c>
      <c r="L108" s="1">
        <f t="shared" si="16"/>
        <v>2</v>
      </c>
      <c r="M108" s="49">
        <f t="shared" si="17"/>
        <v>3.7459381303116137</v>
      </c>
      <c r="N108" s="49">
        <v>6.1449999999999996</v>
      </c>
      <c r="O108" s="1">
        <v>903</v>
      </c>
      <c r="P108" s="51">
        <v>0.05</v>
      </c>
      <c r="Q108" s="51">
        <v>8</v>
      </c>
      <c r="R108" s="51">
        <v>1</v>
      </c>
      <c r="S108" s="1">
        <v>1</v>
      </c>
      <c r="T108" s="1">
        <v>0</v>
      </c>
      <c r="U108" s="47">
        <v>1</v>
      </c>
      <c r="V108" s="47">
        <v>107</v>
      </c>
      <c r="W108" s="41">
        <v>180</v>
      </c>
      <c r="X108">
        <v>600</v>
      </c>
      <c r="Y108">
        <v>0.93799999999999994</v>
      </c>
      <c r="Z108">
        <v>2397</v>
      </c>
      <c r="AA108">
        <v>2000</v>
      </c>
      <c r="AB108">
        <v>614.5</v>
      </c>
      <c r="AC108">
        <v>55</v>
      </c>
      <c r="AD108" s="41">
        <f t="shared" si="18"/>
        <v>0.35878181059657904</v>
      </c>
      <c r="AE108" s="41">
        <f t="shared" si="19"/>
        <v>0.43</v>
      </c>
      <c r="AF108">
        <f t="shared" si="20"/>
        <v>1.8298571428571428</v>
      </c>
      <c r="AG108">
        <f t="shared" si="21"/>
        <v>0.10208571428571429</v>
      </c>
      <c r="AH108">
        <f t="shared" si="22"/>
        <v>6.1449999999999996</v>
      </c>
      <c r="AI108">
        <f>HLOOKUP(HLOOKUP(G108,'THP2'!$B$4:$J$8,5,FALSE),'Fuel &amp; Resister'!$B$3:$G$6,4,FALSE)</f>
        <v>2.2642399999999996</v>
      </c>
      <c r="AJ108" s="41">
        <f>HLOOKUP(HLOOKUP(G108,'THP2'!$B$4:$J$8,5,FALSE),'Fuel &amp; Resister'!$B$3:$G$6,3,FALSE)</f>
        <v>6.3540000000000001</v>
      </c>
      <c r="AO108" s="1">
        <v>1</v>
      </c>
      <c r="AP108" s="1">
        <v>1</v>
      </c>
    </row>
    <row r="109" spans="2:42" x14ac:dyDescent="0.15">
      <c r="B109" s="43" t="s">
        <v>610</v>
      </c>
      <c r="C109" s="61">
        <f>VLOOKUP(B109,[1]SYS!$F$5:$G$359,2,FALSE)</f>
        <v>288</v>
      </c>
      <c r="D109" s="1" t="s">
        <v>23</v>
      </c>
      <c r="E109" s="65" t="s">
        <v>128</v>
      </c>
      <c r="F109" s="63" t="s">
        <v>521</v>
      </c>
      <c r="G109" s="1">
        <v>1</v>
      </c>
      <c r="H109" s="1">
        <f t="shared" si="13"/>
        <v>0.3</v>
      </c>
      <c r="I109" s="1">
        <f t="shared" si="14"/>
        <v>0.6</v>
      </c>
      <c r="J109" s="1">
        <f t="shared" si="12"/>
        <v>6.2000000000000055E-2</v>
      </c>
      <c r="K109" s="1">
        <f t="shared" si="15"/>
        <v>2.3969999999999998</v>
      </c>
      <c r="L109" s="1">
        <f t="shared" si="16"/>
        <v>2</v>
      </c>
      <c r="M109" s="49">
        <f t="shared" si="17"/>
        <v>3.7459381303116137</v>
      </c>
      <c r="N109" s="49">
        <v>6.1449999999999996</v>
      </c>
      <c r="O109" s="1">
        <v>1004</v>
      </c>
      <c r="P109" s="51">
        <v>0.05</v>
      </c>
      <c r="Q109" s="51">
        <v>8</v>
      </c>
      <c r="R109" s="51">
        <v>1</v>
      </c>
      <c r="S109" s="1">
        <v>1</v>
      </c>
      <c r="T109" s="1">
        <v>0</v>
      </c>
      <c r="U109" s="47">
        <v>1</v>
      </c>
      <c r="V109" s="47">
        <v>108</v>
      </c>
      <c r="W109" s="41">
        <v>180</v>
      </c>
      <c r="X109">
        <v>600</v>
      </c>
      <c r="Y109">
        <v>0.93799999999999994</v>
      </c>
      <c r="Z109">
        <v>2397</v>
      </c>
      <c r="AA109">
        <v>2000</v>
      </c>
      <c r="AB109">
        <v>614.5</v>
      </c>
      <c r="AC109">
        <v>55</v>
      </c>
      <c r="AD109" s="41">
        <f t="shared" si="18"/>
        <v>0.35878181059657904</v>
      </c>
      <c r="AE109" s="41">
        <f t="shared" si="19"/>
        <v>0.43</v>
      </c>
      <c r="AF109">
        <f t="shared" si="20"/>
        <v>1.8298571428571428</v>
      </c>
      <c r="AG109">
        <f t="shared" si="21"/>
        <v>0.10208571428571429</v>
      </c>
      <c r="AH109">
        <f t="shared" si="22"/>
        <v>6.1449999999999996</v>
      </c>
      <c r="AI109">
        <f>HLOOKUP(HLOOKUP(G109,'THP2'!$B$4:$J$8,5,FALSE),'Fuel &amp; Resister'!$B$3:$G$6,4,FALSE)</f>
        <v>2.2642399999999996</v>
      </c>
      <c r="AJ109" s="41">
        <f>HLOOKUP(HLOOKUP(G109,'THP2'!$B$4:$J$8,5,FALSE),'Fuel &amp; Resister'!$B$3:$G$6,3,FALSE)</f>
        <v>6.3540000000000001</v>
      </c>
      <c r="AO109" s="1">
        <v>1</v>
      </c>
      <c r="AP109" s="1">
        <v>1</v>
      </c>
    </row>
    <row r="110" spans="2:42" x14ac:dyDescent="0.15">
      <c r="B110" s="43" t="s">
        <v>610</v>
      </c>
      <c r="C110" s="61">
        <f>VLOOKUP(B110,[1]SYS!$F$5:$G$359,2,FALSE)</f>
        <v>288</v>
      </c>
      <c r="D110" s="1" t="s">
        <v>23</v>
      </c>
      <c r="E110" s="65" t="s">
        <v>129</v>
      </c>
      <c r="F110" s="42"/>
      <c r="G110" s="1">
        <v>1</v>
      </c>
      <c r="H110" s="1">
        <f t="shared" si="13"/>
        <v>0.40119760479041916</v>
      </c>
      <c r="I110" s="1">
        <f t="shared" si="14"/>
        <v>0.16700000000000001</v>
      </c>
      <c r="J110" s="1">
        <f t="shared" si="12"/>
        <v>0.10809999999999997</v>
      </c>
      <c r="K110" s="1">
        <f t="shared" si="15"/>
        <v>2.4706599999999996</v>
      </c>
      <c r="L110" s="1">
        <f t="shared" si="16"/>
        <v>1.89391</v>
      </c>
      <c r="M110" s="49">
        <f t="shared" si="17"/>
        <v>0.98731369774267008</v>
      </c>
      <c r="N110" s="49">
        <v>1.3359999999999999</v>
      </c>
      <c r="O110" s="1">
        <v>1103</v>
      </c>
      <c r="P110" s="51">
        <v>0.05</v>
      </c>
      <c r="Q110" s="51">
        <v>8</v>
      </c>
      <c r="R110" s="51">
        <v>1</v>
      </c>
      <c r="S110" s="1">
        <v>1</v>
      </c>
      <c r="T110" s="1">
        <v>0</v>
      </c>
      <c r="U110" s="47">
        <v>1</v>
      </c>
      <c r="V110" s="47">
        <v>109</v>
      </c>
      <c r="W110" s="41">
        <v>67</v>
      </c>
      <c r="X110">
        <v>167</v>
      </c>
      <c r="Y110">
        <v>0.89190000000000003</v>
      </c>
      <c r="Z110">
        <v>2470.66</v>
      </c>
      <c r="AA110">
        <v>1893.91</v>
      </c>
      <c r="AB110">
        <v>133.6</v>
      </c>
      <c r="AC110">
        <v>55</v>
      </c>
      <c r="AD110" s="41">
        <f t="shared" si="18"/>
        <v>0.34808512705107136</v>
      </c>
      <c r="AE110" s="41">
        <f t="shared" si="19"/>
        <v>0.45408704743097605</v>
      </c>
      <c r="AF110">
        <f t="shared" si="20"/>
        <v>1.5074875000000001</v>
      </c>
      <c r="AG110">
        <f t="shared" si="21"/>
        <v>6.453255749999999E-2</v>
      </c>
      <c r="AH110">
        <f t="shared" si="22"/>
        <v>1.3359999999999999</v>
      </c>
      <c r="AI110">
        <f>HLOOKUP(HLOOKUP(G110,'THP2'!$B$4:$J$8,5,FALSE),'Fuel &amp; Resister'!$B$3:$G$6,4,FALSE)</f>
        <v>2.2642399999999996</v>
      </c>
      <c r="AJ110" s="41">
        <f>HLOOKUP(HLOOKUP(G110,'THP2'!$B$4:$J$8,5,FALSE),'Fuel &amp; Resister'!$B$3:$G$6,3,FALSE)</f>
        <v>6.3540000000000001</v>
      </c>
      <c r="AO110" s="1">
        <v>1</v>
      </c>
      <c r="AP110" s="1">
        <v>1</v>
      </c>
    </row>
    <row r="111" spans="2:42" x14ac:dyDescent="0.15">
      <c r="B111" s="43" t="s">
        <v>611</v>
      </c>
      <c r="C111" s="61">
        <f>VLOOKUP(B111,[1]SYS!$F$5:$G$359,2,FALSE)</f>
        <v>284</v>
      </c>
      <c r="D111" s="1" t="s">
        <v>23</v>
      </c>
      <c r="E111" s="65" t="s">
        <v>130</v>
      </c>
      <c r="F111" s="63" t="s">
        <v>455</v>
      </c>
      <c r="G111" s="1">
        <v>1</v>
      </c>
      <c r="H111" s="1">
        <f t="shared" si="13"/>
        <v>0.3</v>
      </c>
      <c r="I111" s="1">
        <f t="shared" si="14"/>
        <v>0.6</v>
      </c>
      <c r="J111" s="1">
        <f t="shared" si="12"/>
        <v>6.2000000000000055E-2</v>
      </c>
      <c r="K111" s="1">
        <f t="shared" si="15"/>
        <v>2.44143</v>
      </c>
      <c r="L111" s="1">
        <f t="shared" si="16"/>
        <v>2.0370699999999999</v>
      </c>
      <c r="M111" s="49">
        <f t="shared" si="17"/>
        <v>3.81536909355694</v>
      </c>
      <c r="N111" s="49">
        <v>6.1449999999999996</v>
      </c>
      <c r="O111" s="1">
        <v>1004</v>
      </c>
      <c r="P111" s="51">
        <v>0.05</v>
      </c>
      <c r="Q111" s="51">
        <v>8</v>
      </c>
      <c r="R111" s="51">
        <v>1</v>
      </c>
      <c r="S111" s="1">
        <v>1</v>
      </c>
      <c r="T111" s="1">
        <v>0</v>
      </c>
      <c r="U111" s="47">
        <v>1</v>
      </c>
      <c r="V111" s="47">
        <v>110</v>
      </c>
      <c r="W111" s="41">
        <v>180</v>
      </c>
      <c r="X111">
        <v>600</v>
      </c>
      <c r="Y111">
        <v>0.93799999999999994</v>
      </c>
      <c r="Z111">
        <v>2441.4299999999998</v>
      </c>
      <c r="AA111">
        <v>2037.07</v>
      </c>
      <c r="AB111">
        <v>614.5</v>
      </c>
      <c r="AC111">
        <v>55</v>
      </c>
      <c r="AD111" s="41">
        <f t="shared" si="18"/>
        <v>0.35225257328696707</v>
      </c>
      <c r="AE111" s="41">
        <f t="shared" si="19"/>
        <v>0.42217498662294373</v>
      </c>
      <c r="AF111">
        <f t="shared" si="20"/>
        <v>1.8637728571428571</v>
      </c>
      <c r="AG111">
        <f t="shared" si="21"/>
        <v>0.10397828571428569</v>
      </c>
      <c r="AH111">
        <f t="shared" si="22"/>
        <v>6.1449999999999996</v>
      </c>
      <c r="AI111">
        <f>HLOOKUP(HLOOKUP(G111,'THP2'!$B$4:$J$8,5,FALSE),'Fuel &amp; Resister'!$B$3:$G$6,4,FALSE)</f>
        <v>2.2642399999999996</v>
      </c>
      <c r="AJ111" s="41">
        <f>HLOOKUP(HLOOKUP(G111,'THP2'!$B$4:$J$8,5,FALSE),'Fuel &amp; Resister'!$B$3:$G$6,3,FALSE)</f>
        <v>6.3540000000000001</v>
      </c>
      <c r="AO111" s="1">
        <v>1</v>
      </c>
      <c r="AP111" s="1">
        <v>1</v>
      </c>
    </row>
    <row r="112" spans="2:42" x14ac:dyDescent="0.15">
      <c r="B112" s="43" t="s">
        <v>609</v>
      </c>
      <c r="C112" s="61">
        <f>VLOOKUP(B112,[1]SYS!$F$5:$G$359,2,FALSE)</f>
        <v>279</v>
      </c>
      <c r="D112" s="1" t="s">
        <v>23</v>
      </c>
      <c r="E112" s="42" t="s">
        <v>131</v>
      </c>
      <c r="F112" s="63" t="s">
        <v>454</v>
      </c>
      <c r="G112" s="1">
        <v>1</v>
      </c>
      <c r="H112" s="1">
        <f t="shared" si="13"/>
        <v>0.3</v>
      </c>
      <c r="I112" s="1">
        <f t="shared" si="14"/>
        <v>1</v>
      </c>
      <c r="J112" s="1">
        <f t="shared" si="12"/>
        <v>5.0000000000000044E-2</v>
      </c>
      <c r="K112" s="1">
        <f t="shared" si="15"/>
        <v>2.4431100000000003</v>
      </c>
      <c r="L112" s="1">
        <f t="shared" si="16"/>
        <v>2.0384700000000002</v>
      </c>
      <c r="M112" s="49">
        <f t="shared" si="17"/>
        <v>6.3633187504135975</v>
      </c>
      <c r="N112" s="49">
        <v>15</v>
      </c>
      <c r="O112" s="1">
        <v>401</v>
      </c>
      <c r="P112" s="51">
        <v>0.05</v>
      </c>
      <c r="Q112" s="51">
        <v>8</v>
      </c>
      <c r="R112" s="51">
        <v>1</v>
      </c>
      <c r="S112" s="1">
        <v>1</v>
      </c>
      <c r="T112" s="1">
        <v>0</v>
      </c>
      <c r="U112" s="47">
        <v>0</v>
      </c>
      <c r="V112" s="47">
        <v>111</v>
      </c>
      <c r="W112" s="41">
        <v>300</v>
      </c>
      <c r="X112">
        <v>1000</v>
      </c>
      <c r="Y112">
        <v>0.95</v>
      </c>
      <c r="Z112">
        <v>2443.11</v>
      </c>
      <c r="AA112">
        <v>2038.47</v>
      </c>
      <c r="AB112">
        <v>1500</v>
      </c>
      <c r="AC112">
        <v>55</v>
      </c>
      <c r="AD112" s="41">
        <f t="shared" si="18"/>
        <v>0.35201034746695808</v>
      </c>
      <c r="AE112" s="41">
        <f t="shared" si="19"/>
        <v>0.42188504123190435</v>
      </c>
      <c r="AF112">
        <f t="shared" si="20"/>
        <v>1.8650528571428575</v>
      </c>
      <c r="AG112">
        <f t="shared" si="21"/>
        <v>0.17341714285714271</v>
      </c>
      <c r="AH112">
        <f t="shared" si="22"/>
        <v>15</v>
      </c>
      <c r="AI112">
        <f>HLOOKUP(HLOOKUP(G112,'THP2'!$B$4:$J$8,5,FALSE),'Fuel &amp; Resister'!$B$3:$G$6,4,FALSE)</f>
        <v>2.2642399999999996</v>
      </c>
      <c r="AJ112" s="41">
        <f>HLOOKUP(HLOOKUP(G112,'THP2'!$B$4:$J$8,5,FALSE),'Fuel &amp; Resister'!$B$3:$G$6,3,FALSE)</f>
        <v>6.3540000000000001</v>
      </c>
      <c r="AO112" s="62">
        <v>0</v>
      </c>
      <c r="AP112" s="62">
        <v>0</v>
      </c>
    </row>
    <row r="113" spans="2:42" x14ac:dyDescent="0.15">
      <c r="B113" s="43" t="s">
        <v>612</v>
      </c>
      <c r="C113" s="61">
        <f>VLOOKUP(B113,[1]SYS!$F$5:$G$359,2,FALSE)</f>
        <v>290</v>
      </c>
      <c r="D113" s="1" t="s">
        <v>23</v>
      </c>
      <c r="E113" s="65" t="s">
        <v>132</v>
      </c>
      <c r="F113" s="63" t="s">
        <v>457</v>
      </c>
      <c r="G113" s="1">
        <v>1</v>
      </c>
      <c r="H113" s="1">
        <f t="shared" si="13"/>
        <v>0.30092592592592593</v>
      </c>
      <c r="I113" s="1">
        <f t="shared" si="14"/>
        <v>0.216</v>
      </c>
      <c r="J113" s="1">
        <f t="shared" si="12"/>
        <v>6.0000000000000053E-2</v>
      </c>
      <c r="K113" s="1">
        <f t="shared" si="15"/>
        <v>2.5767800000000003</v>
      </c>
      <c r="L113" s="1">
        <f t="shared" si="16"/>
        <v>2.15</v>
      </c>
      <c r="M113" s="49">
        <f t="shared" si="17"/>
        <v>1.4496780564305949</v>
      </c>
      <c r="N113" s="49">
        <v>1.7819</v>
      </c>
      <c r="O113" s="1">
        <v>1103</v>
      </c>
      <c r="P113" s="51">
        <v>0</v>
      </c>
      <c r="Q113" s="51">
        <v>8</v>
      </c>
      <c r="R113" s="51">
        <v>1</v>
      </c>
      <c r="S113" s="1">
        <v>1</v>
      </c>
      <c r="T113" s="1">
        <v>0</v>
      </c>
      <c r="U113" s="47">
        <v>1</v>
      </c>
      <c r="V113" s="47">
        <v>112</v>
      </c>
      <c r="W113" s="41">
        <v>65</v>
      </c>
      <c r="X113">
        <v>216</v>
      </c>
      <c r="Y113">
        <v>0.94</v>
      </c>
      <c r="Z113">
        <v>2576.7800000000002</v>
      </c>
      <c r="AA113">
        <v>2150</v>
      </c>
      <c r="AB113">
        <v>178.19</v>
      </c>
      <c r="AC113">
        <v>55</v>
      </c>
      <c r="AD113" s="41">
        <f t="shared" si="18"/>
        <v>0.33374987387359417</v>
      </c>
      <c r="AE113" s="41">
        <f t="shared" si="19"/>
        <v>0.4</v>
      </c>
      <c r="AF113">
        <f t="shared" si="20"/>
        <v>1.9662867549668872</v>
      </c>
      <c r="AG113">
        <f t="shared" si="21"/>
        <v>3.9682060927152346E-2</v>
      </c>
      <c r="AH113">
        <f t="shared" si="22"/>
        <v>1.7819</v>
      </c>
      <c r="AI113">
        <f>HLOOKUP(HLOOKUP(G113,'THP2'!$B$4:$J$8,5,FALSE),'Fuel &amp; Resister'!$B$3:$G$6,4,FALSE)</f>
        <v>2.2642399999999996</v>
      </c>
      <c r="AJ113" s="41">
        <f>HLOOKUP(HLOOKUP(G113,'THP2'!$B$4:$J$8,5,FALSE),'Fuel &amp; Resister'!$B$3:$G$6,3,FALSE)</f>
        <v>6.3540000000000001</v>
      </c>
      <c r="AO113" s="1">
        <v>1</v>
      </c>
      <c r="AP113" s="1">
        <v>1</v>
      </c>
    </row>
    <row r="114" spans="2:42" x14ac:dyDescent="0.15">
      <c r="B114" s="43" t="s">
        <v>613</v>
      </c>
      <c r="C114" s="61">
        <f>VLOOKUP(B114,[1]SYS!$F$5:$G$359,2,FALSE)</f>
        <v>293</v>
      </c>
      <c r="D114" s="1" t="s">
        <v>23</v>
      </c>
      <c r="E114" s="65" t="s">
        <v>133</v>
      </c>
      <c r="F114" s="42"/>
      <c r="G114" s="1">
        <v>1</v>
      </c>
      <c r="H114" s="1">
        <f t="shared" si="13"/>
        <v>0.29770992366412213</v>
      </c>
      <c r="I114" s="1">
        <f t="shared" si="14"/>
        <v>0.13100000000000001</v>
      </c>
      <c r="J114" s="1">
        <f t="shared" si="12"/>
        <v>6.2000000000000055E-2</v>
      </c>
      <c r="K114" s="1">
        <f t="shared" si="15"/>
        <v>2.6005400000000001</v>
      </c>
      <c r="L114" s="1">
        <f t="shared" si="16"/>
        <v>2.1698300000000001</v>
      </c>
      <c r="M114" s="49">
        <f t="shared" si="17"/>
        <v>0.88731200855126724</v>
      </c>
      <c r="N114" s="49">
        <v>1.048</v>
      </c>
      <c r="O114" s="1">
        <v>201</v>
      </c>
      <c r="P114" s="51">
        <v>0</v>
      </c>
      <c r="Q114" s="51">
        <v>8</v>
      </c>
      <c r="R114" s="51">
        <v>1</v>
      </c>
      <c r="S114" s="1">
        <v>1</v>
      </c>
      <c r="T114" s="1">
        <v>0</v>
      </c>
      <c r="U114" s="47">
        <v>1</v>
      </c>
      <c r="V114" s="47">
        <v>113</v>
      </c>
      <c r="W114" s="41">
        <v>39</v>
      </c>
      <c r="X114">
        <v>131</v>
      </c>
      <c r="Y114">
        <v>0.93799999999999994</v>
      </c>
      <c r="Z114">
        <v>2600.54</v>
      </c>
      <c r="AA114">
        <v>2169.83</v>
      </c>
      <c r="AB114">
        <v>104.8</v>
      </c>
      <c r="AC114">
        <v>55</v>
      </c>
      <c r="AD114" s="41">
        <f t="shared" si="18"/>
        <v>0.33070054680950883</v>
      </c>
      <c r="AE114" s="41">
        <f t="shared" si="19"/>
        <v>0.39634441407852228</v>
      </c>
      <c r="AF114">
        <f t="shared" si="20"/>
        <v>1.9872464130434784</v>
      </c>
      <c r="AG114">
        <f t="shared" si="21"/>
        <v>2.3918449891304355E-2</v>
      </c>
      <c r="AH114">
        <f t="shared" si="22"/>
        <v>1.048</v>
      </c>
      <c r="AI114">
        <f>HLOOKUP(HLOOKUP(G114,'THP2'!$B$4:$J$8,5,FALSE),'Fuel &amp; Resister'!$B$3:$G$6,4,FALSE)</f>
        <v>2.2642399999999996</v>
      </c>
      <c r="AJ114" s="41">
        <f>HLOOKUP(HLOOKUP(G114,'THP2'!$B$4:$J$8,5,FALSE),'Fuel &amp; Resister'!$B$3:$G$6,3,FALSE)</f>
        <v>6.3540000000000001</v>
      </c>
      <c r="AO114" s="1">
        <v>1</v>
      </c>
      <c r="AP114" s="1">
        <v>1</v>
      </c>
    </row>
    <row r="115" spans="2:42" x14ac:dyDescent="0.15">
      <c r="B115" s="43" t="s">
        <v>614</v>
      </c>
      <c r="C115" s="61">
        <f>VLOOKUP(B115,[1]SYS!$F$5:$G$359,2,FALSE)</f>
        <v>282</v>
      </c>
      <c r="D115" s="1" t="s">
        <v>23</v>
      </c>
      <c r="E115" s="65" t="s">
        <v>134</v>
      </c>
      <c r="F115" s="42"/>
      <c r="G115" s="1">
        <v>1</v>
      </c>
      <c r="H115" s="1">
        <f t="shared" si="13"/>
        <v>0.3</v>
      </c>
      <c r="I115" s="1">
        <f t="shared" si="14"/>
        <v>0.22</v>
      </c>
      <c r="J115" s="1">
        <f t="shared" si="12"/>
        <v>6.2000000000000055E-2</v>
      </c>
      <c r="K115" s="1">
        <f t="shared" si="15"/>
        <v>2.6005400000000001</v>
      </c>
      <c r="L115" s="1">
        <f t="shared" si="16"/>
        <v>2.1698300000000001</v>
      </c>
      <c r="M115" s="49">
        <f t="shared" si="17"/>
        <v>1.4901423044372426</v>
      </c>
      <c r="N115" s="49">
        <v>1.8272999999999999</v>
      </c>
      <c r="O115" s="1">
        <v>603</v>
      </c>
      <c r="P115" s="51">
        <v>0</v>
      </c>
      <c r="Q115" s="51">
        <v>8</v>
      </c>
      <c r="R115" s="51">
        <v>1</v>
      </c>
      <c r="S115" s="1">
        <v>1</v>
      </c>
      <c r="T115" s="1">
        <v>0</v>
      </c>
      <c r="U115" s="47">
        <v>1</v>
      </c>
      <c r="V115" s="47">
        <v>114</v>
      </c>
      <c r="W115" s="41">
        <v>66</v>
      </c>
      <c r="X115">
        <v>220</v>
      </c>
      <c r="Y115">
        <v>0.93799999999999994</v>
      </c>
      <c r="Z115">
        <v>2600.54</v>
      </c>
      <c r="AA115">
        <v>2169.83</v>
      </c>
      <c r="AB115">
        <v>182.73</v>
      </c>
      <c r="AC115">
        <v>55</v>
      </c>
      <c r="AD115" s="41">
        <f t="shared" si="18"/>
        <v>0.33070054680950883</v>
      </c>
      <c r="AE115" s="41">
        <f t="shared" si="19"/>
        <v>0.39634441407852228</v>
      </c>
      <c r="AF115">
        <f t="shared" si="20"/>
        <v>1.9852400000000003</v>
      </c>
      <c r="AG115">
        <f t="shared" si="21"/>
        <v>4.060979999999996E-2</v>
      </c>
      <c r="AH115">
        <f t="shared" si="22"/>
        <v>1.8272999999999999</v>
      </c>
      <c r="AI115">
        <f>HLOOKUP(HLOOKUP(G115,'THP2'!$B$4:$J$8,5,FALSE),'Fuel &amp; Resister'!$B$3:$G$6,4,FALSE)</f>
        <v>2.2642399999999996</v>
      </c>
      <c r="AJ115" s="41">
        <f>HLOOKUP(HLOOKUP(G115,'THP2'!$B$4:$J$8,5,FALSE),'Fuel &amp; Resister'!$B$3:$G$6,3,FALSE)</f>
        <v>6.3540000000000001</v>
      </c>
      <c r="AO115" s="1">
        <v>1</v>
      </c>
      <c r="AP115" s="1">
        <v>1</v>
      </c>
    </row>
    <row r="116" spans="2:42" x14ac:dyDescent="0.15">
      <c r="B116" s="43" t="s">
        <v>614</v>
      </c>
      <c r="C116" s="61">
        <f>VLOOKUP(B116,[1]SYS!$F$5:$G$359,2,FALSE)</f>
        <v>282</v>
      </c>
      <c r="D116" s="1" t="s">
        <v>23</v>
      </c>
      <c r="E116" s="65" t="s">
        <v>135</v>
      </c>
      <c r="F116" s="42"/>
      <c r="G116" s="1">
        <v>1</v>
      </c>
      <c r="H116" s="1">
        <f t="shared" si="13"/>
        <v>0.29629629629629628</v>
      </c>
      <c r="I116" s="1">
        <f t="shared" si="14"/>
        <v>8.1000000000000003E-2</v>
      </c>
      <c r="J116" s="1">
        <f t="shared" si="12"/>
        <v>6.2000000000000055E-2</v>
      </c>
      <c r="K116" s="1">
        <f t="shared" si="15"/>
        <v>2.6005400000000001</v>
      </c>
      <c r="L116" s="1">
        <f t="shared" si="16"/>
        <v>2.1698300000000001</v>
      </c>
      <c r="M116" s="49">
        <f t="shared" si="17"/>
        <v>0.54864330299734843</v>
      </c>
      <c r="N116" s="49">
        <v>0.64800000000000002</v>
      </c>
      <c r="O116" s="1">
        <v>1004</v>
      </c>
      <c r="P116" s="51">
        <v>0</v>
      </c>
      <c r="Q116" s="51">
        <v>8</v>
      </c>
      <c r="R116" s="51">
        <v>1</v>
      </c>
      <c r="S116" s="1">
        <v>1</v>
      </c>
      <c r="T116" s="1">
        <v>0</v>
      </c>
      <c r="U116" s="47">
        <v>1</v>
      </c>
      <c r="V116" s="47">
        <v>115</v>
      </c>
      <c r="W116" s="41">
        <v>24</v>
      </c>
      <c r="X116">
        <v>81</v>
      </c>
      <c r="Y116">
        <v>0.93799999999999994</v>
      </c>
      <c r="Z116">
        <v>2600.54</v>
      </c>
      <c r="AA116">
        <v>2169.83</v>
      </c>
      <c r="AB116">
        <v>64.8</v>
      </c>
      <c r="AC116">
        <v>55</v>
      </c>
      <c r="AD116" s="41">
        <f t="shared" si="18"/>
        <v>0.33070054680950883</v>
      </c>
      <c r="AE116" s="41">
        <f t="shared" si="19"/>
        <v>0.39634441407852228</v>
      </c>
      <c r="AF116">
        <f t="shared" si="20"/>
        <v>1.9884784210526318</v>
      </c>
      <c r="AG116">
        <f t="shared" si="21"/>
        <v>1.4689477894736833E-2</v>
      </c>
      <c r="AH116">
        <f t="shared" si="22"/>
        <v>0.64800000000000002</v>
      </c>
      <c r="AI116">
        <f>HLOOKUP(HLOOKUP(G116,'THP2'!$B$4:$J$8,5,FALSE),'Fuel &amp; Resister'!$B$3:$G$6,4,FALSE)</f>
        <v>2.2642399999999996</v>
      </c>
      <c r="AJ116" s="41">
        <f>HLOOKUP(HLOOKUP(G116,'THP2'!$B$4:$J$8,5,FALSE),'Fuel &amp; Resister'!$B$3:$G$6,3,FALSE)</f>
        <v>6.3540000000000001</v>
      </c>
      <c r="AO116" s="1">
        <v>1</v>
      </c>
      <c r="AP116" s="1">
        <v>1</v>
      </c>
    </row>
    <row r="117" spans="2:42" x14ac:dyDescent="0.15">
      <c r="B117" s="43" t="s">
        <v>614</v>
      </c>
      <c r="C117" s="61">
        <f>VLOOKUP(B117,[1]SYS!$F$5:$G$359,2,FALSE)</f>
        <v>282</v>
      </c>
      <c r="D117" s="1" t="s">
        <v>23</v>
      </c>
      <c r="E117" s="65" t="s">
        <v>136</v>
      </c>
      <c r="F117" s="42"/>
      <c r="G117" s="1">
        <v>1</v>
      </c>
      <c r="H117" s="1">
        <f t="shared" si="13"/>
        <v>0.3</v>
      </c>
      <c r="I117" s="1">
        <f t="shared" si="14"/>
        <v>0.04</v>
      </c>
      <c r="J117" s="1">
        <f t="shared" si="12"/>
        <v>6.2000000000000055E-2</v>
      </c>
      <c r="K117" s="1">
        <f t="shared" si="15"/>
        <v>2.6271900000000001</v>
      </c>
      <c r="L117" s="1">
        <f t="shared" si="16"/>
        <v>2.1920700000000002</v>
      </c>
      <c r="M117" s="49">
        <f t="shared" si="17"/>
        <v>0.27371195324373937</v>
      </c>
      <c r="N117" s="49">
        <v>0.32</v>
      </c>
      <c r="O117" s="1">
        <v>401</v>
      </c>
      <c r="P117" s="51">
        <v>0</v>
      </c>
      <c r="Q117" s="51">
        <v>8</v>
      </c>
      <c r="R117" s="51">
        <v>1</v>
      </c>
      <c r="S117" s="1">
        <v>1</v>
      </c>
      <c r="T117" s="1">
        <v>0</v>
      </c>
      <c r="U117" s="47">
        <v>1</v>
      </c>
      <c r="V117" s="47">
        <v>116</v>
      </c>
      <c r="W117" s="41">
        <v>12</v>
      </c>
      <c r="X117">
        <v>40</v>
      </c>
      <c r="Y117">
        <v>0.93799999999999994</v>
      </c>
      <c r="Z117">
        <v>2627.19</v>
      </c>
      <c r="AA117">
        <v>2192.0700000000002</v>
      </c>
      <c r="AB117">
        <v>32</v>
      </c>
      <c r="AC117">
        <v>55</v>
      </c>
      <c r="AD117" s="41">
        <f t="shared" si="18"/>
        <v>0.32734594757135954</v>
      </c>
      <c r="AE117" s="41">
        <f t="shared" si="19"/>
        <v>0.39232323785280576</v>
      </c>
      <c r="AF117">
        <f t="shared" si="20"/>
        <v>2.0055900000000002</v>
      </c>
      <c r="AG117">
        <f t="shared" si="21"/>
        <v>7.4591999999999992E-3</v>
      </c>
      <c r="AH117">
        <f t="shared" si="22"/>
        <v>0.32</v>
      </c>
      <c r="AI117">
        <f>HLOOKUP(HLOOKUP(G117,'THP2'!$B$4:$J$8,5,FALSE),'Fuel &amp; Resister'!$B$3:$G$6,4,FALSE)</f>
        <v>2.2642399999999996</v>
      </c>
      <c r="AJ117" s="41">
        <f>HLOOKUP(HLOOKUP(G117,'THP2'!$B$4:$J$8,5,FALSE),'Fuel &amp; Resister'!$B$3:$G$6,3,FALSE)</f>
        <v>6.3540000000000001</v>
      </c>
      <c r="AO117" s="1">
        <v>1</v>
      </c>
      <c r="AP117" s="1">
        <v>1</v>
      </c>
    </row>
    <row r="118" spans="2:42" x14ac:dyDescent="0.15">
      <c r="B118" s="43" t="s">
        <v>612</v>
      </c>
      <c r="C118" s="61">
        <f>VLOOKUP(B118,[1]SYS!$F$5:$G$359,2,FALSE)</f>
        <v>290</v>
      </c>
      <c r="D118" s="1" t="s">
        <v>23</v>
      </c>
      <c r="E118" s="65" t="s">
        <v>137</v>
      </c>
      <c r="F118" s="42"/>
      <c r="G118" s="1">
        <v>1</v>
      </c>
      <c r="H118" s="1">
        <f t="shared" si="13"/>
        <v>0.30198019801980197</v>
      </c>
      <c r="I118" s="1">
        <f t="shared" si="14"/>
        <v>0.20200000000000001</v>
      </c>
      <c r="J118" s="1">
        <f t="shared" si="12"/>
        <v>6.2000000000000055E-2</v>
      </c>
      <c r="K118" s="1">
        <f t="shared" si="15"/>
        <v>2.7485599999999999</v>
      </c>
      <c r="L118" s="1">
        <f t="shared" si="16"/>
        <v>2.2933300000000001</v>
      </c>
      <c r="M118" s="49">
        <f t="shared" si="17"/>
        <v>1.4460965025519017</v>
      </c>
      <c r="N118" s="49">
        <v>1.6227</v>
      </c>
      <c r="O118" s="1">
        <v>1103</v>
      </c>
      <c r="P118" s="51">
        <v>0</v>
      </c>
      <c r="Q118" s="51">
        <v>8</v>
      </c>
      <c r="R118" s="51">
        <v>1</v>
      </c>
      <c r="S118" s="1">
        <v>1</v>
      </c>
      <c r="T118" s="1">
        <v>0</v>
      </c>
      <c r="U118" s="47">
        <v>1</v>
      </c>
      <c r="V118" s="47">
        <v>117</v>
      </c>
      <c r="W118" s="41">
        <v>61</v>
      </c>
      <c r="X118">
        <v>202</v>
      </c>
      <c r="Y118">
        <v>0.93799999999999994</v>
      </c>
      <c r="Z118">
        <v>2748.56</v>
      </c>
      <c r="AA118">
        <v>2293.33</v>
      </c>
      <c r="AB118">
        <v>162.27000000000001</v>
      </c>
      <c r="AC118">
        <v>55</v>
      </c>
      <c r="AD118" s="41">
        <f t="shared" si="18"/>
        <v>0.31289111389236546</v>
      </c>
      <c r="AE118" s="41">
        <f t="shared" si="19"/>
        <v>0.37500054505893177</v>
      </c>
      <c r="AF118">
        <f t="shared" si="20"/>
        <v>2.0963865248226954</v>
      </c>
      <c r="AG118">
        <f t="shared" si="21"/>
        <v>3.9782581985815552E-2</v>
      </c>
      <c r="AH118">
        <f t="shared" si="22"/>
        <v>1.6227</v>
      </c>
      <c r="AI118">
        <f>HLOOKUP(HLOOKUP(G118,'THP2'!$B$4:$J$8,5,FALSE),'Fuel &amp; Resister'!$B$3:$G$6,4,FALSE)</f>
        <v>2.2642399999999996</v>
      </c>
      <c r="AJ118" s="41">
        <f>HLOOKUP(HLOOKUP(G118,'THP2'!$B$4:$J$8,5,FALSE),'Fuel &amp; Resister'!$B$3:$G$6,3,FALSE)</f>
        <v>6.3540000000000001</v>
      </c>
      <c r="AO118" s="1">
        <v>1</v>
      </c>
      <c r="AP118" s="1">
        <v>1</v>
      </c>
    </row>
    <row r="119" spans="2:42" x14ac:dyDescent="0.15">
      <c r="B119" s="43" t="s">
        <v>611</v>
      </c>
      <c r="C119" s="61">
        <f>VLOOKUP(B119,[1]SYS!$F$5:$G$359,2,FALSE)</f>
        <v>284</v>
      </c>
      <c r="D119" s="1" t="s">
        <v>23</v>
      </c>
      <c r="E119" s="65" t="s">
        <v>138</v>
      </c>
      <c r="F119" s="63" t="s">
        <v>522</v>
      </c>
      <c r="G119" s="1">
        <v>1</v>
      </c>
      <c r="H119" s="1">
        <f t="shared" si="13"/>
        <v>0.30054644808743169</v>
      </c>
      <c r="I119" s="1">
        <f t="shared" si="14"/>
        <v>0.183</v>
      </c>
      <c r="J119" s="1">
        <f t="shared" si="12"/>
        <v>6.2000000000000055E-2</v>
      </c>
      <c r="K119" s="1">
        <f t="shared" si="15"/>
        <v>2.83229</v>
      </c>
      <c r="L119" s="1">
        <f t="shared" si="16"/>
        <v>2.3631899999999999</v>
      </c>
      <c r="M119" s="49">
        <f t="shared" si="17"/>
        <v>1.3499854383510927</v>
      </c>
      <c r="N119" s="49">
        <v>1.464</v>
      </c>
      <c r="O119" s="6">
        <v>307</v>
      </c>
      <c r="P119" s="51">
        <v>0</v>
      </c>
      <c r="Q119" s="51">
        <v>8</v>
      </c>
      <c r="R119" s="51">
        <v>1</v>
      </c>
      <c r="S119" s="1">
        <v>1</v>
      </c>
      <c r="T119" s="1">
        <v>0</v>
      </c>
      <c r="U119" s="47">
        <v>1</v>
      </c>
      <c r="V119" s="47">
        <v>118</v>
      </c>
      <c r="W119" s="41">
        <v>55</v>
      </c>
      <c r="X119">
        <v>183</v>
      </c>
      <c r="Y119">
        <v>0.93799999999999994</v>
      </c>
      <c r="Z119">
        <v>2832.29</v>
      </c>
      <c r="AA119">
        <v>2363.19</v>
      </c>
      <c r="AB119">
        <v>146.4</v>
      </c>
      <c r="AC119">
        <v>55</v>
      </c>
      <c r="AD119" s="41">
        <f t="shared" si="18"/>
        <v>0.30364122317982978</v>
      </c>
      <c r="AE119" s="41">
        <f t="shared" si="19"/>
        <v>0.36391487777114834</v>
      </c>
      <c r="AF119">
        <f t="shared" si="20"/>
        <v>2.1616235937499999</v>
      </c>
      <c r="AG119">
        <f t="shared" si="21"/>
        <v>3.688665234375E-2</v>
      </c>
      <c r="AH119">
        <f t="shared" si="22"/>
        <v>1.464</v>
      </c>
      <c r="AI119">
        <f>HLOOKUP(HLOOKUP(G119,'THP2'!$B$4:$J$8,5,FALSE),'Fuel &amp; Resister'!$B$3:$G$6,4,FALSE)</f>
        <v>2.2642399999999996</v>
      </c>
      <c r="AJ119" s="41">
        <f>HLOOKUP(HLOOKUP(G119,'THP2'!$B$4:$J$8,5,FALSE),'Fuel &amp; Resister'!$B$3:$G$6,3,FALSE)</f>
        <v>6.3540000000000001</v>
      </c>
      <c r="AO119" s="1">
        <v>1</v>
      </c>
      <c r="AP119" s="1">
        <v>1</v>
      </c>
    </row>
    <row r="120" spans="2:42" x14ac:dyDescent="0.15">
      <c r="B120" s="43" t="s">
        <v>611</v>
      </c>
      <c r="C120" s="61">
        <f>VLOOKUP(B120,[1]SYS!$F$5:$G$359,2,FALSE)</f>
        <v>284</v>
      </c>
      <c r="D120" s="1" t="s">
        <v>23</v>
      </c>
      <c r="E120" s="65" t="s">
        <v>139</v>
      </c>
      <c r="F120" s="42"/>
      <c r="G120" s="1">
        <v>1</v>
      </c>
      <c r="H120" s="1">
        <f t="shared" si="13"/>
        <v>0.29411764705882354</v>
      </c>
      <c r="I120" s="1">
        <f t="shared" si="14"/>
        <v>1.7000000000000001E-2</v>
      </c>
      <c r="J120" s="1">
        <f t="shared" si="12"/>
        <v>0</v>
      </c>
      <c r="K120" s="1">
        <f t="shared" si="15"/>
        <v>2.9647299999999999</v>
      </c>
      <c r="L120" s="1">
        <f t="shared" si="16"/>
        <v>2.4737</v>
      </c>
      <c r="M120" s="49">
        <f t="shared" si="17"/>
        <v>0.13127296800015109</v>
      </c>
      <c r="N120" s="49">
        <v>0.13600000000000001</v>
      </c>
      <c r="O120" s="1">
        <v>106</v>
      </c>
      <c r="P120" s="51">
        <v>0</v>
      </c>
      <c r="Q120" s="51">
        <v>8</v>
      </c>
      <c r="R120" s="51">
        <v>1</v>
      </c>
      <c r="S120" s="1">
        <v>1</v>
      </c>
      <c r="T120" s="1">
        <v>0</v>
      </c>
      <c r="U120" s="47">
        <v>1</v>
      </c>
      <c r="V120" s="47">
        <v>119</v>
      </c>
      <c r="W120" s="41">
        <v>5</v>
      </c>
      <c r="X120">
        <v>17</v>
      </c>
      <c r="Y120">
        <v>1</v>
      </c>
      <c r="Z120">
        <v>2964.73</v>
      </c>
      <c r="AA120">
        <v>2473.6999999999998</v>
      </c>
      <c r="AB120">
        <v>13.6</v>
      </c>
      <c r="AC120">
        <v>55</v>
      </c>
      <c r="AD120" s="41">
        <f t="shared" si="18"/>
        <v>0.29007700532594877</v>
      </c>
      <c r="AE120" s="41">
        <f t="shared" si="19"/>
        <v>0.34765735537858272</v>
      </c>
      <c r="AF120">
        <f t="shared" si="20"/>
        <v>2.2691041666666667</v>
      </c>
      <c r="AG120">
        <f t="shared" si="21"/>
        <v>3.4781291666666665E-3</v>
      </c>
      <c r="AH120">
        <f t="shared" si="22"/>
        <v>0.13600000000000001</v>
      </c>
      <c r="AI120">
        <f>HLOOKUP(HLOOKUP(G120,'THP2'!$B$4:$J$8,5,FALSE),'Fuel &amp; Resister'!$B$3:$G$6,4,FALSE)</f>
        <v>2.2642399999999996</v>
      </c>
      <c r="AJ120" s="41">
        <f>HLOOKUP(HLOOKUP(G120,'THP2'!$B$4:$J$8,5,FALSE),'Fuel &amp; Resister'!$B$3:$G$6,3,FALSE)</f>
        <v>6.3540000000000001</v>
      </c>
      <c r="AO120" s="1">
        <v>1</v>
      </c>
      <c r="AP120" s="1">
        <v>1</v>
      </c>
    </row>
    <row r="121" spans="2:42" x14ac:dyDescent="0.15">
      <c r="B121" s="43" t="s">
        <v>612</v>
      </c>
      <c r="C121" s="61">
        <f>VLOOKUP(B121,[1]SYS!$F$5:$G$359,2,FALSE)</f>
        <v>290</v>
      </c>
      <c r="D121" s="1" t="s">
        <v>23</v>
      </c>
      <c r="E121" s="65" t="s">
        <v>140</v>
      </c>
      <c r="F121" s="63" t="s">
        <v>456</v>
      </c>
      <c r="G121" s="1">
        <v>1</v>
      </c>
      <c r="H121" s="1">
        <f t="shared" si="13"/>
        <v>0.3</v>
      </c>
      <c r="I121" s="1">
        <f t="shared" si="14"/>
        <v>0.3</v>
      </c>
      <c r="J121" s="1">
        <f t="shared" si="12"/>
        <v>6.2000000000000055E-2</v>
      </c>
      <c r="K121" s="1">
        <f t="shared" si="15"/>
        <v>2.9647299999999999</v>
      </c>
      <c r="L121" s="1">
        <f t="shared" si="16"/>
        <v>2.4737</v>
      </c>
      <c r="M121" s="49">
        <f t="shared" si="17"/>
        <v>2.31658178823796</v>
      </c>
      <c r="N121" s="49">
        <v>2.7367000000000004</v>
      </c>
      <c r="O121" s="1">
        <v>603</v>
      </c>
      <c r="P121" s="51">
        <v>0</v>
      </c>
      <c r="Q121" s="51">
        <v>8</v>
      </c>
      <c r="R121" s="51">
        <v>1</v>
      </c>
      <c r="S121" s="1">
        <v>1</v>
      </c>
      <c r="T121" s="1">
        <v>0</v>
      </c>
      <c r="U121" s="47">
        <v>1</v>
      </c>
      <c r="V121" s="47">
        <v>120</v>
      </c>
      <c r="W121" s="41">
        <v>90</v>
      </c>
      <c r="X121">
        <v>300</v>
      </c>
      <c r="Y121">
        <v>0.93799999999999994</v>
      </c>
      <c r="Z121">
        <v>2964.73</v>
      </c>
      <c r="AA121">
        <v>2473.6999999999998</v>
      </c>
      <c r="AB121">
        <v>273.67</v>
      </c>
      <c r="AC121">
        <v>55</v>
      </c>
      <c r="AD121" s="41">
        <f t="shared" si="18"/>
        <v>0.29007700532594877</v>
      </c>
      <c r="AE121" s="41">
        <f t="shared" si="19"/>
        <v>0.34765735537858272</v>
      </c>
      <c r="AF121">
        <f t="shared" si="20"/>
        <v>2.2632585714285716</v>
      </c>
      <c r="AG121">
        <f t="shared" si="21"/>
        <v>6.3132428571428534E-2</v>
      </c>
      <c r="AH121">
        <f t="shared" si="22"/>
        <v>2.7367000000000004</v>
      </c>
      <c r="AI121">
        <f>HLOOKUP(HLOOKUP(G121,'THP2'!$B$4:$J$8,5,FALSE),'Fuel &amp; Resister'!$B$3:$G$6,4,FALSE)</f>
        <v>2.2642399999999996</v>
      </c>
      <c r="AJ121" s="41">
        <f>HLOOKUP(HLOOKUP(G121,'THP2'!$B$4:$J$8,5,FALSE),'Fuel &amp; Resister'!$B$3:$G$6,3,FALSE)</f>
        <v>6.3540000000000001</v>
      </c>
      <c r="AO121" s="1">
        <v>1</v>
      </c>
      <c r="AP121" s="1">
        <v>1</v>
      </c>
    </row>
    <row r="122" spans="2:42" x14ac:dyDescent="0.15">
      <c r="B122" s="43" t="s">
        <v>612</v>
      </c>
      <c r="C122" s="61">
        <f>VLOOKUP(B122,[1]SYS!$F$5:$G$359,2,FALSE)</f>
        <v>290</v>
      </c>
      <c r="D122" s="1" t="s">
        <v>23</v>
      </c>
      <c r="E122" s="65" t="s">
        <v>141</v>
      </c>
      <c r="F122" s="42"/>
      <c r="G122" s="1">
        <v>1</v>
      </c>
      <c r="H122" s="1">
        <f t="shared" si="13"/>
        <v>0.27272727272727271</v>
      </c>
      <c r="I122" s="1">
        <f t="shared" si="14"/>
        <v>1.0999999999999999E-2</v>
      </c>
      <c r="J122" s="1">
        <f t="shared" si="12"/>
        <v>0</v>
      </c>
      <c r="K122" s="1">
        <f t="shared" si="15"/>
        <v>3.0563099999999999</v>
      </c>
      <c r="L122" s="1">
        <f t="shared" si="16"/>
        <v>2.4737</v>
      </c>
      <c r="M122" s="49">
        <f t="shared" si="17"/>
        <v>8.4941332235391853E-2</v>
      </c>
      <c r="N122" s="49">
        <v>8.8000000000000009E-2</v>
      </c>
      <c r="O122" s="1">
        <v>903</v>
      </c>
      <c r="P122" s="51">
        <v>0</v>
      </c>
      <c r="Q122" s="51">
        <v>8</v>
      </c>
      <c r="R122" s="51">
        <v>1</v>
      </c>
      <c r="S122" s="1">
        <v>1</v>
      </c>
      <c r="T122" s="1">
        <v>0</v>
      </c>
      <c r="U122" s="47">
        <v>1</v>
      </c>
      <c r="V122" s="47">
        <v>121</v>
      </c>
      <c r="W122" s="41">
        <v>3</v>
      </c>
      <c r="X122">
        <v>11</v>
      </c>
      <c r="Y122">
        <v>1</v>
      </c>
      <c r="Z122">
        <v>3056.31</v>
      </c>
      <c r="AA122">
        <v>2473.6999999999998</v>
      </c>
      <c r="AB122">
        <v>8.8000000000000007</v>
      </c>
      <c r="AC122">
        <v>55</v>
      </c>
      <c r="AD122" s="41">
        <f t="shared" si="18"/>
        <v>0.28138506892298232</v>
      </c>
      <c r="AE122" s="41">
        <f t="shared" si="19"/>
        <v>0.34765735537858272</v>
      </c>
      <c r="AF122">
        <f t="shared" si="20"/>
        <v>2.25522125</v>
      </c>
      <c r="AG122">
        <f t="shared" si="21"/>
        <v>2.4032662500000006E-3</v>
      </c>
      <c r="AH122">
        <f t="shared" si="22"/>
        <v>8.8000000000000009E-2</v>
      </c>
      <c r="AI122">
        <f>HLOOKUP(HLOOKUP(G122,'THP2'!$B$4:$J$8,5,FALSE),'Fuel &amp; Resister'!$B$3:$G$6,4,FALSE)</f>
        <v>2.2642399999999996</v>
      </c>
      <c r="AJ122" s="41">
        <f>HLOOKUP(HLOOKUP(G122,'THP2'!$B$4:$J$8,5,FALSE),'Fuel &amp; Resister'!$B$3:$G$6,3,FALSE)</f>
        <v>6.3540000000000001</v>
      </c>
      <c r="AO122" s="1">
        <v>1</v>
      </c>
      <c r="AP122" s="1">
        <v>1</v>
      </c>
    </row>
    <row r="123" spans="2:42" x14ac:dyDescent="0.15">
      <c r="B123" s="43" t="s">
        <v>615</v>
      </c>
      <c r="C123" s="61">
        <f>VLOOKUP(B123,[1]SYS!$F$5:$G$359,2,FALSE)</f>
        <v>332</v>
      </c>
      <c r="D123" s="1" t="s">
        <v>23</v>
      </c>
      <c r="E123" s="65" t="s">
        <v>142</v>
      </c>
      <c r="F123" s="63" t="s">
        <v>433</v>
      </c>
      <c r="G123" s="1">
        <v>1</v>
      </c>
      <c r="H123" s="1">
        <f t="shared" si="13"/>
        <v>0.3</v>
      </c>
      <c r="I123" s="1">
        <f t="shared" si="14"/>
        <v>1</v>
      </c>
      <c r="J123" s="1">
        <f t="shared" si="12"/>
        <v>6.2000000000000055E-2</v>
      </c>
      <c r="K123" s="1">
        <f t="shared" si="15"/>
        <v>2.3969999999999998</v>
      </c>
      <c r="L123" s="1">
        <f t="shared" si="16"/>
        <v>2</v>
      </c>
      <c r="M123" s="49">
        <f t="shared" si="17"/>
        <v>6.2432302171860226</v>
      </c>
      <c r="N123" s="49">
        <v>15</v>
      </c>
      <c r="O123" s="1">
        <v>1004</v>
      </c>
      <c r="P123" s="51">
        <v>0.05</v>
      </c>
      <c r="Q123" s="51">
        <v>8</v>
      </c>
      <c r="R123" s="51">
        <v>1</v>
      </c>
      <c r="S123" s="1">
        <v>1</v>
      </c>
      <c r="T123" s="1">
        <v>0</v>
      </c>
      <c r="U123" s="47">
        <v>1</v>
      </c>
      <c r="V123" s="47">
        <v>122</v>
      </c>
      <c r="W123" s="41">
        <v>300</v>
      </c>
      <c r="X123">
        <v>1000</v>
      </c>
      <c r="Y123">
        <v>0.93799999999999994</v>
      </c>
      <c r="Z123">
        <v>2397</v>
      </c>
      <c r="AA123">
        <v>2000</v>
      </c>
      <c r="AB123">
        <v>1500</v>
      </c>
      <c r="AC123">
        <v>55</v>
      </c>
      <c r="AD123" s="41">
        <f t="shared" si="18"/>
        <v>0.35878181059657904</v>
      </c>
      <c r="AE123" s="41">
        <f t="shared" si="19"/>
        <v>0.43</v>
      </c>
      <c r="AF123">
        <f t="shared" si="20"/>
        <v>1.8298571428571428</v>
      </c>
      <c r="AG123">
        <f t="shared" si="21"/>
        <v>0.17014285714285715</v>
      </c>
      <c r="AH123">
        <f t="shared" si="22"/>
        <v>15</v>
      </c>
      <c r="AI123">
        <f>HLOOKUP(HLOOKUP(G123,'THP2'!$B$4:$J$8,5,FALSE),'Fuel &amp; Resister'!$B$3:$G$6,4,FALSE)</f>
        <v>2.2642399999999996</v>
      </c>
      <c r="AJ123" s="41">
        <f>HLOOKUP(HLOOKUP(G123,'THP2'!$B$4:$J$8,5,FALSE),'Fuel &amp; Resister'!$B$3:$G$6,3,FALSE)</f>
        <v>6.3540000000000001</v>
      </c>
      <c r="AO123" s="1">
        <v>1</v>
      </c>
      <c r="AP123" s="1">
        <v>1</v>
      </c>
    </row>
    <row r="124" spans="2:42" x14ac:dyDescent="0.15">
      <c r="B124" s="43" t="s">
        <v>616</v>
      </c>
      <c r="C124" s="61">
        <f>VLOOKUP(B124,[1]SYS!$F$5:$G$359,2,FALSE)</f>
        <v>341</v>
      </c>
      <c r="D124" s="1" t="s">
        <v>23</v>
      </c>
      <c r="E124" s="65" t="s">
        <v>143</v>
      </c>
      <c r="F124" s="42" t="s">
        <v>421</v>
      </c>
      <c r="G124" s="1">
        <v>1</v>
      </c>
      <c r="H124" s="1">
        <f t="shared" si="13"/>
        <v>0.15</v>
      </c>
      <c r="I124" s="1">
        <f t="shared" si="14"/>
        <v>0.7</v>
      </c>
      <c r="J124" s="1">
        <f t="shared" si="12"/>
        <v>6.2000000000000055E-2</v>
      </c>
      <c r="K124" s="1">
        <f t="shared" si="15"/>
        <v>2.8436900000000001</v>
      </c>
      <c r="L124" s="1">
        <f t="shared" si="16"/>
        <v>2.00935</v>
      </c>
      <c r="M124" s="49">
        <f t="shared" si="17"/>
        <v>4.3906921229159579</v>
      </c>
      <c r="N124" s="49">
        <v>7.28</v>
      </c>
      <c r="O124" s="1">
        <v>1103</v>
      </c>
      <c r="P124" s="51">
        <v>0.05</v>
      </c>
      <c r="Q124" s="51">
        <v>8</v>
      </c>
      <c r="R124" s="51">
        <v>1</v>
      </c>
      <c r="S124" s="1">
        <v>1</v>
      </c>
      <c r="T124" s="1">
        <v>0</v>
      </c>
      <c r="U124" s="47">
        <v>1</v>
      </c>
      <c r="V124" s="47">
        <v>123</v>
      </c>
      <c r="W124" s="41">
        <v>105</v>
      </c>
      <c r="X124">
        <v>700</v>
      </c>
      <c r="Y124">
        <v>0.93799999999999994</v>
      </c>
      <c r="Z124">
        <v>2843.69</v>
      </c>
      <c r="AA124">
        <v>2009.35</v>
      </c>
      <c r="AB124">
        <v>728</v>
      </c>
      <c r="AC124">
        <v>55</v>
      </c>
      <c r="AD124" s="41">
        <f t="shared" si="18"/>
        <v>0.30242396323087256</v>
      </c>
      <c r="AE124" s="41">
        <f t="shared" si="19"/>
        <v>0.42799910418792142</v>
      </c>
      <c r="AF124">
        <f t="shared" si="20"/>
        <v>1.8621135294117648</v>
      </c>
      <c r="AG124">
        <f t="shared" si="21"/>
        <v>0.10306552941176463</v>
      </c>
      <c r="AH124">
        <f t="shared" si="22"/>
        <v>7.28</v>
      </c>
      <c r="AI124">
        <f>HLOOKUP(HLOOKUP(G124,'THP2'!$B$4:$J$8,5,FALSE),'Fuel &amp; Resister'!$B$3:$G$6,4,FALSE)</f>
        <v>2.2642399999999996</v>
      </c>
      <c r="AJ124" s="41">
        <f>HLOOKUP(HLOOKUP(G124,'THP2'!$B$4:$J$8,5,FALSE),'Fuel &amp; Resister'!$B$3:$G$6,3,FALSE)</f>
        <v>6.3540000000000001</v>
      </c>
      <c r="AO124" s="1">
        <v>1</v>
      </c>
      <c r="AP124" s="1">
        <v>1</v>
      </c>
    </row>
    <row r="125" spans="2:42" x14ac:dyDescent="0.15">
      <c r="B125" s="43" t="s">
        <v>616</v>
      </c>
      <c r="C125" s="61">
        <f>VLOOKUP(B125,[1]SYS!$F$5:$G$359,2,FALSE)</f>
        <v>341</v>
      </c>
      <c r="D125" s="1" t="s">
        <v>23</v>
      </c>
      <c r="E125" s="42" t="s">
        <v>144</v>
      </c>
      <c r="F125" s="63" t="s">
        <v>435</v>
      </c>
      <c r="G125" s="1">
        <v>1</v>
      </c>
      <c r="H125" s="1">
        <f t="shared" si="13"/>
        <v>0.30120481927710846</v>
      </c>
      <c r="I125" s="1">
        <f t="shared" si="14"/>
        <v>0.16600000000000001</v>
      </c>
      <c r="J125" s="1">
        <f t="shared" si="12"/>
        <v>6.0000000000000053E-2</v>
      </c>
      <c r="K125" s="1">
        <f t="shared" si="15"/>
        <v>2.4563099999999998</v>
      </c>
      <c r="L125" s="1">
        <f t="shared" si="16"/>
        <v>2.04948</v>
      </c>
      <c r="M125" s="49">
        <f t="shared" si="17"/>
        <v>1.0620161636380283</v>
      </c>
      <c r="N125" s="49">
        <v>1.3280000000000001</v>
      </c>
      <c r="O125" s="1">
        <v>504</v>
      </c>
      <c r="P125" s="51">
        <v>0</v>
      </c>
      <c r="Q125" s="51">
        <v>8</v>
      </c>
      <c r="R125" s="51">
        <v>1</v>
      </c>
      <c r="S125" s="1">
        <v>1</v>
      </c>
      <c r="T125" s="1">
        <v>0</v>
      </c>
      <c r="U125" s="47">
        <v>0</v>
      </c>
      <c r="V125" s="47">
        <v>124</v>
      </c>
      <c r="W125" s="41">
        <v>50</v>
      </c>
      <c r="X125">
        <v>166</v>
      </c>
      <c r="Y125">
        <v>0.94</v>
      </c>
      <c r="Z125">
        <v>2456.31</v>
      </c>
      <c r="AA125">
        <v>2049.48</v>
      </c>
      <c r="AB125">
        <v>132.80000000000001</v>
      </c>
      <c r="AC125">
        <v>55</v>
      </c>
      <c r="AD125" s="41">
        <f t="shared" si="18"/>
        <v>0.35011867394587814</v>
      </c>
      <c r="AE125" s="41">
        <f t="shared" si="19"/>
        <v>0.41961863497082186</v>
      </c>
      <c r="AF125">
        <f t="shared" si="20"/>
        <v>1.8741222413793104</v>
      </c>
      <c r="AG125">
        <f t="shared" si="21"/>
        <v>2.9109387931034472E-2</v>
      </c>
      <c r="AH125">
        <f t="shared" si="22"/>
        <v>1.3280000000000001</v>
      </c>
      <c r="AI125">
        <f>HLOOKUP(HLOOKUP(G125,'THP2'!$B$4:$J$8,5,FALSE),'Fuel &amp; Resister'!$B$3:$G$6,4,FALSE)</f>
        <v>2.2642399999999996</v>
      </c>
      <c r="AJ125" s="41">
        <f>HLOOKUP(HLOOKUP(G125,'THP2'!$B$4:$J$8,5,FALSE),'Fuel &amp; Resister'!$B$3:$G$6,3,FALSE)</f>
        <v>6.3540000000000001</v>
      </c>
      <c r="AO125" s="62">
        <v>0</v>
      </c>
      <c r="AP125" s="62">
        <v>0</v>
      </c>
    </row>
    <row r="126" spans="2:42" x14ac:dyDescent="0.15">
      <c r="B126" s="43" t="s">
        <v>616</v>
      </c>
      <c r="C126" s="61">
        <f>VLOOKUP(B126,[1]SYS!$F$5:$G$359,2,FALSE)</f>
        <v>341</v>
      </c>
      <c r="D126" s="1" t="s">
        <v>23</v>
      </c>
      <c r="E126" s="42" t="s">
        <v>145</v>
      </c>
      <c r="F126" s="42" t="s">
        <v>421</v>
      </c>
      <c r="G126" s="1">
        <v>1</v>
      </c>
      <c r="H126" s="1">
        <f t="shared" si="13"/>
        <v>0.15</v>
      </c>
      <c r="I126" s="1">
        <f t="shared" si="14"/>
        <v>0.7</v>
      </c>
      <c r="J126" s="1">
        <f t="shared" si="12"/>
        <v>5.8000000000000052E-2</v>
      </c>
      <c r="K126" s="1">
        <f t="shared" si="15"/>
        <v>2.91106</v>
      </c>
      <c r="L126" s="1">
        <f t="shared" si="16"/>
        <v>2.0569499999999996</v>
      </c>
      <c r="M126" s="49">
        <f t="shared" si="17"/>
        <v>4.4947043383342757</v>
      </c>
      <c r="N126" s="49">
        <v>7.28</v>
      </c>
      <c r="O126" s="1">
        <v>401</v>
      </c>
      <c r="P126" s="51">
        <v>0.05</v>
      </c>
      <c r="Q126" s="51">
        <v>8</v>
      </c>
      <c r="R126" s="51">
        <v>1</v>
      </c>
      <c r="S126" s="1">
        <v>1</v>
      </c>
      <c r="T126" s="1">
        <v>0</v>
      </c>
      <c r="U126" s="47">
        <v>0</v>
      </c>
      <c r="V126" s="47">
        <v>125</v>
      </c>
      <c r="W126" s="41">
        <v>105</v>
      </c>
      <c r="X126">
        <v>700</v>
      </c>
      <c r="Y126">
        <v>0.94199999999999995</v>
      </c>
      <c r="Z126">
        <v>2911.06</v>
      </c>
      <c r="AA126">
        <v>2056.9499999999998</v>
      </c>
      <c r="AB126">
        <v>728</v>
      </c>
      <c r="AC126">
        <v>55</v>
      </c>
      <c r="AD126" s="41">
        <f t="shared" si="18"/>
        <v>0.29542503417998944</v>
      </c>
      <c r="AE126" s="41">
        <f t="shared" si="19"/>
        <v>0.41809475193854984</v>
      </c>
      <c r="AF126">
        <f t="shared" si="20"/>
        <v>1.9062247058823527</v>
      </c>
      <c r="AG126">
        <f t="shared" si="21"/>
        <v>0.10550770588235282</v>
      </c>
      <c r="AH126">
        <f t="shared" si="22"/>
        <v>7.28</v>
      </c>
      <c r="AI126">
        <f>HLOOKUP(HLOOKUP(G126,'THP2'!$B$4:$J$8,5,FALSE),'Fuel &amp; Resister'!$B$3:$G$6,4,FALSE)</f>
        <v>2.2642399999999996</v>
      </c>
      <c r="AJ126" s="41">
        <f>HLOOKUP(HLOOKUP(G126,'THP2'!$B$4:$J$8,5,FALSE),'Fuel &amp; Resister'!$B$3:$G$6,3,FALSE)</f>
        <v>6.3540000000000001</v>
      </c>
      <c r="AO126" s="62">
        <v>0</v>
      </c>
      <c r="AP126" s="62">
        <v>0</v>
      </c>
    </row>
    <row r="127" spans="2:42" x14ac:dyDescent="0.15">
      <c r="B127" s="43" t="s">
        <v>615</v>
      </c>
      <c r="C127" s="61">
        <f>VLOOKUP(B127,[1]SYS!$F$5:$G$359,2,FALSE)</f>
        <v>332</v>
      </c>
      <c r="D127" s="1" t="s">
        <v>23</v>
      </c>
      <c r="E127" s="42" t="s">
        <v>146</v>
      </c>
      <c r="F127" s="63" t="s">
        <v>434</v>
      </c>
      <c r="G127" s="1">
        <v>1</v>
      </c>
      <c r="H127" s="1">
        <f t="shared" si="13"/>
        <v>0.35</v>
      </c>
      <c r="I127" s="1">
        <f t="shared" si="14"/>
        <v>1</v>
      </c>
      <c r="J127" s="1">
        <f t="shared" si="12"/>
        <v>5.149999999999999E-2</v>
      </c>
      <c r="K127" s="1">
        <f t="shared" si="15"/>
        <v>2.4436499999999999</v>
      </c>
      <c r="L127" s="1">
        <f t="shared" si="16"/>
        <v>2.1000100000000002</v>
      </c>
      <c r="M127" s="49">
        <f t="shared" si="17"/>
        <v>6.5554229441964109</v>
      </c>
      <c r="N127" s="49">
        <v>15</v>
      </c>
      <c r="O127" s="1">
        <v>403</v>
      </c>
      <c r="P127" s="51">
        <v>0.05</v>
      </c>
      <c r="Q127" s="51">
        <v>8</v>
      </c>
      <c r="R127" s="51">
        <v>1</v>
      </c>
      <c r="S127" s="1">
        <v>1</v>
      </c>
      <c r="T127" s="1">
        <v>0</v>
      </c>
      <c r="U127" s="47">
        <v>0</v>
      </c>
      <c r="V127" s="47">
        <v>126</v>
      </c>
      <c r="W127" s="41">
        <v>350</v>
      </c>
      <c r="X127">
        <v>1000</v>
      </c>
      <c r="Y127">
        <v>0.94850000000000001</v>
      </c>
      <c r="Z127">
        <v>2443.65</v>
      </c>
      <c r="AA127">
        <v>2100.0100000000002</v>
      </c>
      <c r="AB127">
        <v>1500</v>
      </c>
      <c r="AC127">
        <v>55</v>
      </c>
      <c r="AD127" s="41">
        <f t="shared" si="18"/>
        <v>0.35193255990014938</v>
      </c>
      <c r="AE127" s="41">
        <f t="shared" si="19"/>
        <v>0.40952185941971697</v>
      </c>
      <c r="AF127">
        <f t="shared" si="20"/>
        <v>1.9149730769230773</v>
      </c>
      <c r="AG127">
        <f t="shared" si="21"/>
        <v>0.18503692307692288</v>
      </c>
      <c r="AH127">
        <f t="shared" si="22"/>
        <v>15</v>
      </c>
      <c r="AI127">
        <f>HLOOKUP(HLOOKUP(G127,'THP2'!$B$4:$J$8,5,FALSE),'Fuel &amp; Resister'!$B$3:$G$6,4,FALSE)</f>
        <v>2.2642399999999996</v>
      </c>
      <c r="AJ127" s="41">
        <f>HLOOKUP(HLOOKUP(G127,'THP2'!$B$4:$J$8,5,FALSE),'Fuel &amp; Resister'!$B$3:$G$6,3,FALSE)</f>
        <v>6.3540000000000001</v>
      </c>
      <c r="AO127" s="62">
        <v>0</v>
      </c>
      <c r="AP127" s="62">
        <v>0</v>
      </c>
    </row>
    <row r="128" spans="2:42" x14ac:dyDescent="0.15">
      <c r="B128" s="43" t="s">
        <v>617</v>
      </c>
      <c r="C128" s="61">
        <f>VLOOKUP(B128,[1]SYS!$F$5:$G$359,2,FALSE)</f>
        <v>324</v>
      </c>
      <c r="D128" s="1" t="s">
        <v>23</v>
      </c>
      <c r="E128" s="65" t="s">
        <v>39</v>
      </c>
      <c r="F128" s="63" t="s">
        <v>436</v>
      </c>
      <c r="G128" s="1">
        <v>1</v>
      </c>
      <c r="H128" s="1">
        <f t="shared" si="13"/>
        <v>0.3</v>
      </c>
      <c r="I128" s="1">
        <f t="shared" si="14"/>
        <v>0.3</v>
      </c>
      <c r="J128" s="1">
        <f t="shared" si="12"/>
        <v>6.0000000000000053E-2</v>
      </c>
      <c r="K128" s="1">
        <f t="shared" si="15"/>
        <v>2.5767800000000003</v>
      </c>
      <c r="L128" s="1">
        <f t="shared" si="16"/>
        <v>2.15</v>
      </c>
      <c r="M128" s="49">
        <f t="shared" si="17"/>
        <v>2.0134417450424924</v>
      </c>
      <c r="N128" s="49">
        <v>2.7367000000000004</v>
      </c>
      <c r="O128" s="1">
        <v>1103</v>
      </c>
      <c r="P128" s="51">
        <v>0.05</v>
      </c>
      <c r="Q128" s="51">
        <v>8</v>
      </c>
      <c r="R128" s="51">
        <v>1</v>
      </c>
      <c r="S128" s="1">
        <v>1</v>
      </c>
      <c r="T128" s="1">
        <v>0</v>
      </c>
      <c r="U128" s="47">
        <v>1</v>
      </c>
      <c r="V128" s="47">
        <v>127</v>
      </c>
      <c r="W128" s="41">
        <v>90</v>
      </c>
      <c r="X128">
        <v>300</v>
      </c>
      <c r="Y128">
        <v>0.94</v>
      </c>
      <c r="Z128">
        <v>2576.7800000000002</v>
      </c>
      <c r="AA128">
        <v>2150</v>
      </c>
      <c r="AB128">
        <v>273.67</v>
      </c>
      <c r="AC128">
        <v>55</v>
      </c>
      <c r="AD128" s="41">
        <f t="shared" si="18"/>
        <v>0.33374987387359417</v>
      </c>
      <c r="AE128" s="41">
        <f t="shared" si="19"/>
        <v>0.4</v>
      </c>
      <c r="AF128">
        <f t="shared" si="20"/>
        <v>1.9670942857142857</v>
      </c>
      <c r="AG128">
        <f t="shared" si="21"/>
        <v>5.4871714285714267E-2</v>
      </c>
      <c r="AH128">
        <f t="shared" si="22"/>
        <v>2.7367000000000004</v>
      </c>
      <c r="AI128">
        <f>HLOOKUP(HLOOKUP(G128,'THP2'!$B$4:$J$8,5,FALSE),'Fuel &amp; Resister'!$B$3:$G$6,4,FALSE)</f>
        <v>2.2642399999999996</v>
      </c>
      <c r="AJ128" s="41">
        <f>HLOOKUP(HLOOKUP(G128,'THP2'!$B$4:$J$8,5,FALSE),'Fuel &amp; Resister'!$B$3:$G$6,3,FALSE)</f>
        <v>6.3540000000000001</v>
      </c>
      <c r="AO128" s="1">
        <v>1</v>
      </c>
      <c r="AP128" s="1">
        <v>1</v>
      </c>
    </row>
    <row r="129" spans="2:42" x14ac:dyDescent="0.15">
      <c r="B129" s="43" t="s">
        <v>618</v>
      </c>
      <c r="C129" s="61">
        <f>VLOOKUP(B129,[1]SYS!$F$5:$G$359,2,FALSE)</f>
        <v>308</v>
      </c>
      <c r="D129" s="1" t="s">
        <v>23</v>
      </c>
      <c r="E129" s="42" t="s">
        <v>40</v>
      </c>
      <c r="F129" s="63" t="s">
        <v>437</v>
      </c>
      <c r="G129" s="1">
        <v>1</v>
      </c>
      <c r="H129" s="1">
        <f t="shared" si="13"/>
        <v>0.30434782608695654</v>
      </c>
      <c r="I129" s="1">
        <f t="shared" si="14"/>
        <v>9.1999999999999998E-2</v>
      </c>
      <c r="J129" s="1">
        <f t="shared" si="12"/>
        <v>6.3999999999999946E-2</v>
      </c>
      <c r="K129" s="1">
        <f t="shared" si="15"/>
        <v>2.6005400000000001</v>
      </c>
      <c r="L129" s="1">
        <f t="shared" si="16"/>
        <v>2.1698300000000001</v>
      </c>
      <c r="M129" s="49">
        <f t="shared" si="17"/>
        <v>0.62315041821921047</v>
      </c>
      <c r="N129" s="49">
        <v>0.73599999999999999</v>
      </c>
      <c r="O129" s="1">
        <v>603</v>
      </c>
      <c r="P129" s="51">
        <v>0.05</v>
      </c>
      <c r="Q129" s="51">
        <v>8</v>
      </c>
      <c r="R129" s="51">
        <v>1</v>
      </c>
      <c r="S129" s="1">
        <v>1</v>
      </c>
      <c r="T129" s="1">
        <v>0</v>
      </c>
      <c r="U129" s="47">
        <v>0</v>
      </c>
      <c r="V129" s="47">
        <v>128</v>
      </c>
      <c r="W129" s="41">
        <v>28</v>
      </c>
      <c r="X129">
        <v>92</v>
      </c>
      <c r="Y129">
        <v>0.93600000000000005</v>
      </c>
      <c r="Z129">
        <v>2600.54</v>
      </c>
      <c r="AA129">
        <v>2169.83</v>
      </c>
      <c r="AB129">
        <v>73.599999999999994</v>
      </c>
      <c r="AC129">
        <v>55</v>
      </c>
      <c r="AD129" s="41">
        <f t="shared" si="18"/>
        <v>0.33070054680950883</v>
      </c>
      <c r="AE129" s="41">
        <f t="shared" si="19"/>
        <v>0.39634441407852228</v>
      </c>
      <c r="AF129">
        <f t="shared" si="20"/>
        <v>1.9813943749999998</v>
      </c>
      <c r="AG129">
        <f t="shared" si="21"/>
        <v>1.7336077500000029E-2</v>
      </c>
      <c r="AH129">
        <f t="shared" si="22"/>
        <v>0.73599999999999999</v>
      </c>
      <c r="AI129">
        <f>HLOOKUP(HLOOKUP(G129,'THP2'!$B$4:$J$8,5,FALSE),'Fuel &amp; Resister'!$B$3:$G$6,4,FALSE)</f>
        <v>2.2642399999999996</v>
      </c>
      <c r="AJ129" s="41">
        <f>HLOOKUP(HLOOKUP(G129,'THP2'!$B$4:$J$8,5,FALSE),'Fuel &amp; Resister'!$B$3:$G$6,3,FALSE)</f>
        <v>6.3540000000000001</v>
      </c>
      <c r="AO129" s="62">
        <v>0</v>
      </c>
      <c r="AP129" s="62">
        <v>0</v>
      </c>
    </row>
    <row r="130" spans="2:42" x14ac:dyDescent="0.15">
      <c r="B130" s="43" t="s">
        <v>619</v>
      </c>
      <c r="C130" s="61">
        <f>VLOOKUP(B130,[1]SYS!$F$5:$G$359,2,FALSE)</f>
        <v>321</v>
      </c>
      <c r="D130" s="1" t="s">
        <v>23</v>
      </c>
      <c r="E130" s="65" t="s">
        <v>41</v>
      </c>
      <c r="F130" s="63" t="s">
        <v>528</v>
      </c>
      <c r="G130" s="1">
        <v>1</v>
      </c>
      <c r="H130" s="1">
        <f t="shared" si="13"/>
        <v>0.30434782608695654</v>
      </c>
      <c r="I130" s="1">
        <f t="shared" si="14"/>
        <v>0.115</v>
      </c>
      <c r="J130" s="1">
        <f t="shared" ref="J130:J197" si="23">1-Y130</f>
        <v>6.3999999999999946E-2</v>
      </c>
      <c r="K130" s="1">
        <f t="shared" si="15"/>
        <v>2.6005400000000001</v>
      </c>
      <c r="L130" s="1">
        <f t="shared" si="16"/>
        <v>2.1698300000000001</v>
      </c>
      <c r="M130" s="49">
        <f t="shared" si="17"/>
        <v>0.77893802277401314</v>
      </c>
      <c r="N130" s="49">
        <v>0.92</v>
      </c>
      <c r="O130" s="1">
        <v>201</v>
      </c>
      <c r="P130" s="51">
        <v>0</v>
      </c>
      <c r="Q130" s="51">
        <v>8</v>
      </c>
      <c r="R130" s="51">
        <v>1</v>
      </c>
      <c r="S130" s="1">
        <v>1</v>
      </c>
      <c r="T130" s="1">
        <v>0</v>
      </c>
      <c r="U130" s="47">
        <v>1</v>
      </c>
      <c r="V130" s="47">
        <v>129</v>
      </c>
      <c r="W130" s="41">
        <v>35</v>
      </c>
      <c r="X130">
        <v>115</v>
      </c>
      <c r="Y130">
        <v>0.93600000000000005</v>
      </c>
      <c r="Z130">
        <v>2600.54</v>
      </c>
      <c r="AA130">
        <v>2169.83</v>
      </c>
      <c r="AB130">
        <v>92</v>
      </c>
      <c r="AC130">
        <v>55</v>
      </c>
      <c r="AD130" s="41">
        <f t="shared" si="18"/>
        <v>0.33070054680950883</v>
      </c>
      <c r="AE130" s="41">
        <f t="shared" si="19"/>
        <v>0.39634441407852228</v>
      </c>
      <c r="AF130">
        <f t="shared" si="20"/>
        <v>1.9813943749999998</v>
      </c>
      <c r="AG130">
        <f t="shared" si="21"/>
        <v>2.1670096875000038E-2</v>
      </c>
      <c r="AH130">
        <f t="shared" si="22"/>
        <v>0.92</v>
      </c>
      <c r="AI130">
        <f>HLOOKUP(HLOOKUP(G130,'THP2'!$B$4:$J$8,5,FALSE),'Fuel &amp; Resister'!$B$3:$G$6,4,FALSE)</f>
        <v>2.2642399999999996</v>
      </c>
      <c r="AJ130" s="41">
        <f>HLOOKUP(HLOOKUP(G130,'THP2'!$B$4:$J$8,5,FALSE),'Fuel &amp; Resister'!$B$3:$G$6,3,FALSE)</f>
        <v>6.3540000000000001</v>
      </c>
      <c r="AO130" s="1">
        <v>1</v>
      </c>
      <c r="AP130" s="1">
        <v>1</v>
      </c>
    </row>
    <row r="131" spans="2:42" x14ac:dyDescent="0.15">
      <c r="B131" s="43" t="s">
        <v>618</v>
      </c>
      <c r="C131" s="61">
        <f>VLOOKUP(B131,[1]SYS!$F$5:$G$359,2,FALSE)</f>
        <v>308</v>
      </c>
      <c r="D131" s="1" t="s">
        <v>23</v>
      </c>
      <c r="E131" s="65" t="s">
        <v>42</v>
      </c>
      <c r="F131" s="63" t="s">
        <v>471</v>
      </c>
      <c r="G131" s="1">
        <v>1</v>
      </c>
      <c r="H131" s="1">
        <f t="shared" ref="H131:H198" si="24">W131/X131</f>
        <v>0.30476190476190479</v>
      </c>
      <c r="I131" s="1">
        <f t="shared" ref="I131:I198" si="25">X131/1000</f>
        <v>0.105</v>
      </c>
      <c r="J131" s="1">
        <f t="shared" si="23"/>
        <v>6.3999999999999946E-2</v>
      </c>
      <c r="K131" s="1">
        <f t="shared" ref="K131:K198" si="26">Z131/1000</f>
        <v>2.6005400000000001</v>
      </c>
      <c r="L131" s="1">
        <f t="shared" ref="L131:L198" si="27">AA131/1000</f>
        <v>2.1698300000000001</v>
      </c>
      <c r="M131" s="49">
        <f t="shared" ref="M131:M194" si="28">(I131*10^6*L131/AJ131*AI131/10^6)*24*365/1000</f>
        <v>0.71120428166322947</v>
      </c>
      <c r="N131" s="49">
        <v>0.84</v>
      </c>
      <c r="O131" s="1">
        <v>1103</v>
      </c>
      <c r="P131" s="51">
        <v>0</v>
      </c>
      <c r="Q131" s="51">
        <v>8</v>
      </c>
      <c r="R131" s="51">
        <v>1</v>
      </c>
      <c r="S131" s="1">
        <v>1</v>
      </c>
      <c r="T131" s="1">
        <v>0</v>
      </c>
      <c r="U131" s="47">
        <v>1</v>
      </c>
      <c r="V131" s="47">
        <v>130</v>
      </c>
      <c r="W131" s="41">
        <v>32</v>
      </c>
      <c r="X131">
        <v>105</v>
      </c>
      <c r="Y131">
        <v>0.93600000000000005</v>
      </c>
      <c r="Z131">
        <v>2600.54</v>
      </c>
      <c r="AA131">
        <v>2169.83</v>
      </c>
      <c r="AB131">
        <v>84</v>
      </c>
      <c r="AC131">
        <v>55</v>
      </c>
      <c r="AD131" s="41">
        <f t="shared" ref="AD131:AD198" si="29">1/Z131*860</f>
        <v>0.33070054680950883</v>
      </c>
      <c r="AE131" s="41">
        <f t="shared" ref="AE131:AE198" si="30">1/AA131*860</f>
        <v>0.39634441407852228</v>
      </c>
      <c r="AF131">
        <f t="shared" ref="AF131:AF198" si="31">(L131-H131*K131)/(1-H131)</f>
        <v>1.9810256164383564</v>
      </c>
      <c r="AG131">
        <f t="shared" ref="AG131:AG198" si="32">I131*(L131-AF131)</f>
        <v>1.9824460273972593E-2</v>
      </c>
      <c r="AH131">
        <f t="shared" ref="AH131:AH198" si="33">AB131/100</f>
        <v>0.84</v>
      </c>
      <c r="AI131">
        <f>HLOOKUP(HLOOKUP(G131,'THP2'!$B$4:$J$8,5,FALSE),'Fuel &amp; Resister'!$B$3:$G$6,4,FALSE)</f>
        <v>2.2642399999999996</v>
      </c>
      <c r="AJ131" s="41">
        <f>HLOOKUP(HLOOKUP(G131,'THP2'!$B$4:$J$8,5,FALSE),'Fuel &amp; Resister'!$B$3:$G$6,3,FALSE)</f>
        <v>6.3540000000000001</v>
      </c>
      <c r="AO131" s="1">
        <v>1</v>
      </c>
      <c r="AP131" s="1">
        <v>1</v>
      </c>
    </row>
    <row r="132" spans="2:42" x14ac:dyDescent="0.15">
      <c r="B132" s="43" t="s">
        <v>619</v>
      </c>
      <c r="C132" s="61">
        <f>VLOOKUP(B132,[1]SYS!$F$5:$G$359,2,FALSE)</f>
        <v>321</v>
      </c>
      <c r="D132" s="1" t="s">
        <v>23</v>
      </c>
      <c r="E132" s="65" t="s">
        <v>147</v>
      </c>
      <c r="F132" s="63" t="s">
        <v>470</v>
      </c>
      <c r="G132" s="1">
        <v>1</v>
      </c>
      <c r="H132" s="1">
        <f t="shared" si="24"/>
        <v>0.5</v>
      </c>
      <c r="I132" s="1">
        <f t="shared" si="25"/>
        <v>0.36</v>
      </c>
      <c r="J132" s="1">
        <f t="shared" si="23"/>
        <v>7.1999999999999953E-2</v>
      </c>
      <c r="K132" s="1">
        <f t="shared" si="26"/>
        <v>2.45506</v>
      </c>
      <c r="L132" s="1">
        <f t="shared" si="27"/>
        <v>2.2939499999999997</v>
      </c>
      <c r="M132" s="49">
        <f t="shared" si="28"/>
        <v>2.5778984322084977</v>
      </c>
      <c r="N132" s="49">
        <v>3.4186999999999999</v>
      </c>
      <c r="O132" s="1">
        <v>1004</v>
      </c>
      <c r="P132" s="51">
        <v>0.05</v>
      </c>
      <c r="Q132" s="51">
        <v>8</v>
      </c>
      <c r="R132" s="51">
        <v>1</v>
      </c>
      <c r="S132" s="1">
        <v>1</v>
      </c>
      <c r="T132" s="1">
        <v>0</v>
      </c>
      <c r="U132" s="47">
        <v>1</v>
      </c>
      <c r="V132" s="47">
        <v>131</v>
      </c>
      <c r="W132" s="41">
        <v>180</v>
      </c>
      <c r="X132">
        <v>360</v>
      </c>
      <c r="Y132">
        <v>0.92800000000000005</v>
      </c>
      <c r="Z132">
        <v>2455.06</v>
      </c>
      <c r="AA132">
        <v>2293.9499999999998</v>
      </c>
      <c r="AB132">
        <v>341.87</v>
      </c>
      <c r="AC132">
        <v>55</v>
      </c>
      <c r="AD132" s="41">
        <f t="shared" si="29"/>
        <v>0.35029693775304882</v>
      </c>
      <c r="AE132" s="41">
        <f t="shared" si="30"/>
        <v>0.37489919135116284</v>
      </c>
      <c r="AF132">
        <f t="shared" si="31"/>
        <v>2.1328399999999994</v>
      </c>
      <c r="AG132">
        <f t="shared" si="32"/>
        <v>5.7999600000000109E-2</v>
      </c>
      <c r="AH132">
        <f t="shared" si="33"/>
        <v>3.4186999999999999</v>
      </c>
      <c r="AI132">
        <f>HLOOKUP(HLOOKUP(G132,'THP2'!$B$4:$J$8,5,FALSE),'Fuel &amp; Resister'!$B$3:$G$6,4,FALSE)</f>
        <v>2.2642399999999996</v>
      </c>
      <c r="AJ132" s="41">
        <f>HLOOKUP(HLOOKUP(G132,'THP2'!$B$4:$J$8,5,FALSE),'Fuel &amp; Resister'!$B$3:$G$6,3,FALSE)</f>
        <v>6.3540000000000001</v>
      </c>
      <c r="AO132" s="1">
        <v>1</v>
      </c>
      <c r="AP132" s="1">
        <v>1</v>
      </c>
    </row>
    <row r="133" spans="2:42" x14ac:dyDescent="0.15">
      <c r="B133" s="43" t="s">
        <v>618</v>
      </c>
      <c r="C133" s="61">
        <f>VLOOKUP(B133,[1]SYS!$F$5:$G$359,2,FALSE)</f>
        <v>308</v>
      </c>
      <c r="D133" s="1" t="s">
        <v>23</v>
      </c>
      <c r="E133" s="65" t="s">
        <v>43</v>
      </c>
      <c r="F133" s="42"/>
      <c r="G133" s="1">
        <v>1</v>
      </c>
      <c r="H133" s="1">
        <f t="shared" si="24"/>
        <v>0.3</v>
      </c>
      <c r="I133" s="1">
        <f t="shared" si="25"/>
        <v>0.05</v>
      </c>
      <c r="J133" s="1">
        <f t="shared" si="23"/>
        <v>6.0000000000000053E-2</v>
      </c>
      <c r="K133" s="1">
        <f t="shared" si="26"/>
        <v>2.7485599999999999</v>
      </c>
      <c r="L133" s="1">
        <f t="shared" si="27"/>
        <v>2.2933300000000001</v>
      </c>
      <c r="M133" s="49">
        <f t="shared" si="28"/>
        <v>0.35794467884948067</v>
      </c>
      <c r="N133" s="49">
        <v>0.4</v>
      </c>
      <c r="O133" s="1">
        <v>901</v>
      </c>
      <c r="P133" s="51">
        <v>0</v>
      </c>
      <c r="Q133" s="51">
        <v>8</v>
      </c>
      <c r="R133" s="51">
        <v>1</v>
      </c>
      <c r="S133" s="1">
        <v>1</v>
      </c>
      <c r="T133" s="1">
        <v>0</v>
      </c>
      <c r="U133" s="47">
        <v>1</v>
      </c>
      <c r="V133" s="47">
        <v>132</v>
      </c>
      <c r="W133" s="41">
        <v>15</v>
      </c>
      <c r="X133">
        <v>50</v>
      </c>
      <c r="Y133">
        <v>0.94</v>
      </c>
      <c r="Z133">
        <v>2748.56</v>
      </c>
      <c r="AA133">
        <v>2293.33</v>
      </c>
      <c r="AB133">
        <v>40</v>
      </c>
      <c r="AC133">
        <v>55</v>
      </c>
      <c r="AD133" s="41">
        <f t="shared" si="29"/>
        <v>0.31289111389236546</v>
      </c>
      <c r="AE133" s="41">
        <f t="shared" si="30"/>
        <v>0.37500054505893177</v>
      </c>
      <c r="AF133">
        <f t="shared" si="31"/>
        <v>2.0982314285714287</v>
      </c>
      <c r="AG133">
        <f t="shared" si="32"/>
        <v>9.7549285714285672E-3</v>
      </c>
      <c r="AH133">
        <f t="shared" si="33"/>
        <v>0.4</v>
      </c>
      <c r="AI133">
        <f>HLOOKUP(HLOOKUP(G133,'THP2'!$B$4:$J$8,5,FALSE),'Fuel &amp; Resister'!$B$3:$G$6,4,FALSE)</f>
        <v>2.2642399999999996</v>
      </c>
      <c r="AJ133" s="41">
        <f>HLOOKUP(HLOOKUP(G133,'THP2'!$B$4:$J$8,5,FALSE),'Fuel &amp; Resister'!$B$3:$G$6,3,FALSE)</f>
        <v>6.3540000000000001</v>
      </c>
      <c r="AO133" s="1">
        <v>1</v>
      </c>
      <c r="AP133" s="1">
        <v>1</v>
      </c>
    </row>
    <row r="134" spans="2:42" x14ac:dyDescent="0.15">
      <c r="B134" s="43" t="s">
        <v>618</v>
      </c>
      <c r="C134" s="61">
        <f>VLOOKUP(B134,[1]SYS!$F$5:$G$359,2,FALSE)</f>
        <v>308</v>
      </c>
      <c r="D134" s="1" t="s">
        <v>23</v>
      </c>
      <c r="E134" s="65" t="s">
        <v>44</v>
      </c>
      <c r="F134" s="63" t="s">
        <v>469</v>
      </c>
      <c r="G134" s="1">
        <v>1</v>
      </c>
      <c r="H134" s="1">
        <f t="shared" si="24"/>
        <v>0.30201342281879195</v>
      </c>
      <c r="I134" s="1">
        <f t="shared" si="25"/>
        <v>0.14899999999999999</v>
      </c>
      <c r="J134" s="1">
        <f t="shared" si="23"/>
        <v>7.6400000000000023E-2</v>
      </c>
      <c r="K134" s="1">
        <f t="shared" si="26"/>
        <v>3.0049899999999998</v>
      </c>
      <c r="L134" s="1">
        <f t="shared" si="27"/>
        <v>2.5072899999999998</v>
      </c>
      <c r="M134" s="49">
        <f t="shared" si="28"/>
        <v>1.1661923574980015</v>
      </c>
      <c r="N134" s="49">
        <v>1.1919999999999999</v>
      </c>
      <c r="O134" s="1">
        <v>403</v>
      </c>
      <c r="P134" s="51">
        <v>0</v>
      </c>
      <c r="Q134" s="51">
        <v>8</v>
      </c>
      <c r="R134" s="51">
        <v>1</v>
      </c>
      <c r="S134" s="1">
        <v>1</v>
      </c>
      <c r="T134" s="1">
        <v>0</v>
      </c>
      <c r="U134" s="47">
        <v>1</v>
      </c>
      <c r="V134" s="47">
        <v>133</v>
      </c>
      <c r="W134" s="41">
        <v>45</v>
      </c>
      <c r="X134">
        <v>149</v>
      </c>
      <c r="Y134">
        <v>0.92359999999999998</v>
      </c>
      <c r="Z134">
        <v>3004.99</v>
      </c>
      <c r="AA134">
        <v>2507.29</v>
      </c>
      <c r="AB134">
        <v>119.2</v>
      </c>
      <c r="AC134">
        <v>55</v>
      </c>
      <c r="AD134" s="41">
        <f t="shared" si="29"/>
        <v>0.28619063624171798</v>
      </c>
      <c r="AE134" s="41">
        <f t="shared" si="30"/>
        <v>0.34299981254661405</v>
      </c>
      <c r="AF134">
        <f t="shared" si="31"/>
        <v>2.2919390384615381</v>
      </c>
      <c r="AG134">
        <f t="shared" si="32"/>
        <v>3.2087293269230786E-2</v>
      </c>
      <c r="AH134">
        <f t="shared" si="33"/>
        <v>1.1919999999999999</v>
      </c>
      <c r="AI134">
        <f>HLOOKUP(HLOOKUP(G134,'THP2'!$B$4:$J$8,5,FALSE),'Fuel &amp; Resister'!$B$3:$G$6,4,FALSE)</f>
        <v>2.2642399999999996</v>
      </c>
      <c r="AJ134" s="41">
        <f>HLOOKUP(HLOOKUP(G134,'THP2'!$B$4:$J$8,5,FALSE),'Fuel &amp; Resister'!$B$3:$G$6,3,FALSE)</f>
        <v>6.3540000000000001</v>
      </c>
      <c r="AO134" s="1">
        <v>1</v>
      </c>
      <c r="AP134" s="1">
        <v>1</v>
      </c>
    </row>
    <row r="135" spans="2:42" x14ac:dyDescent="0.15">
      <c r="B135" s="43" t="s">
        <v>620</v>
      </c>
      <c r="C135" s="61">
        <f>VLOOKUP(B135,[1]SYS!$F$5:$G$359,2,FALSE)</f>
        <v>0</v>
      </c>
      <c r="D135" s="1" t="s">
        <v>50</v>
      </c>
      <c r="E135" s="65" t="s">
        <v>422</v>
      </c>
      <c r="F135" s="63" t="s">
        <v>423</v>
      </c>
      <c r="G135" s="1">
        <v>3</v>
      </c>
      <c r="H135" s="1">
        <f t="shared" si="24"/>
        <v>0.40070298769771528</v>
      </c>
      <c r="I135" s="1">
        <f t="shared" si="25"/>
        <v>0.56899999999999995</v>
      </c>
      <c r="J135" s="1">
        <f t="shared" si="23"/>
        <v>2.0000000000000018E-2</v>
      </c>
      <c r="K135" s="1">
        <f t="shared" si="26"/>
        <v>2.0585200000000001</v>
      </c>
      <c r="L135" s="1">
        <f t="shared" si="27"/>
        <v>1.5779799999999999</v>
      </c>
      <c r="M135" s="49">
        <f t="shared" si="28"/>
        <v>1.6529773976039077</v>
      </c>
      <c r="N135" s="49">
        <v>1.5436000000000001</v>
      </c>
      <c r="O135" s="1">
        <v>401</v>
      </c>
      <c r="P135" s="51">
        <v>0.05</v>
      </c>
      <c r="Q135" s="51">
        <v>11</v>
      </c>
      <c r="R135" s="51">
        <v>1</v>
      </c>
      <c r="S135" s="1">
        <v>1</v>
      </c>
      <c r="T135" s="1">
        <v>0</v>
      </c>
      <c r="U135" s="47">
        <v>1</v>
      </c>
      <c r="V135" s="47">
        <v>134</v>
      </c>
      <c r="W135" s="41">
        <v>228</v>
      </c>
      <c r="X135">
        <v>569</v>
      </c>
      <c r="Y135">
        <v>0.98</v>
      </c>
      <c r="Z135">
        <v>2058.52</v>
      </c>
      <c r="AA135">
        <v>1577.98</v>
      </c>
      <c r="AB135">
        <v>154.36000000000001</v>
      </c>
      <c r="AC135">
        <v>36</v>
      </c>
      <c r="AD135" s="41">
        <f t="shared" si="29"/>
        <v>0.41777587781512932</v>
      </c>
      <c r="AE135" s="41">
        <f t="shared" si="30"/>
        <v>0.54500057034943405</v>
      </c>
      <c r="AF135">
        <f t="shared" si="31"/>
        <v>1.2566805278592372</v>
      </c>
      <c r="AG135">
        <f t="shared" si="32"/>
        <v>0.18281939964809396</v>
      </c>
      <c r="AH135">
        <f t="shared" si="33"/>
        <v>1.5436000000000001</v>
      </c>
      <c r="AI135">
        <f>HLOOKUP(HLOOKUP(G135,'THP2'!$B$4:$J$8,5,FALSE),'Fuel &amp; Resister'!$B$3:$G$6,4,FALSE)</f>
        <v>2.7360666666666664</v>
      </c>
      <c r="AJ135" s="41">
        <f>HLOOKUP(HLOOKUP(G135,'THP2'!$B$4:$J$8,5,FALSE),'Fuel &amp; Resister'!$B$3:$G$6,3,FALSE)</f>
        <v>13.019</v>
      </c>
      <c r="AO135" s="1">
        <v>1</v>
      </c>
      <c r="AP135" s="1">
        <v>1</v>
      </c>
    </row>
    <row r="136" spans="2:42" x14ac:dyDescent="0.15">
      <c r="B136" s="43" t="s">
        <v>620</v>
      </c>
      <c r="C136" s="61">
        <f>VLOOKUP(B136,[1]SYS!$F$5:$G$359,2,FALSE)</f>
        <v>0</v>
      </c>
      <c r="D136" s="1" t="s">
        <v>50</v>
      </c>
      <c r="E136" s="65" t="s">
        <v>424</v>
      </c>
      <c r="F136" s="63" t="s">
        <v>423</v>
      </c>
      <c r="G136" s="1">
        <v>3</v>
      </c>
      <c r="H136" s="1">
        <f t="shared" si="24"/>
        <v>0.40070298769771528</v>
      </c>
      <c r="I136" s="1">
        <f t="shared" si="25"/>
        <v>0.56899999999999995</v>
      </c>
      <c r="J136" s="1">
        <f t="shared" si="23"/>
        <v>2.0000000000000018E-2</v>
      </c>
      <c r="K136" s="1">
        <f t="shared" si="26"/>
        <v>2.0585200000000001</v>
      </c>
      <c r="L136" s="1">
        <f t="shared" si="27"/>
        <v>1.5779799999999999</v>
      </c>
      <c r="M136" s="49">
        <f t="shared" si="28"/>
        <v>1.6529773976039077</v>
      </c>
      <c r="N136" s="49">
        <v>1.5436000000000001</v>
      </c>
      <c r="O136" s="1">
        <v>913</v>
      </c>
      <c r="P136" s="51">
        <v>0.05</v>
      </c>
      <c r="Q136" s="51">
        <v>11</v>
      </c>
      <c r="R136" s="51">
        <v>1</v>
      </c>
      <c r="S136" s="1">
        <v>1</v>
      </c>
      <c r="T136" s="1">
        <v>0</v>
      </c>
      <c r="U136" s="47">
        <v>1</v>
      </c>
      <c r="V136" s="47">
        <v>135</v>
      </c>
      <c r="W136" s="41">
        <v>228</v>
      </c>
      <c r="X136">
        <v>569</v>
      </c>
      <c r="Y136">
        <v>0.98</v>
      </c>
      <c r="Z136">
        <v>2058.52</v>
      </c>
      <c r="AA136">
        <v>1577.98</v>
      </c>
      <c r="AB136">
        <v>154.36000000000001</v>
      </c>
      <c r="AC136">
        <v>36</v>
      </c>
      <c r="AD136" s="41">
        <f t="shared" si="29"/>
        <v>0.41777587781512932</v>
      </c>
      <c r="AE136" s="41">
        <f t="shared" si="30"/>
        <v>0.54500057034943405</v>
      </c>
      <c r="AF136">
        <f t="shared" si="31"/>
        <v>1.2566805278592372</v>
      </c>
      <c r="AG136">
        <f t="shared" si="32"/>
        <v>0.18281939964809396</v>
      </c>
      <c r="AH136">
        <f t="shared" si="33"/>
        <v>1.5436000000000001</v>
      </c>
      <c r="AI136">
        <f>HLOOKUP(HLOOKUP(G136,'THP2'!$B$4:$J$8,5,FALSE),'Fuel &amp; Resister'!$B$3:$G$6,4,FALSE)</f>
        <v>2.7360666666666664</v>
      </c>
      <c r="AJ136" s="41">
        <f>HLOOKUP(HLOOKUP(G136,'THP2'!$B$4:$J$8,5,FALSE),'Fuel &amp; Resister'!$B$3:$G$6,3,FALSE)</f>
        <v>13.019</v>
      </c>
      <c r="AO136" s="1">
        <v>1</v>
      </c>
      <c r="AP136" s="1">
        <v>1</v>
      </c>
    </row>
    <row r="137" spans="2:42" x14ac:dyDescent="0.15">
      <c r="B137" s="43" t="s">
        <v>620</v>
      </c>
      <c r="C137" s="61">
        <f>VLOOKUP(B137,[1]SYS!$F$5:$G$359,2,FALSE)</f>
        <v>0</v>
      </c>
      <c r="D137" s="1" t="s">
        <v>50</v>
      </c>
      <c r="E137" s="65" t="s">
        <v>425</v>
      </c>
      <c r="F137" s="63" t="s">
        <v>423</v>
      </c>
      <c r="G137" s="1">
        <v>3</v>
      </c>
      <c r="H137" s="1">
        <f t="shared" si="24"/>
        <v>0.40070298769771528</v>
      </c>
      <c r="I137" s="1">
        <f t="shared" si="25"/>
        <v>0.56899999999999995</v>
      </c>
      <c r="J137" s="1">
        <f t="shared" si="23"/>
        <v>2.0000000000000018E-2</v>
      </c>
      <c r="K137" s="1">
        <f t="shared" si="26"/>
        <v>2.0585200000000001</v>
      </c>
      <c r="L137" s="1">
        <f t="shared" si="27"/>
        <v>1.5779799999999999</v>
      </c>
      <c r="M137" s="49">
        <f t="shared" si="28"/>
        <v>1.6529773976039077</v>
      </c>
      <c r="N137" s="49">
        <v>1.5436000000000001</v>
      </c>
      <c r="O137" s="1">
        <v>913</v>
      </c>
      <c r="P137" s="51">
        <v>0.05</v>
      </c>
      <c r="Q137" s="51">
        <v>11</v>
      </c>
      <c r="R137" s="51">
        <v>1</v>
      </c>
      <c r="S137" s="1">
        <v>1</v>
      </c>
      <c r="T137" s="1">
        <v>0</v>
      </c>
      <c r="U137" s="47">
        <v>1</v>
      </c>
      <c r="V137" s="47">
        <v>136</v>
      </c>
      <c r="W137" s="41">
        <v>228</v>
      </c>
      <c r="X137">
        <v>569</v>
      </c>
      <c r="Y137">
        <v>0.98</v>
      </c>
      <c r="Z137">
        <v>2058.52</v>
      </c>
      <c r="AA137">
        <v>1577.98</v>
      </c>
      <c r="AB137">
        <v>154.36000000000001</v>
      </c>
      <c r="AC137">
        <v>36</v>
      </c>
      <c r="AD137" s="41">
        <f t="shared" si="29"/>
        <v>0.41777587781512932</v>
      </c>
      <c r="AE137" s="41">
        <f t="shared" si="30"/>
        <v>0.54500057034943405</v>
      </c>
      <c r="AF137">
        <f t="shared" si="31"/>
        <v>1.2566805278592372</v>
      </c>
      <c r="AG137">
        <f t="shared" si="32"/>
        <v>0.18281939964809396</v>
      </c>
      <c r="AH137">
        <f t="shared" si="33"/>
        <v>1.5436000000000001</v>
      </c>
      <c r="AI137">
        <f>HLOOKUP(HLOOKUP(G137,'THP2'!$B$4:$J$8,5,FALSE),'Fuel &amp; Resister'!$B$3:$G$6,4,FALSE)</f>
        <v>2.7360666666666664</v>
      </c>
      <c r="AJ137" s="41">
        <f>HLOOKUP(HLOOKUP(G137,'THP2'!$B$4:$J$8,5,FALSE),'Fuel &amp; Resister'!$B$3:$G$6,3,FALSE)</f>
        <v>13.019</v>
      </c>
      <c r="AO137" s="1">
        <v>1</v>
      </c>
      <c r="AP137" s="1">
        <v>1</v>
      </c>
    </row>
    <row r="138" spans="2:42" x14ac:dyDescent="0.15">
      <c r="B138" s="43" t="s">
        <v>620</v>
      </c>
      <c r="C138" s="61">
        <f>VLOOKUP(B138,[1]SYS!$F$5:$G$359,2,FALSE)</f>
        <v>0</v>
      </c>
      <c r="D138" s="1" t="s">
        <v>339</v>
      </c>
      <c r="E138" s="65" t="s">
        <v>426</v>
      </c>
      <c r="F138" s="63" t="s">
        <v>427</v>
      </c>
      <c r="G138" s="1">
        <v>2</v>
      </c>
      <c r="H138" s="1">
        <f t="shared" si="24"/>
        <v>0.4</v>
      </c>
      <c r="I138" s="1">
        <f t="shared" si="25"/>
        <v>0.125</v>
      </c>
      <c r="J138" s="1">
        <f t="shared" si="23"/>
        <v>2.0000000000000018E-2</v>
      </c>
      <c r="K138" s="1">
        <f t="shared" si="26"/>
        <v>3.1163699999999999</v>
      </c>
      <c r="L138" s="1">
        <f t="shared" si="27"/>
        <v>2.38889</v>
      </c>
      <c r="M138" s="49">
        <f t="shared" si="28"/>
        <v>0.54974250846992845</v>
      </c>
      <c r="N138" s="49">
        <v>1.0667</v>
      </c>
      <c r="O138" s="1">
        <v>908</v>
      </c>
      <c r="P138" s="51">
        <v>0</v>
      </c>
      <c r="Q138" s="51">
        <v>8</v>
      </c>
      <c r="R138" s="51">
        <v>1</v>
      </c>
      <c r="S138" s="1">
        <v>1</v>
      </c>
      <c r="T138" s="1">
        <v>0</v>
      </c>
      <c r="U138" s="47">
        <v>1</v>
      </c>
      <c r="V138" s="47">
        <v>137</v>
      </c>
      <c r="W138" s="41">
        <v>50</v>
      </c>
      <c r="X138">
        <v>125</v>
      </c>
      <c r="Y138">
        <v>0.98</v>
      </c>
      <c r="Z138">
        <v>3116.37</v>
      </c>
      <c r="AA138">
        <v>2388.89</v>
      </c>
      <c r="AB138">
        <v>106.67</v>
      </c>
      <c r="AC138">
        <v>46</v>
      </c>
      <c r="AD138" s="41">
        <f t="shared" si="29"/>
        <v>0.27596209692687329</v>
      </c>
      <c r="AE138" s="41">
        <f t="shared" si="30"/>
        <v>0.35999983255821744</v>
      </c>
      <c r="AF138">
        <f t="shared" si="31"/>
        <v>1.9039033333333333</v>
      </c>
      <c r="AG138">
        <f t="shared" si="32"/>
        <v>6.0623333333333335E-2</v>
      </c>
      <c r="AH138">
        <f t="shared" si="33"/>
        <v>1.0667</v>
      </c>
      <c r="AI138">
        <f>HLOOKUP(HLOOKUP(G138,'THP2'!$B$4:$J$8,5,FALSE),'Fuel &amp; Resister'!$B$3:$G$6,4,FALSE)</f>
        <v>2.7360666666666664</v>
      </c>
      <c r="AJ138" s="41">
        <f>HLOOKUP(HLOOKUP(G138,'THP2'!$B$4:$J$8,5,FALSE),'Fuel &amp; Resister'!$B$3:$G$6,3,FALSE)</f>
        <v>13.019</v>
      </c>
      <c r="AO138" s="1">
        <v>1</v>
      </c>
      <c r="AP138" s="1">
        <v>1</v>
      </c>
    </row>
    <row r="139" spans="2:42" x14ac:dyDescent="0.15">
      <c r="B139" s="43" t="s">
        <v>581</v>
      </c>
      <c r="C139" s="61">
        <f>VLOOKUP(B139,[1]SYS!$F$5:$G$359,2,FALSE)</f>
        <v>3</v>
      </c>
      <c r="D139" s="1" t="s">
        <v>50</v>
      </c>
      <c r="E139" s="65" t="s">
        <v>553</v>
      </c>
      <c r="F139" s="63" t="s">
        <v>554</v>
      </c>
      <c r="G139" s="1">
        <v>3</v>
      </c>
      <c r="H139" s="1">
        <f t="shared" si="24"/>
        <v>0.40070298769771528</v>
      </c>
      <c r="I139" s="1">
        <f t="shared" si="25"/>
        <v>0.56899999999999995</v>
      </c>
      <c r="J139" s="1">
        <f t="shared" si="23"/>
        <v>2.0000000000000018E-2</v>
      </c>
      <c r="K139" s="1">
        <f t="shared" si="26"/>
        <v>2.0585200000000001</v>
      </c>
      <c r="L139" s="1">
        <f t="shared" si="27"/>
        <v>1.5779799999999999</v>
      </c>
      <c r="M139" s="49">
        <f t="shared" si="28"/>
        <v>1.6529773976039077</v>
      </c>
      <c r="N139" s="49">
        <f>AB139/100</f>
        <v>1.5436000000000001</v>
      </c>
      <c r="O139" s="1">
        <v>903</v>
      </c>
      <c r="P139" s="51">
        <v>0.05</v>
      </c>
      <c r="Q139" s="51">
        <v>11</v>
      </c>
      <c r="R139" s="51">
        <v>1</v>
      </c>
      <c r="S139" s="1">
        <v>1</v>
      </c>
      <c r="T139" s="1">
        <v>0</v>
      </c>
      <c r="U139" s="47">
        <v>0</v>
      </c>
      <c r="V139" s="47"/>
      <c r="W139">
        <v>228</v>
      </c>
      <c r="X139">
        <v>569</v>
      </c>
      <c r="Y139">
        <v>0.98</v>
      </c>
      <c r="Z139">
        <v>2058.52</v>
      </c>
      <c r="AA139">
        <v>1577.98</v>
      </c>
      <c r="AB139">
        <v>154.36000000000001</v>
      </c>
      <c r="AC139"/>
      <c r="AD139" s="41"/>
      <c r="AI139">
        <f>HLOOKUP(HLOOKUP(G139,'THP2'!$B$4:$J$8,5,FALSE),'Fuel &amp; Resister'!$B$3:$G$6,4,FALSE)</f>
        <v>2.7360666666666664</v>
      </c>
      <c r="AJ139" s="41">
        <f>HLOOKUP(HLOOKUP(G139,'THP2'!$B$4:$J$8,5,FALSE),'Fuel &amp; Resister'!$B$3:$G$6,3,FALSE)</f>
        <v>13.019</v>
      </c>
      <c r="AO139" s="1">
        <v>1</v>
      </c>
      <c r="AP139" s="62">
        <v>0</v>
      </c>
    </row>
    <row r="140" spans="2:42" x14ac:dyDescent="0.15">
      <c r="B140" s="43" t="s">
        <v>581</v>
      </c>
      <c r="C140" s="61">
        <f>VLOOKUP(B140,[1]SYS!$F$5:$G$359,2,FALSE)</f>
        <v>3</v>
      </c>
      <c r="D140" s="1" t="s">
        <v>50</v>
      </c>
      <c r="E140" s="65" t="s">
        <v>553</v>
      </c>
      <c r="F140" s="63" t="s">
        <v>554</v>
      </c>
      <c r="G140" s="1">
        <v>3</v>
      </c>
      <c r="H140" s="1">
        <f t="shared" si="24"/>
        <v>0.40070298769771528</v>
      </c>
      <c r="I140" s="1">
        <f t="shared" si="25"/>
        <v>0.56899999999999995</v>
      </c>
      <c r="J140" s="1">
        <f t="shared" si="23"/>
        <v>2.0000000000000018E-2</v>
      </c>
      <c r="K140" s="1">
        <f t="shared" si="26"/>
        <v>2.0585200000000001</v>
      </c>
      <c r="L140" s="1">
        <f t="shared" si="27"/>
        <v>1.5779799999999999</v>
      </c>
      <c r="M140" s="49">
        <f t="shared" si="28"/>
        <v>1.6529773976039077</v>
      </c>
      <c r="N140" s="49">
        <f>AB140/100</f>
        <v>1.5436000000000001</v>
      </c>
      <c r="O140" s="1">
        <v>1009</v>
      </c>
      <c r="P140" s="51">
        <v>0.05</v>
      </c>
      <c r="Q140" s="51">
        <v>11</v>
      </c>
      <c r="R140" s="51">
        <v>1</v>
      </c>
      <c r="S140" s="1">
        <v>1</v>
      </c>
      <c r="T140" s="1">
        <v>0</v>
      </c>
      <c r="U140" s="47">
        <v>0</v>
      </c>
      <c r="V140" s="47"/>
      <c r="W140">
        <v>228</v>
      </c>
      <c r="X140">
        <v>569</v>
      </c>
      <c r="Y140">
        <v>0.98</v>
      </c>
      <c r="Z140">
        <v>2058.52</v>
      </c>
      <c r="AA140">
        <v>1577.98</v>
      </c>
      <c r="AB140">
        <v>154.36000000000001</v>
      </c>
      <c r="AC140"/>
      <c r="AD140" s="41"/>
      <c r="AI140">
        <f>HLOOKUP(HLOOKUP(G140,'THP2'!$B$4:$J$8,5,FALSE),'Fuel &amp; Resister'!$B$3:$G$6,4,FALSE)</f>
        <v>2.7360666666666664</v>
      </c>
      <c r="AJ140" s="41">
        <f>HLOOKUP(HLOOKUP(G140,'THP2'!$B$4:$J$8,5,FALSE),'Fuel &amp; Resister'!$B$3:$G$6,3,FALSE)</f>
        <v>13.019</v>
      </c>
      <c r="AO140" s="1">
        <v>1</v>
      </c>
      <c r="AP140" s="62">
        <v>0</v>
      </c>
    </row>
    <row r="141" spans="2:42" x14ac:dyDescent="0.15">
      <c r="B141" s="43" t="s">
        <v>589</v>
      </c>
      <c r="C141" s="61">
        <f>VLOOKUP(B141,[1]SYS!$F$5:$G$359,2,FALSE)</f>
        <v>59</v>
      </c>
      <c r="D141" s="1" t="s">
        <v>50</v>
      </c>
      <c r="E141" s="42" t="s">
        <v>428</v>
      </c>
      <c r="F141" s="63" t="s">
        <v>429</v>
      </c>
      <c r="G141" s="1">
        <v>3</v>
      </c>
      <c r="H141" s="1">
        <f t="shared" si="24"/>
        <v>0.40034965034965037</v>
      </c>
      <c r="I141" s="1">
        <f t="shared" si="25"/>
        <v>0.57199999999999995</v>
      </c>
      <c r="J141" s="1">
        <f t="shared" si="23"/>
        <v>2.1000000000000019E-2</v>
      </c>
      <c r="K141" s="1">
        <f t="shared" si="26"/>
        <v>2.0033799999999999</v>
      </c>
      <c r="L141" s="1">
        <f t="shared" si="27"/>
        <v>1.5357100000000001</v>
      </c>
      <c r="M141" s="49">
        <f t="shared" si="28"/>
        <v>1.6171801253780846</v>
      </c>
      <c r="N141" s="49">
        <v>1.5468000000000002</v>
      </c>
      <c r="O141" s="6">
        <v>314</v>
      </c>
      <c r="P141" s="51">
        <v>0.05</v>
      </c>
      <c r="Q141" s="51">
        <v>11</v>
      </c>
      <c r="R141" s="51">
        <v>1</v>
      </c>
      <c r="S141" s="1">
        <v>1</v>
      </c>
      <c r="T141" s="1">
        <v>0</v>
      </c>
      <c r="U141" s="47">
        <v>0</v>
      </c>
      <c r="V141" s="47">
        <v>138</v>
      </c>
      <c r="W141" s="41">
        <v>229</v>
      </c>
      <c r="X141">
        <v>572</v>
      </c>
      <c r="Y141">
        <v>0.97899999999999998</v>
      </c>
      <c r="Z141">
        <v>2003.38</v>
      </c>
      <c r="AA141">
        <v>1535.71</v>
      </c>
      <c r="AB141">
        <v>154.68</v>
      </c>
      <c r="AC141">
        <v>36</v>
      </c>
      <c r="AD141" s="41">
        <f t="shared" si="29"/>
        <v>0.42927452605097377</v>
      </c>
      <c r="AE141" s="41">
        <f t="shared" si="30"/>
        <v>0.56000156279505897</v>
      </c>
      <c r="AF141">
        <f t="shared" si="31"/>
        <v>1.223475510204082</v>
      </c>
      <c r="AG141">
        <f t="shared" si="32"/>
        <v>0.17859812816326517</v>
      </c>
      <c r="AH141">
        <f t="shared" si="33"/>
        <v>1.5468000000000002</v>
      </c>
      <c r="AI141">
        <f>HLOOKUP(HLOOKUP(G141,'THP2'!$B$4:$J$8,5,FALSE),'Fuel &amp; Resister'!$B$3:$G$6,4,FALSE)</f>
        <v>2.7360666666666664</v>
      </c>
      <c r="AJ141" s="41">
        <f>HLOOKUP(HLOOKUP(G141,'THP2'!$B$4:$J$8,5,FALSE),'Fuel &amp; Resister'!$B$3:$G$6,3,FALSE)</f>
        <v>13.019</v>
      </c>
      <c r="AO141" s="62">
        <v>0</v>
      </c>
      <c r="AP141" s="62">
        <v>0</v>
      </c>
    </row>
    <row r="142" spans="2:42" x14ac:dyDescent="0.15">
      <c r="B142" s="43" t="s">
        <v>589</v>
      </c>
      <c r="C142" s="61">
        <f>VLOOKUP(B142,[1]SYS!$F$5:$G$359,2,FALSE)</f>
        <v>59</v>
      </c>
      <c r="D142" s="1" t="s">
        <v>50</v>
      </c>
      <c r="E142" s="42" t="s">
        <v>430</v>
      </c>
      <c r="F142" s="63" t="s">
        <v>429</v>
      </c>
      <c r="G142" s="1">
        <v>3</v>
      </c>
      <c r="H142" s="1">
        <f t="shared" si="24"/>
        <v>0.40034965034965037</v>
      </c>
      <c r="I142" s="1">
        <f t="shared" si="25"/>
        <v>0.57199999999999995</v>
      </c>
      <c r="J142" s="1">
        <f t="shared" si="23"/>
        <v>2.1000000000000019E-2</v>
      </c>
      <c r="K142" s="1">
        <f t="shared" si="26"/>
        <v>2.0033799999999999</v>
      </c>
      <c r="L142" s="1">
        <f t="shared" si="27"/>
        <v>1.5357100000000001</v>
      </c>
      <c r="M142" s="49">
        <f t="shared" si="28"/>
        <v>1.6171801253780846</v>
      </c>
      <c r="N142" s="49">
        <v>1.5468000000000002</v>
      </c>
      <c r="O142" s="1">
        <v>211</v>
      </c>
      <c r="P142" s="51">
        <v>0.05</v>
      </c>
      <c r="Q142" s="51">
        <v>11</v>
      </c>
      <c r="R142" s="51">
        <v>1</v>
      </c>
      <c r="S142" s="1">
        <v>1</v>
      </c>
      <c r="T142" s="1">
        <v>0</v>
      </c>
      <c r="U142" s="47">
        <v>0</v>
      </c>
      <c r="V142" s="47">
        <v>139</v>
      </c>
      <c r="W142" s="41">
        <v>229</v>
      </c>
      <c r="X142">
        <v>572</v>
      </c>
      <c r="Y142">
        <v>0.97899999999999998</v>
      </c>
      <c r="Z142">
        <v>2003.38</v>
      </c>
      <c r="AA142">
        <v>1535.71</v>
      </c>
      <c r="AB142">
        <v>154.68</v>
      </c>
      <c r="AC142">
        <v>36</v>
      </c>
      <c r="AD142" s="41">
        <f t="shared" si="29"/>
        <v>0.42927452605097377</v>
      </c>
      <c r="AE142" s="41">
        <f t="shared" si="30"/>
        <v>0.56000156279505897</v>
      </c>
      <c r="AF142">
        <f t="shared" si="31"/>
        <v>1.223475510204082</v>
      </c>
      <c r="AG142">
        <f t="shared" si="32"/>
        <v>0.17859812816326517</v>
      </c>
      <c r="AH142">
        <f t="shared" si="33"/>
        <v>1.5468000000000002</v>
      </c>
      <c r="AI142">
        <f>HLOOKUP(HLOOKUP(G142,'THP2'!$B$4:$J$8,5,FALSE),'Fuel &amp; Resister'!$B$3:$G$6,4,FALSE)</f>
        <v>2.7360666666666664</v>
      </c>
      <c r="AJ142" s="41">
        <f>HLOOKUP(HLOOKUP(G142,'THP2'!$B$4:$J$8,5,FALSE),'Fuel &amp; Resister'!$B$3:$G$6,3,FALSE)</f>
        <v>13.019</v>
      </c>
      <c r="AO142" s="62">
        <v>0</v>
      </c>
      <c r="AP142" s="62">
        <v>0</v>
      </c>
    </row>
    <row r="143" spans="2:42" x14ac:dyDescent="0.15">
      <c r="B143" s="43" t="s">
        <v>589</v>
      </c>
      <c r="C143" s="61">
        <f>VLOOKUP(B143,[1]SYS!$F$5:$G$359,2,FALSE)</f>
        <v>59</v>
      </c>
      <c r="D143" s="1" t="s">
        <v>50</v>
      </c>
      <c r="E143" s="42" t="s">
        <v>431</v>
      </c>
      <c r="F143" s="63" t="s">
        <v>429</v>
      </c>
      <c r="G143" s="1">
        <v>3</v>
      </c>
      <c r="H143" s="1">
        <f t="shared" si="24"/>
        <v>0.40034965034965037</v>
      </c>
      <c r="I143" s="1">
        <f t="shared" si="25"/>
        <v>0.57199999999999995</v>
      </c>
      <c r="J143" s="1">
        <f t="shared" si="23"/>
        <v>2.1000000000000019E-2</v>
      </c>
      <c r="K143" s="1">
        <f t="shared" si="26"/>
        <v>2.0033799999999999</v>
      </c>
      <c r="L143" s="1">
        <f t="shared" si="27"/>
        <v>1.5357100000000001</v>
      </c>
      <c r="M143" s="49">
        <f t="shared" si="28"/>
        <v>1.6171801253780846</v>
      </c>
      <c r="N143" s="49">
        <v>1.5468000000000002</v>
      </c>
      <c r="O143" s="1">
        <v>1202</v>
      </c>
      <c r="P143" s="51">
        <v>0.05</v>
      </c>
      <c r="Q143" s="51">
        <v>11</v>
      </c>
      <c r="R143" s="51">
        <v>1</v>
      </c>
      <c r="S143" s="1">
        <v>1</v>
      </c>
      <c r="T143" s="1">
        <v>0</v>
      </c>
      <c r="U143" s="47">
        <v>0</v>
      </c>
      <c r="V143" s="47">
        <v>140</v>
      </c>
      <c r="W143" s="41">
        <v>229</v>
      </c>
      <c r="X143">
        <v>572</v>
      </c>
      <c r="Y143">
        <v>0.97899999999999998</v>
      </c>
      <c r="Z143">
        <v>2003.38</v>
      </c>
      <c r="AA143">
        <v>1535.71</v>
      </c>
      <c r="AB143">
        <v>154.68</v>
      </c>
      <c r="AC143">
        <v>36</v>
      </c>
      <c r="AD143" s="41">
        <f t="shared" si="29"/>
        <v>0.42927452605097377</v>
      </c>
      <c r="AE143" s="41">
        <f t="shared" si="30"/>
        <v>0.56000156279505897</v>
      </c>
      <c r="AF143">
        <f t="shared" si="31"/>
        <v>1.223475510204082</v>
      </c>
      <c r="AG143">
        <f t="shared" si="32"/>
        <v>0.17859812816326517</v>
      </c>
      <c r="AH143">
        <f t="shared" si="33"/>
        <v>1.5468000000000002</v>
      </c>
      <c r="AI143">
        <f>HLOOKUP(HLOOKUP(G143,'THP2'!$B$4:$J$8,5,FALSE),'Fuel &amp; Resister'!$B$3:$G$6,4,FALSE)</f>
        <v>2.7360666666666664</v>
      </c>
      <c r="AJ143" s="41">
        <f>HLOOKUP(HLOOKUP(G143,'THP2'!$B$4:$J$8,5,FALSE),'Fuel &amp; Resister'!$B$3:$G$6,3,FALSE)</f>
        <v>13.019</v>
      </c>
      <c r="AO143" s="62">
        <v>0</v>
      </c>
      <c r="AP143" s="62">
        <v>0</v>
      </c>
    </row>
    <row r="144" spans="2:42" x14ac:dyDescent="0.15">
      <c r="B144" s="43" t="s">
        <v>589</v>
      </c>
      <c r="C144" s="61">
        <f>VLOOKUP(B144,[1]SYS!$F$5:$G$359,2,FALSE)</f>
        <v>59</v>
      </c>
      <c r="D144" s="1" t="s">
        <v>50</v>
      </c>
      <c r="E144" s="42" t="s">
        <v>432</v>
      </c>
      <c r="F144" s="63" t="s">
        <v>429</v>
      </c>
      <c r="G144" s="1">
        <v>3</v>
      </c>
      <c r="H144" s="1">
        <f t="shared" si="24"/>
        <v>0.40034965034965037</v>
      </c>
      <c r="I144" s="1">
        <f t="shared" si="25"/>
        <v>0.57199999999999995</v>
      </c>
      <c r="J144" s="1">
        <f t="shared" si="23"/>
        <v>2.1000000000000019E-2</v>
      </c>
      <c r="K144" s="1">
        <f t="shared" si="26"/>
        <v>2.0033799999999999</v>
      </c>
      <c r="L144" s="1">
        <f t="shared" si="27"/>
        <v>1.5357100000000001</v>
      </c>
      <c r="M144" s="49">
        <f t="shared" si="28"/>
        <v>1.6171801253780846</v>
      </c>
      <c r="N144" s="49">
        <v>1.5468000000000002</v>
      </c>
      <c r="O144" s="1">
        <v>1014</v>
      </c>
      <c r="P144" s="51">
        <v>0.05</v>
      </c>
      <c r="Q144" s="51">
        <v>11</v>
      </c>
      <c r="R144" s="51">
        <v>1</v>
      </c>
      <c r="S144" s="1">
        <v>1</v>
      </c>
      <c r="T144" s="1">
        <v>0</v>
      </c>
      <c r="U144" s="47">
        <v>0</v>
      </c>
      <c r="V144" s="47">
        <v>141</v>
      </c>
      <c r="W144" s="41">
        <v>229</v>
      </c>
      <c r="X144">
        <v>572</v>
      </c>
      <c r="Y144">
        <v>0.97899999999999998</v>
      </c>
      <c r="Z144">
        <v>2003.38</v>
      </c>
      <c r="AA144">
        <v>1535.71</v>
      </c>
      <c r="AB144">
        <v>154.68</v>
      </c>
      <c r="AC144">
        <v>36</v>
      </c>
      <c r="AD144" s="41">
        <f t="shared" si="29"/>
        <v>0.42927452605097377</v>
      </c>
      <c r="AE144" s="41">
        <f t="shared" si="30"/>
        <v>0.56000156279505897</v>
      </c>
      <c r="AF144">
        <f t="shared" si="31"/>
        <v>1.223475510204082</v>
      </c>
      <c r="AG144">
        <f t="shared" si="32"/>
        <v>0.17859812816326517</v>
      </c>
      <c r="AH144">
        <f t="shared" si="33"/>
        <v>1.5468000000000002</v>
      </c>
      <c r="AI144">
        <f>HLOOKUP(HLOOKUP(G144,'THP2'!$B$4:$J$8,5,FALSE),'Fuel &amp; Resister'!$B$3:$G$6,4,FALSE)</f>
        <v>2.7360666666666664</v>
      </c>
      <c r="AJ144" s="41">
        <f>HLOOKUP(HLOOKUP(G144,'THP2'!$B$4:$J$8,5,FALSE),'Fuel &amp; Resister'!$B$3:$G$6,3,FALSE)</f>
        <v>13.019</v>
      </c>
      <c r="AO144" s="62">
        <v>0</v>
      </c>
      <c r="AP144" s="62">
        <v>0</v>
      </c>
    </row>
    <row r="145" spans="2:42" x14ac:dyDescent="0.15">
      <c r="B145" s="43" t="s">
        <v>621</v>
      </c>
      <c r="C145" s="61">
        <f>VLOOKUP(B145,[1]SYS!$F$5:$G$359,2,FALSE)</f>
        <v>48</v>
      </c>
      <c r="D145" s="1" t="s">
        <v>50</v>
      </c>
      <c r="E145" s="65" t="s">
        <v>148</v>
      </c>
      <c r="F145" s="63" t="s">
        <v>491</v>
      </c>
      <c r="G145" s="1">
        <v>3</v>
      </c>
      <c r="H145" s="1">
        <f t="shared" si="24"/>
        <v>0.46845124282982792</v>
      </c>
      <c r="I145" s="1">
        <f t="shared" si="25"/>
        <v>0.52300000000000002</v>
      </c>
      <c r="J145" s="1">
        <f t="shared" si="23"/>
        <v>2.4499999999999966E-2</v>
      </c>
      <c r="K145" s="1">
        <f t="shared" si="26"/>
        <v>1.9200599999999999</v>
      </c>
      <c r="L145" s="1">
        <f t="shared" si="27"/>
        <v>1.5690599999999999</v>
      </c>
      <c r="M145" s="49">
        <f t="shared" si="28"/>
        <v>1.5107562314471712</v>
      </c>
      <c r="N145" s="49">
        <v>1.4944999999999999</v>
      </c>
      <c r="O145" s="1">
        <v>613</v>
      </c>
      <c r="P145" s="51">
        <v>0.05</v>
      </c>
      <c r="Q145" s="51">
        <v>11</v>
      </c>
      <c r="R145" s="51">
        <v>1</v>
      </c>
      <c r="S145" s="1">
        <v>1</v>
      </c>
      <c r="T145" s="1">
        <v>0</v>
      </c>
      <c r="U145" s="47">
        <v>1</v>
      </c>
      <c r="V145" s="47">
        <v>142</v>
      </c>
      <c r="W145" s="41">
        <v>245</v>
      </c>
      <c r="X145">
        <v>523</v>
      </c>
      <c r="Y145">
        <v>0.97550000000000003</v>
      </c>
      <c r="Z145">
        <v>1920.06</v>
      </c>
      <c r="AA145">
        <v>1569.06</v>
      </c>
      <c r="AB145">
        <v>149.44999999999999</v>
      </c>
      <c r="AC145">
        <v>36</v>
      </c>
      <c r="AD145" s="41">
        <f t="shared" si="29"/>
        <v>0.44790266970823828</v>
      </c>
      <c r="AE145" s="41">
        <f t="shared" si="30"/>
        <v>0.54809886173887556</v>
      </c>
      <c r="AF145">
        <f t="shared" si="31"/>
        <v>1.2597254676258993</v>
      </c>
      <c r="AG145">
        <f t="shared" si="32"/>
        <v>0.1617819604316546</v>
      </c>
      <c r="AH145">
        <f t="shared" si="33"/>
        <v>1.4944999999999999</v>
      </c>
      <c r="AI145">
        <f>HLOOKUP(HLOOKUP(G145,'THP2'!$B$4:$J$8,5,FALSE),'Fuel &amp; Resister'!$B$3:$G$6,4,FALSE)</f>
        <v>2.7360666666666664</v>
      </c>
      <c r="AJ145" s="41">
        <f>HLOOKUP(HLOOKUP(G145,'THP2'!$B$4:$J$8,5,FALSE),'Fuel &amp; Resister'!$B$3:$G$6,3,FALSE)</f>
        <v>13.019</v>
      </c>
      <c r="AO145" s="1">
        <v>1</v>
      </c>
      <c r="AP145" s="1">
        <v>1</v>
      </c>
    </row>
    <row r="146" spans="2:42" x14ac:dyDescent="0.15">
      <c r="B146" s="43" t="s">
        <v>621</v>
      </c>
      <c r="C146" s="61">
        <f>VLOOKUP(B146,[1]SYS!$F$5:$G$359,2,FALSE)</f>
        <v>48</v>
      </c>
      <c r="D146" s="1" t="s">
        <v>50</v>
      </c>
      <c r="E146" s="65" t="s">
        <v>149</v>
      </c>
      <c r="F146" s="63" t="s">
        <v>490</v>
      </c>
      <c r="G146" s="1">
        <v>3</v>
      </c>
      <c r="H146" s="1">
        <f t="shared" si="24"/>
        <v>0.47649572649572647</v>
      </c>
      <c r="I146" s="1">
        <f t="shared" si="25"/>
        <v>0.46800000000000003</v>
      </c>
      <c r="J146" s="1">
        <f t="shared" si="23"/>
        <v>2.0000000000000018E-2</v>
      </c>
      <c r="K146" s="1">
        <f t="shared" si="26"/>
        <v>1.9446400000000001</v>
      </c>
      <c r="L146" s="1">
        <f t="shared" si="27"/>
        <v>1.6876</v>
      </c>
      <c r="M146" s="49">
        <f t="shared" si="28"/>
        <v>1.4540137855272448</v>
      </c>
      <c r="N146" s="49">
        <v>1.4354</v>
      </c>
      <c r="O146" s="1">
        <v>925</v>
      </c>
      <c r="P146" s="51">
        <v>0.05</v>
      </c>
      <c r="Q146" s="51">
        <v>11</v>
      </c>
      <c r="R146" s="51">
        <v>1</v>
      </c>
      <c r="S146" s="1">
        <v>1</v>
      </c>
      <c r="T146" s="1">
        <v>0</v>
      </c>
      <c r="U146" s="47">
        <v>1</v>
      </c>
      <c r="V146" s="47">
        <v>143</v>
      </c>
      <c r="W146" s="41">
        <v>223</v>
      </c>
      <c r="X146">
        <v>468</v>
      </c>
      <c r="Y146">
        <v>0.98</v>
      </c>
      <c r="Z146">
        <v>1944.64</v>
      </c>
      <c r="AA146">
        <v>1687.6</v>
      </c>
      <c r="AB146">
        <v>143.54</v>
      </c>
      <c r="AC146">
        <v>36</v>
      </c>
      <c r="AD146" s="41">
        <f t="shared" si="29"/>
        <v>0.44224123745269045</v>
      </c>
      <c r="AE146" s="41">
        <f t="shared" si="30"/>
        <v>0.50959943114482109</v>
      </c>
      <c r="AF146">
        <f t="shared" si="31"/>
        <v>1.4536411428571427</v>
      </c>
      <c r="AG146">
        <f t="shared" si="32"/>
        <v>0.1094927451428572</v>
      </c>
      <c r="AH146">
        <f t="shared" si="33"/>
        <v>1.4354</v>
      </c>
      <c r="AI146">
        <f>HLOOKUP(HLOOKUP(G146,'THP2'!$B$4:$J$8,5,FALSE),'Fuel &amp; Resister'!$B$3:$G$6,4,FALSE)</f>
        <v>2.7360666666666664</v>
      </c>
      <c r="AJ146" s="41">
        <f>HLOOKUP(HLOOKUP(G146,'THP2'!$B$4:$J$8,5,FALSE),'Fuel &amp; Resister'!$B$3:$G$6,3,FALSE)</f>
        <v>13.019</v>
      </c>
      <c r="AO146" s="1">
        <v>1</v>
      </c>
      <c r="AP146" s="1">
        <v>1</v>
      </c>
    </row>
    <row r="147" spans="2:42" x14ac:dyDescent="0.15">
      <c r="B147" s="43" t="s">
        <v>621</v>
      </c>
      <c r="C147" s="61">
        <f>VLOOKUP(B147,[1]SYS!$F$5:$G$359,2,FALSE)</f>
        <v>48</v>
      </c>
      <c r="D147" s="1" t="s">
        <v>50</v>
      </c>
      <c r="E147" s="65" t="s">
        <v>150</v>
      </c>
      <c r="F147" s="63" t="s">
        <v>491</v>
      </c>
      <c r="G147" s="1">
        <v>3</v>
      </c>
      <c r="H147" s="1">
        <f t="shared" si="24"/>
        <v>0.46845124282982792</v>
      </c>
      <c r="I147" s="1">
        <f t="shared" si="25"/>
        <v>0.52300000000000002</v>
      </c>
      <c r="J147" s="1">
        <f t="shared" si="23"/>
        <v>2.4499999999999966E-2</v>
      </c>
      <c r="K147" s="1">
        <f t="shared" si="26"/>
        <v>2.0238199999999997</v>
      </c>
      <c r="L147" s="1">
        <f t="shared" si="27"/>
        <v>1.6538499999999998</v>
      </c>
      <c r="M147" s="49">
        <f t="shared" si="28"/>
        <v>1.5923955702005683</v>
      </c>
      <c r="N147" s="49">
        <v>1.4944999999999999</v>
      </c>
      <c r="O147" s="1">
        <v>1002</v>
      </c>
      <c r="P147" s="51">
        <v>0.05</v>
      </c>
      <c r="Q147" s="51">
        <v>11</v>
      </c>
      <c r="R147" s="51">
        <v>1</v>
      </c>
      <c r="S147" s="1">
        <v>1</v>
      </c>
      <c r="T147" s="1">
        <v>0</v>
      </c>
      <c r="U147" s="47">
        <v>1</v>
      </c>
      <c r="V147" s="47">
        <v>144</v>
      </c>
      <c r="W147" s="41">
        <v>245</v>
      </c>
      <c r="X147">
        <v>523</v>
      </c>
      <c r="Y147">
        <v>0.97550000000000003</v>
      </c>
      <c r="Z147">
        <v>2023.82</v>
      </c>
      <c r="AA147">
        <v>1653.85</v>
      </c>
      <c r="AB147">
        <v>149.44999999999999</v>
      </c>
      <c r="AC147">
        <v>36</v>
      </c>
      <c r="AD147" s="41">
        <f t="shared" si="29"/>
        <v>0.42493897678647308</v>
      </c>
      <c r="AE147" s="41">
        <f t="shared" si="30"/>
        <v>0.51999879070048671</v>
      </c>
      <c r="AF147">
        <f t="shared" si="31"/>
        <v>1.3277973021582734</v>
      </c>
      <c r="AG147">
        <f t="shared" si="32"/>
        <v>0.17052556097122293</v>
      </c>
      <c r="AH147">
        <f t="shared" si="33"/>
        <v>1.4944999999999999</v>
      </c>
      <c r="AI147">
        <f>HLOOKUP(HLOOKUP(G147,'THP2'!$B$4:$J$8,5,FALSE),'Fuel &amp; Resister'!$B$3:$G$6,4,FALSE)</f>
        <v>2.7360666666666664</v>
      </c>
      <c r="AJ147" s="41">
        <f>HLOOKUP(HLOOKUP(G147,'THP2'!$B$4:$J$8,5,FALSE),'Fuel &amp; Resister'!$B$3:$G$6,3,FALSE)</f>
        <v>13.019</v>
      </c>
      <c r="AO147" s="1">
        <v>1</v>
      </c>
      <c r="AP147" s="1">
        <v>1</v>
      </c>
    </row>
    <row r="148" spans="2:42" x14ac:dyDescent="0.15">
      <c r="B148" s="43" t="s">
        <v>621</v>
      </c>
      <c r="C148" s="61">
        <f>VLOOKUP(B148,[1]SYS!$F$5:$G$359,2,FALSE)</f>
        <v>48</v>
      </c>
      <c r="D148" s="1" t="s">
        <v>50</v>
      </c>
      <c r="E148" s="65" t="s">
        <v>151</v>
      </c>
      <c r="F148" s="63" t="s">
        <v>489</v>
      </c>
      <c r="G148" s="1">
        <v>3</v>
      </c>
      <c r="H148" s="1">
        <f t="shared" si="24"/>
        <v>0.43269230769230771</v>
      </c>
      <c r="I148" s="1">
        <f t="shared" si="25"/>
        <v>0.41599999999999998</v>
      </c>
      <c r="J148" s="1">
        <f t="shared" si="23"/>
        <v>2.7900000000000036E-2</v>
      </c>
      <c r="K148" s="1">
        <f t="shared" si="26"/>
        <v>2.0514299999999999</v>
      </c>
      <c r="L148" s="1">
        <f t="shared" si="27"/>
        <v>1.6764100000000002</v>
      </c>
      <c r="M148" s="49">
        <f t="shared" si="28"/>
        <v>1.2838867821209494</v>
      </c>
      <c r="N148" s="49">
        <v>1.3793</v>
      </c>
      <c r="O148" s="1">
        <v>514</v>
      </c>
      <c r="P148" s="51">
        <v>0.05</v>
      </c>
      <c r="Q148" s="51">
        <v>11</v>
      </c>
      <c r="R148" s="51">
        <v>1</v>
      </c>
      <c r="S148" s="1">
        <v>1</v>
      </c>
      <c r="T148" s="1">
        <v>0</v>
      </c>
      <c r="U148" s="47">
        <v>1</v>
      </c>
      <c r="V148" s="47">
        <v>145</v>
      </c>
      <c r="W148" s="41">
        <v>180</v>
      </c>
      <c r="X148">
        <v>416</v>
      </c>
      <c r="Y148">
        <v>0.97209999999999996</v>
      </c>
      <c r="Z148">
        <v>2051.4299999999998</v>
      </c>
      <c r="AA148">
        <v>1676.41</v>
      </c>
      <c r="AB148">
        <v>137.93</v>
      </c>
      <c r="AC148">
        <v>36</v>
      </c>
      <c r="AD148" s="41">
        <f t="shared" si="29"/>
        <v>0.41921976377453779</v>
      </c>
      <c r="AE148" s="41">
        <f t="shared" si="30"/>
        <v>0.51300099617635297</v>
      </c>
      <c r="AF148">
        <f t="shared" si="31"/>
        <v>1.39037779661017</v>
      </c>
      <c r="AG148">
        <f t="shared" si="32"/>
        <v>0.11898939661016934</v>
      </c>
      <c r="AH148">
        <f t="shared" si="33"/>
        <v>1.3793</v>
      </c>
      <c r="AI148">
        <f>HLOOKUP(HLOOKUP(G148,'THP2'!$B$4:$J$8,5,FALSE),'Fuel &amp; Resister'!$B$3:$G$6,4,FALSE)</f>
        <v>2.7360666666666664</v>
      </c>
      <c r="AJ148" s="41">
        <f>HLOOKUP(HLOOKUP(G148,'THP2'!$B$4:$J$8,5,FALSE),'Fuel &amp; Resister'!$B$3:$G$6,3,FALSE)</f>
        <v>13.019</v>
      </c>
      <c r="AO148" s="1">
        <v>1</v>
      </c>
      <c r="AP148" s="1">
        <v>1</v>
      </c>
    </row>
    <row r="149" spans="2:42" x14ac:dyDescent="0.15">
      <c r="B149" s="43" t="s">
        <v>622</v>
      </c>
      <c r="C149" s="61">
        <f>VLOOKUP(B149,[1]SYS!$F$5:$G$359,2,FALSE)</f>
        <v>53</v>
      </c>
      <c r="D149" s="1" t="s">
        <v>50</v>
      </c>
      <c r="E149" s="65" t="s">
        <v>152</v>
      </c>
      <c r="F149" s="63" t="s">
        <v>493</v>
      </c>
      <c r="G149" s="1">
        <v>3</v>
      </c>
      <c r="H149" s="1">
        <f t="shared" si="24"/>
        <v>0.74545454545454548</v>
      </c>
      <c r="I149" s="1">
        <f t="shared" si="25"/>
        <v>5.5E-2</v>
      </c>
      <c r="J149" s="1">
        <f t="shared" si="23"/>
        <v>2.0000000000000018E-2</v>
      </c>
      <c r="K149" s="1">
        <f t="shared" si="26"/>
        <v>1.9038599999999999</v>
      </c>
      <c r="L149" s="1">
        <f t="shared" si="27"/>
        <v>1.84748</v>
      </c>
      <c r="M149" s="49">
        <f t="shared" si="28"/>
        <v>0.18706631423009443</v>
      </c>
      <c r="N149" s="49">
        <v>0.57200000000000006</v>
      </c>
      <c r="O149" s="1">
        <v>1214</v>
      </c>
      <c r="P149" s="51">
        <v>0</v>
      </c>
      <c r="Q149" s="51">
        <v>11</v>
      </c>
      <c r="R149" s="51">
        <v>1</v>
      </c>
      <c r="S149" s="1">
        <v>1</v>
      </c>
      <c r="T149" s="1">
        <v>0</v>
      </c>
      <c r="U149" s="47">
        <v>1</v>
      </c>
      <c r="V149" s="47">
        <v>146</v>
      </c>
      <c r="W149" s="41">
        <v>41</v>
      </c>
      <c r="X149">
        <v>55</v>
      </c>
      <c r="Y149">
        <v>0.98</v>
      </c>
      <c r="Z149">
        <v>1903.86</v>
      </c>
      <c r="AA149">
        <v>1847.48</v>
      </c>
      <c r="AB149">
        <v>57.2</v>
      </c>
      <c r="AC149">
        <v>36</v>
      </c>
      <c r="AD149" s="41">
        <f t="shared" si="29"/>
        <v>0.45171388652526978</v>
      </c>
      <c r="AE149" s="41">
        <f t="shared" si="30"/>
        <v>0.4654989499209734</v>
      </c>
      <c r="AF149">
        <f t="shared" si="31"/>
        <v>1.6823671428571432</v>
      </c>
      <c r="AG149">
        <f t="shared" si="32"/>
        <v>9.0812071428571263E-3</v>
      </c>
      <c r="AH149">
        <f t="shared" si="33"/>
        <v>0.57200000000000006</v>
      </c>
      <c r="AI149">
        <f>HLOOKUP(HLOOKUP(G149,'THP2'!$B$4:$J$8,5,FALSE),'Fuel &amp; Resister'!$B$3:$G$6,4,FALSE)</f>
        <v>2.7360666666666664</v>
      </c>
      <c r="AJ149" s="41">
        <f>HLOOKUP(HLOOKUP(G149,'THP2'!$B$4:$J$8,5,FALSE),'Fuel &amp; Resister'!$B$3:$G$6,3,FALSE)</f>
        <v>13.019</v>
      </c>
      <c r="AO149" s="1">
        <v>1</v>
      </c>
      <c r="AP149" s="1">
        <v>1</v>
      </c>
    </row>
    <row r="150" spans="2:42" x14ac:dyDescent="0.15">
      <c r="B150" s="43" t="s">
        <v>622</v>
      </c>
      <c r="C150" s="61">
        <f>VLOOKUP(B150,[1]SYS!$F$5:$G$359,2,FALSE)</f>
        <v>53</v>
      </c>
      <c r="D150" s="1" t="s">
        <v>50</v>
      </c>
      <c r="E150" s="65" t="s">
        <v>153</v>
      </c>
      <c r="F150" s="63" t="s">
        <v>493</v>
      </c>
      <c r="G150" s="1">
        <v>3</v>
      </c>
      <c r="H150" s="1">
        <f t="shared" si="24"/>
        <v>0.7592592592592593</v>
      </c>
      <c r="I150" s="1">
        <f t="shared" si="25"/>
        <v>5.3999999999999999E-2</v>
      </c>
      <c r="J150" s="1">
        <f t="shared" si="23"/>
        <v>2.0000000000000018E-2</v>
      </c>
      <c r="K150" s="1">
        <f t="shared" si="26"/>
        <v>1.9038599999999999</v>
      </c>
      <c r="L150" s="1">
        <f t="shared" si="27"/>
        <v>1.84748</v>
      </c>
      <c r="M150" s="49">
        <f t="shared" si="28"/>
        <v>0.18366510851682002</v>
      </c>
      <c r="N150" s="49">
        <v>0.56159999999999999</v>
      </c>
      <c r="O150" s="1">
        <v>601</v>
      </c>
      <c r="P150" s="51">
        <v>0</v>
      </c>
      <c r="Q150" s="51">
        <v>11</v>
      </c>
      <c r="R150" s="51">
        <v>1</v>
      </c>
      <c r="S150" s="1">
        <v>1</v>
      </c>
      <c r="T150" s="1">
        <v>0</v>
      </c>
      <c r="U150" s="47">
        <v>1</v>
      </c>
      <c r="V150" s="47">
        <v>147</v>
      </c>
      <c r="W150" s="41">
        <v>41</v>
      </c>
      <c r="X150">
        <v>54</v>
      </c>
      <c r="Y150">
        <v>0.98</v>
      </c>
      <c r="Z150">
        <v>1903.86</v>
      </c>
      <c r="AA150">
        <v>1847.48</v>
      </c>
      <c r="AB150">
        <v>56.16</v>
      </c>
      <c r="AC150">
        <v>36</v>
      </c>
      <c r="AD150" s="41">
        <f t="shared" si="29"/>
        <v>0.45171388652526978</v>
      </c>
      <c r="AE150" s="41">
        <f t="shared" si="30"/>
        <v>0.4654989499209734</v>
      </c>
      <c r="AF150">
        <f t="shared" si="31"/>
        <v>1.6696661538461544</v>
      </c>
      <c r="AG150">
        <f t="shared" si="32"/>
        <v>9.6019476923076656E-3</v>
      </c>
      <c r="AH150">
        <f t="shared" si="33"/>
        <v>0.56159999999999999</v>
      </c>
      <c r="AI150">
        <f>HLOOKUP(HLOOKUP(G150,'THP2'!$B$4:$J$8,5,FALSE),'Fuel &amp; Resister'!$B$3:$G$6,4,FALSE)</f>
        <v>2.7360666666666664</v>
      </c>
      <c r="AJ150" s="41">
        <f>HLOOKUP(HLOOKUP(G150,'THP2'!$B$4:$J$8,5,FALSE),'Fuel &amp; Resister'!$B$3:$G$6,3,FALSE)</f>
        <v>13.019</v>
      </c>
      <c r="AO150" s="1">
        <v>1</v>
      </c>
      <c r="AP150" s="1">
        <v>1</v>
      </c>
    </row>
    <row r="151" spans="2:42" x14ac:dyDescent="0.15">
      <c r="B151" s="43" t="s">
        <v>623</v>
      </c>
      <c r="C151" s="61">
        <f>VLOOKUP(B151,[1]SYS!$F$5:$G$359,2,FALSE)</f>
        <v>52</v>
      </c>
      <c r="D151" s="1" t="s">
        <v>50</v>
      </c>
      <c r="E151" s="65" t="s">
        <v>154</v>
      </c>
      <c r="F151" s="63" t="s">
        <v>492</v>
      </c>
      <c r="G151" s="1">
        <v>3</v>
      </c>
      <c r="H151" s="1">
        <f t="shared" si="24"/>
        <v>0.2288329519450801</v>
      </c>
      <c r="I151" s="1">
        <f t="shared" si="25"/>
        <v>0.874</v>
      </c>
      <c r="J151" s="1">
        <f t="shared" si="23"/>
        <v>1.9599999999999951E-2</v>
      </c>
      <c r="K151" s="1">
        <f t="shared" si="26"/>
        <v>2.7859699999999998</v>
      </c>
      <c r="L151" s="1">
        <f t="shared" si="27"/>
        <v>1.7124699999999999</v>
      </c>
      <c r="M151" s="49">
        <f t="shared" si="28"/>
        <v>2.755418430287143</v>
      </c>
      <c r="N151" s="49">
        <v>1.8652000000000002</v>
      </c>
      <c r="O151" s="1">
        <v>913</v>
      </c>
      <c r="P151" s="51">
        <v>0.05</v>
      </c>
      <c r="Q151" s="51">
        <v>11</v>
      </c>
      <c r="R151" s="51">
        <v>1</v>
      </c>
      <c r="S151" s="1">
        <v>1</v>
      </c>
      <c r="T151" s="1">
        <v>0</v>
      </c>
      <c r="U151" s="47">
        <v>1</v>
      </c>
      <c r="V151" s="47">
        <v>148</v>
      </c>
      <c r="W151" s="41">
        <v>200</v>
      </c>
      <c r="X151">
        <v>874</v>
      </c>
      <c r="Y151">
        <v>0.98040000000000005</v>
      </c>
      <c r="Z151">
        <v>2785.97</v>
      </c>
      <c r="AA151">
        <v>1712.47</v>
      </c>
      <c r="AB151">
        <v>186.52</v>
      </c>
      <c r="AC151">
        <v>36</v>
      </c>
      <c r="AD151" s="41">
        <f t="shared" si="29"/>
        <v>0.3086896125945362</v>
      </c>
      <c r="AE151" s="41">
        <f t="shared" si="30"/>
        <v>0.50219857866123208</v>
      </c>
      <c r="AF151">
        <f t="shared" si="31"/>
        <v>1.393924005934718</v>
      </c>
      <c r="AG151">
        <f t="shared" si="32"/>
        <v>0.27840919881305642</v>
      </c>
      <c r="AH151">
        <f t="shared" si="33"/>
        <v>1.8652000000000002</v>
      </c>
      <c r="AI151">
        <f>HLOOKUP(HLOOKUP(G151,'THP2'!$B$4:$J$8,5,FALSE),'Fuel &amp; Resister'!$B$3:$G$6,4,FALSE)</f>
        <v>2.7360666666666664</v>
      </c>
      <c r="AJ151" s="41">
        <f>HLOOKUP(HLOOKUP(G151,'THP2'!$B$4:$J$8,5,FALSE),'Fuel &amp; Resister'!$B$3:$G$6,3,FALSE)</f>
        <v>13.019</v>
      </c>
      <c r="AO151" s="1">
        <v>1</v>
      </c>
      <c r="AP151" s="1">
        <v>1</v>
      </c>
    </row>
    <row r="152" spans="2:42" x14ac:dyDescent="0.15">
      <c r="B152" s="43" t="s">
        <v>623</v>
      </c>
      <c r="C152" s="61">
        <f>VLOOKUP(B152,[1]SYS!$F$5:$G$359,2,FALSE)</f>
        <v>52</v>
      </c>
      <c r="D152" s="1" t="s">
        <v>50</v>
      </c>
      <c r="E152" s="65" t="s">
        <v>155</v>
      </c>
      <c r="F152" s="63" t="s">
        <v>492</v>
      </c>
      <c r="G152" s="1">
        <v>3</v>
      </c>
      <c r="H152" s="1">
        <f t="shared" si="24"/>
        <v>0.24213075060532688</v>
      </c>
      <c r="I152" s="1">
        <f t="shared" si="25"/>
        <v>0.82599999999999996</v>
      </c>
      <c r="J152" s="1">
        <f t="shared" si="23"/>
        <v>1.9599999999999951E-2</v>
      </c>
      <c r="K152" s="1">
        <f t="shared" si="26"/>
        <v>2.7959899999999998</v>
      </c>
      <c r="L152" s="1">
        <f t="shared" si="27"/>
        <v>1.7186300000000001</v>
      </c>
      <c r="M152" s="49">
        <f t="shared" si="28"/>
        <v>2.6134583911890865</v>
      </c>
      <c r="N152" s="49">
        <v>1.8148</v>
      </c>
      <c r="O152" s="1">
        <v>413</v>
      </c>
      <c r="P152" s="51">
        <v>0.05</v>
      </c>
      <c r="Q152" s="51">
        <v>11</v>
      </c>
      <c r="R152" s="51">
        <v>1</v>
      </c>
      <c r="S152" s="1">
        <v>1</v>
      </c>
      <c r="T152" s="1">
        <v>0</v>
      </c>
      <c r="U152" s="47">
        <v>1</v>
      </c>
      <c r="V152" s="47">
        <v>149</v>
      </c>
      <c r="W152" s="41">
        <v>200</v>
      </c>
      <c r="X152">
        <v>826</v>
      </c>
      <c r="Y152">
        <v>0.98040000000000005</v>
      </c>
      <c r="Z152">
        <v>2795.99</v>
      </c>
      <c r="AA152">
        <v>1718.63</v>
      </c>
      <c r="AB152">
        <v>181.48</v>
      </c>
      <c r="AC152">
        <v>36</v>
      </c>
      <c r="AD152" s="41">
        <f t="shared" si="29"/>
        <v>0.30758336045550955</v>
      </c>
      <c r="AE152" s="41">
        <f t="shared" si="30"/>
        <v>0.50039857328220727</v>
      </c>
      <c r="AF152">
        <f t="shared" si="31"/>
        <v>1.3744255271565495</v>
      </c>
      <c r="AG152">
        <f t="shared" si="32"/>
        <v>0.28431289456869013</v>
      </c>
      <c r="AH152">
        <f t="shared" si="33"/>
        <v>1.8148</v>
      </c>
      <c r="AI152">
        <f>HLOOKUP(HLOOKUP(G152,'THP2'!$B$4:$J$8,5,FALSE),'Fuel &amp; Resister'!$B$3:$G$6,4,FALSE)</f>
        <v>2.7360666666666664</v>
      </c>
      <c r="AJ152" s="41">
        <f>HLOOKUP(HLOOKUP(G152,'THP2'!$B$4:$J$8,5,FALSE),'Fuel &amp; Resister'!$B$3:$G$6,3,FALSE)</f>
        <v>13.019</v>
      </c>
      <c r="AO152" s="1">
        <v>1</v>
      </c>
      <c r="AP152" s="1">
        <v>1</v>
      </c>
    </row>
    <row r="153" spans="2:42" x14ac:dyDescent="0.15">
      <c r="B153" s="43" t="s">
        <v>589</v>
      </c>
      <c r="C153" s="61">
        <f>VLOOKUP(B153,[1]SYS!$F$5:$G$359,2,FALSE)</f>
        <v>59</v>
      </c>
      <c r="D153" s="1" t="s">
        <v>50</v>
      </c>
      <c r="E153" s="65" t="s">
        <v>551</v>
      </c>
      <c r="F153" s="63" t="s">
        <v>552</v>
      </c>
      <c r="G153" s="1">
        <v>3</v>
      </c>
      <c r="H153" s="1">
        <f t="shared" si="24"/>
        <v>0.46845124282982792</v>
      </c>
      <c r="I153" s="1">
        <f t="shared" si="25"/>
        <v>0.52300000000000002</v>
      </c>
      <c r="J153" s="1">
        <f t="shared" si="23"/>
        <v>2.4499999999999966E-2</v>
      </c>
      <c r="K153" s="1">
        <f t="shared" si="26"/>
        <v>2.0238199999999997</v>
      </c>
      <c r="L153" s="1">
        <f t="shared" si="27"/>
        <v>1.6538499999999998</v>
      </c>
      <c r="M153" s="49">
        <f t="shared" si="28"/>
        <v>1.5923955702005683</v>
      </c>
      <c r="N153" s="49">
        <f>AB153/100</f>
        <v>1.4944999999999999</v>
      </c>
      <c r="O153" s="1">
        <v>504</v>
      </c>
      <c r="P153" s="51">
        <v>0.05</v>
      </c>
      <c r="Q153" s="51">
        <v>11</v>
      </c>
      <c r="R153" s="51">
        <v>1</v>
      </c>
      <c r="S153" s="1">
        <v>1</v>
      </c>
      <c r="T153" s="1">
        <v>0</v>
      </c>
      <c r="U153" s="47">
        <v>0</v>
      </c>
      <c r="V153" s="47"/>
      <c r="W153">
        <v>245</v>
      </c>
      <c r="X153">
        <v>523</v>
      </c>
      <c r="Y153">
        <v>0.97550000000000003</v>
      </c>
      <c r="Z153">
        <v>2023.82</v>
      </c>
      <c r="AA153">
        <v>1653.85</v>
      </c>
      <c r="AB153">
        <v>149.44999999999999</v>
      </c>
      <c r="AC153"/>
      <c r="AD153" s="41"/>
      <c r="AI153">
        <f>HLOOKUP(HLOOKUP(G153,'THP2'!$B$4:$J$8,5,FALSE),'Fuel &amp; Resister'!$B$3:$G$6,4,FALSE)</f>
        <v>2.7360666666666664</v>
      </c>
      <c r="AJ153" s="41">
        <f>HLOOKUP(HLOOKUP(G153,'THP2'!$B$4:$J$8,5,FALSE),'Fuel &amp; Resister'!$B$3:$G$6,3,FALSE)</f>
        <v>13.019</v>
      </c>
      <c r="AO153" s="1">
        <v>1</v>
      </c>
      <c r="AP153" s="62">
        <v>0</v>
      </c>
    </row>
    <row r="154" spans="2:42" x14ac:dyDescent="0.15">
      <c r="B154" s="43" t="s">
        <v>589</v>
      </c>
      <c r="C154" s="61">
        <f>VLOOKUP(B154,[1]SYS!$F$5:$G$359,2,FALSE)</f>
        <v>59</v>
      </c>
      <c r="D154" s="1" t="s">
        <v>50</v>
      </c>
      <c r="E154" s="65" t="s">
        <v>551</v>
      </c>
      <c r="F154" s="63" t="s">
        <v>552</v>
      </c>
      <c r="G154" s="1">
        <v>3</v>
      </c>
      <c r="H154" s="1">
        <f t="shared" si="24"/>
        <v>0.46845124282982792</v>
      </c>
      <c r="I154" s="1">
        <f t="shared" si="25"/>
        <v>0.52300000000000002</v>
      </c>
      <c r="J154" s="1">
        <f t="shared" si="23"/>
        <v>2.4499999999999966E-2</v>
      </c>
      <c r="K154" s="1">
        <f t="shared" si="26"/>
        <v>2.0238199999999997</v>
      </c>
      <c r="L154" s="1">
        <f t="shared" si="27"/>
        <v>1.6538499999999998</v>
      </c>
      <c r="M154" s="49">
        <f t="shared" si="28"/>
        <v>1.5923955702005683</v>
      </c>
      <c r="N154" s="49">
        <f>AB154/100</f>
        <v>1.4944999999999999</v>
      </c>
      <c r="O154" s="1">
        <v>609</v>
      </c>
      <c r="P154" s="51">
        <v>0.05</v>
      </c>
      <c r="Q154" s="51">
        <v>11</v>
      </c>
      <c r="R154" s="51">
        <v>1</v>
      </c>
      <c r="S154" s="1">
        <v>1</v>
      </c>
      <c r="T154" s="1">
        <v>0</v>
      </c>
      <c r="U154" s="47">
        <v>0</v>
      </c>
      <c r="V154" s="47"/>
      <c r="W154">
        <v>245</v>
      </c>
      <c r="X154">
        <v>523</v>
      </c>
      <c r="Y154">
        <v>0.97550000000000003</v>
      </c>
      <c r="Z154">
        <v>2023.82</v>
      </c>
      <c r="AA154">
        <v>1653.85</v>
      </c>
      <c r="AB154">
        <v>149.44999999999999</v>
      </c>
      <c r="AC154"/>
      <c r="AD154" s="41"/>
      <c r="AI154">
        <f>HLOOKUP(HLOOKUP(G154,'THP2'!$B$4:$J$8,5,FALSE),'Fuel &amp; Resister'!$B$3:$G$6,4,FALSE)</f>
        <v>2.7360666666666664</v>
      </c>
      <c r="AJ154" s="41">
        <f>HLOOKUP(HLOOKUP(G154,'THP2'!$B$4:$J$8,5,FALSE),'Fuel &amp; Resister'!$B$3:$G$6,3,FALSE)</f>
        <v>13.019</v>
      </c>
      <c r="AO154" s="1">
        <v>1</v>
      </c>
      <c r="AP154" s="62">
        <v>0</v>
      </c>
    </row>
    <row r="155" spans="2:42" x14ac:dyDescent="0.15">
      <c r="B155" s="43" t="s">
        <v>624</v>
      </c>
      <c r="C155" s="61">
        <f>VLOOKUP(B155,[1]SYS!$F$5:$G$359,2,FALSE)</f>
        <v>74</v>
      </c>
      <c r="D155" s="1" t="s">
        <v>50</v>
      </c>
      <c r="E155" s="65" t="s">
        <v>156</v>
      </c>
      <c r="F155" s="63" t="s">
        <v>442</v>
      </c>
      <c r="G155" s="1">
        <v>3</v>
      </c>
      <c r="H155" s="1">
        <f t="shared" si="24"/>
        <v>0.4</v>
      </c>
      <c r="I155" s="1">
        <f t="shared" si="25"/>
        <v>0.78</v>
      </c>
      <c r="J155" s="1">
        <f t="shared" si="23"/>
        <v>2.0000000000000018E-2</v>
      </c>
      <c r="K155" s="1">
        <f t="shared" si="26"/>
        <v>1.9562299999999999</v>
      </c>
      <c r="L155" s="1">
        <f t="shared" si="27"/>
        <v>1.4995699999999998</v>
      </c>
      <c r="M155" s="49">
        <f t="shared" si="28"/>
        <v>2.1533493840988092</v>
      </c>
      <c r="N155" s="49">
        <v>1.7665</v>
      </c>
      <c r="O155" s="1">
        <v>913</v>
      </c>
      <c r="P155" s="51">
        <v>0.05</v>
      </c>
      <c r="Q155" s="51">
        <v>11</v>
      </c>
      <c r="R155" s="51">
        <v>1</v>
      </c>
      <c r="S155" s="1">
        <v>1</v>
      </c>
      <c r="T155" s="1">
        <v>0</v>
      </c>
      <c r="U155" s="47">
        <v>1</v>
      </c>
      <c r="V155" s="47">
        <v>150</v>
      </c>
      <c r="W155" s="41">
        <v>312</v>
      </c>
      <c r="X155">
        <v>780</v>
      </c>
      <c r="Y155">
        <v>0.98</v>
      </c>
      <c r="Z155">
        <v>1956.23</v>
      </c>
      <c r="AA155">
        <v>1499.57</v>
      </c>
      <c r="AB155">
        <v>176.65</v>
      </c>
      <c r="AC155">
        <v>36</v>
      </c>
      <c r="AD155" s="41">
        <f t="shared" si="29"/>
        <v>0.43962110794742953</v>
      </c>
      <c r="AE155" s="41">
        <f t="shared" si="30"/>
        <v>0.57349773601765841</v>
      </c>
      <c r="AF155">
        <f t="shared" si="31"/>
        <v>1.1951299999999998</v>
      </c>
      <c r="AG155">
        <f t="shared" si="32"/>
        <v>0.23746320000000004</v>
      </c>
      <c r="AH155">
        <f t="shared" si="33"/>
        <v>1.7665</v>
      </c>
      <c r="AI155">
        <f>HLOOKUP(HLOOKUP(G155,'THP2'!$B$4:$J$8,5,FALSE),'Fuel &amp; Resister'!$B$3:$G$6,4,FALSE)</f>
        <v>2.7360666666666664</v>
      </c>
      <c r="AJ155" s="41">
        <f>HLOOKUP(HLOOKUP(G155,'THP2'!$B$4:$J$8,5,FALSE),'Fuel &amp; Resister'!$B$3:$G$6,3,FALSE)</f>
        <v>13.019</v>
      </c>
      <c r="AO155" s="1">
        <v>1</v>
      </c>
      <c r="AP155" s="1">
        <v>1</v>
      </c>
    </row>
    <row r="156" spans="2:42" x14ac:dyDescent="0.15">
      <c r="B156" s="43" t="s">
        <v>624</v>
      </c>
      <c r="C156" s="61">
        <f>VLOOKUP(B156,[1]SYS!$F$5:$G$359,2,FALSE)</f>
        <v>74</v>
      </c>
      <c r="D156" s="1" t="s">
        <v>50</v>
      </c>
      <c r="E156" s="65" t="s">
        <v>157</v>
      </c>
      <c r="F156" s="63" t="s">
        <v>442</v>
      </c>
      <c r="G156" s="1">
        <v>3</v>
      </c>
      <c r="H156" s="1">
        <f t="shared" si="24"/>
        <v>0.4</v>
      </c>
      <c r="I156" s="1">
        <f t="shared" si="25"/>
        <v>0.78</v>
      </c>
      <c r="J156" s="1">
        <f t="shared" si="23"/>
        <v>2.0000000000000018E-2</v>
      </c>
      <c r="K156" s="1">
        <f t="shared" si="26"/>
        <v>1.9562299999999999</v>
      </c>
      <c r="L156" s="1">
        <f t="shared" si="27"/>
        <v>1.4995699999999998</v>
      </c>
      <c r="M156" s="49">
        <f t="shared" si="28"/>
        <v>2.1533493840988092</v>
      </c>
      <c r="N156" s="49">
        <v>1.7665</v>
      </c>
      <c r="O156" s="1">
        <v>514</v>
      </c>
      <c r="P156" s="51">
        <v>0.05</v>
      </c>
      <c r="Q156" s="51">
        <v>11</v>
      </c>
      <c r="R156" s="51">
        <v>1</v>
      </c>
      <c r="S156" s="1">
        <v>1</v>
      </c>
      <c r="T156" s="1">
        <v>0</v>
      </c>
      <c r="U156" s="47">
        <v>1</v>
      </c>
      <c r="V156" s="47">
        <v>151</v>
      </c>
      <c r="W156" s="41">
        <v>312</v>
      </c>
      <c r="X156">
        <v>780</v>
      </c>
      <c r="Y156">
        <v>0.98</v>
      </c>
      <c r="Z156">
        <v>1956.23</v>
      </c>
      <c r="AA156">
        <v>1499.57</v>
      </c>
      <c r="AB156">
        <v>176.65</v>
      </c>
      <c r="AC156">
        <v>36</v>
      </c>
      <c r="AD156" s="41">
        <f t="shared" si="29"/>
        <v>0.43962110794742953</v>
      </c>
      <c r="AE156" s="41">
        <f t="shared" si="30"/>
        <v>0.57349773601765841</v>
      </c>
      <c r="AF156">
        <f t="shared" si="31"/>
        <v>1.1951299999999998</v>
      </c>
      <c r="AG156">
        <f t="shared" si="32"/>
        <v>0.23746320000000004</v>
      </c>
      <c r="AH156">
        <f t="shared" si="33"/>
        <v>1.7665</v>
      </c>
      <c r="AI156">
        <f>HLOOKUP(HLOOKUP(G156,'THP2'!$B$4:$J$8,5,FALSE),'Fuel &amp; Resister'!$B$3:$G$6,4,FALSE)</f>
        <v>2.7360666666666664</v>
      </c>
      <c r="AJ156" s="41">
        <f>HLOOKUP(HLOOKUP(G156,'THP2'!$B$4:$J$8,5,FALSE),'Fuel &amp; Resister'!$B$3:$G$6,3,FALSE)</f>
        <v>13.019</v>
      </c>
      <c r="AO156" s="1">
        <v>1</v>
      </c>
      <c r="AP156" s="1">
        <v>1</v>
      </c>
    </row>
    <row r="157" spans="2:42" x14ac:dyDescent="0.15">
      <c r="B157" s="43" t="s">
        <v>624</v>
      </c>
      <c r="C157" s="61">
        <f>VLOOKUP(B157,[1]SYS!$F$5:$G$359,2,FALSE)</f>
        <v>74</v>
      </c>
      <c r="D157" s="1" t="s">
        <v>50</v>
      </c>
      <c r="E157" s="65" t="s">
        <v>158</v>
      </c>
      <c r="F157" s="63" t="s">
        <v>442</v>
      </c>
      <c r="G157" s="1">
        <v>3</v>
      </c>
      <c r="H157" s="1">
        <f t="shared" si="24"/>
        <v>0.4</v>
      </c>
      <c r="I157" s="1">
        <f t="shared" si="25"/>
        <v>0.78</v>
      </c>
      <c r="J157" s="1">
        <f t="shared" si="23"/>
        <v>2.0000000000000018E-2</v>
      </c>
      <c r="K157" s="1">
        <f t="shared" si="26"/>
        <v>1.9562299999999999</v>
      </c>
      <c r="L157" s="1">
        <f t="shared" si="27"/>
        <v>1.4995699999999998</v>
      </c>
      <c r="M157" s="49">
        <f t="shared" si="28"/>
        <v>2.1533493840988092</v>
      </c>
      <c r="N157" s="49">
        <v>1.7665</v>
      </c>
      <c r="O157" s="1">
        <v>613</v>
      </c>
      <c r="P157" s="51">
        <v>0.05</v>
      </c>
      <c r="Q157" s="51">
        <v>11</v>
      </c>
      <c r="R157" s="51">
        <v>1</v>
      </c>
      <c r="S157" s="1">
        <v>1</v>
      </c>
      <c r="T157" s="1">
        <v>0</v>
      </c>
      <c r="U157" s="47">
        <v>1</v>
      </c>
      <c r="V157" s="47">
        <v>152</v>
      </c>
      <c r="W157" s="41">
        <v>312</v>
      </c>
      <c r="X157">
        <v>780</v>
      </c>
      <c r="Y157">
        <v>0.98</v>
      </c>
      <c r="Z157">
        <v>1956.23</v>
      </c>
      <c r="AA157">
        <v>1499.57</v>
      </c>
      <c r="AB157">
        <v>176.65</v>
      </c>
      <c r="AC157">
        <v>36</v>
      </c>
      <c r="AD157" s="41">
        <f t="shared" si="29"/>
        <v>0.43962110794742953</v>
      </c>
      <c r="AE157" s="41">
        <f t="shared" si="30"/>
        <v>0.57349773601765841</v>
      </c>
      <c r="AF157">
        <f t="shared" si="31"/>
        <v>1.1951299999999998</v>
      </c>
      <c r="AG157">
        <f t="shared" si="32"/>
        <v>0.23746320000000004</v>
      </c>
      <c r="AH157">
        <f t="shared" si="33"/>
        <v>1.7665</v>
      </c>
      <c r="AI157">
        <f>HLOOKUP(HLOOKUP(G157,'THP2'!$B$4:$J$8,5,FALSE),'Fuel &amp; Resister'!$B$3:$G$6,4,FALSE)</f>
        <v>2.7360666666666664</v>
      </c>
      <c r="AJ157" s="41">
        <f>HLOOKUP(HLOOKUP(G157,'THP2'!$B$4:$J$8,5,FALSE),'Fuel &amp; Resister'!$B$3:$G$6,3,FALSE)</f>
        <v>13.019</v>
      </c>
      <c r="AO157" s="1">
        <v>1</v>
      </c>
      <c r="AP157" s="1">
        <v>1</v>
      </c>
    </row>
    <row r="158" spans="2:42" x14ac:dyDescent="0.15">
      <c r="B158" s="43" t="s">
        <v>624</v>
      </c>
      <c r="C158" s="61">
        <f>VLOOKUP(B158,[1]SYS!$F$5:$G$359,2,FALSE)</f>
        <v>74</v>
      </c>
      <c r="D158" s="1" t="s">
        <v>50</v>
      </c>
      <c r="E158" s="65" t="s">
        <v>159</v>
      </c>
      <c r="F158" s="63" t="s">
        <v>443</v>
      </c>
      <c r="G158" s="1">
        <v>3</v>
      </c>
      <c r="H158" s="1">
        <f t="shared" si="24"/>
        <v>0.4</v>
      </c>
      <c r="I158" s="1">
        <f t="shared" si="25"/>
        <v>0.65</v>
      </c>
      <c r="J158" s="1">
        <f t="shared" si="23"/>
        <v>2.0000000000000018E-2</v>
      </c>
      <c r="K158" s="1">
        <f t="shared" si="26"/>
        <v>1.9856500000000001</v>
      </c>
      <c r="L158" s="1">
        <f t="shared" si="27"/>
        <v>1.5221199999999999</v>
      </c>
      <c r="M158" s="49">
        <f t="shared" si="28"/>
        <v>1.8214422381774327</v>
      </c>
      <c r="N158" s="49">
        <v>1.63</v>
      </c>
      <c r="O158" s="1">
        <v>613</v>
      </c>
      <c r="P158" s="51">
        <v>0.05</v>
      </c>
      <c r="Q158" s="51">
        <v>11</v>
      </c>
      <c r="R158" s="51">
        <v>1</v>
      </c>
      <c r="S158" s="1">
        <v>1</v>
      </c>
      <c r="T158" s="1">
        <v>0</v>
      </c>
      <c r="U158" s="47">
        <v>1</v>
      </c>
      <c r="V158" s="47">
        <v>153</v>
      </c>
      <c r="W158" s="41">
        <v>260</v>
      </c>
      <c r="X158">
        <v>650</v>
      </c>
      <c r="Y158">
        <v>0.98</v>
      </c>
      <c r="Z158">
        <v>1985.65</v>
      </c>
      <c r="AA158">
        <v>1522.12</v>
      </c>
      <c r="AB158">
        <v>163</v>
      </c>
      <c r="AC158">
        <v>36</v>
      </c>
      <c r="AD158" s="41">
        <f t="shared" si="29"/>
        <v>0.43310754664719353</v>
      </c>
      <c r="AE158" s="41">
        <f t="shared" si="30"/>
        <v>0.56500144535253471</v>
      </c>
      <c r="AF158">
        <f t="shared" si="31"/>
        <v>1.2130999999999998</v>
      </c>
      <c r="AG158">
        <f t="shared" si="32"/>
        <v>0.20086300000000004</v>
      </c>
      <c r="AH158">
        <f t="shared" si="33"/>
        <v>1.63</v>
      </c>
      <c r="AI158">
        <f>HLOOKUP(HLOOKUP(G158,'THP2'!$B$4:$J$8,5,FALSE),'Fuel &amp; Resister'!$B$3:$G$6,4,FALSE)</f>
        <v>2.7360666666666664</v>
      </c>
      <c r="AJ158" s="41">
        <f>HLOOKUP(HLOOKUP(G158,'THP2'!$B$4:$J$8,5,FALSE),'Fuel &amp; Resister'!$B$3:$G$6,3,FALSE)</f>
        <v>13.019</v>
      </c>
      <c r="AO158" s="1">
        <v>1</v>
      </c>
      <c r="AP158" s="1">
        <v>1</v>
      </c>
    </row>
    <row r="159" spans="2:42" x14ac:dyDescent="0.15">
      <c r="B159" s="43" t="s">
        <v>624</v>
      </c>
      <c r="C159" s="61">
        <f>VLOOKUP(B159,[1]SYS!$F$5:$G$359,2,FALSE)</f>
        <v>74</v>
      </c>
      <c r="D159" s="1" t="s">
        <v>50</v>
      </c>
      <c r="E159" s="65" t="s">
        <v>160</v>
      </c>
      <c r="F159" s="63" t="s">
        <v>443</v>
      </c>
      <c r="G159" s="1">
        <v>3</v>
      </c>
      <c r="H159" s="1">
        <f t="shared" si="24"/>
        <v>0.4</v>
      </c>
      <c r="I159" s="1">
        <f t="shared" si="25"/>
        <v>0.65</v>
      </c>
      <c r="J159" s="1">
        <f t="shared" si="23"/>
        <v>2.0000000000000018E-2</v>
      </c>
      <c r="K159" s="1">
        <f t="shared" si="26"/>
        <v>1.9856500000000001</v>
      </c>
      <c r="L159" s="1">
        <f t="shared" si="27"/>
        <v>1.5221199999999999</v>
      </c>
      <c r="M159" s="49">
        <f t="shared" si="28"/>
        <v>1.8214422381774327</v>
      </c>
      <c r="N159" s="49">
        <v>1.63</v>
      </c>
      <c r="O159" s="1">
        <v>913</v>
      </c>
      <c r="P159" s="51">
        <v>0.05</v>
      </c>
      <c r="Q159" s="51">
        <v>11</v>
      </c>
      <c r="R159" s="51">
        <v>1</v>
      </c>
      <c r="S159" s="1">
        <v>1</v>
      </c>
      <c r="T159" s="1">
        <v>0</v>
      </c>
      <c r="U159" s="47">
        <v>1</v>
      </c>
      <c r="V159" s="47">
        <v>154</v>
      </c>
      <c r="W159" s="41">
        <v>260</v>
      </c>
      <c r="X159">
        <v>650</v>
      </c>
      <c r="Y159">
        <v>0.98</v>
      </c>
      <c r="Z159">
        <v>1985.65</v>
      </c>
      <c r="AA159">
        <v>1522.12</v>
      </c>
      <c r="AB159">
        <v>163</v>
      </c>
      <c r="AC159">
        <v>36</v>
      </c>
      <c r="AD159" s="41">
        <f t="shared" si="29"/>
        <v>0.43310754664719353</v>
      </c>
      <c r="AE159" s="41">
        <f t="shared" si="30"/>
        <v>0.56500144535253471</v>
      </c>
      <c r="AF159">
        <f t="shared" si="31"/>
        <v>1.2130999999999998</v>
      </c>
      <c r="AG159">
        <f t="shared" si="32"/>
        <v>0.20086300000000004</v>
      </c>
      <c r="AH159">
        <f t="shared" si="33"/>
        <v>1.63</v>
      </c>
      <c r="AI159">
        <f>HLOOKUP(HLOOKUP(G159,'THP2'!$B$4:$J$8,5,FALSE),'Fuel &amp; Resister'!$B$3:$G$6,4,FALSE)</f>
        <v>2.7360666666666664</v>
      </c>
      <c r="AJ159" s="41">
        <f>HLOOKUP(HLOOKUP(G159,'THP2'!$B$4:$J$8,5,FALSE),'Fuel &amp; Resister'!$B$3:$G$6,3,FALSE)</f>
        <v>13.019</v>
      </c>
      <c r="AO159" s="1">
        <v>1</v>
      </c>
      <c r="AP159" s="1">
        <v>1</v>
      </c>
    </row>
    <row r="160" spans="2:42" x14ac:dyDescent="0.15">
      <c r="B160" s="43" t="s">
        <v>624</v>
      </c>
      <c r="C160" s="61">
        <f>VLOOKUP(B160,[1]SYS!$F$5:$G$359,2,FALSE)</f>
        <v>74</v>
      </c>
      <c r="D160" s="1" t="s">
        <v>50</v>
      </c>
      <c r="E160" s="65" t="s">
        <v>161</v>
      </c>
      <c r="F160" s="63" t="s">
        <v>443</v>
      </c>
      <c r="G160" s="1">
        <v>3</v>
      </c>
      <c r="H160" s="1">
        <f t="shared" si="24"/>
        <v>0.4</v>
      </c>
      <c r="I160" s="1">
        <f t="shared" si="25"/>
        <v>0.65</v>
      </c>
      <c r="J160" s="1">
        <f t="shared" si="23"/>
        <v>2.0000000000000018E-2</v>
      </c>
      <c r="K160" s="1">
        <f t="shared" si="26"/>
        <v>1.9856500000000001</v>
      </c>
      <c r="L160" s="1">
        <f t="shared" si="27"/>
        <v>1.5221199999999999</v>
      </c>
      <c r="M160" s="49">
        <f t="shared" si="28"/>
        <v>1.8214422381774327</v>
      </c>
      <c r="N160" s="49">
        <v>1.63</v>
      </c>
      <c r="O160" s="1">
        <v>413</v>
      </c>
      <c r="P160" s="51">
        <v>0.05</v>
      </c>
      <c r="Q160" s="51">
        <v>11</v>
      </c>
      <c r="R160" s="51">
        <v>1</v>
      </c>
      <c r="S160" s="1">
        <v>1</v>
      </c>
      <c r="T160" s="1">
        <v>0</v>
      </c>
      <c r="U160" s="47">
        <v>1</v>
      </c>
      <c r="V160" s="47">
        <v>155</v>
      </c>
      <c r="W160" s="41">
        <v>260</v>
      </c>
      <c r="X160">
        <v>650</v>
      </c>
      <c r="Y160">
        <v>0.98</v>
      </c>
      <c r="Z160">
        <v>1985.65</v>
      </c>
      <c r="AA160">
        <v>1522.12</v>
      </c>
      <c r="AB160">
        <v>163</v>
      </c>
      <c r="AC160">
        <v>36</v>
      </c>
      <c r="AD160" s="41">
        <f t="shared" si="29"/>
        <v>0.43310754664719353</v>
      </c>
      <c r="AE160" s="41">
        <f t="shared" si="30"/>
        <v>0.56500144535253471</v>
      </c>
      <c r="AF160">
        <f t="shared" si="31"/>
        <v>1.2130999999999998</v>
      </c>
      <c r="AG160">
        <f t="shared" si="32"/>
        <v>0.20086300000000004</v>
      </c>
      <c r="AH160">
        <f t="shared" si="33"/>
        <v>1.63</v>
      </c>
      <c r="AI160">
        <f>HLOOKUP(HLOOKUP(G160,'THP2'!$B$4:$J$8,5,FALSE),'Fuel &amp; Resister'!$B$3:$G$6,4,FALSE)</f>
        <v>2.7360666666666664</v>
      </c>
      <c r="AJ160" s="41">
        <f>HLOOKUP(HLOOKUP(G160,'THP2'!$B$4:$J$8,5,FALSE),'Fuel &amp; Resister'!$B$3:$G$6,3,FALSE)</f>
        <v>13.019</v>
      </c>
      <c r="AO160" s="1">
        <v>1</v>
      </c>
      <c r="AP160" s="1">
        <v>1</v>
      </c>
    </row>
    <row r="161" spans="2:42" x14ac:dyDescent="0.15">
      <c r="B161" s="43" t="s">
        <v>624</v>
      </c>
      <c r="C161" s="61">
        <f>VLOOKUP(B161,[1]SYS!$F$5:$G$359,2,FALSE)</f>
        <v>74</v>
      </c>
      <c r="D161" s="1" t="s">
        <v>50</v>
      </c>
      <c r="E161" s="65" t="s">
        <v>162</v>
      </c>
      <c r="F161" s="42" t="s">
        <v>515</v>
      </c>
      <c r="G161" s="1">
        <v>3</v>
      </c>
      <c r="H161" s="1">
        <f t="shared" si="24"/>
        <v>0.4</v>
      </c>
      <c r="I161" s="1">
        <f t="shared" si="25"/>
        <v>1.07</v>
      </c>
      <c r="J161" s="1">
        <f t="shared" si="23"/>
        <v>2.0000000000000018E-2</v>
      </c>
      <c r="K161" s="1">
        <f t="shared" si="26"/>
        <v>2.0033799999999999</v>
      </c>
      <c r="L161" s="1">
        <f t="shared" si="27"/>
        <v>1.5357100000000001</v>
      </c>
      <c r="M161" s="49">
        <f t="shared" si="28"/>
        <v>3.0251446401303332</v>
      </c>
      <c r="N161" s="49">
        <v>2.0709999999999997</v>
      </c>
      <c r="O161" s="1">
        <v>514</v>
      </c>
      <c r="P161" s="51">
        <v>0.05</v>
      </c>
      <c r="Q161" s="51">
        <v>11</v>
      </c>
      <c r="R161" s="51">
        <v>1</v>
      </c>
      <c r="S161" s="1">
        <v>1</v>
      </c>
      <c r="T161" s="1">
        <v>0</v>
      </c>
      <c r="U161" s="47">
        <v>1</v>
      </c>
      <c r="V161" s="47">
        <v>156</v>
      </c>
      <c r="W161" s="41">
        <v>428</v>
      </c>
      <c r="X161">
        <v>1070</v>
      </c>
      <c r="Y161">
        <v>0.98</v>
      </c>
      <c r="Z161">
        <v>2003.38</v>
      </c>
      <c r="AA161">
        <v>1535.71</v>
      </c>
      <c r="AB161">
        <v>207.1</v>
      </c>
      <c r="AC161">
        <v>36</v>
      </c>
      <c r="AD161" s="41">
        <f t="shared" si="29"/>
        <v>0.42927452605097377</v>
      </c>
      <c r="AE161" s="41">
        <f t="shared" si="30"/>
        <v>0.56000156279505897</v>
      </c>
      <c r="AF161">
        <f t="shared" si="31"/>
        <v>1.2239300000000002</v>
      </c>
      <c r="AG161">
        <f t="shared" si="32"/>
        <v>0.33360459999999997</v>
      </c>
      <c r="AH161">
        <f t="shared" si="33"/>
        <v>2.0709999999999997</v>
      </c>
      <c r="AI161">
        <f>HLOOKUP(HLOOKUP(G161,'THP2'!$B$4:$J$8,5,FALSE),'Fuel &amp; Resister'!$B$3:$G$6,4,FALSE)</f>
        <v>2.7360666666666664</v>
      </c>
      <c r="AJ161" s="41">
        <f>HLOOKUP(HLOOKUP(G161,'THP2'!$B$4:$J$8,5,FALSE),'Fuel &amp; Resister'!$B$3:$G$6,3,FALSE)</f>
        <v>13.019</v>
      </c>
      <c r="AO161" s="1">
        <v>1</v>
      </c>
      <c r="AP161" s="1">
        <v>1</v>
      </c>
    </row>
    <row r="162" spans="2:42" x14ac:dyDescent="0.15">
      <c r="B162" s="43" t="s">
        <v>625</v>
      </c>
      <c r="C162" s="61">
        <f>VLOOKUP(B162,[1]SYS!$F$5:$G$359,2,FALSE)</f>
        <v>106</v>
      </c>
      <c r="D162" s="1" t="s">
        <v>50</v>
      </c>
      <c r="E162" s="65" t="s">
        <v>374</v>
      </c>
      <c r="F162" s="42" t="s">
        <v>375</v>
      </c>
      <c r="G162" s="1">
        <v>3</v>
      </c>
      <c r="H162" s="1">
        <f t="shared" si="24"/>
        <v>0.3981042654028436</v>
      </c>
      <c r="I162" s="1">
        <f t="shared" si="25"/>
        <v>0.21099999999999999</v>
      </c>
      <c r="J162" s="1">
        <f t="shared" si="23"/>
        <v>2.0000000000000018E-2</v>
      </c>
      <c r="K162" s="1">
        <f t="shared" si="26"/>
        <v>2.0349300000000001</v>
      </c>
      <c r="L162" s="1">
        <f t="shared" si="27"/>
        <v>1.5599000000000001</v>
      </c>
      <c r="M162" s="49">
        <f t="shared" si="28"/>
        <v>0.60594383005004993</v>
      </c>
      <c r="N162" s="49">
        <v>1.1584000000000001</v>
      </c>
      <c r="O162" s="1">
        <v>608</v>
      </c>
      <c r="P162" s="51">
        <v>0.05</v>
      </c>
      <c r="Q162" s="51">
        <v>11</v>
      </c>
      <c r="R162" s="51">
        <v>1</v>
      </c>
      <c r="S162" s="1">
        <v>1</v>
      </c>
      <c r="T162" s="1">
        <v>0</v>
      </c>
      <c r="U162" s="47">
        <v>1</v>
      </c>
      <c r="V162" s="47">
        <v>157</v>
      </c>
      <c r="W162" s="41">
        <v>84</v>
      </c>
      <c r="X162">
        <v>211</v>
      </c>
      <c r="Y162">
        <v>0.98</v>
      </c>
      <c r="Z162">
        <v>2034.93</v>
      </c>
      <c r="AA162">
        <v>1559.9</v>
      </c>
      <c r="AB162">
        <v>115.84</v>
      </c>
      <c r="AC162">
        <v>46</v>
      </c>
      <c r="AD162" s="41">
        <f t="shared" si="29"/>
        <v>0.42261895986594133</v>
      </c>
      <c r="AE162" s="41">
        <f t="shared" si="30"/>
        <v>0.55131739214052178</v>
      </c>
      <c r="AF162">
        <f t="shared" si="31"/>
        <v>1.2457069291338583</v>
      </c>
      <c r="AG162">
        <f t="shared" si="32"/>
        <v>6.6294737952755908E-2</v>
      </c>
      <c r="AH162">
        <f t="shared" si="33"/>
        <v>1.1584000000000001</v>
      </c>
      <c r="AI162">
        <f>HLOOKUP(HLOOKUP(G162,'THP2'!$B$4:$J$8,5,FALSE),'Fuel &amp; Resister'!$B$3:$G$6,4,FALSE)</f>
        <v>2.7360666666666664</v>
      </c>
      <c r="AJ162" s="41">
        <f>HLOOKUP(HLOOKUP(G162,'THP2'!$B$4:$J$8,5,FALSE),'Fuel &amp; Resister'!$B$3:$G$6,3,FALSE)</f>
        <v>13.019</v>
      </c>
      <c r="AO162" s="1">
        <v>1</v>
      </c>
      <c r="AP162" s="1">
        <v>1</v>
      </c>
    </row>
    <row r="163" spans="2:42" x14ac:dyDescent="0.15">
      <c r="B163" s="43" t="s">
        <v>625</v>
      </c>
      <c r="C163" s="61">
        <f>VLOOKUP(B163,[1]SYS!$F$5:$G$359,2,FALSE)</f>
        <v>106</v>
      </c>
      <c r="D163" s="1" t="s">
        <v>50</v>
      </c>
      <c r="E163" s="65" t="s">
        <v>376</v>
      </c>
      <c r="F163" s="42" t="s">
        <v>375</v>
      </c>
      <c r="G163" s="1">
        <v>3</v>
      </c>
      <c r="H163" s="1">
        <f t="shared" si="24"/>
        <v>0.3981042654028436</v>
      </c>
      <c r="I163" s="1">
        <f t="shared" si="25"/>
        <v>0.21099999999999999</v>
      </c>
      <c r="J163" s="1">
        <f t="shared" si="23"/>
        <v>2.0000000000000018E-2</v>
      </c>
      <c r="K163" s="1">
        <f t="shared" si="26"/>
        <v>2.0349300000000001</v>
      </c>
      <c r="L163" s="1">
        <f t="shared" si="27"/>
        <v>1.5599000000000001</v>
      </c>
      <c r="M163" s="49">
        <f t="shared" si="28"/>
        <v>0.60594383005004993</v>
      </c>
      <c r="N163" s="49">
        <v>1.1584000000000001</v>
      </c>
      <c r="O163" s="1">
        <v>509</v>
      </c>
      <c r="P163" s="51">
        <v>0.05</v>
      </c>
      <c r="Q163" s="51">
        <v>11</v>
      </c>
      <c r="R163" s="51">
        <v>1</v>
      </c>
      <c r="S163" s="1">
        <v>1</v>
      </c>
      <c r="T163" s="1">
        <v>0</v>
      </c>
      <c r="U163" s="47">
        <v>1</v>
      </c>
      <c r="V163" s="47">
        <v>158</v>
      </c>
      <c r="W163" s="41">
        <v>84</v>
      </c>
      <c r="X163">
        <v>211</v>
      </c>
      <c r="Y163">
        <v>0.98</v>
      </c>
      <c r="Z163">
        <v>2034.93</v>
      </c>
      <c r="AA163">
        <v>1559.9</v>
      </c>
      <c r="AB163">
        <v>115.84</v>
      </c>
      <c r="AC163">
        <v>46</v>
      </c>
      <c r="AD163" s="41">
        <f t="shared" si="29"/>
        <v>0.42261895986594133</v>
      </c>
      <c r="AE163" s="41">
        <f t="shared" si="30"/>
        <v>0.55131739214052178</v>
      </c>
      <c r="AF163">
        <f t="shared" si="31"/>
        <v>1.2457069291338583</v>
      </c>
      <c r="AG163">
        <f t="shared" si="32"/>
        <v>6.6294737952755908E-2</v>
      </c>
      <c r="AH163">
        <f t="shared" si="33"/>
        <v>1.1584000000000001</v>
      </c>
      <c r="AI163">
        <f>HLOOKUP(HLOOKUP(G163,'THP2'!$B$4:$J$8,5,FALSE),'Fuel &amp; Resister'!$B$3:$G$6,4,FALSE)</f>
        <v>2.7360666666666664</v>
      </c>
      <c r="AJ163" s="41">
        <f>HLOOKUP(HLOOKUP(G163,'THP2'!$B$4:$J$8,5,FALSE),'Fuel &amp; Resister'!$B$3:$G$6,3,FALSE)</f>
        <v>13.019</v>
      </c>
      <c r="AO163" s="1">
        <v>1</v>
      </c>
      <c r="AP163" s="1">
        <v>1</v>
      </c>
    </row>
    <row r="164" spans="2:42" x14ac:dyDescent="0.15">
      <c r="B164" s="43" t="s">
        <v>595</v>
      </c>
      <c r="C164" s="61">
        <f>VLOOKUP(B164,[1]SYS!$F$5:$G$359,2,FALSE)</f>
        <v>104</v>
      </c>
      <c r="D164" s="1" t="s">
        <v>50</v>
      </c>
      <c r="E164" s="65" t="s">
        <v>163</v>
      </c>
      <c r="F164" s="42"/>
      <c r="G164" s="1">
        <v>3</v>
      </c>
      <c r="H164" s="1">
        <f t="shared" si="24"/>
        <v>0.4</v>
      </c>
      <c r="I164" s="1">
        <f t="shared" si="25"/>
        <v>0.68500000000000005</v>
      </c>
      <c r="J164" s="1">
        <f t="shared" si="23"/>
        <v>1.8299999999999983E-2</v>
      </c>
      <c r="K164" s="1">
        <f t="shared" si="26"/>
        <v>2.04352</v>
      </c>
      <c r="L164" s="1">
        <f t="shared" si="27"/>
        <v>1.5664800000000001</v>
      </c>
      <c r="M164" s="49">
        <f t="shared" si="28"/>
        <v>1.9754615460655349</v>
      </c>
      <c r="N164" s="49">
        <v>3.2889999999999997</v>
      </c>
      <c r="O164" s="1">
        <v>613</v>
      </c>
      <c r="P164" s="51">
        <v>0.05</v>
      </c>
      <c r="Q164" s="51">
        <v>11</v>
      </c>
      <c r="R164" s="51">
        <v>1</v>
      </c>
      <c r="S164" s="1">
        <v>1</v>
      </c>
      <c r="T164" s="1">
        <v>0</v>
      </c>
      <c r="U164" s="47">
        <v>1</v>
      </c>
      <c r="V164" s="47">
        <v>159</v>
      </c>
      <c r="W164" s="41">
        <v>274</v>
      </c>
      <c r="X164">
        <v>685</v>
      </c>
      <c r="Y164">
        <v>0.98170000000000002</v>
      </c>
      <c r="Z164">
        <v>2043.52</v>
      </c>
      <c r="AA164">
        <v>1566.48</v>
      </c>
      <c r="AB164">
        <v>328.9</v>
      </c>
      <c r="AC164">
        <v>36</v>
      </c>
      <c r="AD164" s="41">
        <f t="shared" si="29"/>
        <v>0.42084246789852808</v>
      </c>
      <c r="AE164" s="41">
        <f t="shared" si="30"/>
        <v>0.54900158316735603</v>
      </c>
      <c r="AF164">
        <f t="shared" si="31"/>
        <v>1.2484533333333334</v>
      </c>
      <c r="AG164">
        <f t="shared" si="32"/>
        <v>0.21784826666666668</v>
      </c>
      <c r="AH164">
        <f t="shared" si="33"/>
        <v>3.2889999999999997</v>
      </c>
      <c r="AI164">
        <f>HLOOKUP(HLOOKUP(G164,'THP2'!$B$4:$J$8,5,FALSE),'Fuel &amp; Resister'!$B$3:$G$6,4,FALSE)</f>
        <v>2.7360666666666664</v>
      </c>
      <c r="AJ164" s="41">
        <f>HLOOKUP(HLOOKUP(G164,'THP2'!$B$4:$J$8,5,FALSE),'Fuel &amp; Resister'!$B$3:$G$6,3,FALSE)</f>
        <v>13.019</v>
      </c>
      <c r="AO164" s="1">
        <v>1</v>
      </c>
      <c r="AP164" s="1">
        <v>1</v>
      </c>
    </row>
    <row r="165" spans="2:42" x14ac:dyDescent="0.15">
      <c r="B165" s="43" t="s">
        <v>595</v>
      </c>
      <c r="C165" s="61">
        <f>VLOOKUP(B165,[1]SYS!$F$5:$G$359,2,FALSE)</f>
        <v>104</v>
      </c>
      <c r="D165" s="1" t="s">
        <v>50</v>
      </c>
      <c r="E165" s="65" t="s">
        <v>164</v>
      </c>
      <c r="F165" s="42"/>
      <c r="G165" s="1">
        <v>3</v>
      </c>
      <c r="H165" s="1">
        <f t="shared" si="24"/>
        <v>0.4</v>
      </c>
      <c r="I165" s="1">
        <f t="shared" si="25"/>
        <v>0.68500000000000005</v>
      </c>
      <c r="J165" s="1">
        <f t="shared" si="23"/>
        <v>1.8299999999999983E-2</v>
      </c>
      <c r="K165" s="1">
        <f t="shared" si="26"/>
        <v>2.04352</v>
      </c>
      <c r="L165" s="1">
        <f t="shared" si="27"/>
        <v>1.5664800000000001</v>
      </c>
      <c r="M165" s="49">
        <f t="shared" si="28"/>
        <v>1.9754615460655349</v>
      </c>
      <c r="N165" s="49">
        <v>1.6668000000000001</v>
      </c>
      <c r="O165" s="1">
        <v>913</v>
      </c>
      <c r="P165" s="51">
        <v>0.05</v>
      </c>
      <c r="Q165" s="51">
        <v>11</v>
      </c>
      <c r="R165" s="51">
        <v>1</v>
      </c>
      <c r="S165" s="1">
        <v>1</v>
      </c>
      <c r="T165" s="1">
        <v>0</v>
      </c>
      <c r="U165" s="47">
        <v>1</v>
      </c>
      <c r="V165" s="47">
        <v>160</v>
      </c>
      <c r="W165" s="41">
        <v>274</v>
      </c>
      <c r="X165">
        <v>685</v>
      </c>
      <c r="Y165">
        <v>0.98170000000000002</v>
      </c>
      <c r="Z165">
        <v>2043.52</v>
      </c>
      <c r="AA165">
        <v>1566.48</v>
      </c>
      <c r="AB165">
        <v>166.68</v>
      </c>
      <c r="AC165">
        <v>36</v>
      </c>
      <c r="AD165" s="41">
        <f t="shared" si="29"/>
        <v>0.42084246789852808</v>
      </c>
      <c r="AE165" s="41">
        <f t="shared" si="30"/>
        <v>0.54900158316735603</v>
      </c>
      <c r="AF165">
        <f t="shared" si="31"/>
        <v>1.2484533333333334</v>
      </c>
      <c r="AG165">
        <f t="shared" si="32"/>
        <v>0.21784826666666668</v>
      </c>
      <c r="AH165">
        <f t="shared" si="33"/>
        <v>1.6668000000000001</v>
      </c>
      <c r="AI165">
        <f>HLOOKUP(HLOOKUP(G165,'THP2'!$B$4:$J$8,5,FALSE),'Fuel &amp; Resister'!$B$3:$G$6,4,FALSE)</f>
        <v>2.7360666666666664</v>
      </c>
      <c r="AJ165" s="41">
        <f>HLOOKUP(HLOOKUP(G165,'THP2'!$B$4:$J$8,5,FALSE),'Fuel &amp; Resister'!$B$3:$G$6,3,FALSE)</f>
        <v>13.019</v>
      </c>
      <c r="AO165" s="1">
        <v>1</v>
      </c>
      <c r="AP165" s="1">
        <v>1</v>
      </c>
    </row>
    <row r="166" spans="2:42" x14ac:dyDescent="0.15">
      <c r="B166" s="43" t="s">
        <v>595</v>
      </c>
      <c r="C166" s="61">
        <f>VLOOKUP(B166,[1]SYS!$F$5:$G$359,2,FALSE)</f>
        <v>104</v>
      </c>
      <c r="D166" s="1" t="s">
        <v>50</v>
      </c>
      <c r="E166" s="65" t="s">
        <v>165</v>
      </c>
      <c r="F166" s="63" t="s">
        <v>477</v>
      </c>
      <c r="G166" s="1">
        <v>3</v>
      </c>
      <c r="H166" s="1">
        <f t="shared" si="24"/>
        <v>0.40064102564102566</v>
      </c>
      <c r="I166" s="1">
        <f t="shared" si="25"/>
        <v>0.624</v>
      </c>
      <c r="J166" s="1">
        <f t="shared" si="23"/>
        <v>2.0000000000000018E-2</v>
      </c>
      <c r="K166" s="1">
        <f t="shared" si="26"/>
        <v>2.0775799999999998</v>
      </c>
      <c r="L166" s="1">
        <f t="shared" si="27"/>
        <v>1.59259</v>
      </c>
      <c r="M166" s="49">
        <f t="shared" si="28"/>
        <v>1.8295392389135139</v>
      </c>
      <c r="N166" s="49">
        <v>1.6022999999999998</v>
      </c>
      <c r="O166" s="1">
        <v>413</v>
      </c>
      <c r="P166" s="51">
        <v>0.05</v>
      </c>
      <c r="Q166" s="51">
        <v>11</v>
      </c>
      <c r="R166" s="51">
        <v>1</v>
      </c>
      <c r="S166" s="1">
        <v>1</v>
      </c>
      <c r="T166" s="1">
        <v>0</v>
      </c>
      <c r="U166" s="47">
        <v>1</v>
      </c>
      <c r="V166" s="47">
        <v>161</v>
      </c>
      <c r="W166" s="41">
        <v>250</v>
      </c>
      <c r="X166">
        <v>624</v>
      </c>
      <c r="Y166">
        <v>0.98</v>
      </c>
      <c r="Z166">
        <v>2077.58</v>
      </c>
      <c r="AA166">
        <v>1592.59</v>
      </c>
      <c r="AB166">
        <v>160.22999999999999</v>
      </c>
      <c r="AC166">
        <v>36</v>
      </c>
      <c r="AD166" s="41">
        <f t="shared" si="29"/>
        <v>0.41394314539030991</v>
      </c>
      <c r="AE166" s="41">
        <f t="shared" si="30"/>
        <v>0.54000087907119854</v>
      </c>
      <c r="AF166">
        <f t="shared" si="31"/>
        <v>1.2683988235294117</v>
      </c>
      <c r="AG166">
        <f t="shared" si="32"/>
        <v>0.20229529411764707</v>
      </c>
      <c r="AH166">
        <f t="shared" si="33"/>
        <v>1.6022999999999998</v>
      </c>
      <c r="AI166">
        <f>HLOOKUP(HLOOKUP(G166,'THP2'!$B$4:$J$8,5,FALSE),'Fuel &amp; Resister'!$B$3:$G$6,4,FALSE)</f>
        <v>2.7360666666666664</v>
      </c>
      <c r="AJ166" s="41">
        <f>HLOOKUP(HLOOKUP(G166,'THP2'!$B$4:$J$8,5,FALSE),'Fuel &amp; Resister'!$B$3:$G$6,3,FALSE)</f>
        <v>13.019</v>
      </c>
      <c r="AO166" s="1">
        <v>1</v>
      </c>
      <c r="AP166" s="1">
        <v>1</v>
      </c>
    </row>
    <row r="167" spans="2:42" x14ac:dyDescent="0.15">
      <c r="B167" s="43" t="s">
        <v>595</v>
      </c>
      <c r="C167" s="61">
        <f>VLOOKUP(B167,[1]SYS!$F$5:$G$359,2,FALSE)</f>
        <v>104</v>
      </c>
      <c r="D167" s="1" t="s">
        <v>50</v>
      </c>
      <c r="E167" s="65" t="s">
        <v>166</v>
      </c>
      <c r="F167" s="63" t="s">
        <v>477</v>
      </c>
      <c r="G167" s="1">
        <v>3</v>
      </c>
      <c r="H167" s="1">
        <f t="shared" si="24"/>
        <v>0.40064102564102566</v>
      </c>
      <c r="I167" s="1">
        <f t="shared" si="25"/>
        <v>0.624</v>
      </c>
      <c r="J167" s="1">
        <f t="shared" si="23"/>
        <v>2.0000000000000018E-2</v>
      </c>
      <c r="K167" s="1">
        <f t="shared" si="26"/>
        <v>2.0775799999999998</v>
      </c>
      <c r="L167" s="1">
        <f t="shared" si="27"/>
        <v>1.59259</v>
      </c>
      <c r="M167" s="49">
        <f t="shared" si="28"/>
        <v>1.8295392389135139</v>
      </c>
      <c r="N167" s="49">
        <v>1.6022999999999998</v>
      </c>
      <c r="O167" s="1">
        <v>1014</v>
      </c>
      <c r="P167" s="51">
        <v>0.05</v>
      </c>
      <c r="Q167" s="51">
        <v>11</v>
      </c>
      <c r="R167" s="51">
        <v>1</v>
      </c>
      <c r="S167" s="1">
        <v>1</v>
      </c>
      <c r="T167" s="1">
        <v>0</v>
      </c>
      <c r="U167" s="47">
        <v>1</v>
      </c>
      <c r="V167" s="47">
        <v>162</v>
      </c>
      <c r="W167" s="41">
        <v>250</v>
      </c>
      <c r="X167">
        <v>624</v>
      </c>
      <c r="Y167">
        <v>0.98</v>
      </c>
      <c r="Z167">
        <v>2077.58</v>
      </c>
      <c r="AA167">
        <v>1592.59</v>
      </c>
      <c r="AB167">
        <v>160.22999999999999</v>
      </c>
      <c r="AC167">
        <v>36</v>
      </c>
      <c r="AD167" s="41">
        <f t="shared" si="29"/>
        <v>0.41394314539030991</v>
      </c>
      <c r="AE167" s="41">
        <f t="shared" si="30"/>
        <v>0.54000087907119854</v>
      </c>
      <c r="AF167">
        <f t="shared" si="31"/>
        <v>1.2683988235294117</v>
      </c>
      <c r="AG167">
        <f t="shared" si="32"/>
        <v>0.20229529411764707</v>
      </c>
      <c r="AH167">
        <f t="shared" si="33"/>
        <v>1.6022999999999998</v>
      </c>
      <c r="AI167">
        <f>HLOOKUP(HLOOKUP(G167,'THP2'!$B$4:$J$8,5,FALSE),'Fuel &amp; Resister'!$B$3:$G$6,4,FALSE)</f>
        <v>2.7360666666666664</v>
      </c>
      <c r="AJ167" s="41">
        <f>HLOOKUP(HLOOKUP(G167,'THP2'!$B$4:$J$8,5,FALSE),'Fuel &amp; Resister'!$B$3:$G$6,3,FALSE)</f>
        <v>13.019</v>
      </c>
      <c r="AO167" s="1">
        <v>1</v>
      </c>
      <c r="AP167" s="1">
        <v>1</v>
      </c>
    </row>
    <row r="168" spans="2:42" x14ac:dyDescent="0.15">
      <c r="B168" s="43" t="s">
        <v>590</v>
      </c>
      <c r="C168" s="61">
        <f>VLOOKUP(B168,[1]SYS!$F$5:$G$359,2,FALSE)</f>
        <v>64</v>
      </c>
      <c r="D168" s="1" t="s">
        <v>50</v>
      </c>
      <c r="E168" s="65" t="s">
        <v>167</v>
      </c>
      <c r="F168" s="63" t="s">
        <v>476</v>
      </c>
      <c r="G168" s="1">
        <v>3</v>
      </c>
      <c r="H168" s="1">
        <f t="shared" si="24"/>
        <v>0.4</v>
      </c>
      <c r="I168" s="1">
        <f t="shared" si="25"/>
        <v>0.59</v>
      </c>
      <c r="J168" s="1">
        <f t="shared" si="23"/>
        <v>2.0000000000000018E-2</v>
      </c>
      <c r="K168" s="1">
        <f t="shared" si="26"/>
        <v>2.1167800000000003</v>
      </c>
      <c r="L168" s="1">
        <f t="shared" si="27"/>
        <v>1.6226400000000001</v>
      </c>
      <c r="M168" s="49">
        <f t="shared" si="28"/>
        <v>1.7624927678603886</v>
      </c>
      <c r="N168" s="49">
        <v>1.5659999999999998</v>
      </c>
      <c r="O168" s="1">
        <v>613</v>
      </c>
      <c r="P168" s="51">
        <v>0.05</v>
      </c>
      <c r="Q168" s="51">
        <v>11</v>
      </c>
      <c r="R168" s="51">
        <v>1</v>
      </c>
      <c r="S168" s="1">
        <v>1</v>
      </c>
      <c r="T168" s="1">
        <v>0</v>
      </c>
      <c r="U168" s="47">
        <v>1</v>
      </c>
      <c r="V168" s="47">
        <v>163</v>
      </c>
      <c r="W168" s="41">
        <v>236</v>
      </c>
      <c r="X168">
        <v>590</v>
      </c>
      <c r="Y168">
        <v>0.98</v>
      </c>
      <c r="Z168">
        <v>2116.7800000000002</v>
      </c>
      <c r="AA168">
        <v>1622.64</v>
      </c>
      <c r="AB168">
        <v>156.6</v>
      </c>
      <c r="AC168">
        <v>36</v>
      </c>
      <c r="AD168" s="41">
        <f t="shared" si="29"/>
        <v>0.40627745915966701</v>
      </c>
      <c r="AE168" s="41">
        <f t="shared" si="30"/>
        <v>0.53000049302371444</v>
      </c>
      <c r="AF168">
        <f t="shared" si="31"/>
        <v>1.2932133333333333</v>
      </c>
      <c r="AG168">
        <f t="shared" si="32"/>
        <v>0.19436173333333337</v>
      </c>
      <c r="AH168">
        <f t="shared" si="33"/>
        <v>1.5659999999999998</v>
      </c>
      <c r="AI168">
        <f>HLOOKUP(HLOOKUP(G168,'THP2'!$B$4:$J$8,5,FALSE),'Fuel &amp; Resister'!$B$3:$G$6,4,FALSE)</f>
        <v>2.7360666666666664</v>
      </c>
      <c r="AJ168" s="41">
        <f>HLOOKUP(HLOOKUP(G168,'THP2'!$B$4:$J$8,5,FALSE),'Fuel &amp; Resister'!$B$3:$G$6,3,FALSE)</f>
        <v>13.019</v>
      </c>
      <c r="AO168" s="1">
        <v>1</v>
      </c>
      <c r="AP168" s="1">
        <v>1</v>
      </c>
    </row>
    <row r="169" spans="2:42" x14ac:dyDescent="0.15">
      <c r="B169" s="43" t="s">
        <v>590</v>
      </c>
      <c r="C169" s="61">
        <f>VLOOKUP(B169,[1]SYS!$F$5:$G$359,2,FALSE)</f>
        <v>64</v>
      </c>
      <c r="D169" s="1" t="s">
        <v>50</v>
      </c>
      <c r="E169" s="65" t="s">
        <v>168</v>
      </c>
      <c r="F169" s="63" t="s">
        <v>476</v>
      </c>
      <c r="G169" s="1">
        <v>3</v>
      </c>
      <c r="H169" s="1">
        <f t="shared" si="24"/>
        <v>0.4</v>
      </c>
      <c r="I169" s="1">
        <f t="shared" si="25"/>
        <v>0.59</v>
      </c>
      <c r="J169" s="1">
        <f t="shared" si="23"/>
        <v>2.0000000000000018E-2</v>
      </c>
      <c r="K169" s="1">
        <f t="shared" si="26"/>
        <v>2.1167800000000003</v>
      </c>
      <c r="L169" s="1">
        <f t="shared" si="27"/>
        <v>1.6226400000000001</v>
      </c>
      <c r="M169" s="49">
        <f t="shared" si="28"/>
        <v>1.7624927678603886</v>
      </c>
      <c r="N169" s="49">
        <v>1.5659999999999998</v>
      </c>
      <c r="O169" s="1">
        <v>913</v>
      </c>
      <c r="P169" s="51">
        <v>0.05</v>
      </c>
      <c r="Q169" s="51">
        <v>11</v>
      </c>
      <c r="R169" s="51">
        <v>1</v>
      </c>
      <c r="S169" s="1">
        <v>1</v>
      </c>
      <c r="T169" s="1">
        <v>0</v>
      </c>
      <c r="U169" s="47">
        <v>1</v>
      </c>
      <c r="V169" s="47">
        <v>164</v>
      </c>
      <c r="W169" s="41">
        <v>236</v>
      </c>
      <c r="X169">
        <v>590</v>
      </c>
      <c r="Y169">
        <v>0.98</v>
      </c>
      <c r="Z169">
        <v>2116.7800000000002</v>
      </c>
      <c r="AA169">
        <v>1622.64</v>
      </c>
      <c r="AB169">
        <v>156.6</v>
      </c>
      <c r="AC169">
        <v>36</v>
      </c>
      <c r="AD169" s="41">
        <f t="shared" si="29"/>
        <v>0.40627745915966701</v>
      </c>
      <c r="AE169" s="41">
        <f t="shared" si="30"/>
        <v>0.53000049302371444</v>
      </c>
      <c r="AF169">
        <f t="shared" si="31"/>
        <v>1.2932133333333333</v>
      </c>
      <c r="AG169">
        <f t="shared" si="32"/>
        <v>0.19436173333333337</v>
      </c>
      <c r="AH169">
        <f t="shared" si="33"/>
        <v>1.5659999999999998</v>
      </c>
      <c r="AI169">
        <f>HLOOKUP(HLOOKUP(G169,'THP2'!$B$4:$J$8,5,FALSE),'Fuel &amp; Resister'!$B$3:$G$6,4,FALSE)</f>
        <v>2.7360666666666664</v>
      </c>
      <c r="AJ169" s="41">
        <f>HLOOKUP(HLOOKUP(G169,'THP2'!$B$4:$J$8,5,FALSE),'Fuel &amp; Resister'!$B$3:$G$6,3,FALSE)</f>
        <v>13.019</v>
      </c>
      <c r="AO169" s="1">
        <v>1</v>
      </c>
      <c r="AP169" s="1">
        <v>1</v>
      </c>
    </row>
    <row r="170" spans="2:42" x14ac:dyDescent="0.15">
      <c r="B170" s="43" t="s">
        <v>626</v>
      </c>
      <c r="C170" s="61">
        <f>VLOOKUP(B170,[1]SYS!$F$5:$G$359,2,FALSE)</f>
        <v>73</v>
      </c>
      <c r="D170" s="1" t="s">
        <v>50</v>
      </c>
      <c r="E170" s="65" t="s">
        <v>169</v>
      </c>
      <c r="F170" s="63" t="s">
        <v>440</v>
      </c>
      <c r="G170" s="1">
        <v>3</v>
      </c>
      <c r="H170" s="1">
        <f t="shared" si="24"/>
        <v>0.39920948616600793</v>
      </c>
      <c r="I170" s="1">
        <f t="shared" si="25"/>
        <v>0.50600000000000001</v>
      </c>
      <c r="J170" s="1">
        <f t="shared" si="23"/>
        <v>2.0000000000000018E-2</v>
      </c>
      <c r="K170" s="1">
        <f t="shared" si="26"/>
        <v>2.1272099999999998</v>
      </c>
      <c r="L170" s="1">
        <f t="shared" si="27"/>
        <v>1.6306400000000001</v>
      </c>
      <c r="M170" s="49">
        <f t="shared" si="28"/>
        <v>1.5190139512485565</v>
      </c>
      <c r="N170" s="49">
        <v>1.4763999999999999</v>
      </c>
      <c r="O170" s="1">
        <v>413</v>
      </c>
      <c r="P170" s="51">
        <v>0.05</v>
      </c>
      <c r="Q170" s="51">
        <v>11</v>
      </c>
      <c r="R170" s="51">
        <v>1</v>
      </c>
      <c r="S170" s="1">
        <v>1</v>
      </c>
      <c r="T170" s="1">
        <v>0</v>
      </c>
      <c r="U170" s="47">
        <v>1</v>
      </c>
      <c r="V170" s="47">
        <v>165</v>
      </c>
      <c r="W170" s="41">
        <v>202</v>
      </c>
      <c r="X170">
        <v>506</v>
      </c>
      <c r="Y170">
        <v>0.98</v>
      </c>
      <c r="Z170">
        <v>2127.21</v>
      </c>
      <c r="AA170">
        <v>1630.64</v>
      </c>
      <c r="AB170">
        <v>147.63999999999999</v>
      </c>
      <c r="AC170">
        <v>36</v>
      </c>
      <c r="AD170" s="41">
        <f t="shared" si="29"/>
        <v>0.40428542551041036</v>
      </c>
      <c r="AE170" s="41">
        <f t="shared" si="30"/>
        <v>0.52740028455085119</v>
      </c>
      <c r="AF170">
        <f t="shared" si="31"/>
        <v>1.3006823026315792</v>
      </c>
      <c r="AG170">
        <f t="shared" si="32"/>
        <v>0.16695859486842096</v>
      </c>
      <c r="AH170">
        <f t="shared" si="33"/>
        <v>1.4763999999999999</v>
      </c>
      <c r="AI170">
        <f>HLOOKUP(HLOOKUP(G170,'THP2'!$B$4:$J$8,5,FALSE),'Fuel &amp; Resister'!$B$3:$G$6,4,FALSE)</f>
        <v>2.7360666666666664</v>
      </c>
      <c r="AJ170" s="41">
        <f>HLOOKUP(HLOOKUP(G170,'THP2'!$B$4:$J$8,5,FALSE),'Fuel &amp; Resister'!$B$3:$G$6,3,FALSE)</f>
        <v>13.019</v>
      </c>
      <c r="AO170" s="1">
        <v>1</v>
      </c>
      <c r="AP170" s="1">
        <v>1</v>
      </c>
    </row>
    <row r="171" spans="2:42" x14ac:dyDescent="0.15">
      <c r="B171" s="43" t="s">
        <v>627</v>
      </c>
      <c r="C171" s="61">
        <f>VLOOKUP(B171,[1]SYS!$F$5:$G$359,2,FALSE)</f>
        <v>123</v>
      </c>
      <c r="D171" s="1" t="s">
        <v>50</v>
      </c>
      <c r="E171" s="65" t="s">
        <v>170</v>
      </c>
      <c r="F171" s="63" t="s">
        <v>441</v>
      </c>
      <c r="G171" s="1">
        <v>3</v>
      </c>
      <c r="H171" s="1">
        <f t="shared" si="24"/>
        <v>0.4</v>
      </c>
      <c r="I171" s="1">
        <f t="shared" si="25"/>
        <v>0.5</v>
      </c>
      <c r="J171" s="1">
        <f t="shared" si="23"/>
        <v>2.0000000000000018E-2</v>
      </c>
      <c r="K171" s="1">
        <f t="shared" si="26"/>
        <v>2.1272099999999998</v>
      </c>
      <c r="L171" s="1">
        <f t="shared" si="27"/>
        <v>1.6306400000000001</v>
      </c>
      <c r="M171" s="49">
        <f t="shared" si="28"/>
        <v>1.5010019281112219</v>
      </c>
      <c r="N171" s="49">
        <v>1.47</v>
      </c>
      <c r="O171" s="1">
        <v>913</v>
      </c>
      <c r="P171" s="51">
        <v>0.05</v>
      </c>
      <c r="Q171" s="51">
        <v>11</v>
      </c>
      <c r="R171" s="51">
        <v>1</v>
      </c>
      <c r="S171" s="1">
        <v>1</v>
      </c>
      <c r="T171" s="1">
        <v>0</v>
      </c>
      <c r="U171" s="47">
        <v>1</v>
      </c>
      <c r="V171" s="47">
        <v>166</v>
      </c>
      <c r="W171" s="41">
        <v>200</v>
      </c>
      <c r="X171">
        <v>500</v>
      </c>
      <c r="Y171">
        <v>0.98</v>
      </c>
      <c r="Z171">
        <v>2127.21</v>
      </c>
      <c r="AA171">
        <v>1630.64</v>
      </c>
      <c r="AB171">
        <v>147</v>
      </c>
      <c r="AC171">
        <v>36</v>
      </c>
      <c r="AD171" s="41">
        <f t="shared" si="29"/>
        <v>0.40428542551041036</v>
      </c>
      <c r="AE171" s="41">
        <f t="shared" si="30"/>
        <v>0.52740028455085119</v>
      </c>
      <c r="AF171">
        <f t="shared" si="31"/>
        <v>1.2995933333333336</v>
      </c>
      <c r="AG171">
        <f t="shared" si="32"/>
        <v>0.16552333333333324</v>
      </c>
      <c r="AH171">
        <f t="shared" si="33"/>
        <v>1.47</v>
      </c>
      <c r="AI171">
        <f>HLOOKUP(HLOOKUP(G171,'THP2'!$B$4:$J$8,5,FALSE),'Fuel &amp; Resister'!$B$3:$G$6,4,FALSE)</f>
        <v>2.7360666666666664</v>
      </c>
      <c r="AJ171" s="41">
        <f>HLOOKUP(HLOOKUP(G171,'THP2'!$B$4:$J$8,5,FALSE),'Fuel &amp; Resister'!$B$3:$G$6,3,FALSE)</f>
        <v>13.019</v>
      </c>
      <c r="AO171" s="1">
        <v>1</v>
      </c>
      <c r="AP171" s="1">
        <v>1</v>
      </c>
    </row>
    <row r="172" spans="2:42" x14ac:dyDescent="0.15">
      <c r="B172" s="43" t="s">
        <v>627</v>
      </c>
      <c r="C172" s="61">
        <f>VLOOKUP(B172,[1]SYS!$F$5:$G$359,2,FALSE)</f>
        <v>123</v>
      </c>
      <c r="D172" s="1" t="s">
        <v>50</v>
      </c>
      <c r="E172" s="65" t="s">
        <v>171</v>
      </c>
      <c r="F172" s="63" t="s">
        <v>441</v>
      </c>
      <c r="G172" s="1">
        <v>3</v>
      </c>
      <c r="H172" s="1">
        <f t="shared" si="24"/>
        <v>0.4</v>
      </c>
      <c r="I172" s="1">
        <f t="shared" si="25"/>
        <v>0.5</v>
      </c>
      <c r="J172" s="1">
        <f t="shared" si="23"/>
        <v>2.0000000000000018E-2</v>
      </c>
      <c r="K172" s="1">
        <f t="shared" si="26"/>
        <v>2.1272099999999998</v>
      </c>
      <c r="L172" s="1">
        <f t="shared" si="27"/>
        <v>1.6306400000000001</v>
      </c>
      <c r="M172" s="49">
        <f t="shared" si="28"/>
        <v>1.5010019281112219</v>
      </c>
      <c r="N172" s="49">
        <v>1.47</v>
      </c>
      <c r="O172" s="1">
        <v>1214</v>
      </c>
      <c r="P172" s="51">
        <v>0.05</v>
      </c>
      <c r="Q172" s="51">
        <v>11</v>
      </c>
      <c r="R172" s="51">
        <v>1</v>
      </c>
      <c r="S172" s="1">
        <v>1</v>
      </c>
      <c r="T172" s="1">
        <v>0</v>
      </c>
      <c r="U172" s="47">
        <v>1</v>
      </c>
      <c r="V172" s="47">
        <v>167</v>
      </c>
      <c r="W172" s="41">
        <v>200</v>
      </c>
      <c r="X172">
        <v>500</v>
      </c>
      <c r="Y172">
        <v>0.98</v>
      </c>
      <c r="Z172">
        <v>2127.21</v>
      </c>
      <c r="AA172">
        <v>1630.64</v>
      </c>
      <c r="AB172">
        <v>147</v>
      </c>
      <c r="AC172">
        <v>36</v>
      </c>
      <c r="AD172" s="41">
        <f t="shared" si="29"/>
        <v>0.40428542551041036</v>
      </c>
      <c r="AE172" s="41">
        <f t="shared" si="30"/>
        <v>0.52740028455085119</v>
      </c>
      <c r="AF172">
        <f t="shared" si="31"/>
        <v>1.2995933333333336</v>
      </c>
      <c r="AG172">
        <f t="shared" si="32"/>
        <v>0.16552333333333324</v>
      </c>
      <c r="AH172">
        <f t="shared" si="33"/>
        <v>1.47</v>
      </c>
      <c r="AI172">
        <f>HLOOKUP(HLOOKUP(G172,'THP2'!$B$4:$J$8,5,FALSE),'Fuel &amp; Resister'!$B$3:$G$6,4,FALSE)</f>
        <v>2.7360666666666664</v>
      </c>
      <c r="AJ172" s="41">
        <f>HLOOKUP(HLOOKUP(G172,'THP2'!$B$4:$J$8,5,FALSE),'Fuel &amp; Resister'!$B$3:$G$6,3,FALSE)</f>
        <v>13.019</v>
      </c>
      <c r="AO172" s="1">
        <v>1</v>
      </c>
      <c r="AP172" s="1">
        <v>1</v>
      </c>
    </row>
    <row r="173" spans="2:42" x14ac:dyDescent="0.15">
      <c r="B173" s="43" t="s">
        <v>627</v>
      </c>
      <c r="C173" s="61">
        <f>VLOOKUP(B173,[1]SYS!$F$5:$G$359,2,FALSE)</f>
        <v>123</v>
      </c>
      <c r="D173" s="1" t="s">
        <v>50</v>
      </c>
      <c r="E173" s="65" t="s">
        <v>172</v>
      </c>
      <c r="F173" s="63" t="s">
        <v>441</v>
      </c>
      <c r="G173" s="1">
        <v>3</v>
      </c>
      <c r="H173" s="1">
        <f t="shared" si="24"/>
        <v>0.4</v>
      </c>
      <c r="I173" s="1">
        <f t="shared" si="25"/>
        <v>0.5</v>
      </c>
      <c r="J173" s="1">
        <f t="shared" si="23"/>
        <v>2.0000000000000018E-2</v>
      </c>
      <c r="K173" s="1">
        <f t="shared" si="26"/>
        <v>2.1272099999999998</v>
      </c>
      <c r="L173" s="1">
        <f t="shared" si="27"/>
        <v>1.6306400000000001</v>
      </c>
      <c r="M173" s="49">
        <f t="shared" si="28"/>
        <v>1.5010019281112219</v>
      </c>
      <c r="N173" s="49">
        <v>1.47</v>
      </c>
      <c r="O173" s="1">
        <v>1014</v>
      </c>
      <c r="P173" s="51">
        <v>0.05</v>
      </c>
      <c r="Q173" s="51">
        <v>11</v>
      </c>
      <c r="R173" s="51">
        <v>1</v>
      </c>
      <c r="S173" s="1">
        <v>1</v>
      </c>
      <c r="T173" s="1">
        <v>0</v>
      </c>
      <c r="U173" s="47">
        <v>1</v>
      </c>
      <c r="V173" s="47">
        <v>168</v>
      </c>
      <c r="W173" s="41">
        <v>200</v>
      </c>
      <c r="X173">
        <v>500</v>
      </c>
      <c r="Y173">
        <v>0.98</v>
      </c>
      <c r="Z173">
        <v>2127.21</v>
      </c>
      <c r="AA173">
        <v>1630.64</v>
      </c>
      <c r="AB173">
        <v>147</v>
      </c>
      <c r="AC173">
        <v>36</v>
      </c>
      <c r="AD173" s="41">
        <f t="shared" si="29"/>
        <v>0.40428542551041036</v>
      </c>
      <c r="AE173" s="41">
        <f t="shared" si="30"/>
        <v>0.52740028455085119</v>
      </c>
      <c r="AF173">
        <f t="shared" si="31"/>
        <v>1.2995933333333336</v>
      </c>
      <c r="AG173">
        <f t="shared" si="32"/>
        <v>0.16552333333333324</v>
      </c>
      <c r="AH173">
        <f t="shared" si="33"/>
        <v>1.47</v>
      </c>
      <c r="AI173">
        <f>HLOOKUP(HLOOKUP(G173,'THP2'!$B$4:$J$8,5,FALSE),'Fuel &amp; Resister'!$B$3:$G$6,4,FALSE)</f>
        <v>2.7360666666666664</v>
      </c>
      <c r="AJ173" s="41">
        <f>HLOOKUP(HLOOKUP(G173,'THP2'!$B$4:$J$8,5,FALSE),'Fuel &amp; Resister'!$B$3:$G$6,3,FALSE)</f>
        <v>13.019</v>
      </c>
      <c r="AO173" s="1">
        <v>1</v>
      </c>
      <c r="AP173" s="1">
        <v>1</v>
      </c>
    </row>
    <row r="174" spans="2:42" x14ac:dyDescent="0.15">
      <c r="B174" s="43" t="s">
        <v>627</v>
      </c>
      <c r="C174" s="61">
        <f>VLOOKUP(B174,[1]SYS!$F$5:$G$359,2,FALSE)</f>
        <v>123</v>
      </c>
      <c r="D174" s="1" t="s">
        <v>50</v>
      </c>
      <c r="E174" s="65" t="s">
        <v>173</v>
      </c>
      <c r="F174" s="63" t="s">
        <v>441</v>
      </c>
      <c r="G174" s="1">
        <v>3</v>
      </c>
      <c r="H174" s="1">
        <f t="shared" si="24"/>
        <v>0.4</v>
      </c>
      <c r="I174" s="1">
        <f t="shared" si="25"/>
        <v>0.5</v>
      </c>
      <c r="J174" s="1">
        <f t="shared" si="23"/>
        <v>2.0000000000000018E-2</v>
      </c>
      <c r="K174" s="1">
        <f t="shared" si="26"/>
        <v>2.1272099999999998</v>
      </c>
      <c r="L174" s="1">
        <f t="shared" si="27"/>
        <v>1.6306400000000001</v>
      </c>
      <c r="M174" s="49">
        <f t="shared" si="28"/>
        <v>1.5010019281112219</v>
      </c>
      <c r="N174" s="49">
        <v>1.47</v>
      </c>
      <c r="O174" s="1">
        <v>613</v>
      </c>
      <c r="P174" s="51">
        <v>0.05</v>
      </c>
      <c r="Q174" s="51">
        <v>11</v>
      </c>
      <c r="R174" s="51">
        <v>1</v>
      </c>
      <c r="S174" s="1">
        <v>1</v>
      </c>
      <c r="T174" s="1">
        <v>0</v>
      </c>
      <c r="U174" s="47">
        <v>1</v>
      </c>
      <c r="V174" s="47">
        <v>169</v>
      </c>
      <c r="W174" s="41">
        <v>200</v>
      </c>
      <c r="X174">
        <v>500</v>
      </c>
      <c r="Y174">
        <v>0.98</v>
      </c>
      <c r="Z174">
        <v>2127.21</v>
      </c>
      <c r="AA174">
        <v>1630.64</v>
      </c>
      <c r="AB174">
        <v>147</v>
      </c>
      <c r="AC174">
        <v>36</v>
      </c>
      <c r="AD174" s="41">
        <f t="shared" si="29"/>
        <v>0.40428542551041036</v>
      </c>
      <c r="AE174" s="41">
        <f t="shared" si="30"/>
        <v>0.52740028455085119</v>
      </c>
      <c r="AF174">
        <f t="shared" si="31"/>
        <v>1.2995933333333336</v>
      </c>
      <c r="AG174">
        <f t="shared" si="32"/>
        <v>0.16552333333333324</v>
      </c>
      <c r="AH174">
        <f t="shared" si="33"/>
        <v>1.47</v>
      </c>
      <c r="AI174">
        <f>HLOOKUP(HLOOKUP(G174,'THP2'!$B$4:$J$8,5,FALSE),'Fuel &amp; Resister'!$B$3:$G$6,4,FALSE)</f>
        <v>2.7360666666666664</v>
      </c>
      <c r="AJ174" s="41">
        <f>HLOOKUP(HLOOKUP(G174,'THP2'!$B$4:$J$8,5,FALSE),'Fuel &amp; Resister'!$B$3:$G$6,3,FALSE)</f>
        <v>13.019</v>
      </c>
      <c r="AO174" s="1">
        <v>1</v>
      </c>
      <c r="AP174" s="1">
        <v>1</v>
      </c>
    </row>
    <row r="175" spans="2:42" x14ac:dyDescent="0.15">
      <c r="B175" s="43" t="s">
        <v>626</v>
      </c>
      <c r="C175" s="61">
        <f>VLOOKUP(B175,[1]SYS!$F$5:$G$359,2,FALSE)</f>
        <v>73</v>
      </c>
      <c r="D175" s="1" t="s">
        <v>50</v>
      </c>
      <c r="E175" s="65" t="s">
        <v>174</v>
      </c>
      <c r="F175" s="63" t="s">
        <v>440</v>
      </c>
      <c r="G175" s="1">
        <v>3</v>
      </c>
      <c r="H175" s="1">
        <f t="shared" si="24"/>
        <v>0.40039447731755423</v>
      </c>
      <c r="I175" s="1">
        <f t="shared" si="25"/>
        <v>0.50700000000000001</v>
      </c>
      <c r="J175" s="1">
        <f t="shared" si="23"/>
        <v>2.0000000000000018E-2</v>
      </c>
      <c r="K175" s="1">
        <f t="shared" si="26"/>
        <v>2.1272099999999998</v>
      </c>
      <c r="L175" s="1">
        <f t="shared" si="27"/>
        <v>1.6306400000000001</v>
      </c>
      <c r="M175" s="49">
        <f t="shared" si="28"/>
        <v>1.5220159551047794</v>
      </c>
      <c r="N175" s="49">
        <v>1.4775</v>
      </c>
      <c r="O175" s="1">
        <v>1214</v>
      </c>
      <c r="P175" s="51">
        <v>0.05</v>
      </c>
      <c r="Q175" s="51">
        <v>11</v>
      </c>
      <c r="R175" s="51">
        <v>1</v>
      </c>
      <c r="S175" s="1">
        <v>1</v>
      </c>
      <c r="T175" s="1">
        <v>0</v>
      </c>
      <c r="U175" s="47">
        <v>1</v>
      </c>
      <c r="V175" s="47">
        <v>170</v>
      </c>
      <c r="W175" s="41">
        <v>203</v>
      </c>
      <c r="X175">
        <v>507</v>
      </c>
      <c r="Y175">
        <v>0.98</v>
      </c>
      <c r="Z175">
        <v>2127.21</v>
      </c>
      <c r="AA175">
        <v>1630.64</v>
      </c>
      <c r="AB175">
        <v>147.75</v>
      </c>
      <c r="AC175">
        <v>36</v>
      </c>
      <c r="AD175" s="41">
        <f t="shared" si="29"/>
        <v>0.40428542551041036</v>
      </c>
      <c r="AE175" s="41">
        <f t="shared" si="30"/>
        <v>0.52740028455085119</v>
      </c>
      <c r="AF175">
        <f t="shared" si="31"/>
        <v>1.2990488486842109</v>
      </c>
      <c r="AG175">
        <f t="shared" si="32"/>
        <v>0.16811671371710513</v>
      </c>
      <c r="AH175">
        <f t="shared" si="33"/>
        <v>1.4775</v>
      </c>
      <c r="AI175">
        <f>HLOOKUP(HLOOKUP(G175,'THP2'!$B$4:$J$8,5,FALSE),'Fuel &amp; Resister'!$B$3:$G$6,4,FALSE)</f>
        <v>2.7360666666666664</v>
      </c>
      <c r="AJ175" s="41">
        <f>HLOOKUP(HLOOKUP(G175,'THP2'!$B$4:$J$8,5,FALSE),'Fuel &amp; Resister'!$B$3:$G$6,3,FALSE)</f>
        <v>13.019</v>
      </c>
      <c r="AO175" s="1">
        <v>1</v>
      </c>
      <c r="AP175" s="1">
        <v>1</v>
      </c>
    </row>
    <row r="176" spans="2:42" x14ac:dyDescent="0.15">
      <c r="B176" s="43" t="s">
        <v>626</v>
      </c>
      <c r="C176" s="61">
        <f>VLOOKUP(B176,[1]SYS!$F$5:$G$359,2,FALSE)</f>
        <v>73</v>
      </c>
      <c r="D176" s="1" t="s">
        <v>50</v>
      </c>
      <c r="E176" s="65" t="s">
        <v>175</v>
      </c>
      <c r="F176" s="63" t="s">
        <v>440</v>
      </c>
      <c r="G176" s="1">
        <v>3</v>
      </c>
      <c r="H176" s="1">
        <f t="shared" si="24"/>
        <v>0.40039447731755423</v>
      </c>
      <c r="I176" s="1">
        <f t="shared" si="25"/>
        <v>0.50700000000000001</v>
      </c>
      <c r="J176" s="1">
        <f t="shared" si="23"/>
        <v>2.0000000000000018E-2</v>
      </c>
      <c r="K176" s="1">
        <f t="shared" si="26"/>
        <v>2.1272099999999998</v>
      </c>
      <c r="L176" s="1">
        <f t="shared" si="27"/>
        <v>1.6306400000000001</v>
      </c>
      <c r="M176" s="49">
        <f t="shared" si="28"/>
        <v>1.5220159551047794</v>
      </c>
      <c r="N176" s="49">
        <v>1.4775</v>
      </c>
      <c r="O176" s="1">
        <v>1014</v>
      </c>
      <c r="P176" s="51">
        <v>0.05</v>
      </c>
      <c r="Q176" s="51">
        <v>11</v>
      </c>
      <c r="R176" s="51">
        <v>1</v>
      </c>
      <c r="S176" s="1">
        <v>1</v>
      </c>
      <c r="T176" s="1">
        <v>0</v>
      </c>
      <c r="U176" s="47">
        <v>1</v>
      </c>
      <c r="V176" s="47">
        <v>171</v>
      </c>
      <c r="W176" s="41">
        <v>203</v>
      </c>
      <c r="X176">
        <v>507</v>
      </c>
      <c r="Y176">
        <v>0.98</v>
      </c>
      <c r="Z176">
        <v>2127.21</v>
      </c>
      <c r="AA176">
        <v>1630.64</v>
      </c>
      <c r="AB176">
        <v>147.75</v>
      </c>
      <c r="AC176">
        <v>36</v>
      </c>
      <c r="AD176" s="41">
        <f t="shared" si="29"/>
        <v>0.40428542551041036</v>
      </c>
      <c r="AE176" s="41">
        <f t="shared" si="30"/>
        <v>0.52740028455085119</v>
      </c>
      <c r="AF176">
        <f t="shared" si="31"/>
        <v>1.2990488486842109</v>
      </c>
      <c r="AG176">
        <f t="shared" si="32"/>
        <v>0.16811671371710513</v>
      </c>
      <c r="AH176">
        <f t="shared" si="33"/>
        <v>1.4775</v>
      </c>
      <c r="AI176">
        <f>HLOOKUP(HLOOKUP(G176,'THP2'!$B$4:$J$8,5,FALSE),'Fuel &amp; Resister'!$B$3:$G$6,4,FALSE)</f>
        <v>2.7360666666666664</v>
      </c>
      <c r="AJ176" s="41">
        <f>HLOOKUP(HLOOKUP(G176,'THP2'!$B$4:$J$8,5,FALSE),'Fuel &amp; Resister'!$B$3:$G$6,3,FALSE)</f>
        <v>13.019</v>
      </c>
      <c r="AO176" s="1">
        <v>1</v>
      </c>
      <c r="AP176" s="1">
        <v>1</v>
      </c>
    </row>
    <row r="177" spans="2:42" x14ac:dyDescent="0.15">
      <c r="B177" s="43" t="s">
        <v>628</v>
      </c>
      <c r="C177" s="61">
        <f>VLOOKUP(B177,[1]SYS!$F$5:$G$359,2,FALSE)</f>
        <v>98</v>
      </c>
      <c r="D177" s="1" t="s">
        <v>50</v>
      </c>
      <c r="E177" s="65" t="s">
        <v>377</v>
      </c>
      <c r="F177" s="63" t="s">
        <v>378</v>
      </c>
      <c r="G177" s="1">
        <v>3</v>
      </c>
      <c r="H177" s="1">
        <f t="shared" si="24"/>
        <v>0.40049140049140047</v>
      </c>
      <c r="I177" s="1">
        <f t="shared" si="25"/>
        <v>0.40699999999999997</v>
      </c>
      <c r="J177" s="1">
        <f t="shared" si="23"/>
        <v>3.0000000000000027E-2</v>
      </c>
      <c r="K177" s="1">
        <f t="shared" si="26"/>
        <v>2.1492199999999997</v>
      </c>
      <c r="L177" s="1">
        <f t="shared" si="27"/>
        <v>1.64751</v>
      </c>
      <c r="M177" s="49">
        <f t="shared" si="28"/>
        <v>1.2344560227138859</v>
      </c>
      <c r="N177" s="49">
        <v>1.3696000000000002</v>
      </c>
      <c r="O177" s="1">
        <v>1214</v>
      </c>
      <c r="P177" s="51">
        <v>0.05</v>
      </c>
      <c r="Q177" s="51">
        <v>11</v>
      </c>
      <c r="R177" s="51">
        <v>1</v>
      </c>
      <c r="S177" s="1">
        <v>1</v>
      </c>
      <c r="T177" s="1">
        <v>0</v>
      </c>
      <c r="U177" s="47">
        <v>1</v>
      </c>
      <c r="V177" s="47">
        <v>172</v>
      </c>
      <c r="W177" s="41">
        <v>163</v>
      </c>
      <c r="X177">
        <v>407</v>
      </c>
      <c r="Y177">
        <v>0.97</v>
      </c>
      <c r="Z177">
        <v>2149.2199999999998</v>
      </c>
      <c r="AA177">
        <v>1647.51</v>
      </c>
      <c r="AB177">
        <v>136.96</v>
      </c>
      <c r="AC177">
        <v>36</v>
      </c>
      <c r="AD177" s="41">
        <f t="shared" si="29"/>
        <v>0.40014516894501267</v>
      </c>
      <c r="AE177" s="41">
        <f t="shared" si="30"/>
        <v>0.52199986646515051</v>
      </c>
      <c r="AF177">
        <f t="shared" si="31"/>
        <v>1.3123512704918034</v>
      </c>
      <c r="AG177">
        <f t="shared" si="32"/>
        <v>0.136409602909836</v>
      </c>
      <c r="AH177">
        <f t="shared" si="33"/>
        <v>1.3696000000000002</v>
      </c>
      <c r="AI177">
        <f>HLOOKUP(HLOOKUP(G177,'THP2'!$B$4:$J$8,5,FALSE),'Fuel &amp; Resister'!$B$3:$G$6,4,FALSE)</f>
        <v>2.7360666666666664</v>
      </c>
      <c r="AJ177" s="41">
        <f>HLOOKUP(HLOOKUP(G177,'THP2'!$B$4:$J$8,5,FALSE),'Fuel &amp; Resister'!$B$3:$G$6,3,FALSE)</f>
        <v>13.019</v>
      </c>
      <c r="AO177" s="1">
        <v>1</v>
      </c>
      <c r="AP177" s="1">
        <v>1</v>
      </c>
    </row>
    <row r="178" spans="2:42" x14ac:dyDescent="0.15">
      <c r="B178" s="43" t="s">
        <v>628</v>
      </c>
      <c r="C178" s="61">
        <f>VLOOKUP(B178,[1]SYS!$F$5:$G$359,2,FALSE)</f>
        <v>98</v>
      </c>
      <c r="D178" s="1" t="s">
        <v>50</v>
      </c>
      <c r="E178" s="65" t="s">
        <v>379</v>
      </c>
      <c r="F178" s="63" t="s">
        <v>378</v>
      </c>
      <c r="G178" s="1">
        <v>3</v>
      </c>
      <c r="H178" s="1">
        <f t="shared" si="24"/>
        <v>0.40049140049140047</v>
      </c>
      <c r="I178" s="1">
        <f t="shared" si="25"/>
        <v>0.40699999999999997</v>
      </c>
      <c r="J178" s="1">
        <f t="shared" si="23"/>
        <v>3.0000000000000027E-2</v>
      </c>
      <c r="K178" s="1">
        <f t="shared" si="26"/>
        <v>2.1492199999999997</v>
      </c>
      <c r="L178" s="1">
        <f t="shared" si="27"/>
        <v>1.64751</v>
      </c>
      <c r="M178" s="49">
        <f t="shared" si="28"/>
        <v>1.2344560227138859</v>
      </c>
      <c r="N178" s="49">
        <v>1.3696000000000002</v>
      </c>
      <c r="O178" s="1">
        <v>913</v>
      </c>
      <c r="P178" s="51">
        <v>0.05</v>
      </c>
      <c r="Q178" s="51">
        <v>11</v>
      </c>
      <c r="R178" s="51">
        <v>1</v>
      </c>
      <c r="S178" s="1">
        <v>1</v>
      </c>
      <c r="T178" s="1">
        <v>0</v>
      </c>
      <c r="U178" s="47">
        <v>1</v>
      </c>
      <c r="V178" s="47">
        <v>173</v>
      </c>
      <c r="W178" s="41">
        <v>163</v>
      </c>
      <c r="X178">
        <v>407</v>
      </c>
      <c r="Y178">
        <v>0.97</v>
      </c>
      <c r="Z178">
        <v>2149.2199999999998</v>
      </c>
      <c r="AA178">
        <v>1647.51</v>
      </c>
      <c r="AB178">
        <v>136.96</v>
      </c>
      <c r="AC178">
        <v>36</v>
      </c>
      <c r="AD178" s="41">
        <f t="shared" si="29"/>
        <v>0.40014516894501267</v>
      </c>
      <c r="AE178" s="41">
        <f t="shared" si="30"/>
        <v>0.52199986646515051</v>
      </c>
      <c r="AF178">
        <f t="shared" si="31"/>
        <v>1.3123512704918034</v>
      </c>
      <c r="AG178">
        <f t="shared" si="32"/>
        <v>0.136409602909836</v>
      </c>
      <c r="AH178">
        <f t="shared" si="33"/>
        <v>1.3696000000000002</v>
      </c>
      <c r="AI178">
        <f>HLOOKUP(HLOOKUP(G178,'THP2'!$B$4:$J$8,5,FALSE),'Fuel &amp; Resister'!$B$3:$G$6,4,FALSE)</f>
        <v>2.7360666666666664</v>
      </c>
      <c r="AJ178" s="41">
        <f>HLOOKUP(HLOOKUP(G178,'THP2'!$B$4:$J$8,5,FALSE),'Fuel &amp; Resister'!$B$3:$G$6,3,FALSE)</f>
        <v>13.019</v>
      </c>
      <c r="AO178" s="1">
        <v>1</v>
      </c>
      <c r="AP178" s="1">
        <v>1</v>
      </c>
    </row>
    <row r="179" spans="2:42" x14ac:dyDescent="0.15">
      <c r="B179" s="43" t="s">
        <v>628</v>
      </c>
      <c r="C179" s="61">
        <f>VLOOKUP(B179,[1]SYS!$F$5:$G$359,2,FALSE)</f>
        <v>98</v>
      </c>
      <c r="D179" s="1" t="s">
        <v>50</v>
      </c>
      <c r="E179" s="65" t="s">
        <v>380</v>
      </c>
      <c r="F179" s="63" t="s">
        <v>378</v>
      </c>
      <c r="G179" s="1">
        <v>3</v>
      </c>
      <c r="H179" s="1">
        <f t="shared" si="24"/>
        <v>0.40049140049140047</v>
      </c>
      <c r="I179" s="1">
        <f t="shared" si="25"/>
        <v>0.40699999999999997</v>
      </c>
      <c r="J179" s="1">
        <f t="shared" si="23"/>
        <v>3.0000000000000027E-2</v>
      </c>
      <c r="K179" s="1">
        <f t="shared" si="26"/>
        <v>2.1492199999999997</v>
      </c>
      <c r="L179" s="1">
        <f t="shared" si="27"/>
        <v>1.64751</v>
      </c>
      <c r="M179" s="49">
        <f t="shared" si="28"/>
        <v>1.2344560227138859</v>
      </c>
      <c r="N179" s="49">
        <v>1.3696000000000002</v>
      </c>
      <c r="O179" s="1">
        <v>413</v>
      </c>
      <c r="P179" s="51">
        <v>0.05</v>
      </c>
      <c r="Q179" s="51">
        <v>11</v>
      </c>
      <c r="R179" s="51">
        <v>1</v>
      </c>
      <c r="S179" s="1">
        <v>1</v>
      </c>
      <c r="T179" s="1">
        <v>0</v>
      </c>
      <c r="U179" s="47">
        <v>1</v>
      </c>
      <c r="V179" s="47">
        <v>174</v>
      </c>
      <c r="W179" s="41">
        <v>163</v>
      </c>
      <c r="X179">
        <v>407</v>
      </c>
      <c r="Y179">
        <v>0.97</v>
      </c>
      <c r="Z179">
        <v>2149.2199999999998</v>
      </c>
      <c r="AA179">
        <v>1647.51</v>
      </c>
      <c r="AB179">
        <v>136.96</v>
      </c>
      <c r="AC179">
        <v>36</v>
      </c>
      <c r="AD179" s="41">
        <f t="shared" si="29"/>
        <v>0.40014516894501267</v>
      </c>
      <c r="AE179" s="41">
        <f t="shared" si="30"/>
        <v>0.52199986646515051</v>
      </c>
      <c r="AF179">
        <f t="shared" si="31"/>
        <v>1.3123512704918034</v>
      </c>
      <c r="AG179">
        <f t="shared" si="32"/>
        <v>0.136409602909836</v>
      </c>
      <c r="AH179">
        <f t="shared" si="33"/>
        <v>1.3696000000000002</v>
      </c>
      <c r="AI179">
        <f>HLOOKUP(HLOOKUP(G179,'THP2'!$B$4:$J$8,5,FALSE),'Fuel &amp; Resister'!$B$3:$G$6,4,FALSE)</f>
        <v>2.7360666666666664</v>
      </c>
      <c r="AJ179" s="41">
        <f>HLOOKUP(HLOOKUP(G179,'THP2'!$B$4:$J$8,5,FALSE),'Fuel &amp; Resister'!$B$3:$G$6,3,FALSE)</f>
        <v>13.019</v>
      </c>
      <c r="AO179" s="1">
        <v>1</v>
      </c>
      <c r="AP179" s="1">
        <v>1</v>
      </c>
    </row>
    <row r="180" spans="2:42" x14ac:dyDescent="0.15">
      <c r="B180" s="43" t="s">
        <v>624</v>
      </c>
      <c r="C180" s="61">
        <f>VLOOKUP(B180,[1]SYS!$F$5:$G$359,2,FALSE)</f>
        <v>74</v>
      </c>
      <c r="D180" s="1" t="s">
        <v>50</v>
      </c>
      <c r="E180" s="65" t="s">
        <v>176</v>
      </c>
      <c r="F180" s="63" t="s">
        <v>472</v>
      </c>
      <c r="G180" s="1">
        <v>3</v>
      </c>
      <c r="H180" s="1">
        <f t="shared" si="24"/>
        <v>0.4</v>
      </c>
      <c r="I180" s="1">
        <f t="shared" si="25"/>
        <v>0.5</v>
      </c>
      <c r="J180" s="1">
        <f t="shared" si="23"/>
        <v>2.0000000000000018E-2</v>
      </c>
      <c r="K180" s="1">
        <f t="shared" si="26"/>
        <v>2.16039</v>
      </c>
      <c r="L180" s="1">
        <f t="shared" si="27"/>
        <v>1.65608</v>
      </c>
      <c r="M180" s="49">
        <f t="shared" si="28"/>
        <v>1.5244194139150473</v>
      </c>
      <c r="N180" s="49">
        <v>1.47</v>
      </c>
      <c r="O180" s="1">
        <v>1014</v>
      </c>
      <c r="P180" s="51">
        <v>0.05</v>
      </c>
      <c r="Q180" s="51">
        <v>11</v>
      </c>
      <c r="R180" s="51">
        <v>1</v>
      </c>
      <c r="S180" s="1">
        <v>1</v>
      </c>
      <c r="T180" s="1">
        <v>0</v>
      </c>
      <c r="U180" s="47">
        <v>1</v>
      </c>
      <c r="V180" s="47">
        <v>175</v>
      </c>
      <c r="W180" s="41">
        <v>200</v>
      </c>
      <c r="X180">
        <v>500</v>
      </c>
      <c r="Y180">
        <v>0.98</v>
      </c>
      <c r="Z180">
        <v>2160.39</v>
      </c>
      <c r="AA180">
        <v>1656.08</v>
      </c>
      <c r="AB180">
        <v>147</v>
      </c>
      <c r="AC180">
        <v>36</v>
      </c>
      <c r="AD180" s="41">
        <f t="shared" si="29"/>
        <v>0.39807627326547523</v>
      </c>
      <c r="AE180" s="41">
        <f t="shared" si="30"/>
        <v>0.51929858460943923</v>
      </c>
      <c r="AF180">
        <f t="shared" si="31"/>
        <v>1.3198733333333332</v>
      </c>
      <c r="AG180">
        <f t="shared" si="32"/>
        <v>0.16810333333333338</v>
      </c>
      <c r="AH180">
        <f t="shared" si="33"/>
        <v>1.47</v>
      </c>
      <c r="AI180">
        <f>HLOOKUP(HLOOKUP(G180,'THP2'!$B$4:$J$8,5,FALSE),'Fuel &amp; Resister'!$B$3:$G$6,4,FALSE)</f>
        <v>2.7360666666666664</v>
      </c>
      <c r="AJ180" s="41">
        <f>HLOOKUP(HLOOKUP(G180,'THP2'!$B$4:$J$8,5,FALSE),'Fuel &amp; Resister'!$B$3:$G$6,3,FALSE)</f>
        <v>13.019</v>
      </c>
      <c r="AO180" s="1">
        <v>1</v>
      </c>
      <c r="AP180" s="1">
        <v>1</v>
      </c>
    </row>
    <row r="181" spans="2:42" x14ac:dyDescent="0.15">
      <c r="B181" s="43" t="s">
        <v>595</v>
      </c>
      <c r="C181" s="61">
        <f>VLOOKUP(B181,[1]SYS!$F$5:$G$359,2,FALSE)</f>
        <v>104</v>
      </c>
      <c r="D181" s="1" t="s">
        <v>50</v>
      </c>
      <c r="E181" s="65" t="s">
        <v>177</v>
      </c>
      <c r="F181" s="63" t="s">
        <v>478</v>
      </c>
      <c r="G181" s="1">
        <v>3</v>
      </c>
      <c r="H181" s="1">
        <f t="shared" si="24"/>
        <v>0.40094339622641512</v>
      </c>
      <c r="I181" s="1">
        <f t="shared" si="25"/>
        <v>0.42399999999999999</v>
      </c>
      <c r="J181" s="1">
        <f t="shared" si="23"/>
        <v>3.0000000000000027E-2</v>
      </c>
      <c r="K181" s="1">
        <f t="shared" si="26"/>
        <v>2.1641399999999997</v>
      </c>
      <c r="L181" s="1">
        <f t="shared" si="27"/>
        <v>1.6589500000000001</v>
      </c>
      <c r="M181" s="49">
        <f t="shared" si="28"/>
        <v>1.2949479358085256</v>
      </c>
      <c r="N181" s="49">
        <v>1.8771</v>
      </c>
      <c r="O181" s="1">
        <v>613</v>
      </c>
      <c r="P181" s="51">
        <v>0.05</v>
      </c>
      <c r="Q181" s="51">
        <v>11</v>
      </c>
      <c r="R181" s="51">
        <v>1</v>
      </c>
      <c r="S181" s="1">
        <v>1</v>
      </c>
      <c r="T181" s="1">
        <v>0</v>
      </c>
      <c r="U181" s="47">
        <v>1</v>
      </c>
      <c r="V181" s="47">
        <v>176</v>
      </c>
      <c r="W181" s="41">
        <v>170</v>
      </c>
      <c r="X181">
        <v>424</v>
      </c>
      <c r="Y181">
        <v>0.97</v>
      </c>
      <c r="Z181">
        <v>2164.14</v>
      </c>
      <c r="AA181">
        <v>1658.95</v>
      </c>
      <c r="AB181">
        <v>187.71</v>
      </c>
      <c r="AC181">
        <v>36</v>
      </c>
      <c r="AD181" s="41">
        <f t="shared" si="29"/>
        <v>0.39738649070762522</v>
      </c>
      <c r="AE181" s="41">
        <f t="shared" si="30"/>
        <v>0.51840019289309502</v>
      </c>
      <c r="AF181">
        <f t="shared" si="31"/>
        <v>1.3208307086614177</v>
      </c>
      <c r="AG181">
        <f t="shared" si="32"/>
        <v>0.14336257952755896</v>
      </c>
      <c r="AH181">
        <f t="shared" si="33"/>
        <v>1.8771</v>
      </c>
      <c r="AI181">
        <f>HLOOKUP(HLOOKUP(G181,'THP2'!$B$4:$J$8,5,FALSE),'Fuel &amp; Resister'!$B$3:$G$6,4,FALSE)</f>
        <v>2.7360666666666664</v>
      </c>
      <c r="AJ181" s="41">
        <f>HLOOKUP(HLOOKUP(G181,'THP2'!$B$4:$J$8,5,FALSE),'Fuel &amp; Resister'!$B$3:$G$6,3,FALSE)</f>
        <v>13.019</v>
      </c>
      <c r="AO181" s="1">
        <v>1</v>
      </c>
      <c r="AP181" s="1">
        <v>1</v>
      </c>
    </row>
    <row r="182" spans="2:42" x14ac:dyDescent="0.15">
      <c r="B182" s="43" t="s">
        <v>595</v>
      </c>
      <c r="C182" s="61">
        <f>VLOOKUP(B182,[1]SYS!$F$5:$G$359,2,FALSE)</f>
        <v>104</v>
      </c>
      <c r="D182" s="1" t="s">
        <v>50</v>
      </c>
      <c r="E182" s="65" t="s">
        <v>178</v>
      </c>
      <c r="F182" s="63" t="s">
        <v>478</v>
      </c>
      <c r="G182" s="1">
        <v>3</v>
      </c>
      <c r="H182" s="1">
        <f t="shared" si="24"/>
        <v>0.40094339622641512</v>
      </c>
      <c r="I182" s="1">
        <f t="shared" si="25"/>
        <v>0.42399999999999999</v>
      </c>
      <c r="J182" s="1">
        <f t="shared" si="23"/>
        <v>3.0000000000000027E-2</v>
      </c>
      <c r="K182" s="1">
        <f t="shared" si="26"/>
        <v>2.1641399999999997</v>
      </c>
      <c r="L182" s="1">
        <f t="shared" si="27"/>
        <v>1.6589500000000001</v>
      </c>
      <c r="M182" s="49">
        <f t="shared" si="28"/>
        <v>1.2949479358085256</v>
      </c>
      <c r="N182" s="49">
        <v>1.8771</v>
      </c>
      <c r="O182" s="1">
        <v>1002</v>
      </c>
      <c r="P182" s="51">
        <v>0.05</v>
      </c>
      <c r="Q182" s="51">
        <v>11</v>
      </c>
      <c r="R182" s="51">
        <v>1</v>
      </c>
      <c r="S182" s="1">
        <v>1</v>
      </c>
      <c r="T182" s="1">
        <v>0</v>
      </c>
      <c r="U182" s="47">
        <v>1</v>
      </c>
      <c r="V182" s="47">
        <v>177</v>
      </c>
      <c r="W182" s="41">
        <v>170</v>
      </c>
      <c r="X182">
        <v>424</v>
      </c>
      <c r="Y182">
        <v>0.97</v>
      </c>
      <c r="Z182">
        <v>2164.14</v>
      </c>
      <c r="AA182">
        <v>1658.95</v>
      </c>
      <c r="AB182">
        <v>187.71</v>
      </c>
      <c r="AC182">
        <v>36</v>
      </c>
      <c r="AD182" s="41">
        <f t="shared" si="29"/>
        <v>0.39738649070762522</v>
      </c>
      <c r="AE182" s="41">
        <f t="shared" si="30"/>
        <v>0.51840019289309502</v>
      </c>
      <c r="AF182">
        <f t="shared" si="31"/>
        <v>1.3208307086614177</v>
      </c>
      <c r="AG182">
        <f t="shared" si="32"/>
        <v>0.14336257952755896</v>
      </c>
      <c r="AH182">
        <f t="shared" si="33"/>
        <v>1.8771</v>
      </c>
      <c r="AI182">
        <f>HLOOKUP(HLOOKUP(G182,'THP2'!$B$4:$J$8,5,FALSE),'Fuel &amp; Resister'!$B$3:$G$6,4,FALSE)</f>
        <v>2.7360666666666664</v>
      </c>
      <c r="AJ182" s="41">
        <f>HLOOKUP(HLOOKUP(G182,'THP2'!$B$4:$J$8,5,FALSE),'Fuel &amp; Resister'!$B$3:$G$6,3,FALSE)</f>
        <v>13.019</v>
      </c>
      <c r="AO182" s="1">
        <v>1</v>
      </c>
      <c r="AP182" s="1">
        <v>1</v>
      </c>
    </row>
    <row r="183" spans="2:42" x14ac:dyDescent="0.15">
      <c r="B183" s="43" t="s">
        <v>624</v>
      </c>
      <c r="C183" s="61">
        <f>VLOOKUP(B183,[1]SYS!$F$5:$G$359,2,FALSE)</f>
        <v>74</v>
      </c>
      <c r="D183" s="1" t="s">
        <v>50</v>
      </c>
      <c r="E183" s="65" t="s">
        <v>179</v>
      </c>
      <c r="F183" s="63" t="s">
        <v>472</v>
      </c>
      <c r="G183" s="1">
        <v>3</v>
      </c>
      <c r="H183" s="1">
        <f t="shared" si="24"/>
        <v>0.4</v>
      </c>
      <c r="I183" s="1">
        <f t="shared" si="25"/>
        <v>0.5</v>
      </c>
      <c r="J183" s="1">
        <f t="shared" si="23"/>
        <v>2.0000000000000018E-2</v>
      </c>
      <c r="K183" s="1">
        <f t="shared" si="26"/>
        <v>2.1754699999999998</v>
      </c>
      <c r="L183" s="1">
        <f t="shared" si="27"/>
        <v>1.66764</v>
      </c>
      <c r="M183" s="49">
        <f t="shared" si="28"/>
        <v>1.5350603783762193</v>
      </c>
      <c r="N183" s="49">
        <v>1.47</v>
      </c>
      <c r="O183" s="1">
        <v>613</v>
      </c>
      <c r="P183" s="51">
        <v>0.05</v>
      </c>
      <c r="Q183" s="51">
        <v>11</v>
      </c>
      <c r="R183" s="51">
        <v>1</v>
      </c>
      <c r="S183" s="1">
        <v>1</v>
      </c>
      <c r="T183" s="1">
        <v>0</v>
      </c>
      <c r="U183" s="47">
        <v>1</v>
      </c>
      <c r="V183" s="47">
        <v>178</v>
      </c>
      <c r="W183" s="41">
        <v>200</v>
      </c>
      <c r="X183">
        <v>500</v>
      </c>
      <c r="Y183">
        <v>0.98</v>
      </c>
      <c r="Z183">
        <v>2175.4699999999998</v>
      </c>
      <c r="AA183">
        <v>1667.64</v>
      </c>
      <c r="AB183">
        <v>147</v>
      </c>
      <c r="AC183">
        <v>36</v>
      </c>
      <c r="AD183" s="41">
        <f t="shared" si="29"/>
        <v>0.39531687405480198</v>
      </c>
      <c r="AE183" s="41">
        <f t="shared" si="30"/>
        <v>0.5156988318821808</v>
      </c>
      <c r="AF183">
        <f t="shared" si="31"/>
        <v>1.3290866666666667</v>
      </c>
      <c r="AG183">
        <f t="shared" si="32"/>
        <v>0.16927666666666663</v>
      </c>
      <c r="AH183">
        <f t="shared" si="33"/>
        <v>1.47</v>
      </c>
      <c r="AI183">
        <f>HLOOKUP(HLOOKUP(G183,'THP2'!$B$4:$J$8,5,FALSE),'Fuel &amp; Resister'!$B$3:$G$6,4,FALSE)</f>
        <v>2.7360666666666664</v>
      </c>
      <c r="AJ183" s="41">
        <f>HLOOKUP(HLOOKUP(G183,'THP2'!$B$4:$J$8,5,FALSE),'Fuel &amp; Resister'!$B$3:$G$6,3,FALSE)</f>
        <v>13.019</v>
      </c>
      <c r="AO183" s="1">
        <v>1</v>
      </c>
      <c r="AP183" s="1">
        <v>1</v>
      </c>
    </row>
    <row r="184" spans="2:42" x14ac:dyDescent="0.15">
      <c r="B184" s="43" t="s">
        <v>624</v>
      </c>
      <c r="C184" s="61">
        <f>VLOOKUP(B184,[1]SYS!$F$5:$G$359,2,FALSE)</f>
        <v>74</v>
      </c>
      <c r="D184" s="1" t="s">
        <v>50</v>
      </c>
      <c r="E184" s="65" t="s">
        <v>180</v>
      </c>
      <c r="F184" s="63" t="s">
        <v>472</v>
      </c>
      <c r="G184" s="1">
        <v>3</v>
      </c>
      <c r="H184" s="1">
        <f t="shared" si="24"/>
        <v>0.4</v>
      </c>
      <c r="I184" s="1">
        <f t="shared" si="25"/>
        <v>0.5</v>
      </c>
      <c r="J184" s="1">
        <f t="shared" si="23"/>
        <v>2.0000000000000018E-2</v>
      </c>
      <c r="K184" s="1">
        <f t="shared" si="26"/>
        <v>2.1754699999999998</v>
      </c>
      <c r="L184" s="1">
        <f t="shared" si="27"/>
        <v>1.66764</v>
      </c>
      <c r="M184" s="49">
        <f t="shared" si="28"/>
        <v>1.5350603783762193</v>
      </c>
      <c r="N184" s="49">
        <v>1.47</v>
      </c>
      <c r="O184" s="1">
        <v>913</v>
      </c>
      <c r="P184" s="51">
        <v>0.05</v>
      </c>
      <c r="Q184" s="51">
        <v>11</v>
      </c>
      <c r="R184" s="51">
        <v>1</v>
      </c>
      <c r="S184" s="1">
        <v>1</v>
      </c>
      <c r="T184" s="1">
        <v>0</v>
      </c>
      <c r="U184" s="47">
        <v>1</v>
      </c>
      <c r="V184" s="47">
        <v>179</v>
      </c>
      <c r="W184" s="41">
        <v>200</v>
      </c>
      <c r="X184">
        <v>500</v>
      </c>
      <c r="Y184">
        <v>0.98</v>
      </c>
      <c r="Z184">
        <v>2175.4699999999998</v>
      </c>
      <c r="AA184">
        <v>1667.64</v>
      </c>
      <c r="AB184">
        <v>147</v>
      </c>
      <c r="AC184">
        <v>36</v>
      </c>
      <c r="AD184" s="41">
        <f t="shared" si="29"/>
        <v>0.39531687405480198</v>
      </c>
      <c r="AE184" s="41">
        <f t="shared" si="30"/>
        <v>0.5156988318821808</v>
      </c>
      <c r="AF184">
        <f t="shared" si="31"/>
        <v>1.3290866666666667</v>
      </c>
      <c r="AG184">
        <f t="shared" si="32"/>
        <v>0.16927666666666663</v>
      </c>
      <c r="AH184">
        <f t="shared" si="33"/>
        <v>1.47</v>
      </c>
      <c r="AI184">
        <f>HLOOKUP(HLOOKUP(G184,'THP2'!$B$4:$J$8,5,FALSE),'Fuel &amp; Resister'!$B$3:$G$6,4,FALSE)</f>
        <v>2.7360666666666664</v>
      </c>
      <c r="AJ184" s="41">
        <f>HLOOKUP(HLOOKUP(G184,'THP2'!$B$4:$J$8,5,FALSE),'Fuel &amp; Resister'!$B$3:$G$6,3,FALSE)</f>
        <v>13.019</v>
      </c>
      <c r="AO184" s="1">
        <v>1</v>
      </c>
      <c r="AP184" s="1">
        <v>1</v>
      </c>
    </row>
    <row r="185" spans="2:42" x14ac:dyDescent="0.15">
      <c r="B185" s="43" t="s">
        <v>592</v>
      </c>
      <c r="C185" s="61">
        <f>VLOOKUP(B185,[1]SYS!$F$5:$G$359,2,FALSE)</f>
        <v>77</v>
      </c>
      <c r="D185" s="1" t="s">
        <v>50</v>
      </c>
      <c r="E185" s="65" t="s">
        <v>181</v>
      </c>
      <c r="F185" s="63" t="s">
        <v>468</v>
      </c>
      <c r="G185" s="1">
        <v>3</v>
      </c>
      <c r="H185" s="1">
        <f t="shared" si="24"/>
        <v>0.4</v>
      </c>
      <c r="I185" s="1">
        <f t="shared" si="25"/>
        <v>0.42</v>
      </c>
      <c r="J185" s="1">
        <f t="shared" si="23"/>
        <v>2.0000000000000018E-2</v>
      </c>
      <c r="K185" s="1">
        <f t="shared" si="26"/>
        <v>2.1869200000000002</v>
      </c>
      <c r="L185" s="1">
        <f t="shared" si="27"/>
        <v>1.6764100000000002</v>
      </c>
      <c r="M185" s="49">
        <f t="shared" si="28"/>
        <v>1.2962318473336509</v>
      </c>
      <c r="N185" s="49">
        <v>1.3836000000000002</v>
      </c>
      <c r="O185" s="1">
        <v>913</v>
      </c>
      <c r="P185" s="51">
        <v>0.05</v>
      </c>
      <c r="Q185" s="51">
        <v>11</v>
      </c>
      <c r="R185" s="51">
        <v>1</v>
      </c>
      <c r="S185" s="1">
        <v>1</v>
      </c>
      <c r="T185" s="1">
        <v>0</v>
      </c>
      <c r="U185" s="47">
        <v>1</v>
      </c>
      <c r="V185" s="47">
        <v>180</v>
      </c>
      <c r="W185" s="41">
        <v>168</v>
      </c>
      <c r="X185">
        <v>420</v>
      </c>
      <c r="Y185">
        <v>0.98</v>
      </c>
      <c r="Z185">
        <v>2186.92</v>
      </c>
      <c r="AA185">
        <v>1676.41</v>
      </c>
      <c r="AB185">
        <v>138.36000000000001</v>
      </c>
      <c r="AC185">
        <v>36</v>
      </c>
      <c r="AD185" s="41">
        <f t="shared" si="29"/>
        <v>0.39324712380882698</v>
      </c>
      <c r="AE185" s="41">
        <f t="shared" si="30"/>
        <v>0.51300099617635297</v>
      </c>
      <c r="AF185">
        <f t="shared" si="31"/>
        <v>1.3360700000000001</v>
      </c>
      <c r="AG185">
        <f t="shared" si="32"/>
        <v>0.14294280000000004</v>
      </c>
      <c r="AH185">
        <f t="shared" si="33"/>
        <v>1.3836000000000002</v>
      </c>
      <c r="AI185">
        <f>HLOOKUP(HLOOKUP(G185,'THP2'!$B$4:$J$8,5,FALSE),'Fuel &amp; Resister'!$B$3:$G$6,4,FALSE)</f>
        <v>2.7360666666666664</v>
      </c>
      <c r="AJ185" s="41">
        <f>HLOOKUP(HLOOKUP(G185,'THP2'!$B$4:$J$8,5,FALSE),'Fuel &amp; Resister'!$B$3:$G$6,3,FALSE)</f>
        <v>13.019</v>
      </c>
      <c r="AO185" s="1">
        <v>1</v>
      </c>
      <c r="AP185" s="1">
        <v>1</v>
      </c>
    </row>
    <row r="186" spans="2:42" x14ac:dyDescent="0.15">
      <c r="B186" s="43" t="s">
        <v>592</v>
      </c>
      <c r="C186" s="61">
        <f>VLOOKUP(B186,[1]SYS!$F$5:$G$359,2,FALSE)</f>
        <v>77</v>
      </c>
      <c r="D186" s="1" t="s">
        <v>50</v>
      </c>
      <c r="E186" s="65" t="s">
        <v>182</v>
      </c>
      <c r="F186" s="63" t="s">
        <v>468</v>
      </c>
      <c r="G186" s="1">
        <v>3</v>
      </c>
      <c r="H186" s="1">
        <f t="shared" si="24"/>
        <v>0.4</v>
      </c>
      <c r="I186" s="1">
        <f t="shared" si="25"/>
        <v>0.42</v>
      </c>
      <c r="J186" s="1">
        <f t="shared" si="23"/>
        <v>2.0000000000000018E-2</v>
      </c>
      <c r="K186" s="1">
        <f t="shared" si="26"/>
        <v>2.1869200000000002</v>
      </c>
      <c r="L186" s="1">
        <f t="shared" si="27"/>
        <v>1.6764100000000002</v>
      </c>
      <c r="M186" s="49">
        <f t="shared" si="28"/>
        <v>1.2962318473336509</v>
      </c>
      <c r="N186" s="49">
        <v>1.3836000000000002</v>
      </c>
      <c r="O186" s="1">
        <v>1214</v>
      </c>
      <c r="P186" s="51">
        <v>0.05</v>
      </c>
      <c r="Q186" s="51">
        <v>11</v>
      </c>
      <c r="R186" s="51">
        <v>1</v>
      </c>
      <c r="S186" s="1">
        <v>1</v>
      </c>
      <c r="T186" s="1">
        <v>0</v>
      </c>
      <c r="U186" s="47">
        <v>1</v>
      </c>
      <c r="V186" s="47">
        <v>181</v>
      </c>
      <c r="W186" s="41">
        <v>168</v>
      </c>
      <c r="X186">
        <v>420</v>
      </c>
      <c r="Y186">
        <v>0.98</v>
      </c>
      <c r="Z186">
        <v>2186.92</v>
      </c>
      <c r="AA186">
        <v>1676.41</v>
      </c>
      <c r="AB186">
        <v>138.36000000000001</v>
      </c>
      <c r="AC186">
        <v>36</v>
      </c>
      <c r="AD186" s="41">
        <f t="shared" si="29"/>
        <v>0.39324712380882698</v>
      </c>
      <c r="AE186" s="41">
        <f t="shared" si="30"/>
        <v>0.51300099617635297</v>
      </c>
      <c r="AF186">
        <f t="shared" si="31"/>
        <v>1.3360700000000001</v>
      </c>
      <c r="AG186">
        <f t="shared" si="32"/>
        <v>0.14294280000000004</v>
      </c>
      <c r="AH186">
        <f t="shared" si="33"/>
        <v>1.3836000000000002</v>
      </c>
      <c r="AI186">
        <f>HLOOKUP(HLOOKUP(G186,'THP2'!$B$4:$J$8,5,FALSE),'Fuel &amp; Resister'!$B$3:$G$6,4,FALSE)</f>
        <v>2.7360666666666664</v>
      </c>
      <c r="AJ186" s="41">
        <f>HLOOKUP(HLOOKUP(G186,'THP2'!$B$4:$J$8,5,FALSE),'Fuel &amp; Resister'!$B$3:$G$6,3,FALSE)</f>
        <v>13.019</v>
      </c>
      <c r="AO186" s="1">
        <v>1</v>
      </c>
      <c r="AP186" s="1">
        <v>1</v>
      </c>
    </row>
    <row r="187" spans="2:42" x14ac:dyDescent="0.15">
      <c r="B187" s="43" t="s">
        <v>592</v>
      </c>
      <c r="C187" s="61">
        <f>VLOOKUP(B187,[1]SYS!$F$5:$G$359,2,FALSE)</f>
        <v>77</v>
      </c>
      <c r="D187" s="1" t="s">
        <v>50</v>
      </c>
      <c r="E187" s="65" t="s">
        <v>183</v>
      </c>
      <c r="F187" s="63" t="s">
        <v>468</v>
      </c>
      <c r="G187" s="1">
        <v>3</v>
      </c>
      <c r="H187" s="1">
        <f t="shared" si="24"/>
        <v>0.4</v>
      </c>
      <c r="I187" s="1">
        <f t="shared" si="25"/>
        <v>0.42</v>
      </c>
      <c r="J187" s="1">
        <f t="shared" si="23"/>
        <v>2.0000000000000018E-2</v>
      </c>
      <c r="K187" s="1">
        <f t="shared" si="26"/>
        <v>2.1869200000000002</v>
      </c>
      <c r="L187" s="1">
        <f t="shared" si="27"/>
        <v>1.6764100000000002</v>
      </c>
      <c r="M187" s="49">
        <f t="shared" si="28"/>
        <v>1.2962318473336509</v>
      </c>
      <c r="N187" s="49">
        <v>1.3836000000000002</v>
      </c>
      <c r="O187" s="1">
        <v>1214</v>
      </c>
      <c r="P187" s="51">
        <v>0.05</v>
      </c>
      <c r="Q187" s="51">
        <v>11</v>
      </c>
      <c r="R187" s="51">
        <v>1</v>
      </c>
      <c r="S187" s="1">
        <v>1</v>
      </c>
      <c r="T187" s="1">
        <v>0</v>
      </c>
      <c r="U187" s="47">
        <v>1</v>
      </c>
      <c r="V187" s="47">
        <v>182</v>
      </c>
      <c r="W187" s="41">
        <v>168</v>
      </c>
      <c r="X187">
        <v>420</v>
      </c>
      <c r="Y187">
        <v>0.98</v>
      </c>
      <c r="Z187">
        <v>2186.92</v>
      </c>
      <c r="AA187">
        <v>1676.41</v>
      </c>
      <c r="AB187">
        <v>138.36000000000001</v>
      </c>
      <c r="AC187">
        <v>36</v>
      </c>
      <c r="AD187" s="41">
        <f t="shared" si="29"/>
        <v>0.39324712380882698</v>
      </c>
      <c r="AE187" s="41">
        <f t="shared" si="30"/>
        <v>0.51300099617635297</v>
      </c>
      <c r="AF187">
        <f t="shared" si="31"/>
        <v>1.3360700000000001</v>
      </c>
      <c r="AG187">
        <f t="shared" si="32"/>
        <v>0.14294280000000004</v>
      </c>
      <c r="AH187">
        <f t="shared" si="33"/>
        <v>1.3836000000000002</v>
      </c>
      <c r="AI187">
        <f>HLOOKUP(HLOOKUP(G187,'THP2'!$B$4:$J$8,5,FALSE),'Fuel &amp; Resister'!$B$3:$G$6,4,FALSE)</f>
        <v>2.7360666666666664</v>
      </c>
      <c r="AJ187" s="41">
        <f>HLOOKUP(HLOOKUP(G187,'THP2'!$B$4:$J$8,5,FALSE),'Fuel &amp; Resister'!$B$3:$G$6,3,FALSE)</f>
        <v>13.019</v>
      </c>
      <c r="AO187" s="1">
        <v>1</v>
      </c>
      <c r="AP187" s="1">
        <v>1</v>
      </c>
    </row>
    <row r="188" spans="2:42" x14ac:dyDescent="0.15">
      <c r="B188" s="43" t="s">
        <v>593</v>
      </c>
      <c r="C188" s="61">
        <f>VLOOKUP(B188,[1]SYS!$F$5:$G$359,2,FALSE)</f>
        <v>105</v>
      </c>
      <c r="D188" s="1" t="s">
        <v>50</v>
      </c>
      <c r="E188" s="65" t="s">
        <v>184</v>
      </c>
      <c r="F188" s="42" t="s">
        <v>479</v>
      </c>
      <c r="G188" s="1">
        <v>3</v>
      </c>
      <c r="H188" s="1">
        <f t="shared" si="24"/>
        <v>0.4</v>
      </c>
      <c r="I188" s="1">
        <f t="shared" si="25"/>
        <v>0.25</v>
      </c>
      <c r="J188" s="1">
        <f t="shared" si="23"/>
        <v>2.0000000000000018E-2</v>
      </c>
      <c r="K188" s="1">
        <f t="shared" si="26"/>
        <v>2.1989099999999997</v>
      </c>
      <c r="L188" s="1">
        <f t="shared" si="27"/>
        <v>1.6856</v>
      </c>
      <c r="M188" s="49">
        <f t="shared" si="28"/>
        <v>0.77579626711729022</v>
      </c>
      <c r="N188" s="49">
        <v>1.2</v>
      </c>
      <c r="O188" s="1">
        <v>1014</v>
      </c>
      <c r="P188" s="51">
        <v>0.05</v>
      </c>
      <c r="Q188" s="51">
        <v>11</v>
      </c>
      <c r="R188" s="51">
        <v>1</v>
      </c>
      <c r="S188" s="1">
        <v>1</v>
      </c>
      <c r="T188" s="1">
        <v>0</v>
      </c>
      <c r="U188" s="47">
        <v>1</v>
      </c>
      <c r="V188" s="47">
        <v>183</v>
      </c>
      <c r="W188" s="41">
        <v>100</v>
      </c>
      <c r="X188">
        <v>250</v>
      </c>
      <c r="Y188">
        <v>0.98</v>
      </c>
      <c r="Z188">
        <v>2198.91</v>
      </c>
      <c r="AA188">
        <v>1685.6</v>
      </c>
      <c r="AB188">
        <v>120</v>
      </c>
      <c r="AC188">
        <v>36</v>
      </c>
      <c r="AD188" s="41">
        <f t="shared" si="29"/>
        <v>0.39110286460109783</v>
      </c>
      <c r="AE188" s="41">
        <f t="shared" si="30"/>
        <v>0.51020408163265307</v>
      </c>
      <c r="AF188">
        <f t="shared" si="31"/>
        <v>1.3433933333333334</v>
      </c>
      <c r="AG188">
        <f t="shared" si="32"/>
        <v>8.5551666666666637E-2</v>
      </c>
      <c r="AH188">
        <f t="shared" si="33"/>
        <v>1.2</v>
      </c>
      <c r="AI188">
        <f>HLOOKUP(HLOOKUP(G188,'THP2'!$B$4:$J$8,5,FALSE),'Fuel &amp; Resister'!$B$3:$G$6,4,FALSE)</f>
        <v>2.7360666666666664</v>
      </c>
      <c r="AJ188" s="41">
        <f>HLOOKUP(HLOOKUP(G188,'THP2'!$B$4:$J$8,5,FALSE),'Fuel &amp; Resister'!$B$3:$G$6,3,FALSE)</f>
        <v>13.019</v>
      </c>
      <c r="AO188" s="1">
        <v>1</v>
      </c>
      <c r="AP188" s="1">
        <v>1</v>
      </c>
    </row>
    <row r="189" spans="2:42" x14ac:dyDescent="0.15">
      <c r="B189" s="43" t="s">
        <v>625</v>
      </c>
      <c r="C189" s="61">
        <f>VLOOKUP(B189,[1]SYS!$F$5:$G$359,2,FALSE)</f>
        <v>106</v>
      </c>
      <c r="D189" s="1" t="s">
        <v>50</v>
      </c>
      <c r="E189" s="65" t="s">
        <v>185</v>
      </c>
      <c r="F189" s="42" t="s">
        <v>375</v>
      </c>
      <c r="G189" s="1">
        <v>3</v>
      </c>
      <c r="H189" s="1">
        <f t="shared" si="24"/>
        <v>0.3981042654028436</v>
      </c>
      <c r="I189" s="1">
        <f t="shared" si="25"/>
        <v>0.21099999999999999</v>
      </c>
      <c r="J189" s="1">
        <f t="shared" si="23"/>
        <v>2.0000000000000018E-2</v>
      </c>
      <c r="K189" s="1">
        <f t="shared" si="26"/>
        <v>2.2315500000000004</v>
      </c>
      <c r="L189" s="1">
        <f t="shared" si="27"/>
        <v>1.7106300000000001</v>
      </c>
      <c r="M189" s="49">
        <f t="shared" si="28"/>
        <v>0.6644949637787787</v>
      </c>
      <c r="N189" s="49">
        <v>1.1584000000000001</v>
      </c>
      <c r="O189" s="6">
        <v>309</v>
      </c>
      <c r="P189" s="51">
        <v>0.05</v>
      </c>
      <c r="Q189" s="51">
        <v>11</v>
      </c>
      <c r="R189" s="51">
        <v>1</v>
      </c>
      <c r="S189" s="1">
        <v>1</v>
      </c>
      <c r="T189" s="1">
        <v>0</v>
      </c>
      <c r="U189" s="47">
        <v>1</v>
      </c>
      <c r="V189" s="47">
        <v>184</v>
      </c>
      <c r="W189" s="41">
        <v>84</v>
      </c>
      <c r="X189">
        <v>211</v>
      </c>
      <c r="Y189">
        <v>0.98</v>
      </c>
      <c r="Z189">
        <v>2231.5500000000002</v>
      </c>
      <c r="AA189">
        <v>1710.63</v>
      </c>
      <c r="AB189">
        <v>115.84</v>
      </c>
      <c r="AC189">
        <v>46</v>
      </c>
      <c r="AD189" s="41">
        <f t="shared" si="29"/>
        <v>0.38538235755416633</v>
      </c>
      <c r="AE189" s="41">
        <f t="shared" si="30"/>
        <v>0.50273875706611015</v>
      </c>
      <c r="AF189">
        <f t="shared" si="31"/>
        <v>1.3660844881889762</v>
      </c>
      <c r="AG189">
        <f t="shared" si="32"/>
        <v>7.2699102992126036E-2</v>
      </c>
      <c r="AH189">
        <f t="shared" si="33"/>
        <v>1.1584000000000001</v>
      </c>
      <c r="AI189">
        <f>HLOOKUP(HLOOKUP(G189,'THP2'!$B$4:$J$8,5,FALSE),'Fuel &amp; Resister'!$B$3:$G$6,4,FALSE)</f>
        <v>2.7360666666666664</v>
      </c>
      <c r="AJ189" s="41">
        <f>HLOOKUP(HLOOKUP(G189,'THP2'!$B$4:$J$8,5,FALSE),'Fuel &amp; Resister'!$B$3:$G$6,3,FALSE)</f>
        <v>13.019</v>
      </c>
      <c r="AO189" s="1">
        <v>1</v>
      </c>
      <c r="AP189" s="1">
        <v>1</v>
      </c>
    </row>
    <row r="190" spans="2:42" x14ac:dyDescent="0.15">
      <c r="B190" s="43" t="s">
        <v>595</v>
      </c>
      <c r="C190" s="61">
        <f>VLOOKUP(B190,[1]SYS!$F$5:$G$359,2,FALSE)</f>
        <v>104</v>
      </c>
      <c r="D190" s="1" t="s">
        <v>50</v>
      </c>
      <c r="E190" s="65" t="s">
        <v>186</v>
      </c>
      <c r="F190" s="63" t="s">
        <v>473</v>
      </c>
      <c r="G190" s="1">
        <v>3</v>
      </c>
      <c r="H190" s="1">
        <f t="shared" si="24"/>
        <v>0.39892183288409705</v>
      </c>
      <c r="I190" s="1">
        <f t="shared" si="25"/>
        <v>0.371</v>
      </c>
      <c r="J190" s="1">
        <f t="shared" si="23"/>
        <v>2.1599999999999953E-2</v>
      </c>
      <c r="K190" s="1">
        <f t="shared" si="26"/>
        <v>2.2339499999999997</v>
      </c>
      <c r="L190" s="1">
        <f t="shared" si="27"/>
        <v>1.7124699999999999</v>
      </c>
      <c r="M190" s="49">
        <f t="shared" si="28"/>
        <v>1.1696341391722311</v>
      </c>
      <c r="N190" s="49">
        <v>1.5891</v>
      </c>
      <c r="O190" s="6">
        <v>314</v>
      </c>
      <c r="P190" s="51">
        <v>0.05</v>
      </c>
      <c r="Q190" s="51">
        <v>11</v>
      </c>
      <c r="R190" s="51">
        <v>1</v>
      </c>
      <c r="S190" s="1">
        <v>1</v>
      </c>
      <c r="T190" s="1">
        <v>0</v>
      </c>
      <c r="U190" s="47">
        <v>1</v>
      </c>
      <c r="V190" s="47">
        <v>185</v>
      </c>
      <c r="W190" s="41">
        <v>148</v>
      </c>
      <c r="X190">
        <v>371</v>
      </c>
      <c r="Y190">
        <v>0.97840000000000005</v>
      </c>
      <c r="Z190">
        <v>2233.9499999999998</v>
      </c>
      <c r="AA190">
        <v>1712.47</v>
      </c>
      <c r="AB190">
        <v>158.91</v>
      </c>
      <c r="AC190">
        <v>36</v>
      </c>
      <c r="AD190" s="41">
        <f t="shared" si="29"/>
        <v>0.38496832964032324</v>
      </c>
      <c r="AE190" s="41">
        <f t="shared" si="30"/>
        <v>0.50219857866123208</v>
      </c>
      <c r="AF190">
        <f t="shared" si="31"/>
        <v>1.3663756502242155</v>
      </c>
      <c r="AG190">
        <f t="shared" si="32"/>
        <v>0.12840100376681604</v>
      </c>
      <c r="AH190">
        <f t="shared" si="33"/>
        <v>1.5891</v>
      </c>
      <c r="AI190">
        <f>HLOOKUP(HLOOKUP(G190,'THP2'!$B$4:$J$8,5,FALSE),'Fuel &amp; Resister'!$B$3:$G$6,4,FALSE)</f>
        <v>2.7360666666666664</v>
      </c>
      <c r="AJ190" s="41">
        <f>HLOOKUP(HLOOKUP(G190,'THP2'!$B$4:$J$8,5,FALSE),'Fuel &amp; Resister'!$B$3:$G$6,3,FALSE)</f>
        <v>13.019</v>
      </c>
      <c r="AO190" s="1">
        <v>1</v>
      </c>
      <c r="AP190" s="1">
        <v>1</v>
      </c>
    </row>
    <row r="191" spans="2:42" x14ac:dyDescent="0.15">
      <c r="B191" s="43" t="s">
        <v>595</v>
      </c>
      <c r="C191" s="61">
        <f>VLOOKUP(B191,[1]SYS!$F$5:$G$359,2,FALSE)</f>
        <v>104</v>
      </c>
      <c r="D191" s="1" t="s">
        <v>50</v>
      </c>
      <c r="E191" s="65" t="s">
        <v>187</v>
      </c>
      <c r="F191" s="63" t="s">
        <v>473</v>
      </c>
      <c r="G191" s="1">
        <v>3</v>
      </c>
      <c r="H191" s="1">
        <f t="shared" si="24"/>
        <v>0.39944903581267216</v>
      </c>
      <c r="I191" s="1">
        <f t="shared" si="25"/>
        <v>0.36299999999999999</v>
      </c>
      <c r="J191" s="1">
        <f t="shared" si="23"/>
        <v>2.1599999999999953E-2</v>
      </c>
      <c r="K191" s="1">
        <f t="shared" si="26"/>
        <v>2.2339499999999997</v>
      </c>
      <c r="L191" s="1">
        <f t="shared" si="27"/>
        <v>1.7124699999999999</v>
      </c>
      <c r="M191" s="49">
        <f t="shared" si="28"/>
        <v>1.1444129178423719</v>
      </c>
      <c r="N191" s="49">
        <v>1.5456000000000001</v>
      </c>
      <c r="O191" s="6">
        <v>314</v>
      </c>
      <c r="P191" s="51">
        <v>0.05</v>
      </c>
      <c r="Q191" s="51">
        <v>11</v>
      </c>
      <c r="R191" s="51">
        <v>1</v>
      </c>
      <c r="S191" s="1">
        <v>1</v>
      </c>
      <c r="T191" s="1">
        <v>0</v>
      </c>
      <c r="U191" s="47">
        <v>1</v>
      </c>
      <c r="V191" s="47">
        <v>186</v>
      </c>
      <c r="W191" s="41">
        <v>145</v>
      </c>
      <c r="X191">
        <v>363</v>
      </c>
      <c r="Y191">
        <v>0.97840000000000005</v>
      </c>
      <c r="Z191">
        <v>2233.9499999999998</v>
      </c>
      <c r="AA191">
        <v>1712.47</v>
      </c>
      <c r="AB191">
        <v>154.56</v>
      </c>
      <c r="AC191">
        <v>36</v>
      </c>
      <c r="AD191" s="41">
        <f t="shared" si="29"/>
        <v>0.38496832964032324</v>
      </c>
      <c r="AE191" s="41">
        <f t="shared" si="30"/>
        <v>0.50219857866123208</v>
      </c>
      <c r="AF191">
        <f t="shared" si="31"/>
        <v>1.3656140366972478</v>
      </c>
      <c r="AG191">
        <f t="shared" si="32"/>
        <v>0.12590871467889903</v>
      </c>
      <c r="AH191">
        <f t="shared" si="33"/>
        <v>1.5456000000000001</v>
      </c>
      <c r="AI191">
        <f>HLOOKUP(HLOOKUP(G191,'THP2'!$B$4:$J$8,5,FALSE),'Fuel &amp; Resister'!$B$3:$G$6,4,FALSE)</f>
        <v>2.7360666666666664</v>
      </c>
      <c r="AJ191" s="41">
        <f>HLOOKUP(HLOOKUP(G191,'THP2'!$B$4:$J$8,5,FALSE),'Fuel &amp; Resister'!$B$3:$G$6,3,FALSE)</f>
        <v>13.019</v>
      </c>
      <c r="AO191" s="1">
        <v>1</v>
      </c>
      <c r="AP191" s="1">
        <v>1</v>
      </c>
    </row>
    <row r="192" spans="2:42" x14ac:dyDescent="0.15">
      <c r="B192" s="43" t="s">
        <v>595</v>
      </c>
      <c r="C192" s="61">
        <f>VLOOKUP(B192,[1]SYS!$F$5:$G$359,2,FALSE)</f>
        <v>104</v>
      </c>
      <c r="D192" s="1" t="s">
        <v>50</v>
      </c>
      <c r="E192" s="65" t="s">
        <v>188</v>
      </c>
      <c r="F192" s="63" t="s">
        <v>473</v>
      </c>
      <c r="G192" s="1">
        <v>3</v>
      </c>
      <c r="H192" s="1">
        <f t="shared" si="24"/>
        <v>0.4</v>
      </c>
      <c r="I192" s="1">
        <f t="shared" si="25"/>
        <v>0.37</v>
      </c>
      <c r="J192" s="1">
        <f t="shared" si="23"/>
        <v>2.0599999999999952E-2</v>
      </c>
      <c r="K192" s="1">
        <f t="shared" si="26"/>
        <v>2.2339499999999997</v>
      </c>
      <c r="L192" s="1">
        <f t="shared" si="27"/>
        <v>1.7124699999999999</v>
      </c>
      <c r="M192" s="49">
        <f t="shared" si="28"/>
        <v>1.1664814865059989</v>
      </c>
      <c r="N192" s="49">
        <v>1.5837000000000001</v>
      </c>
      <c r="O192" s="6">
        <v>314</v>
      </c>
      <c r="P192" s="51">
        <v>0.05</v>
      </c>
      <c r="Q192" s="51">
        <v>11</v>
      </c>
      <c r="R192" s="51">
        <v>1</v>
      </c>
      <c r="S192" s="1">
        <v>1</v>
      </c>
      <c r="T192" s="1">
        <v>0</v>
      </c>
      <c r="U192" s="47">
        <v>1</v>
      </c>
      <c r="V192" s="47">
        <v>187</v>
      </c>
      <c r="W192" s="41">
        <v>148</v>
      </c>
      <c r="X192">
        <v>370</v>
      </c>
      <c r="Y192">
        <v>0.97940000000000005</v>
      </c>
      <c r="Z192">
        <v>2233.9499999999998</v>
      </c>
      <c r="AA192">
        <v>1712.47</v>
      </c>
      <c r="AB192">
        <v>158.37</v>
      </c>
      <c r="AC192">
        <v>36</v>
      </c>
      <c r="AD192" s="41">
        <f t="shared" si="29"/>
        <v>0.38496832964032324</v>
      </c>
      <c r="AE192" s="41">
        <f t="shared" si="30"/>
        <v>0.50219857866123208</v>
      </c>
      <c r="AF192">
        <f t="shared" si="31"/>
        <v>1.3648166666666668</v>
      </c>
      <c r="AG192">
        <f t="shared" si="32"/>
        <v>0.12863173333333328</v>
      </c>
      <c r="AH192">
        <f t="shared" si="33"/>
        <v>1.5837000000000001</v>
      </c>
      <c r="AI192">
        <f>HLOOKUP(HLOOKUP(G192,'THP2'!$B$4:$J$8,5,FALSE),'Fuel &amp; Resister'!$B$3:$G$6,4,FALSE)</f>
        <v>2.7360666666666664</v>
      </c>
      <c r="AJ192" s="41">
        <f>HLOOKUP(HLOOKUP(G192,'THP2'!$B$4:$J$8,5,FALSE),'Fuel &amp; Resister'!$B$3:$G$6,3,FALSE)</f>
        <v>13.019</v>
      </c>
      <c r="AO192" s="1">
        <v>1</v>
      </c>
      <c r="AP192" s="1">
        <v>1</v>
      </c>
    </row>
    <row r="193" spans="2:42" x14ac:dyDescent="0.15">
      <c r="B193" s="43" t="s">
        <v>595</v>
      </c>
      <c r="C193" s="61">
        <f>VLOOKUP(B193,[1]SYS!$F$5:$G$359,2,FALSE)</f>
        <v>104</v>
      </c>
      <c r="D193" s="1" t="s">
        <v>50</v>
      </c>
      <c r="E193" s="65" t="s">
        <v>189</v>
      </c>
      <c r="F193" s="63" t="s">
        <v>473</v>
      </c>
      <c r="G193" s="1">
        <v>3</v>
      </c>
      <c r="H193" s="1">
        <f t="shared" si="24"/>
        <v>0.4</v>
      </c>
      <c r="I193" s="1">
        <f t="shared" si="25"/>
        <v>0.37</v>
      </c>
      <c r="J193" s="1">
        <f t="shared" si="23"/>
        <v>2.0599999999999952E-2</v>
      </c>
      <c r="K193" s="1">
        <f t="shared" si="26"/>
        <v>2.2339499999999997</v>
      </c>
      <c r="L193" s="1">
        <f t="shared" si="27"/>
        <v>1.7124699999999999</v>
      </c>
      <c r="M193" s="49">
        <f t="shared" si="28"/>
        <v>1.1664814865059989</v>
      </c>
      <c r="N193" s="49">
        <v>1.3296000000000001</v>
      </c>
      <c r="O193" s="6">
        <v>314</v>
      </c>
      <c r="P193" s="51">
        <v>0.05</v>
      </c>
      <c r="Q193" s="51">
        <v>11</v>
      </c>
      <c r="R193" s="51">
        <v>1</v>
      </c>
      <c r="S193" s="1">
        <v>1</v>
      </c>
      <c r="T193" s="1">
        <v>0</v>
      </c>
      <c r="U193" s="47">
        <v>1</v>
      </c>
      <c r="V193" s="47">
        <v>188</v>
      </c>
      <c r="W193" s="41">
        <v>148</v>
      </c>
      <c r="X193">
        <v>370</v>
      </c>
      <c r="Y193">
        <v>0.97940000000000005</v>
      </c>
      <c r="Z193">
        <v>2233.9499999999998</v>
      </c>
      <c r="AA193">
        <v>1712.47</v>
      </c>
      <c r="AB193">
        <v>132.96</v>
      </c>
      <c r="AC193">
        <v>36</v>
      </c>
      <c r="AD193" s="41">
        <f t="shared" si="29"/>
        <v>0.38496832964032324</v>
      </c>
      <c r="AE193" s="41">
        <f t="shared" si="30"/>
        <v>0.50219857866123208</v>
      </c>
      <c r="AF193">
        <f t="shared" si="31"/>
        <v>1.3648166666666668</v>
      </c>
      <c r="AG193">
        <f t="shared" si="32"/>
        <v>0.12863173333333328</v>
      </c>
      <c r="AH193">
        <f t="shared" si="33"/>
        <v>1.3296000000000001</v>
      </c>
      <c r="AI193">
        <f>HLOOKUP(HLOOKUP(G193,'THP2'!$B$4:$J$8,5,FALSE),'Fuel &amp; Resister'!$B$3:$G$6,4,FALSE)</f>
        <v>2.7360666666666664</v>
      </c>
      <c r="AJ193" s="41">
        <f>HLOOKUP(HLOOKUP(G193,'THP2'!$B$4:$J$8,5,FALSE),'Fuel &amp; Resister'!$B$3:$G$6,3,FALSE)</f>
        <v>13.019</v>
      </c>
      <c r="AO193" s="1">
        <v>1</v>
      </c>
      <c r="AP193" s="1">
        <v>1</v>
      </c>
    </row>
    <row r="194" spans="2:42" x14ac:dyDescent="0.15">
      <c r="B194" s="43" t="s">
        <v>595</v>
      </c>
      <c r="C194" s="61">
        <f>VLOOKUP(B194,[1]SYS!$F$5:$G$359,2,FALSE)</f>
        <v>104</v>
      </c>
      <c r="D194" s="1" t="s">
        <v>50</v>
      </c>
      <c r="E194" s="65" t="s">
        <v>190</v>
      </c>
      <c r="F194" s="63" t="s">
        <v>473</v>
      </c>
      <c r="G194" s="1">
        <v>3</v>
      </c>
      <c r="H194" s="1">
        <f t="shared" si="24"/>
        <v>0.4</v>
      </c>
      <c r="I194" s="1">
        <f t="shared" si="25"/>
        <v>0.37</v>
      </c>
      <c r="J194" s="1">
        <f t="shared" si="23"/>
        <v>2.1100000000000008E-2</v>
      </c>
      <c r="K194" s="1">
        <f t="shared" si="26"/>
        <v>2.2339499999999997</v>
      </c>
      <c r="L194" s="1">
        <f t="shared" si="27"/>
        <v>1.7124699999999999</v>
      </c>
      <c r="M194" s="49">
        <f t="shared" si="28"/>
        <v>1.1664814865059989</v>
      </c>
      <c r="N194" s="49">
        <v>1.5837000000000001</v>
      </c>
      <c r="O194" s="6">
        <v>314</v>
      </c>
      <c r="P194" s="51">
        <v>0.05</v>
      </c>
      <c r="Q194" s="51">
        <v>11</v>
      </c>
      <c r="R194" s="51">
        <v>1</v>
      </c>
      <c r="S194" s="1">
        <v>1</v>
      </c>
      <c r="T194" s="1">
        <v>0</v>
      </c>
      <c r="U194" s="47">
        <v>1</v>
      </c>
      <c r="V194" s="47">
        <v>189</v>
      </c>
      <c r="W194" s="41">
        <v>148</v>
      </c>
      <c r="X194">
        <v>370</v>
      </c>
      <c r="Y194">
        <v>0.97889999999999999</v>
      </c>
      <c r="Z194">
        <v>2233.9499999999998</v>
      </c>
      <c r="AA194">
        <v>1712.47</v>
      </c>
      <c r="AB194">
        <v>158.37</v>
      </c>
      <c r="AC194">
        <v>36</v>
      </c>
      <c r="AD194" s="41">
        <f t="shared" si="29"/>
        <v>0.38496832964032324</v>
      </c>
      <c r="AE194" s="41">
        <f t="shared" si="30"/>
        <v>0.50219857866123208</v>
      </c>
      <c r="AF194">
        <f t="shared" si="31"/>
        <v>1.3648166666666668</v>
      </c>
      <c r="AG194">
        <f t="shared" si="32"/>
        <v>0.12863173333333328</v>
      </c>
      <c r="AH194">
        <f t="shared" si="33"/>
        <v>1.5837000000000001</v>
      </c>
      <c r="AI194">
        <f>HLOOKUP(HLOOKUP(G194,'THP2'!$B$4:$J$8,5,FALSE),'Fuel &amp; Resister'!$B$3:$G$6,4,FALSE)</f>
        <v>2.7360666666666664</v>
      </c>
      <c r="AJ194" s="41">
        <f>HLOOKUP(HLOOKUP(G194,'THP2'!$B$4:$J$8,5,FALSE),'Fuel &amp; Resister'!$B$3:$G$6,3,FALSE)</f>
        <v>13.019</v>
      </c>
      <c r="AO194" s="1">
        <v>1</v>
      </c>
      <c r="AP194" s="1">
        <v>1</v>
      </c>
    </row>
    <row r="195" spans="2:42" x14ac:dyDescent="0.15">
      <c r="B195" s="43" t="s">
        <v>595</v>
      </c>
      <c r="C195" s="61">
        <f>VLOOKUP(B195,[1]SYS!$F$5:$G$359,2,FALSE)</f>
        <v>104</v>
      </c>
      <c r="D195" s="1" t="s">
        <v>50</v>
      </c>
      <c r="E195" s="65" t="s">
        <v>191</v>
      </c>
      <c r="F195" s="63" t="s">
        <v>473</v>
      </c>
      <c r="G195" s="1">
        <v>3</v>
      </c>
      <c r="H195" s="1">
        <f t="shared" si="24"/>
        <v>0.40109890109890112</v>
      </c>
      <c r="I195" s="1">
        <f t="shared" si="25"/>
        <v>0.36399999999999999</v>
      </c>
      <c r="J195" s="1">
        <f t="shared" si="23"/>
        <v>2.0599999999999952E-2</v>
      </c>
      <c r="K195" s="1">
        <f t="shared" si="26"/>
        <v>2.2339499999999997</v>
      </c>
      <c r="L195" s="1">
        <f t="shared" si="27"/>
        <v>1.7124699999999999</v>
      </c>
      <c r="M195" s="49">
        <f t="shared" ref="M195:M258" si="34">(I195*10^6*L195/AJ195*AI195/10^6)*24*365/1000</f>
        <v>1.1475655705086043</v>
      </c>
      <c r="N195" s="49">
        <v>1.5511000000000001</v>
      </c>
      <c r="O195" s="6">
        <v>314</v>
      </c>
      <c r="P195" s="51">
        <v>0.05</v>
      </c>
      <c r="Q195" s="51">
        <v>11</v>
      </c>
      <c r="R195" s="51">
        <v>1</v>
      </c>
      <c r="S195" s="1">
        <v>1</v>
      </c>
      <c r="T195" s="1">
        <v>0</v>
      </c>
      <c r="U195" s="47">
        <v>1</v>
      </c>
      <c r="V195" s="47">
        <v>190</v>
      </c>
      <c r="W195" s="41">
        <v>146</v>
      </c>
      <c r="X195">
        <v>364</v>
      </c>
      <c r="Y195">
        <v>0.97940000000000005</v>
      </c>
      <c r="Z195">
        <v>2233.9499999999998</v>
      </c>
      <c r="AA195">
        <v>1712.47</v>
      </c>
      <c r="AB195">
        <v>155.11000000000001</v>
      </c>
      <c r="AC195">
        <v>36</v>
      </c>
      <c r="AD195" s="41">
        <f t="shared" si="29"/>
        <v>0.38496832964032324</v>
      </c>
      <c r="AE195" s="41">
        <f t="shared" si="30"/>
        <v>0.50219857866123208</v>
      </c>
      <c r="AF195">
        <f t="shared" si="31"/>
        <v>1.3632219266055048</v>
      </c>
      <c r="AG195">
        <f t="shared" si="32"/>
        <v>0.12712629871559622</v>
      </c>
      <c r="AH195">
        <f t="shared" si="33"/>
        <v>1.5511000000000001</v>
      </c>
      <c r="AI195">
        <f>HLOOKUP(HLOOKUP(G195,'THP2'!$B$4:$J$8,5,FALSE),'Fuel &amp; Resister'!$B$3:$G$6,4,FALSE)</f>
        <v>2.7360666666666664</v>
      </c>
      <c r="AJ195" s="41">
        <f>HLOOKUP(HLOOKUP(G195,'THP2'!$B$4:$J$8,5,FALSE),'Fuel &amp; Resister'!$B$3:$G$6,3,FALSE)</f>
        <v>13.019</v>
      </c>
      <c r="AO195" s="1">
        <v>1</v>
      </c>
      <c r="AP195" s="1">
        <v>1</v>
      </c>
    </row>
    <row r="196" spans="2:42" x14ac:dyDescent="0.15">
      <c r="B196" s="43" t="s">
        <v>595</v>
      </c>
      <c r="C196" s="61">
        <f>VLOOKUP(B196,[1]SYS!$F$5:$G$359,2,FALSE)</f>
        <v>104</v>
      </c>
      <c r="D196" s="1" t="s">
        <v>50</v>
      </c>
      <c r="E196" s="65" t="s">
        <v>192</v>
      </c>
      <c r="F196" s="63" t="s">
        <v>473</v>
      </c>
      <c r="G196" s="1">
        <v>3</v>
      </c>
      <c r="H196" s="1">
        <f t="shared" si="24"/>
        <v>0.40109890109890112</v>
      </c>
      <c r="I196" s="1">
        <f t="shared" si="25"/>
        <v>0.36399999999999999</v>
      </c>
      <c r="J196" s="1">
        <f t="shared" si="23"/>
        <v>2.0599999999999952E-2</v>
      </c>
      <c r="K196" s="1">
        <f t="shared" si="26"/>
        <v>2.2339499999999997</v>
      </c>
      <c r="L196" s="1">
        <f t="shared" si="27"/>
        <v>1.7124699999999999</v>
      </c>
      <c r="M196" s="49">
        <f t="shared" si="34"/>
        <v>1.1475655705086043</v>
      </c>
      <c r="N196" s="49">
        <v>1.5511000000000001</v>
      </c>
      <c r="O196" s="6">
        <v>314</v>
      </c>
      <c r="P196" s="51">
        <v>0.05</v>
      </c>
      <c r="Q196" s="51">
        <v>11</v>
      </c>
      <c r="R196" s="51">
        <v>1</v>
      </c>
      <c r="S196" s="1">
        <v>1</v>
      </c>
      <c r="T196" s="1">
        <v>0</v>
      </c>
      <c r="U196" s="47">
        <v>1</v>
      </c>
      <c r="V196" s="47">
        <v>191</v>
      </c>
      <c r="W196" s="41">
        <v>146</v>
      </c>
      <c r="X196">
        <v>364</v>
      </c>
      <c r="Y196">
        <v>0.97940000000000005</v>
      </c>
      <c r="Z196">
        <v>2233.9499999999998</v>
      </c>
      <c r="AA196">
        <v>1712.47</v>
      </c>
      <c r="AB196">
        <v>155.11000000000001</v>
      </c>
      <c r="AC196">
        <v>36</v>
      </c>
      <c r="AD196" s="41">
        <f t="shared" si="29"/>
        <v>0.38496832964032324</v>
      </c>
      <c r="AE196" s="41">
        <f t="shared" si="30"/>
        <v>0.50219857866123208</v>
      </c>
      <c r="AF196">
        <f t="shared" si="31"/>
        <v>1.3632219266055048</v>
      </c>
      <c r="AG196">
        <f t="shared" si="32"/>
        <v>0.12712629871559622</v>
      </c>
      <c r="AH196">
        <f t="shared" si="33"/>
        <v>1.5511000000000001</v>
      </c>
      <c r="AI196">
        <f>HLOOKUP(HLOOKUP(G196,'THP2'!$B$4:$J$8,5,FALSE),'Fuel &amp; Resister'!$B$3:$G$6,4,FALSE)</f>
        <v>2.7360666666666664</v>
      </c>
      <c r="AJ196" s="41">
        <f>HLOOKUP(HLOOKUP(G196,'THP2'!$B$4:$J$8,5,FALSE),'Fuel &amp; Resister'!$B$3:$G$6,3,FALSE)</f>
        <v>13.019</v>
      </c>
      <c r="AO196" s="1">
        <v>1</v>
      </c>
      <c r="AP196" s="1">
        <v>1</v>
      </c>
    </row>
    <row r="197" spans="2:42" x14ac:dyDescent="0.15">
      <c r="B197" s="43" t="s">
        <v>628</v>
      </c>
      <c r="C197" s="61">
        <f>VLOOKUP(B197,[1]SYS!$F$5:$G$359,2,FALSE)</f>
        <v>98</v>
      </c>
      <c r="D197" s="1" t="s">
        <v>50</v>
      </c>
      <c r="E197" s="65" t="s">
        <v>193</v>
      </c>
      <c r="F197" s="63" t="s">
        <v>474</v>
      </c>
      <c r="G197" s="1">
        <v>3</v>
      </c>
      <c r="H197" s="1">
        <f t="shared" si="24"/>
        <v>0.4</v>
      </c>
      <c r="I197" s="1">
        <f t="shared" si="25"/>
        <v>0.38</v>
      </c>
      <c r="J197" s="1">
        <f t="shared" si="23"/>
        <v>2.3599999999999954E-2</v>
      </c>
      <c r="K197" s="1">
        <f t="shared" si="26"/>
        <v>2.2541500000000001</v>
      </c>
      <c r="L197" s="1">
        <f t="shared" si="27"/>
        <v>1.7279500000000001</v>
      </c>
      <c r="M197" s="49">
        <f t="shared" si="34"/>
        <v>1.208837495754205</v>
      </c>
      <c r="N197" s="49">
        <v>1.3403999999999998</v>
      </c>
      <c r="O197" s="1">
        <v>413</v>
      </c>
      <c r="P197" s="51">
        <v>0.05</v>
      </c>
      <c r="Q197" s="51">
        <v>11</v>
      </c>
      <c r="R197" s="51">
        <v>1</v>
      </c>
      <c r="S197" s="1">
        <v>1</v>
      </c>
      <c r="T197" s="1">
        <v>0</v>
      </c>
      <c r="U197" s="47">
        <v>1</v>
      </c>
      <c r="V197" s="47">
        <v>192</v>
      </c>
      <c r="W197" s="41">
        <v>152</v>
      </c>
      <c r="X197">
        <v>380</v>
      </c>
      <c r="Y197">
        <v>0.97640000000000005</v>
      </c>
      <c r="Z197">
        <v>2254.15</v>
      </c>
      <c r="AA197">
        <v>1727.95</v>
      </c>
      <c r="AB197">
        <v>134.04</v>
      </c>
      <c r="AC197">
        <v>36</v>
      </c>
      <c r="AD197" s="41">
        <f t="shared" si="29"/>
        <v>0.38151853248452855</v>
      </c>
      <c r="AE197" s="41">
        <f t="shared" si="30"/>
        <v>0.49769958621487886</v>
      </c>
      <c r="AF197">
        <f t="shared" si="31"/>
        <v>1.3771500000000001</v>
      </c>
      <c r="AG197">
        <f t="shared" si="32"/>
        <v>0.13330400000000001</v>
      </c>
      <c r="AH197">
        <f t="shared" si="33"/>
        <v>1.3403999999999998</v>
      </c>
      <c r="AI197">
        <f>HLOOKUP(HLOOKUP(G197,'THP2'!$B$4:$J$8,5,FALSE),'Fuel &amp; Resister'!$B$3:$G$6,4,FALSE)</f>
        <v>2.7360666666666664</v>
      </c>
      <c r="AJ197" s="41">
        <f>HLOOKUP(HLOOKUP(G197,'THP2'!$B$4:$J$8,5,FALSE),'Fuel &amp; Resister'!$B$3:$G$6,3,FALSE)</f>
        <v>13.019</v>
      </c>
      <c r="AO197" s="1">
        <v>1</v>
      </c>
      <c r="AP197" s="1">
        <v>1</v>
      </c>
    </row>
    <row r="198" spans="2:42" x14ac:dyDescent="0.15">
      <c r="B198" s="43" t="s">
        <v>628</v>
      </c>
      <c r="C198" s="61">
        <f>VLOOKUP(B198,[1]SYS!$F$5:$G$359,2,FALSE)</f>
        <v>98</v>
      </c>
      <c r="D198" s="1" t="s">
        <v>50</v>
      </c>
      <c r="E198" s="65" t="s">
        <v>194</v>
      </c>
      <c r="F198" s="63" t="s">
        <v>474</v>
      </c>
      <c r="G198" s="1">
        <v>3</v>
      </c>
      <c r="H198" s="1">
        <f t="shared" si="24"/>
        <v>0.4</v>
      </c>
      <c r="I198" s="1">
        <f t="shared" si="25"/>
        <v>0.38</v>
      </c>
      <c r="J198" s="1">
        <f t="shared" ref="J198:J285" si="35">1-Y198</f>
        <v>2.3199999999999998E-2</v>
      </c>
      <c r="K198" s="1">
        <f t="shared" si="26"/>
        <v>2.2541500000000001</v>
      </c>
      <c r="L198" s="1">
        <f t="shared" si="27"/>
        <v>1.7279500000000001</v>
      </c>
      <c r="M198" s="49">
        <f t="shared" si="34"/>
        <v>1.208837495754205</v>
      </c>
      <c r="N198" s="49">
        <v>1.3403999999999998</v>
      </c>
      <c r="O198" s="6">
        <v>302</v>
      </c>
      <c r="P198" s="51">
        <v>0.05</v>
      </c>
      <c r="Q198" s="51">
        <v>11</v>
      </c>
      <c r="R198" s="51">
        <v>1</v>
      </c>
      <c r="S198" s="1">
        <v>1</v>
      </c>
      <c r="T198" s="1">
        <v>0</v>
      </c>
      <c r="U198" s="47">
        <v>1</v>
      </c>
      <c r="V198" s="47">
        <v>193</v>
      </c>
      <c r="W198" s="41">
        <v>152</v>
      </c>
      <c r="X198">
        <v>380</v>
      </c>
      <c r="Y198">
        <v>0.9768</v>
      </c>
      <c r="Z198">
        <v>2254.15</v>
      </c>
      <c r="AA198">
        <v>1727.95</v>
      </c>
      <c r="AB198">
        <v>134.04</v>
      </c>
      <c r="AC198">
        <v>36</v>
      </c>
      <c r="AD198" s="41">
        <f t="shared" si="29"/>
        <v>0.38151853248452855</v>
      </c>
      <c r="AE198" s="41">
        <f t="shared" si="30"/>
        <v>0.49769958621487886</v>
      </c>
      <c r="AF198">
        <f t="shared" si="31"/>
        <v>1.3771500000000001</v>
      </c>
      <c r="AG198">
        <f t="shared" si="32"/>
        <v>0.13330400000000001</v>
      </c>
      <c r="AH198">
        <f t="shared" si="33"/>
        <v>1.3403999999999998</v>
      </c>
      <c r="AI198">
        <f>HLOOKUP(HLOOKUP(G198,'THP2'!$B$4:$J$8,5,FALSE),'Fuel &amp; Resister'!$B$3:$G$6,4,FALSE)</f>
        <v>2.7360666666666664</v>
      </c>
      <c r="AJ198" s="41">
        <f>HLOOKUP(HLOOKUP(G198,'THP2'!$B$4:$J$8,5,FALSE),'Fuel &amp; Resister'!$B$3:$G$6,3,FALSE)</f>
        <v>13.019</v>
      </c>
      <c r="AO198" s="1">
        <v>1</v>
      </c>
      <c r="AP198" s="1">
        <v>1</v>
      </c>
    </row>
    <row r="199" spans="2:42" x14ac:dyDescent="0.15">
      <c r="B199" s="43" t="s">
        <v>628</v>
      </c>
      <c r="C199" s="61">
        <f>VLOOKUP(B199,[1]SYS!$F$5:$G$359,2,FALSE)</f>
        <v>98</v>
      </c>
      <c r="D199" s="1" t="s">
        <v>50</v>
      </c>
      <c r="E199" s="65" t="s">
        <v>195</v>
      </c>
      <c r="F199" s="63" t="s">
        <v>474</v>
      </c>
      <c r="G199" s="1">
        <v>3</v>
      </c>
      <c r="H199" s="1">
        <f t="shared" ref="H199:H286" si="36">W199/X199</f>
        <v>0.4</v>
      </c>
      <c r="I199" s="1">
        <f t="shared" ref="I199:I286" si="37">X199/1000</f>
        <v>0.38</v>
      </c>
      <c r="J199" s="1">
        <f t="shared" si="35"/>
        <v>2.2199999999999998E-2</v>
      </c>
      <c r="K199" s="1">
        <f t="shared" ref="K199:K286" si="38">Z199/1000</f>
        <v>2.2541500000000001</v>
      </c>
      <c r="L199" s="1">
        <f t="shared" ref="L199:L286" si="39">AA199/1000</f>
        <v>1.7279500000000001</v>
      </c>
      <c r="M199" s="49">
        <f t="shared" si="34"/>
        <v>1.208837495754205</v>
      </c>
      <c r="N199" s="49">
        <v>1.3403999999999998</v>
      </c>
      <c r="O199" s="1">
        <v>613</v>
      </c>
      <c r="P199" s="51">
        <v>0.05</v>
      </c>
      <c r="Q199" s="51">
        <v>11</v>
      </c>
      <c r="R199" s="51">
        <v>1</v>
      </c>
      <c r="S199" s="1">
        <v>1</v>
      </c>
      <c r="T199" s="1">
        <v>0</v>
      </c>
      <c r="U199" s="47">
        <v>1</v>
      </c>
      <c r="V199" s="47">
        <v>194</v>
      </c>
      <c r="W199" s="41">
        <v>152</v>
      </c>
      <c r="X199">
        <v>380</v>
      </c>
      <c r="Y199">
        <v>0.9778</v>
      </c>
      <c r="Z199">
        <v>2254.15</v>
      </c>
      <c r="AA199">
        <v>1727.95</v>
      </c>
      <c r="AB199">
        <v>134.04</v>
      </c>
      <c r="AC199">
        <v>36</v>
      </c>
      <c r="AD199" s="41">
        <f t="shared" ref="AD199:AD286" si="40">1/Z199*860</f>
        <v>0.38151853248452855</v>
      </c>
      <c r="AE199" s="41">
        <f t="shared" ref="AE199:AE286" si="41">1/AA199*860</f>
        <v>0.49769958621487886</v>
      </c>
      <c r="AF199">
        <f t="shared" ref="AF199:AF286" si="42">(L199-H199*K199)/(1-H199)</f>
        <v>1.3771500000000001</v>
      </c>
      <c r="AG199">
        <f t="shared" ref="AG199:AG286" si="43">I199*(L199-AF199)</f>
        <v>0.13330400000000001</v>
      </c>
      <c r="AH199">
        <f t="shared" ref="AH199:AH286" si="44">AB199/100</f>
        <v>1.3403999999999998</v>
      </c>
      <c r="AI199">
        <f>HLOOKUP(HLOOKUP(G199,'THP2'!$B$4:$J$8,5,FALSE),'Fuel &amp; Resister'!$B$3:$G$6,4,FALSE)</f>
        <v>2.7360666666666664</v>
      </c>
      <c r="AJ199" s="41">
        <f>HLOOKUP(HLOOKUP(G199,'THP2'!$B$4:$J$8,5,FALSE),'Fuel &amp; Resister'!$B$3:$G$6,3,FALSE)</f>
        <v>13.019</v>
      </c>
      <c r="AO199" s="1">
        <v>1</v>
      </c>
      <c r="AP199" s="1">
        <v>1</v>
      </c>
    </row>
    <row r="200" spans="2:42" x14ac:dyDescent="0.15">
      <c r="B200" s="43" t="s">
        <v>626</v>
      </c>
      <c r="C200" s="61">
        <f>VLOOKUP(B200,[1]SYS!$F$5:$G$359,2,FALSE)</f>
        <v>73</v>
      </c>
      <c r="D200" s="1" t="s">
        <v>50</v>
      </c>
      <c r="E200" s="65" t="s">
        <v>196</v>
      </c>
      <c r="F200" s="63" t="s">
        <v>440</v>
      </c>
      <c r="G200" s="1">
        <v>3</v>
      </c>
      <c r="H200" s="1">
        <f t="shared" si="36"/>
        <v>0.4</v>
      </c>
      <c r="I200" s="1">
        <f t="shared" si="37"/>
        <v>0.38</v>
      </c>
      <c r="J200" s="1">
        <f t="shared" si="35"/>
        <v>1.5399999999999969E-2</v>
      </c>
      <c r="K200" s="1">
        <f t="shared" si="38"/>
        <v>2.2541500000000001</v>
      </c>
      <c r="L200" s="1">
        <f t="shared" si="39"/>
        <v>1.7279500000000001</v>
      </c>
      <c r="M200" s="49">
        <f t="shared" si="34"/>
        <v>1.208837495754205</v>
      </c>
      <c r="N200" s="49">
        <v>1.3403999999999998</v>
      </c>
      <c r="O200" s="1">
        <v>814</v>
      </c>
      <c r="P200" s="51">
        <v>0.05</v>
      </c>
      <c r="Q200" s="51">
        <v>11</v>
      </c>
      <c r="R200" s="51">
        <v>1</v>
      </c>
      <c r="S200" s="1">
        <v>1</v>
      </c>
      <c r="T200" s="1">
        <v>0</v>
      </c>
      <c r="U200" s="47">
        <v>1</v>
      </c>
      <c r="V200" s="47">
        <v>195</v>
      </c>
      <c r="W200" s="41">
        <v>152</v>
      </c>
      <c r="X200">
        <v>380</v>
      </c>
      <c r="Y200">
        <v>0.98460000000000003</v>
      </c>
      <c r="Z200">
        <v>2254.15</v>
      </c>
      <c r="AA200">
        <v>1727.95</v>
      </c>
      <c r="AB200">
        <v>134.04</v>
      </c>
      <c r="AC200">
        <v>36</v>
      </c>
      <c r="AD200" s="41">
        <f t="shared" si="40"/>
        <v>0.38151853248452855</v>
      </c>
      <c r="AE200" s="41">
        <f t="shared" si="41"/>
        <v>0.49769958621487886</v>
      </c>
      <c r="AF200">
        <f t="shared" si="42"/>
        <v>1.3771500000000001</v>
      </c>
      <c r="AG200">
        <f t="shared" si="43"/>
        <v>0.13330400000000001</v>
      </c>
      <c r="AH200">
        <f t="shared" si="44"/>
        <v>1.3403999999999998</v>
      </c>
      <c r="AI200">
        <f>HLOOKUP(HLOOKUP(G200,'THP2'!$B$4:$J$8,5,FALSE),'Fuel &amp; Resister'!$B$3:$G$6,4,FALSE)</f>
        <v>2.7360666666666664</v>
      </c>
      <c r="AJ200" s="41">
        <f>HLOOKUP(HLOOKUP(G200,'THP2'!$B$4:$J$8,5,FALSE),'Fuel &amp; Resister'!$B$3:$G$6,3,FALSE)</f>
        <v>13.019</v>
      </c>
      <c r="AO200" s="1">
        <v>1</v>
      </c>
      <c r="AP200" s="1">
        <v>1</v>
      </c>
    </row>
    <row r="201" spans="2:42" x14ac:dyDescent="0.15">
      <c r="B201" s="43" t="s">
        <v>626</v>
      </c>
      <c r="C201" s="61">
        <f>VLOOKUP(B201,[1]SYS!$F$5:$G$359,2,FALSE)</f>
        <v>73</v>
      </c>
      <c r="D201" s="1" t="s">
        <v>50</v>
      </c>
      <c r="E201" s="65" t="s">
        <v>197</v>
      </c>
      <c r="F201" s="63" t="s">
        <v>440</v>
      </c>
      <c r="G201" s="1">
        <v>3</v>
      </c>
      <c r="H201" s="1">
        <f t="shared" si="36"/>
        <v>0.4</v>
      </c>
      <c r="I201" s="1">
        <f t="shared" si="37"/>
        <v>0.38</v>
      </c>
      <c r="J201" s="1">
        <f t="shared" si="35"/>
        <v>1.5399999999999969E-2</v>
      </c>
      <c r="K201" s="1">
        <f t="shared" si="38"/>
        <v>2.2541500000000001</v>
      </c>
      <c r="L201" s="1">
        <f t="shared" si="39"/>
        <v>1.7279500000000001</v>
      </c>
      <c r="M201" s="49">
        <f t="shared" si="34"/>
        <v>1.208837495754205</v>
      </c>
      <c r="N201" s="49">
        <v>1.3403999999999998</v>
      </c>
      <c r="O201" s="1">
        <v>413</v>
      </c>
      <c r="P201" s="51">
        <v>0.05</v>
      </c>
      <c r="Q201" s="51">
        <v>11</v>
      </c>
      <c r="R201" s="51">
        <v>1</v>
      </c>
      <c r="S201" s="1">
        <v>1</v>
      </c>
      <c r="T201" s="1">
        <v>0</v>
      </c>
      <c r="U201" s="47">
        <v>1</v>
      </c>
      <c r="V201" s="47">
        <v>196</v>
      </c>
      <c r="W201" s="41">
        <v>152</v>
      </c>
      <c r="X201">
        <v>380</v>
      </c>
      <c r="Y201">
        <v>0.98460000000000003</v>
      </c>
      <c r="Z201">
        <v>2254.15</v>
      </c>
      <c r="AA201">
        <v>1727.95</v>
      </c>
      <c r="AB201">
        <v>134.04</v>
      </c>
      <c r="AC201">
        <v>36</v>
      </c>
      <c r="AD201" s="41">
        <f t="shared" si="40"/>
        <v>0.38151853248452855</v>
      </c>
      <c r="AE201" s="41">
        <f t="shared" si="41"/>
        <v>0.49769958621487886</v>
      </c>
      <c r="AF201">
        <f t="shared" si="42"/>
        <v>1.3771500000000001</v>
      </c>
      <c r="AG201">
        <f t="shared" si="43"/>
        <v>0.13330400000000001</v>
      </c>
      <c r="AH201">
        <f t="shared" si="44"/>
        <v>1.3403999999999998</v>
      </c>
      <c r="AI201">
        <f>HLOOKUP(HLOOKUP(G201,'THP2'!$B$4:$J$8,5,FALSE),'Fuel &amp; Resister'!$B$3:$G$6,4,FALSE)</f>
        <v>2.7360666666666664</v>
      </c>
      <c r="AJ201" s="41">
        <f>HLOOKUP(HLOOKUP(G201,'THP2'!$B$4:$J$8,5,FALSE),'Fuel &amp; Resister'!$B$3:$G$6,3,FALSE)</f>
        <v>13.019</v>
      </c>
      <c r="AO201" s="1">
        <v>1</v>
      </c>
      <c r="AP201" s="1">
        <v>1</v>
      </c>
    </row>
    <row r="202" spans="2:42" x14ac:dyDescent="0.15">
      <c r="B202" s="43" t="s">
        <v>626</v>
      </c>
      <c r="C202" s="61">
        <f>VLOOKUP(B202,[1]SYS!$F$5:$G$359,2,FALSE)</f>
        <v>73</v>
      </c>
      <c r="D202" s="1" t="s">
        <v>50</v>
      </c>
      <c r="E202" s="65" t="s">
        <v>198</v>
      </c>
      <c r="F202" s="63" t="s">
        <v>440</v>
      </c>
      <c r="G202" s="1">
        <v>3</v>
      </c>
      <c r="H202" s="1">
        <f t="shared" si="36"/>
        <v>0.4</v>
      </c>
      <c r="I202" s="1">
        <f t="shared" si="37"/>
        <v>0.38</v>
      </c>
      <c r="J202" s="1">
        <f t="shared" si="35"/>
        <v>1.5399999999999969E-2</v>
      </c>
      <c r="K202" s="1">
        <f t="shared" si="38"/>
        <v>2.2541500000000001</v>
      </c>
      <c r="L202" s="1">
        <f t="shared" si="39"/>
        <v>1.7279500000000001</v>
      </c>
      <c r="M202" s="49">
        <f t="shared" si="34"/>
        <v>1.208837495754205</v>
      </c>
      <c r="N202" s="49">
        <v>1.3403999999999998</v>
      </c>
      <c r="O202" s="1">
        <v>1002</v>
      </c>
      <c r="P202" s="51">
        <v>0.05</v>
      </c>
      <c r="Q202" s="51">
        <v>11</v>
      </c>
      <c r="R202" s="51">
        <v>1</v>
      </c>
      <c r="S202" s="1">
        <v>1</v>
      </c>
      <c r="T202" s="1">
        <v>0</v>
      </c>
      <c r="U202" s="47">
        <v>1</v>
      </c>
      <c r="V202" s="47">
        <v>197</v>
      </c>
      <c r="W202" s="41">
        <v>152</v>
      </c>
      <c r="X202">
        <v>380</v>
      </c>
      <c r="Y202">
        <v>0.98460000000000003</v>
      </c>
      <c r="Z202">
        <v>2254.15</v>
      </c>
      <c r="AA202">
        <v>1727.95</v>
      </c>
      <c r="AB202">
        <v>134.04</v>
      </c>
      <c r="AC202">
        <v>36</v>
      </c>
      <c r="AD202" s="41">
        <f t="shared" si="40"/>
        <v>0.38151853248452855</v>
      </c>
      <c r="AE202" s="41">
        <f t="shared" si="41"/>
        <v>0.49769958621487886</v>
      </c>
      <c r="AF202">
        <f t="shared" si="42"/>
        <v>1.3771500000000001</v>
      </c>
      <c r="AG202">
        <f t="shared" si="43"/>
        <v>0.13330400000000001</v>
      </c>
      <c r="AH202">
        <f t="shared" si="44"/>
        <v>1.3403999999999998</v>
      </c>
      <c r="AI202">
        <f>HLOOKUP(HLOOKUP(G202,'THP2'!$B$4:$J$8,5,FALSE),'Fuel &amp; Resister'!$B$3:$G$6,4,FALSE)</f>
        <v>2.7360666666666664</v>
      </c>
      <c r="AJ202" s="41">
        <f>HLOOKUP(HLOOKUP(G202,'THP2'!$B$4:$J$8,5,FALSE),'Fuel &amp; Resister'!$B$3:$G$6,3,FALSE)</f>
        <v>13.019</v>
      </c>
      <c r="AO202" s="1">
        <v>1</v>
      </c>
      <c r="AP202" s="1">
        <v>1</v>
      </c>
    </row>
    <row r="203" spans="2:42" x14ac:dyDescent="0.15">
      <c r="B203" s="43" t="s">
        <v>626</v>
      </c>
      <c r="C203" s="61">
        <f>VLOOKUP(B203,[1]SYS!$F$5:$G$359,2,FALSE)</f>
        <v>73</v>
      </c>
      <c r="D203" s="1" t="s">
        <v>50</v>
      </c>
      <c r="E203" s="65" t="s">
        <v>199</v>
      </c>
      <c r="F203" s="63" t="s">
        <v>440</v>
      </c>
      <c r="G203" s="1">
        <v>3</v>
      </c>
      <c r="H203" s="1">
        <f t="shared" si="36"/>
        <v>0.4</v>
      </c>
      <c r="I203" s="1">
        <f t="shared" si="37"/>
        <v>0.38</v>
      </c>
      <c r="J203" s="1">
        <f t="shared" si="35"/>
        <v>1.5399999999999969E-2</v>
      </c>
      <c r="K203" s="1">
        <f t="shared" si="38"/>
        <v>2.2541500000000001</v>
      </c>
      <c r="L203" s="1">
        <f t="shared" si="39"/>
        <v>1.7279500000000001</v>
      </c>
      <c r="M203" s="49">
        <f t="shared" si="34"/>
        <v>1.208837495754205</v>
      </c>
      <c r="N203" s="49">
        <v>1.3403999999999998</v>
      </c>
      <c r="O203" s="1">
        <v>1214</v>
      </c>
      <c r="P203" s="51">
        <v>0.05</v>
      </c>
      <c r="Q203" s="51">
        <v>11</v>
      </c>
      <c r="R203" s="51">
        <v>1</v>
      </c>
      <c r="S203" s="1">
        <v>1</v>
      </c>
      <c r="T203" s="1">
        <v>0</v>
      </c>
      <c r="U203" s="47">
        <v>1</v>
      </c>
      <c r="V203" s="47">
        <v>198</v>
      </c>
      <c r="W203" s="41">
        <v>152</v>
      </c>
      <c r="X203">
        <v>380</v>
      </c>
      <c r="Y203">
        <v>0.98460000000000003</v>
      </c>
      <c r="Z203">
        <v>2254.15</v>
      </c>
      <c r="AA203">
        <v>1727.95</v>
      </c>
      <c r="AB203">
        <v>134.04</v>
      </c>
      <c r="AC203">
        <v>36</v>
      </c>
      <c r="AD203" s="41">
        <f t="shared" si="40"/>
        <v>0.38151853248452855</v>
      </c>
      <c r="AE203" s="41">
        <f t="shared" si="41"/>
        <v>0.49769958621487886</v>
      </c>
      <c r="AF203">
        <f t="shared" si="42"/>
        <v>1.3771500000000001</v>
      </c>
      <c r="AG203">
        <f t="shared" si="43"/>
        <v>0.13330400000000001</v>
      </c>
      <c r="AH203">
        <f t="shared" si="44"/>
        <v>1.3403999999999998</v>
      </c>
      <c r="AI203">
        <f>HLOOKUP(HLOOKUP(G203,'THP2'!$B$4:$J$8,5,FALSE),'Fuel &amp; Resister'!$B$3:$G$6,4,FALSE)</f>
        <v>2.7360666666666664</v>
      </c>
      <c r="AJ203" s="41">
        <f>HLOOKUP(HLOOKUP(G203,'THP2'!$B$4:$J$8,5,FALSE),'Fuel &amp; Resister'!$B$3:$G$6,3,FALSE)</f>
        <v>13.019</v>
      </c>
      <c r="AO203" s="1">
        <v>1</v>
      </c>
      <c r="AP203" s="1">
        <v>1</v>
      </c>
    </row>
    <row r="204" spans="2:42" x14ac:dyDescent="0.15">
      <c r="B204" s="43" t="s">
        <v>626</v>
      </c>
      <c r="C204" s="61">
        <f>VLOOKUP(B204,[1]SYS!$F$5:$G$359,2,FALSE)</f>
        <v>73</v>
      </c>
      <c r="D204" s="1" t="s">
        <v>50</v>
      </c>
      <c r="E204" s="65" t="s">
        <v>200</v>
      </c>
      <c r="F204" s="42" t="s">
        <v>516</v>
      </c>
      <c r="G204" s="1">
        <v>3</v>
      </c>
      <c r="H204" s="1">
        <f t="shared" si="36"/>
        <v>0.39759036144578314</v>
      </c>
      <c r="I204" s="1">
        <f t="shared" si="37"/>
        <v>0.16600000000000001</v>
      </c>
      <c r="J204" s="1">
        <f t="shared" si="35"/>
        <v>2.0000000000000018E-2</v>
      </c>
      <c r="K204" s="1">
        <f t="shared" si="38"/>
        <v>2.2895799999999999</v>
      </c>
      <c r="L204" s="1">
        <f t="shared" si="39"/>
        <v>1.7550999999999999</v>
      </c>
      <c r="M204" s="49">
        <f t="shared" si="34"/>
        <v>0.53636830735005758</v>
      </c>
      <c r="N204" s="49">
        <v>1.1104000000000001</v>
      </c>
      <c r="O204" s="6">
        <v>309</v>
      </c>
      <c r="P204" s="51">
        <v>0</v>
      </c>
      <c r="Q204" s="51">
        <v>11</v>
      </c>
      <c r="R204" s="51">
        <v>1</v>
      </c>
      <c r="S204" s="1">
        <v>1</v>
      </c>
      <c r="T204" s="1">
        <v>0</v>
      </c>
      <c r="U204" s="47">
        <v>1</v>
      </c>
      <c r="V204" s="47">
        <v>199</v>
      </c>
      <c r="W204" s="41">
        <v>66</v>
      </c>
      <c r="X204">
        <v>166</v>
      </c>
      <c r="Y204">
        <v>0.98</v>
      </c>
      <c r="Z204">
        <v>2289.58</v>
      </c>
      <c r="AA204">
        <v>1755.1</v>
      </c>
      <c r="AB204">
        <v>111.04</v>
      </c>
      <c r="AC204">
        <v>46</v>
      </c>
      <c r="AD204" s="41">
        <f t="shared" si="40"/>
        <v>0.37561474156832259</v>
      </c>
      <c r="AE204" s="41">
        <f t="shared" si="41"/>
        <v>0.49000056976810441</v>
      </c>
      <c r="AF204">
        <f t="shared" si="42"/>
        <v>1.4023432</v>
      </c>
      <c r="AG204">
        <f t="shared" si="43"/>
        <v>5.8557628799999983E-2</v>
      </c>
      <c r="AH204">
        <f t="shared" si="44"/>
        <v>1.1104000000000001</v>
      </c>
      <c r="AI204">
        <f>HLOOKUP(HLOOKUP(G204,'THP2'!$B$4:$J$8,5,FALSE),'Fuel &amp; Resister'!$B$3:$G$6,4,FALSE)</f>
        <v>2.7360666666666664</v>
      </c>
      <c r="AJ204" s="41">
        <f>HLOOKUP(HLOOKUP(G204,'THP2'!$B$4:$J$8,5,FALSE),'Fuel &amp; Resister'!$B$3:$G$6,3,FALSE)</f>
        <v>13.019</v>
      </c>
      <c r="AO204" s="1">
        <v>1</v>
      </c>
      <c r="AP204" s="1">
        <v>1</v>
      </c>
    </row>
    <row r="205" spans="2:42" x14ac:dyDescent="0.15">
      <c r="B205" s="43" t="s">
        <v>626</v>
      </c>
      <c r="C205" s="61">
        <f>VLOOKUP(B205,[1]SYS!$F$5:$G$359,2,FALSE)</f>
        <v>73</v>
      </c>
      <c r="D205" s="1" t="s">
        <v>50</v>
      </c>
      <c r="E205" s="65" t="s">
        <v>201</v>
      </c>
      <c r="F205" s="63" t="s">
        <v>440</v>
      </c>
      <c r="G205" s="1">
        <v>3</v>
      </c>
      <c r="H205" s="1">
        <f t="shared" si="36"/>
        <v>0.4</v>
      </c>
      <c r="I205" s="1">
        <f t="shared" si="37"/>
        <v>0.16</v>
      </c>
      <c r="J205" s="1">
        <f t="shared" si="35"/>
        <v>2.3299999999999987E-2</v>
      </c>
      <c r="K205" s="1">
        <f t="shared" si="38"/>
        <v>2.2956699999999999</v>
      </c>
      <c r="L205" s="1">
        <f t="shared" si="39"/>
        <v>1.7597700000000001</v>
      </c>
      <c r="M205" s="49">
        <f t="shared" si="34"/>
        <v>0.51835709425154008</v>
      </c>
      <c r="N205" s="49">
        <v>0.52800000000000002</v>
      </c>
      <c r="O205" s="1">
        <v>613</v>
      </c>
      <c r="P205" s="51">
        <v>0.05</v>
      </c>
      <c r="Q205" s="51">
        <v>11</v>
      </c>
      <c r="R205" s="51">
        <v>1</v>
      </c>
      <c r="S205" s="1">
        <v>1</v>
      </c>
      <c r="T205" s="1">
        <v>0</v>
      </c>
      <c r="U205" s="47">
        <v>1</v>
      </c>
      <c r="V205" s="47">
        <v>200</v>
      </c>
      <c r="W205" s="41">
        <v>64</v>
      </c>
      <c r="X205">
        <v>160</v>
      </c>
      <c r="Y205">
        <v>0.97670000000000001</v>
      </c>
      <c r="Z205">
        <v>2295.67</v>
      </c>
      <c r="AA205">
        <v>1759.77</v>
      </c>
      <c r="AB205">
        <v>52.8</v>
      </c>
      <c r="AC205">
        <v>36</v>
      </c>
      <c r="AD205" s="41">
        <f t="shared" si="40"/>
        <v>0.37461830315332778</v>
      </c>
      <c r="AE205" s="41">
        <f t="shared" si="41"/>
        <v>0.48870022787068768</v>
      </c>
      <c r="AF205">
        <f t="shared" si="42"/>
        <v>1.4025033333333334</v>
      </c>
      <c r="AG205">
        <f t="shared" si="43"/>
        <v>5.716266666666666E-2</v>
      </c>
      <c r="AH205">
        <f t="shared" si="44"/>
        <v>0.52800000000000002</v>
      </c>
      <c r="AI205">
        <f>HLOOKUP(HLOOKUP(G205,'THP2'!$B$4:$J$8,5,FALSE),'Fuel &amp; Resister'!$B$3:$G$6,4,FALSE)</f>
        <v>2.7360666666666664</v>
      </c>
      <c r="AJ205" s="41">
        <f>HLOOKUP(HLOOKUP(G205,'THP2'!$B$4:$J$8,5,FALSE),'Fuel &amp; Resister'!$B$3:$G$6,3,FALSE)</f>
        <v>13.019</v>
      </c>
      <c r="AO205" s="1">
        <v>1</v>
      </c>
      <c r="AP205" s="1">
        <v>1</v>
      </c>
    </row>
    <row r="206" spans="2:42" x14ac:dyDescent="0.15">
      <c r="B206" s="43" t="s">
        <v>626</v>
      </c>
      <c r="C206" s="61">
        <f>VLOOKUP(B206,[1]SYS!$F$5:$G$359,2,FALSE)</f>
        <v>73</v>
      </c>
      <c r="D206" s="1" t="s">
        <v>50</v>
      </c>
      <c r="E206" s="65" t="s">
        <v>202</v>
      </c>
      <c r="F206" s="63" t="s">
        <v>440</v>
      </c>
      <c r="G206" s="1">
        <v>3</v>
      </c>
      <c r="H206" s="1">
        <f t="shared" si="36"/>
        <v>0.4</v>
      </c>
      <c r="I206" s="1">
        <f t="shared" si="37"/>
        <v>0.16</v>
      </c>
      <c r="J206" s="1">
        <f t="shared" si="35"/>
        <v>2.3299999999999987E-2</v>
      </c>
      <c r="K206" s="1">
        <f t="shared" si="38"/>
        <v>2.2956699999999999</v>
      </c>
      <c r="L206" s="1">
        <f t="shared" si="39"/>
        <v>1.7597700000000001</v>
      </c>
      <c r="M206" s="49">
        <f t="shared" si="34"/>
        <v>0.51835709425154008</v>
      </c>
      <c r="N206" s="49">
        <v>0.52800000000000002</v>
      </c>
      <c r="O206" s="1">
        <v>613</v>
      </c>
      <c r="P206" s="51">
        <v>0.05</v>
      </c>
      <c r="Q206" s="51">
        <v>11</v>
      </c>
      <c r="R206" s="51">
        <v>1</v>
      </c>
      <c r="S206" s="1">
        <v>1</v>
      </c>
      <c r="T206" s="1">
        <v>0</v>
      </c>
      <c r="U206" s="47">
        <v>1</v>
      </c>
      <c r="V206" s="47">
        <v>201</v>
      </c>
      <c r="W206" s="41">
        <v>64</v>
      </c>
      <c r="X206">
        <v>160</v>
      </c>
      <c r="Y206">
        <v>0.97670000000000001</v>
      </c>
      <c r="Z206">
        <v>2295.67</v>
      </c>
      <c r="AA206">
        <v>1759.77</v>
      </c>
      <c r="AB206">
        <v>52.8</v>
      </c>
      <c r="AC206">
        <v>36</v>
      </c>
      <c r="AD206" s="41">
        <f t="shared" si="40"/>
        <v>0.37461830315332778</v>
      </c>
      <c r="AE206" s="41">
        <f t="shared" si="41"/>
        <v>0.48870022787068768</v>
      </c>
      <c r="AF206">
        <f t="shared" si="42"/>
        <v>1.4025033333333334</v>
      </c>
      <c r="AG206">
        <f t="shared" si="43"/>
        <v>5.716266666666666E-2</v>
      </c>
      <c r="AH206">
        <f t="shared" si="44"/>
        <v>0.52800000000000002</v>
      </c>
      <c r="AI206">
        <f>HLOOKUP(HLOOKUP(G206,'THP2'!$B$4:$J$8,5,FALSE),'Fuel &amp; Resister'!$B$3:$G$6,4,FALSE)</f>
        <v>2.7360666666666664</v>
      </c>
      <c r="AJ206" s="41">
        <f>HLOOKUP(HLOOKUP(G206,'THP2'!$B$4:$J$8,5,FALSE),'Fuel &amp; Resister'!$B$3:$G$6,3,FALSE)</f>
        <v>13.019</v>
      </c>
      <c r="AO206" s="1">
        <v>1</v>
      </c>
      <c r="AP206" s="1">
        <v>1</v>
      </c>
    </row>
    <row r="207" spans="2:42" x14ac:dyDescent="0.15">
      <c r="B207" s="43" t="s">
        <v>626</v>
      </c>
      <c r="C207" s="61">
        <f>VLOOKUP(B207,[1]SYS!$F$5:$G$359,2,FALSE)</f>
        <v>73</v>
      </c>
      <c r="D207" s="1" t="s">
        <v>50</v>
      </c>
      <c r="E207" s="65" t="s">
        <v>203</v>
      </c>
      <c r="F207" s="63" t="s">
        <v>440</v>
      </c>
      <c r="G207" s="1">
        <v>3</v>
      </c>
      <c r="H207" s="1">
        <f t="shared" si="36"/>
        <v>0.4</v>
      </c>
      <c r="I207" s="1">
        <f t="shared" si="37"/>
        <v>0.16</v>
      </c>
      <c r="J207" s="1">
        <f t="shared" si="35"/>
        <v>2.3299999999999987E-2</v>
      </c>
      <c r="K207" s="1">
        <f t="shared" si="38"/>
        <v>2.2956699999999999</v>
      </c>
      <c r="L207" s="1">
        <f t="shared" si="39"/>
        <v>1.7597700000000001</v>
      </c>
      <c r="M207" s="49">
        <f t="shared" si="34"/>
        <v>0.51835709425154008</v>
      </c>
      <c r="N207" s="49">
        <v>0.52800000000000002</v>
      </c>
      <c r="O207" s="1">
        <v>514</v>
      </c>
      <c r="P207" s="51">
        <v>0.05</v>
      </c>
      <c r="Q207" s="51">
        <v>11</v>
      </c>
      <c r="R207" s="51">
        <v>1</v>
      </c>
      <c r="S207" s="1">
        <v>1</v>
      </c>
      <c r="T207" s="1">
        <v>0</v>
      </c>
      <c r="U207" s="47">
        <v>1</v>
      </c>
      <c r="V207" s="47">
        <v>202</v>
      </c>
      <c r="W207" s="41">
        <v>64</v>
      </c>
      <c r="X207">
        <v>160</v>
      </c>
      <c r="Y207">
        <v>0.97670000000000001</v>
      </c>
      <c r="Z207">
        <v>2295.67</v>
      </c>
      <c r="AA207">
        <v>1759.77</v>
      </c>
      <c r="AB207">
        <v>52.8</v>
      </c>
      <c r="AC207">
        <v>36</v>
      </c>
      <c r="AD207" s="41">
        <f t="shared" si="40"/>
        <v>0.37461830315332778</v>
      </c>
      <c r="AE207" s="41">
        <f t="shared" si="41"/>
        <v>0.48870022787068768</v>
      </c>
      <c r="AF207">
        <f t="shared" si="42"/>
        <v>1.4025033333333334</v>
      </c>
      <c r="AG207">
        <f t="shared" si="43"/>
        <v>5.716266666666666E-2</v>
      </c>
      <c r="AH207">
        <f t="shared" si="44"/>
        <v>0.52800000000000002</v>
      </c>
      <c r="AI207">
        <f>HLOOKUP(HLOOKUP(G207,'THP2'!$B$4:$J$8,5,FALSE),'Fuel &amp; Resister'!$B$3:$G$6,4,FALSE)</f>
        <v>2.7360666666666664</v>
      </c>
      <c r="AJ207" s="41">
        <f>HLOOKUP(HLOOKUP(G207,'THP2'!$B$4:$J$8,5,FALSE),'Fuel &amp; Resister'!$B$3:$G$6,3,FALSE)</f>
        <v>13.019</v>
      </c>
      <c r="AO207" s="1">
        <v>1</v>
      </c>
      <c r="AP207" s="1">
        <v>1</v>
      </c>
    </row>
    <row r="208" spans="2:42" x14ac:dyDescent="0.15">
      <c r="B208" s="43" t="s">
        <v>626</v>
      </c>
      <c r="C208" s="61">
        <f>VLOOKUP(B208,[1]SYS!$F$5:$G$359,2,FALSE)</f>
        <v>73</v>
      </c>
      <c r="D208" s="1" t="s">
        <v>50</v>
      </c>
      <c r="E208" s="65" t="s">
        <v>204</v>
      </c>
      <c r="F208" s="63" t="s">
        <v>440</v>
      </c>
      <c r="G208" s="1">
        <v>3</v>
      </c>
      <c r="H208" s="1">
        <f t="shared" si="36"/>
        <v>0.4</v>
      </c>
      <c r="I208" s="1">
        <f t="shared" si="37"/>
        <v>0.16</v>
      </c>
      <c r="J208" s="1">
        <f t="shared" si="35"/>
        <v>2.3299999999999987E-2</v>
      </c>
      <c r="K208" s="1">
        <f t="shared" si="38"/>
        <v>2.2956699999999999</v>
      </c>
      <c r="L208" s="1">
        <f t="shared" si="39"/>
        <v>1.7597700000000001</v>
      </c>
      <c r="M208" s="49">
        <f t="shared" si="34"/>
        <v>0.51835709425154008</v>
      </c>
      <c r="N208" s="49">
        <v>0.52800000000000002</v>
      </c>
      <c r="O208" s="1">
        <v>514</v>
      </c>
      <c r="P208" s="51">
        <v>0.05</v>
      </c>
      <c r="Q208" s="51">
        <v>11</v>
      </c>
      <c r="R208" s="51">
        <v>1</v>
      </c>
      <c r="S208" s="1">
        <v>1</v>
      </c>
      <c r="T208" s="1">
        <v>0</v>
      </c>
      <c r="U208" s="47">
        <v>1</v>
      </c>
      <c r="V208" s="47">
        <v>203</v>
      </c>
      <c r="W208" s="41">
        <v>64</v>
      </c>
      <c r="X208">
        <v>160</v>
      </c>
      <c r="Y208">
        <v>0.97670000000000001</v>
      </c>
      <c r="Z208">
        <v>2295.67</v>
      </c>
      <c r="AA208">
        <v>1759.77</v>
      </c>
      <c r="AB208">
        <v>52.8</v>
      </c>
      <c r="AC208">
        <v>36</v>
      </c>
      <c r="AD208" s="41">
        <f t="shared" si="40"/>
        <v>0.37461830315332778</v>
      </c>
      <c r="AE208" s="41">
        <f t="shared" si="41"/>
        <v>0.48870022787068768</v>
      </c>
      <c r="AF208">
        <f t="shared" si="42"/>
        <v>1.4025033333333334</v>
      </c>
      <c r="AG208">
        <f t="shared" si="43"/>
        <v>5.716266666666666E-2</v>
      </c>
      <c r="AH208">
        <f t="shared" si="44"/>
        <v>0.52800000000000002</v>
      </c>
      <c r="AI208">
        <f>HLOOKUP(HLOOKUP(G208,'THP2'!$B$4:$J$8,5,FALSE),'Fuel &amp; Resister'!$B$3:$G$6,4,FALSE)</f>
        <v>2.7360666666666664</v>
      </c>
      <c r="AJ208" s="41">
        <f>HLOOKUP(HLOOKUP(G208,'THP2'!$B$4:$J$8,5,FALSE),'Fuel &amp; Resister'!$B$3:$G$6,3,FALSE)</f>
        <v>13.019</v>
      </c>
      <c r="AO208" s="1">
        <v>1</v>
      </c>
      <c r="AP208" s="1">
        <v>1</v>
      </c>
    </row>
    <row r="209" spans="2:42" x14ac:dyDescent="0.15">
      <c r="B209" s="43" t="s">
        <v>626</v>
      </c>
      <c r="C209" s="61">
        <f>VLOOKUP(B209,[1]SYS!$F$5:$G$359,2,FALSE)</f>
        <v>73</v>
      </c>
      <c r="D209" s="1" t="s">
        <v>50</v>
      </c>
      <c r="E209" s="65" t="s">
        <v>205</v>
      </c>
      <c r="F209" s="63" t="s">
        <v>440</v>
      </c>
      <c r="G209" s="1">
        <v>3</v>
      </c>
      <c r="H209" s="1">
        <f t="shared" si="36"/>
        <v>0.4</v>
      </c>
      <c r="I209" s="1">
        <f t="shared" si="37"/>
        <v>0.16</v>
      </c>
      <c r="J209" s="1">
        <f t="shared" si="35"/>
        <v>2.2900000000000031E-2</v>
      </c>
      <c r="K209" s="1">
        <f t="shared" si="38"/>
        <v>2.2956699999999999</v>
      </c>
      <c r="L209" s="1">
        <f t="shared" si="39"/>
        <v>1.7597700000000001</v>
      </c>
      <c r="M209" s="49">
        <f t="shared" si="34"/>
        <v>0.51835709425154008</v>
      </c>
      <c r="N209" s="49">
        <v>0.52800000000000002</v>
      </c>
      <c r="O209" s="1">
        <v>1214</v>
      </c>
      <c r="P209" s="51">
        <v>0.05</v>
      </c>
      <c r="Q209" s="51">
        <v>11</v>
      </c>
      <c r="R209" s="51">
        <v>1</v>
      </c>
      <c r="S209" s="1">
        <v>1</v>
      </c>
      <c r="T209" s="1">
        <v>0</v>
      </c>
      <c r="U209" s="47">
        <v>1</v>
      </c>
      <c r="V209" s="47">
        <v>204</v>
      </c>
      <c r="W209" s="41">
        <v>64</v>
      </c>
      <c r="X209">
        <v>160</v>
      </c>
      <c r="Y209">
        <v>0.97709999999999997</v>
      </c>
      <c r="Z209">
        <v>2295.67</v>
      </c>
      <c r="AA209">
        <v>1759.77</v>
      </c>
      <c r="AB209">
        <v>52.8</v>
      </c>
      <c r="AC209">
        <v>36</v>
      </c>
      <c r="AD209" s="41">
        <f t="shared" si="40"/>
        <v>0.37461830315332778</v>
      </c>
      <c r="AE209" s="41">
        <f t="shared" si="41"/>
        <v>0.48870022787068768</v>
      </c>
      <c r="AF209">
        <f t="shared" si="42"/>
        <v>1.4025033333333334</v>
      </c>
      <c r="AG209">
        <f t="shared" si="43"/>
        <v>5.716266666666666E-2</v>
      </c>
      <c r="AH209">
        <f t="shared" si="44"/>
        <v>0.52800000000000002</v>
      </c>
      <c r="AI209">
        <f>HLOOKUP(HLOOKUP(G209,'THP2'!$B$4:$J$8,5,FALSE),'Fuel &amp; Resister'!$B$3:$G$6,4,FALSE)</f>
        <v>2.7360666666666664</v>
      </c>
      <c r="AJ209" s="41">
        <f>HLOOKUP(HLOOKUP(G209,'THP2'!$B$4:$J$8,5,FALSE),'Fuel &amp; Resister'!$B$3:$G$6,3,FALSE)</f>
        <v>13.019</v>
      </c>
      <c r="AO209" s="1">
        <v>1</v>
      </c>
      <c r="AP209" s="1">
        <v>1</v>
      </c>
    </row>
    <row r="210" spans="2:42" x14ac:dyDescent="0.15">
      <c r="B210" s="43" t="s">
        <v>626</v>
      </c>
      <c r="C210" s="61">
        <f>VLOOKUP(B210,[1]SYS!$F$5:$G$359,2,FALSE)</f>
        <v>73</v>
      </c>
      <c r="D210" s="1" t="s">
        <v>50</v>
      </c>
      <c r="E210" s="65" t="s">
        <v>206</v>
      </c>
      <c r="F210" s="63" t="s">
        <v>440</v>
      </c>
      <c r="G210" s="1">
        <v>3</v>
      </c>
      <c r="H210" s="1">
        <f t="shared" si="36"/>
        <v>0.4</v>
      </c>
      <c r="I210" s="1">
        <f t="shared" si="37"/>
        <v>0.16</v>
      </c>
      <c r="J210" s="1">
        <f t="shared" si="35"/>
        <v>2.2900000000000031E-2</v>
      </c>
      <c r="K210" s="1">
        <f t="shared" si="38"/>
        <v>2.2956699999999999</v>
      </c>
      <c r="L210" s="1">
        <f t="shared" si="39"/>
        <v>1.7597700000000001</v>
      </c>
      <c r="M210" s="49">
        <f t="shared" si="34"/>
        <v>0.51835709425154008</v>
      </c>
      <c r="N210" s="49">
        <v>0.52800000000000002</v>
      </c>
      <c r="O210" s="6">
        <v>314</v>
      </c>
      <c r="P210" s="51">
        <v>0.05</v>
      </c>
      <c r="Q210" s="51">
        <v>11</v>
      </c>
      <c r="R210" s="51">
        <v>1</v>
      </c>
      <c r="S210" s="1">
        <v>1</v>
      </c>
      <c r="T210" s="1">
        <v>0</v>
      </c>
      <c r="U210" s="47">
        <v>1</v>
      </c>
      <c r="V210" s="47">
        <v>205</v>
      </c>
      <c r="W210" s="41">
        <v>64</v>
      </c>
      <c r="X210">
        <v>160</v>
      </c>
      <c r="Y210">
        <v>0.97709999999999997</v>
      </c>
      <c r="Z210">
        <v>2295.67</v>
      </c>
      <c r="AA210">
        <v>1759.77</v>
      </c>
      <c r="AB210">
        <v>52.8</v>
      </c>
      <c r="AC210">
        <v>36</v>
      </c>
      <c r="AD210" s="41">
        <f t="shared" si="40"/>
        <v>0.37461830315332778</v>
      </c>
      <c r="AE210" s="41">
        <f t="shared" si="41"/>
        <v>0.48870022787068768</v>
      </c>
      <c r="AF210">
        <f t="shared" si="42"/>
        <v>1.4025033333333334</v>
      </c>
      <c r="AG210">
        <f t="shared" si="43"/>
        <v>5.716266666666666E-2</v>
      </c>
      <c r="AH210">
        <f t="shared" si="44"/>
        <v>0.52800000000000002</v>
      </c>
      <c r="AI210">
        <f>HLOOKUP(HLOOKUP(G210,'THP2'!$B$4:$J$8,5,FALSE),'Fuel &amp; Resister'!$B$3:$G$6,4,FALSE)</f>
        <v>2.7360666666666664</v>
      </c>
      <c r="AJ210" s="41">
        <f>HLOOKUP(HLOOKUP(G210,'THP2'!$B$4:$J$8,5,FALSE),'Fuel &amp; Resister'!$B$3:$G$6,3,FALSE)</f>
        <v>13.019</v>
      </c>
      <c r="AO210" s="1">
        <v>1</v>
      </c>
      <c r="AP210" s="1">
        <v>1</v>
      </c>
    </row>
    <row r="211" spans="2:42" x14ac:dyDescent="0.15">
      <c r="B211" s="43" t="s">
        <v>626</v>
      </c>
      <c r="C211" s="61">
        <f>VLOOKUP(B211,[1]SYS!$F$5:$G$359,2,FALSE)</f>
        <v>73</v>
      </c>
      <c r="D211" s="1" t="s">
        <v>50</v>
      </c>
      <c r="E211" s="65" t="s">
        <v>207</v>
      </c>
      <c r="F211" s="63" t="s">
        <v>440</v>
      </c>
      <c r="G211" s="1">
        <v>3</v>
      </c>
      <c r="H211" s="1">
        <f t="shared" si="36"/>
        <v>0.4</v>
      </c>
      <c r="I211" s="1">
        <f t="shared" si="37"/>
        <v>0.16</v>
      </c>
      <c r="J211" s="1">
        <f t="shared" si="35"/>
        <v>2.2900000000000031E-2</v>
      </c>
      <c r="K211" s="1">
        <f t="shared" si="38"/>
        <v>2.2956699999999999</v>
      </c>
      <c r="L211" s="1">
        <f t="shared" si="39"/>
        <v>1.7597700000000001</v>
      </c>
      <c r="M211" s="49">
        <f t="shared" si="34"/>
        <v>0.51835709425154008</v>
      </c>
      <c r="N211" s="49">
        <v>0.52800000000000002</v>
      </c>
      <c r="O211" s="1">
        <v>925</v>
      </c>
      <c r="P211" s="51">
        <v>0.05</v>
      </c>
      <c r="Q211" s="51">
        <v>11</v>
      </c>
      <c r="R211" s="51">
        <v>1</v>
      </c>
      <c r="S211" s="1">
        <v>1</v>
      </c>
      <c r="T211" s="1">
        <v>0</v>
      </c>
      <c r="U211" s="47">
        <v>1</v>
      </c>
      <c r="V211" s="47">
        <v>206</v>
      </c>
      <c r="W211" s="41">
        <v>64</v>
      </c>
      <c r="X211">
        <v>160</v>
      </c>
      <c r="Y211">
        <v>0.97709999999999997</v>
      </c>
      <c r="Z211">
        <v>2295.67</v>
      </c>
      <c r="AA211">
        <v>1759.77</v>
      </c>
      <c r="AB211">
        <v>52.8</v>
      </c>
      <c r="AC211">
        <v>36</v>
      </c>
      <c r="AD211" s="41">
        <f t="shared" si="40"/>
        <v>0.37461830315332778</v>
      </c>
      <c r="AE211" s="41">
        <f t="shared" si="41"/>
        <v>0.48870022787068768</v>
      </c>
      <c r="AF211">
        <f t="shared" si="42"/>
        <v>1.4025033333333334</v>
      </c>
      <c r="AG211">
        <f t="shared" si="43"/>
        <v>5.716266666666666E-2</v>
      </c>
      <c r="AH211">
        <f t="shared" si="44"/>
        <v>0.52800000000000002</v>
      </c>
      <c r="AI211">
        <f>HLOOKUP(HLOOKUP(G211,'THP2'!$B$4:$J$8,5,FALSE),'Fuel &amp; Resister'!$B$3:$G$6,4,FALSE)</f>
        <v>2.7360666666666664</v>
      </c>
      <c r="AJ211" s="41">
        <f>HLOOKUP(HLOOKUP(G211,'THP2'!$B$4:$J$8,5,FALSE),'Fuel &amp; Resister'!$B$3:$G$6,3,FALSE)</f>
        <v>13.019</v>
      </c>
      <c r="AO211" s="1">
        <v>1</v>
      </c>
      <c r="AP211" s="1">
        <v>1</v>
      </c>
    </row>
    <row r="212" spans="2:42" x14ac:dyDescent="0.15">
      <c r="B212" s="43" t="s">
        <v>624</v>
      </c>
      <c r="C212" s="61">
        <f>VLOOKUP(B212,[1]SYS!$F$5:$G$359,2,FALSE)</f>
        <v>74</v>
      </c>
      <c r="D212" s="1" t="s">
        <v>50</v>
      </c>
      <c r="E212" s="42" t="s">
        <v>208</v>
      </c>
      <c r="F212" s="63" t="s">
        <v>472</v>
      </c>
      <c r="G212" s="1">
        <v>3</v>
      </c>
      <c r="H212" s="1">
        <f t="shared" si="36"/>
        <v>0.4</v>
      </c>
      <c r="I212" s="1">
        <f t="shared" si="37"/>
        <v>0.36</v>
      </c>
      <c r="J212" s="1">
        <f t="shared" si="35"/>
        <v>1.7800000000000038E-2</v>
      </c>
      <c r="K212" s="1">
        <f t="shared" si="38"/>
        <v>2.2999000000000001</v>
      </c>
      <c r="L212" s="1">
        <f t="shared" si="39"/>
        <v>1.76302</v>
      </c>
      <c r="M212" s="49">
        <f t="shared" si="34"/>
        <v>1.1684574289205618</v>
      </c>
      <c r="N212" s="49">
        <v>1.3188</v>
      </c>
      <c r="O212" s="1">
        <v>1002</v>
      </c>
      <c r="P212" s="51">
        <v>0.05</v>
      </c>
      <c r="Q212" s="51">
        <v>11</v>
      </c>
      <c r="R212" s="51">
        <v>1</v>
      </c>
      <c r="S212" s="1">
        <v>1</v>
      </c>
      <c r="T212" s="1">
        <v>0</v>
      </c>
      <c r="U212" s="47">
        <v>0</v>
      </c>
      <c r="V212" s="47">
        <v>207</v>
      </c>
      <c r="W212" s="41">
        <v>144</v>
      </c>
      <c r="X212">
        <v>360</v>
      </c>
      <c r="Y212">
        <v>0.98219999999999996</v>
      </c>
      <c r="Z212">
        <v>2299.9</v>
      </c>
      <c r="AA212">
        <v>1763.02</v>
      </c>
      <c r="AB212">
        <v>131.88</v>
      </c>
      <c r="AC212">
        <v>36</v>
      </c>
      <c r="AD212" s="41">
        <f t="shared" si="40"/>
        <v>0.3739293012739684</v>
      </c>
      <c r="AE212" s="41">
        <f t="shared" si="41"/>
        <v>0.4877993443069279</v>
      </c>
      <c r="AF212">
        <f t="shared" si="42"/>
        <v>1.4051</v>
      </c>
      <c r="AG212">
        <f t="shared" si="43"/>
        <v>0.1288512</v>
      </c>
      <c r="AH212">
        <f t="shared" si="44"/>
        <v>1.3188</v>
      </c>
      <c r="AI212">
        <f>HLOOKUP(HLOOKUP(G212,'THP2'!$B$4:$J$8,5,FALSE),'Fuel &amp; Resister'!$B$3:$G$6,4,FALSE)</f>
        <v>2.7360666666666664</v>
      </c>
      <c r="AJ212" s="41">
        <f>HLOOKUP(HLOOKUP(G212,'THP2'!$B$4:$J$8,5,FALSE),'Fuel &amp; Resister'!$B$3:$G$6,3,FALSE)</f>
        <v>13.019</v>
      </c>
      <c r="AO212" s="62">
        <v>0</v>
      </c>
      <c r="AP212" s="62">
        <v>0</v>
      </c>
    </row>
    <row r="213" spans="2:42" x14ac:dyDescent="0.15">
      <c r="B213" s="43" t="s">
        <v>624</v>
      </c>
      <c r="C213" s="61">
        <f>VLOOKUP(B213,[1]SYS!$F$5:$G$359,2,FALSE)</f>
        <v>74</v>
      </c>
      <c r="D213" s="1" t="s">
        <v>50</v>
      </c>
      <c r="E213" s="42" t="s">
        <v>209</v>
      </c>
      <c r="F213" s="63" t="s">
        <v>472</v>
      </c>
      <c r="G213" s="1">
        <v>3</v>
      </c>
      <c r="H213" s="1">
        <f t="shared" si="36"/>
        <v>0.4</v>
      </c>
      <c r="I213" s="1">
        <f t="shared" si="37"/>
        <v>0.36</v>
      </c>
      <c r="J213" s="1">
        <f t="shared" si="35"/>
        <v>1.7800000000000038E-2</v>
      </c>
      <c r="K213" s="1">
        <f t="shared" si="38"/>
        <v>2.2999000000000001</v>
      </c>
      <c r="L213" s="1">
        <f t="shared" si="39"/>
        <v>1.76302</v>
      </c>
      <c r="M213" s="49">
        <f t="shared" si="34"/>
        <v>1.1684574289205618</v>
      </c>
      <c r="N213" s="49">
        <v>1.3188</v>
      </c>
      <c r="O213" s="6">
        <v>314</v>
      </c>
      <c r="P213" s="51">
        <v>0.05</v>
      </c>
      <c r="Q213" s="51">
        <v>11</v>
      </c>
      <c r="R213" s="51">
        <v>1</v>
      </c>
      <c r="S213" s="1">
        <v>1</v>
      </c>
      <c r="T213" s="1">
        <v>0</v>
      </c>
      <c r="U213" s="47">
        <v>0</v>
      </c>
      <c r="V213" s="47">
        <v>208</v>
      </c>
      <c r="W213" s="41">
        <v>144</v>
      </c>
      <c r="X213">
        <v>360</v>
      </c>
      <c r="Y213">
        <v>0.98219999999999996</v>
      </c>
      <c r="Z213">
        <v>2299.9</v>
      </c>
      <c r="AA213">
        <v>1763.02</v>
      </c>
      <c r="AB213">
        <v>131.88</v>
      </c>
      <c r="AC213">
        <v>36</v>
      </c>
      <c r="AD213" s="41">
        <f t="shared" si="40"/>
        <v>0.3739293012739684</v>
      </c>
      <c r="AE213" s="41">
        <f t="shared" si="41"/>
        <v>0.4877993443069279</v>
      </c>
      <c r="AF213">
        <f t="shared" si="42"/>
        <v>1.4051</v>
      </c>
      <c r="AG213">
        <f t="shared" si="43"/>
        <v>0.1288512</v>
      </c>
      <c r="AH213">
        <f t="shared" si="44"/>
        <v>1.3188</v>
      </c>
      <c r="AI213">
        <f>HLOOKUP(HLOOKUP(G213,'THP2'!$B$4:$J$8,5,FALSE),'Fuel &amp; Resister'!$B$3:$G$6,4,FALSE)</f>
        <v>2.7360666666666664</v>
      </c>
      <c r="AJ213" s="41">
        <f>HLOOKUP(HLOOKUP(G213,'THP2'!$B$4:$J$8,5,FALSE),'Fuel &amp; Resister'!$B$3:$G$6,3,FALSE)</f>
        <v>13.019</v>
      </c>
      <c r="AO213" s="62">
        <v>0</v>
      </c>
      <c r="AP213" s="62">
        <v>0</v>
      </c>
    </row>
    <row r="214" spans="2:42" x14ac:dyDescent="0.15">
      <c r="B214" s="43" t="s">
        <v>624</v>
      </c>
      <c r="C214" s="61">
        <f>VLOOKUP(B214,[1]SYS!$F$5:$G$359,2,FALSE)</f>
        <v>74</v>
      </c>
      <c r="D214" s="1" t="s">
        <v>50</v>
      </c>
      <c r="E214" s="42" t="s">
        <v>210</v>
      </c>
      <c r="F214" s="63" t="s">
        <v>472</v>
      </c>
      <c r="G214" s="1">
        <v>3</v>
      </c>
      <c r="H214" s="1">
        <f t="shared" si="36"/>
        <v>0.4</v>
      </c>
      <c r="I214" s="1">
        <f t="shared" si="37"/>
        <v>0.36</v>
      </c>
      <c r="J214" s="1">
        <f t="shared" si="35"/>
        <v>1.8000000000000016E-2</v>
      </c>
      <c r="K214" s="1">
        <f t="shared" si="38"/>
        <v>2.2999000000000001</v>
      </c>
      <c r="L214" s="1">
        <f t="shared" si="39"/>
        <v>1.76302</v>
      </c>
      <c r="M214" s="49">
        <f t="shared" si="34"/>
        <v>1.1684574289205618</v>
      </c>
      <c r="N214" s="49">
        <v>1.3188</v>
      </c>
      <c r="O214" s="1">
        <v>925</v>
      </c>
      <c r="P214" s="51">
        <v>0.05</v>
      </c>
      <c r="Q214" s="51">
        <v>11</v>
      </c>
      <c r="R214" s="51">
        <v>1</v>
      </c>
      <c r="S214" s="1">
        <v>1</v>
      </c>
      <c r="T214" s="1">
        <v>0</v>
      </c>
      <c r="U214" s="47">
        <v>0</v>
      </c>
      <c r="V214" s="47">
        <v>209</v>
      </c>
      <c r="W214" s="41">
        <v>144</v>
      </c>
      <c r="X214">
        <v>360</v>
      </c>
      <c r="Y214">
        <v>0.98199999999999998</v>
      </c>
      <c r="Z214">
        <v>2299.9</v>
      </c>
      <c r="AA214">
        <v>1763.02</v>
      </c>
      <c r="AB214">
        <v>131.88</v>
      </c>
      <c r="AC214">
        <v>36</v>
      </c>
      <c r="AD214" s="41">
        <f t="shared" si="40"/>
        <v>0.3739293012739684</v>
      </c>
      <c r="AE214" s="41">
        <f t="shared" si="41"/>
        <v>0.4877993443069279</v>
      </c>
      <c r="AF214">
        <f t="shared" si="42"/>
        <v>1.4051</v>
      </c>
      <c r="AG214">
        <f t="shared" si="43"/>
        <v>0.1288512</v>
      </c>
      <c r="AH214">
        <f t="shared" si="44"/>
        <v>1.3188</v>
      </c>
      <c r="AI214">
        <f>HLOOKUP(HLOOKUP(G214,'THP2'!$B$4:$J$8,5,FALSE),'Fuel &amp; Resister'!$B$3:$G$6,4,FALSE)</f>
        <v>2.7360666666666664</v>
      </c>
      <c r="AJ214" s="41">
        <f>HLOOKUP(HLOOKUP(G214,'THP2'!$B$4:$J$8,5,FALSE),'Fuel &amp; Resister'!$B$3:$G$6,3,FALSE)</f>
        <v>13.019</v>
      </c>
      <c r="AO214" s="62">
        <v>0</v>
      </c>
      <c r="AP214" s="62">
        <v>0</v>
      </c>
    </row>
    <row r="215" spans="2:42" x14ac:dyDescent="0.15">
      <c r="B215" s="43" t="s">
        <v>624</v>
      </c>
      <c r="C215" s="61">
        <f>VLOOKUP(B215,[1]SYS!$F$5:$G$359,2,FALSE)</f>
        <v>74</v>
      </c>
      <c r="D215" s="1" t="s">
        <v>50</v>
      </c>
      <c r="E215" s="42" t="s">
        <v>211</v>
      </c>
      <c r="F215" s="63" t="s">
        <v>472</v>
      </c>
      <c r="G215" s="1">
        <v>3</v>
      </c>
      <c r="H215" s="1">
        <f t="shared" si="36"/>
        <v>0.4</v>
      </c>
      <c r="I215" s="1">
        <f t="shared" si="37"/>
        <v>0.36</v>
      </c>
      <c r="J215" s="1">
        <f t="shared" si="35"/>
        <v>1.7800000000000038E-2</v>
      </c>
      <c r="K215" s="1">
        <f t="shared" si="38"/>
        <v>2.2999000000000001</v>
      </c>
      <c r="L215" s="1">
        <f t="shared" si="39"/>
        <v>1.76302</v>
      </c>
      <c r="M215" s="49">
        <f t="shared" si="34"/>
        <v>1.1684574289205618</v>
      </c>
      <c r="N215" s="49">
        <v>1.3188</v>
      </c>
      <c r="O215" s="1">
        <v>1214</v>
      </c>
      <c r="P215" s="51">
        <v>0.05</v>
      </c>
      <c r="Q215" s="51">
        <v>11</v>
      </c>
      <c r="R215" s="51">
        <v>1</v>
      </c>
      <c r="S215" s="1">
        <v>1</v>
      </c>
      <c r="T215" s="1">
        <v>0</v>
      </c>
      <c r="U215" s="47">
        <v>0</v>
      </c>
      <c r="V215" s="47">
        <v>210</v>
      </c>
      <c r="W215" s="41">
        <v>144</v>
      </c>
      <c r="X215">
        <v>360</v>
      </c>
      <c r="Y215">
        <v>0.98219999999999996</v>
      </c>
      <c r="Z215">
        <v>2299.9</v>
      </c>
      <c r="AA215">
        <v>1763.02</v>
      </c>
      <c r="AB215">
        <v>131.88</v>
      </c>
      <c r="AC215">
        <v>36</v>
      </c>
      <c r="AD215" s="41">
        <f t="shared" si="40"/>
        <v>0.3739293012739684</v>
      </c>
      <c r="AE215" s="41">
        <f t="shared" si="41"/>
        <v>0.4877993443069279</v>
      </c>
      <c r="AF215">
        <f t="shared" si="42"/>
        <v>1.4051</v>
      </c>
      <c r="AG215">
        <f t="shared" si="43"/>
        <v>0.1288512</v>
      </c>
      <c r="AH215">
        <f t="shared" si="44"/>
        <v>1.3188</v>
      </c>
      <c r="AI215">
        <f>HLOOKUP(HLOOKUP(G215,'THP2'!$B$4:$J$8,5,FALSE),'Fuel &amp; Resister'!$B$3:$G$6,4,FALSE)</f>
        <v>2.7360666666666664</v>
      </c>
      <c r="AJ215" s="41">
        <f>HLOOKUP(HLOOKUP(G215,'THP2'!$B$4:$J$8,5,FALSE),'Fuel &amp; Resister'!$B$3:$G$6,3,FALSE)</f>
        <v>13.019</v>
      </c>
      <c r="AO215" s="62">
        <v>0</v>
      </c>
      <c r="AP215" s="62">
        <v>0</v>
      </c>
    </row>
    <row r="216" spans="2:42" x14ac:dyDescent="0.15">
      <c r="B216" s="43" t="s">
        <v>624</v>
      </c>
      <c r="C216" s="61">
        <f>VLOOKUP(B216,[1]SYS!$F$5:$G$359,2,FALSE)</f>
        <v>74</v>
      </c>
      <c r="D216" s="1" t="s">
        <v>50</v>
      </c>
      <c r="E216" s="42" t="s">
        <v>212</v>
      </c>
      <c r="F216" s="63" t="s">
        <v>472</v>
      </c>
      <c r="G216" s="1">
        <v>3</v>
      </c>
      <c r="H216" s="1">
        <f t="shared" si="36"/>
        <v>0.4</v>
      </c>
      <c r="I216" s="1">
        <f t="shared" si="37"/>
        <v>0.36</v>
      </c>
      <c r="J216" s="1">
        <f t="shared" si="35"/>
        <v>1.8199999999999994E-2</v>
      </c>
      <c r="K216" s="1">
        <f t="shared" si="38"/>
        <v>2.2999000000000001</v>
      </c>
      <c r="L216" s="1">
        <f t="shared" si="39"/>
        <v>1.76302</v>
      </c>
      <c r="M216" s="49">
        <f t="shared" si="34"/>
        <v>1.1684574289205618</v>
      </c>
      <c r="N216" s="49">
        <v>1.3188</v>
      </c>
      <c r="O216" s="1">
        <v>925</v>
      </c>
      <c r="P216" s="51">
        <v>0.05</v>
      </c>
      <c r="Q216" s="51">
        <v>11</v>
      </c>
      <c r="R216" s="51">
        <v>1</v>
      </c>
      <c r="S216" s="1">
        <v>1</v>
      </c>
      <c r="T216" s="1">
        <v>0</v>
      </c>
      <c r="U216" s="47">
        <v>0</v>
      </c>
      <c r="V216" s="47">
        <v>211</v>
      </c>
      <c r="W216" s="41">
        <v>144</v>
      </c>
      <c r="X216">
        <v>360</v>
      </c>
      <c r="Y216">
        <v>0.98180000000000001</v>
      </c>
      <c r="Z216">
        <v>2299.9</v>
      </c>
      <c r="AA216">
        <v>1763.02</v>
      </c>
      <c r="AB216">
        <v>131.88</v>
      </c>
      <c r="AC216">
        <v>36</v>
      </c>
      <c r="AD216" s="41">
        <f t="shared" si="40"/>
        <v>0.3739293012739684</v>
      </c>
      <c r="AE216" s="41">
        <f t="shared" si="41"/>
        <v>0.4877993443069279</v>
      </c>
      <c r="AF216">
        <f t="shared" si="42"/>
        <v>1.4051</v>
      </c>
      <c r="AG216">
        <f t="shared" si="43"/>
        <v>0.1288512</v>
      </c>
      <c r="AH216">
        <f t="shared" si="44"/>
        <v>1.3188</v>
      </c>
      <c r="AI216">
        <f>HLOOKUP(HLOOKUP(G216,'THP2'!$B$4:$J$8,5,FALSE),'Fuel &amp; Resister'!$B$3:$G$6,4,FALSE)</f>
        <v>2.7360666666666664</v>
      </c>
      <c r="AJ216" s="41">
        <f>HLOOKUP(HLOOKUP(G216,'THP2'!$B$4:$J$8,5,FALSE),'Fuel &amp; Resister'!$B$3:$G$6,3,FALSE)</f>
        <v>13.019</v>
      </c>
      <c r="AO216" s="62">
        <v>0</v>
      </c>
      <c r="AP216" s="62">
        <v>0</v>
      </c>
    </row>
    <row r="217" spans="2:42" x14ac:dyDescent="0.15">
      <c r="B217" s="43" t="s">
        <v>624</v>
      </c>
      <c r="C217" s="61">
        <f>VLOOKUP(B217,[1]SYS!$F$5:$G$359,2,FALSE)</f>
        <v>74</v>
      </c>
      <c r="D217" s="1" t="s">
        <v>50</v>
      </c>
      <c r="E217" s="42" t="s">
        <v>213</v>
      </c>
      <c r="F217" s="63" t="s">
        <v>472</v>
      </c>
      <c r="G217" s="1">
        <v>3</v>
      </c>
      <c r="H217" s="1">
        <f t="shared" si="36"/>
        <v>0.4</v>
      </c>
      <c r="I217" s="1">
        <f t="shared" si="37"/>
        <v>0.36</v>
      </c>
      <c r="J217" s="1">
        <f t="shared" si="35"/>
        <v>1.8199999999999994E-2</v>
      </c>
      <c r="K217" s="1">
        <f t="shared" si="38"/>
        <v>2.2999000000000001</v>
      </c>
      <c r="L217" s="1">
        <f t="shared" si="39"/>
        <v>1.76302</v>
      </c>
      <c r="M217" s="49">
        <f t="shared" si="34"/>
        <v>1.1684574289205618</v>
      </c>
      <c r="N217" s="49">
        <v>1.3188</v>
      </c>
      <c r="O217" s="1">
        <v>1214</v>
      </c>
      <c r="P217" s="51">
        <v>0.05</v>
      </c>
      <c r="Q217" s="51">
        <v>11</v>
      </c>
      <c r="R217" s="51">
        <v>1</v>
      </c>
      <c r="S217" s="1">
        <v>1</v>
      </c>
      <c r="T217" s="1">
        <v>0</v>
      </c>
      <c r="U217" s="47">
        <v>0</v>
      </c>
      <c r="V217" s="47">
        <v>212</v>
      </c>
      <c r="W217" s="41">
        <v>144</v>
      </c>
      <c r="X217">
        <v>360</v>
      </c>
      <c r="Y217">
        <v>0.98180000000000001</v>
      </c>
      <c r="Z217">
        <v>2299.9</v>
      </c>
      <c r="AA217">
        <v>1763.02</v>
      </c>
      <c r="AB217">
        <v>131.88</v>
      </c>
      <c r="AC217">
        <v>36</v>
      </c>
      <c r="AD217" s="41">
        <f t="shared" si="40"/>
        <v>0.3739293012739684</v>
      </c>
      <c r="AE217" s="41">
        <f t="shared" si="41"/>
        <v>0.4877993443069279</v>
      </c>
      <c r="AF217">
        <f t="shared" si="42"/>
        <v>1.4051</v>
      </c>
      <c r="AG217">
        <f t="shared" si="43"/>
        <v>0.1288512</v>
      </c>
      <c r="AH217">
        <f t="shared" si="44"/>
        <v>1.3188</v>
      </c>
      <c r="AI217">
        <f>HLOOKUP(HLOOKUP(G217,'THP2'!$B$4:$J$8,5,FALSE),'Fuel &amp; Resister'!$B$3:$G$6,4,FALSE)</f>
        <v>2.7360666666666664</v>
      </c>
      <c r="AJ217" s="41">
        <f>HLOOKUP(HLOOKUP(G217,'THP2'!$B$4:$J$8,5,FALSE),'Fuel &amp; Resister'!$B$3:$G$6,3,FALSE)</f>
        <v>13.019</v>
      </c>
      <c r="AO217" s="62">
        <v>0</v>
      </c>
      <c r="AP217" s="62">
        <v>0</v>
      </c>
    </row>
    <row r="218" spans="2:42" x14ac:dyDescent="0.15">
      <c r="B218" s="43" t="s">
        <v>624</v>
      </c>
      <c r="C218" s="61">
        <f>VLOOKUP(B218,[1]SYS!$F$5:$G$359,2,FALSE)</f>
        <v>74</v>
      </c>
      <c r="D218" s="1" t="s">
        <v>50</v>
      </c>
      <c r="E218" s="42" t="s">
        <v>214</v>
      </c>
      <c r="F218" s="63" t="s">
        <v>472</v>
      </c>
      <c r="G218" s="1">
        <v>3</v>
      </c>
      <c r="H218" s="1">
        <f t="shared" si="36"/>
        <v>0.4</v>
      </c>
      <c r="I218" s="1">
        <f t="shared" si="37"/>
        <v>0.36</v>
      </c>
      <c r="J218" s="1">
        <f t="shared" si="35"/>
        <v>1.8199999999999994E-2</v>
      </c>
      <c r="K218" s="1">
        <f t="shared" si="38"/>
        <v>2.2999000000000001</v>
      </c>
      <c r="L218" s="1">
        <f t="shared" si="39"/>
        <v>1.76302</v>
      </c>
      <c r="M218" s="49">
        <f t="shared" si="34"/>
        <v>1.1684574289205618</v>
      </c>
      <c r="N218" s="49">
        <v>1.3188</v>
      </c>
      <c r="O218" s="1">
        <v>613</v>
      </c>
      <c r="P218" s="51">
        <v>0.05</v>
      </c>
      <c r="Q218" s="51">
        <v>11</v>
      </c>
      <c r="R218" s="51">
        <v>1</v>
      </c>
      <c r="S218" s="1">
        <v>1</v>
      </c>
      <c r="T218" s="1">
        <v>0</v>
      </c>
      <c r="U218" s="47">
        <v>0</v>
      </c>
      <c r="V218" s="47">
        <v>213</v>
      </c>
      <c r="W218" s="41">
        <v>144</v>
      </c>
      <c r="X218">
        <v>360</v>
      </c>
      <c r="Y218">
        <v>0.98180000000000001</v>
      </c>
      <c r="Z218">
        <v>2299.9</v>
      </c>
      <c r="AA218">
        <v>1763.02</v>
      </c>
      <c r="AB218">
        <v>131.88</v>
      </c>
      <c r="AC218">
        <v>36</v>
      </c>
      <c r="AD218" s="41">
        <f t="shared" si="40"/>
        <v>0.3739293012739684</v>
      </c>
      <c r="AE218" s="41">
        <f t="shared" si="41"/>
        <v>0.4877993443069279</v>
      </c>
      <c r="AF218">
        <f t="shared" si="42"/>
        <v>1.4051</v>
      </c>
      <c r="AG218">
        <f t="shared" si="43"/>
        <v>0.1288512</v>
      </c>
      <c r="AH218">
        <f t="shared" si="44"/>
        <v>1.3188</v>
      </c>
      <c r="AI218">
        <f>HLOOKUP(HLOOKUP(G218,'THP2'!$B$4:$J$8,5,FALSE),'Fuel &amp; Resister'!$B$3:$G$6,4,FALSE)</f>
        <v>2.7360666666666664</v>
      </c>
      <c r="AJ218" s="41">
        <f>HLOOKUP(HLOOKUP(G218,'THP2'!$B$4:$J$8,5,FALSE),'Fuel &amp; Resister'!$B$3:$G$6,3,FALSE)</f>
        <v>13.019</v>
      </c>
      <c r="AO218" s="62">
        <v>0</v>
      </c>
      <c r="AP218" s="62">
        <v>0</v>
      </c>
    </row>
    <row r="219" spans="2:42" x14ac:dyDescent="0.15">
      <c r="B219" s="43" t="s">
        <v>624</v>
      </c>
      <c r="C219" s="61">
        <f>VLOOKUP(B219,[1]SYS!$F$5:$G$359,2,FALSE)</f>
        <v>74</v>
      </c>
      <c r="D219" s="1" t="s">
        <v>50</v>
      </c>
      <c r="E219" s="42" t="s">
        <v>215</v>
      </c>
      <c r="F219" s="63" t="s">
        <v>472</v>
      </c>
      <c r="G219" s="1">
        <v>3</v>
      </c>
      <c r="H219" s="1">
        <f t="shared" si="36"/>
        <v>0.4</v>
      </c>
      <c r="I219" s="1">
        <f t="shared" si="37"/>
        <v>0.36</v>
      </c>
      <c r="J219" s="1">
        <f t="shared" si="35"/>
        <v>1.8199999999999994E-2</v>
      </c>
      <c r="K219" s="1">
        <f t="shared" si="38"/>
        <v>2.2999000000000001</v>
      </c>
      <c r="L219" s="1">
        <f t="shared" si="39"/>
        <v>1.76302</v>
      </c>
      <c r="M219" s="49">
        <f t="shared" si="34"/>
        <v>1.1684574289205618</v>
      </c>
      <c r="N219" s="49">
        <v>1.3188</v>
      </c>
      <c r="O219" s="6">
        <v>314</v>
      </c>
      <c r="P219" s="51">
        <v>0.05</v>
      </c>
      <c r="Q219" s="51">
        <v>11</v>
      </c>
      <c r="R219" s="51">
        <v>1</v>
      </c>
      <c r="S219" s="1">
        <v>1</v>
      </c>
      <c r="T219" s="1">
        <v>0</v>
      </c>
      <c r="U219" s="47">
        <v>0</v>
      </c>
      <c r="V219" s="47">
        <v>214</v>
      </c>
      <c r="W219" s="41">
        <v>144</v>
      </c>
      <c r="X219">
        <v>360</v>
      </c>
      <c r="Y219">
        <v>0.98180000000000001</v>
      </c>
      <c r="Z219">
        <v>2299.9</v>
      </c>
      <c r="AA219">
        <v>1763.02</v>
      </c>
      <c r="AB219">
        <v>131.88</v>
      </c>
      <c r="AC219">
        <v>36</v>
      </c>
      <c r="AD219" s="41">
        <f t="shared" si="40"/>
        <v>0.3739293012739684</v>
      </c>
      <c r="AE219" s="41">
        <f t="shared" si="41"/>
        <v>0.4877993443069279</v>
      </c>
      <c r="AF219">
        <f t="shared" si="42"/>
        <v>1.4051</v>
      </c>
      <c r="AG219">
        <f t="shared" si="43"/>
        <v>0.1288512</v>
      </c>
      <c r="AH219">
        <f t="shared" si="44"/>
        <v>1.3188</v>
      </c>
      <c r="AI219">
        <f>HLOOKUP(HLOOKUP(G219,'THP2'!$B$4:$J$8,5,FALSE),'Fuel &amp; Resister'!$B$3:$G$6,4,FALSE)</f>
        <v>2.7360666666666664</v>
      </c>
      <c r="AJ219" s="41">
        <f>HLOOKUP(HLOOKUP(G219,'THP2'!$B$4:$J$8,5,FALSE),'Fuel &amp; Resister'!$B$3:$G$6,3,FALSE)</f>
        <v>13.019</v>
      </c>
      <c r="AO219" s="62">
        <v>0</v>
      </c>
      <c r="AP219" s="62">
        <v>0</v>
      </c>
    </row>
    <row r="220" spans="2:42" x14ac:dyDescent="0.15">
      <c r="B220" s="43" t="s">
        <v>628</v>
      </c>
      <c r="C220" s="61">
        <f>VLOOKUP(B220,[1]SYS!$F$5:$G$359,2,FALSE)</f>
        <v>98</v>
      </c>
      <c r="D220" s="1" t="s">
        <v>50</v>
      </c>
      <c r="E220" s="65" t="s">
        <v>216</v>
      </c>
      <c r="F220" s="63" t="s">
        <v>473</v>
      </c>
      <c r="G220" s="1">
        <v>3</v>
      </c>
      <c r="H220" s="1">
        <f t="shared" si="36"/>
        <v>0.39944903581267216</v>
      </c>
      <c r="I220" s="1">
        <f t="shared" si="37"/>
        <v>0.36299999999999999</v>
      </c>
      <c r="J220" s="1">
        <f t="shared" si="35"/>
        <v>2.1100000000000008E-2</v>
      </c>
      <c r="K220" s="1">
        <f t="shared" si="38"/>
        <v>2.3041499999999999</v>
      </c>
      <c r="L220" s="1">
        <f t="shared" si="39"/>
        <v>1.7662800000000001</v>
      </c>
      <c r="M220" s="49">
        <f t="shared" si="34"/>
        <v>1.1803731735601934</v>
      </c>
      <c r="N220" s="49">
        <v>1.5456000000000001</v>
      </c>
      <c r="O220" s="6">
        <v>314</v>
      </c>
      <c r="P220" s="51">
        <v>0.05</v>
      </c>
      <c r="Q220" s="51">
        <v>11</v>
      </c>
      <c r="R220" s="51">
        <v>1</v>
      </c>
      <c r="S220" s="1">
        <v>1</v>
      </c>
      <c r="T220" s="1">
        <v>0</v>
      </c>
      <c r="U220" s="47">
        <v>1</v>
      </c>
      <c r="V220" s="47">
        <v>215</v>
      </c>
      <c r="W220" s="41">
        <v>145</v>
      </c>
      <c r="X220">
        <v>363</v>
      </c>
      <c r="Y220">
        <v>0.97889999999999999</v>
      </c>
      <c r="Z220">
        <v>2304.15</v>
      </c>
      <c r="AA220">
        <v>1766.28</v>
      </c>
      <c r="AB220">
        <v>154.56</v>
      </c>
      <c r="AC220">
        <v>36</v>
      </c>
      <c r="AD220" s="41">
        <f t="shared" si="40"/>
        <v>0.37323958943645158</v>
      </c>
      <c r="AE220" s="41">
        <f t="shared" si="41"/>
        <v>0.48689901940802133</v>
      </c>
      <c r="AF220">
        <f t="shared" si="42"/>
        <v>1.4085224311926605</v>
      </c>
      <c r="AG220">
        <f t="shared" si="43"/>
        <v>0.12986599747706426</v>
      </c>
      <c r="AH220">
        <f t="shared" si="44"/>
        <v>1.5456000000000001</v>
      </c>
      <c r="AI220">
        <f>HLOOKUP(HLOOKUP(G220,'THP2'!$B$4:$J$8,5,FALSE),'Fuel &amp; Resister'!$B$3:$G$6,4,FALSE)</f>
        <v>2.7360666666666664</v>
      </c>
      <c r="AJ220" s="41">
        <f>HLOOKUP(HLOOKUP(G220,'THP2'!$B$4:$J$8,5,FALSE),'Fuel &amp; Resister'!$B$3:$G$6,3,FALSE)</f>
        <v>13.019</v>
      </c>
      <c r="AO220" s="1">
        <v>1</v>
      </c>
      <c r="AP220" s="1">
        <v>1</v>
      </c>
    </row>
    <row r="221" spans="2:42" x14ac:dyDescent="0.15">
      <c r="B221" s="43" t="s">
        <v>595</v>
      </c>
      <c r="C221" s="61">
        <f>VLOOKUP(B221,[1]SYS!$F$5:$G$359,2,FALSE)</f>
        <v>104</v>
      </c>
      <c r="D221" s="1" t="s">
        <v>50</v>
      </c>
      <c r="E221" s="65" t="s">
        <v>217</v>
      </c>
      <c r="F221" s="63" t="s">
        <v>527</v>
      </c>
      <c r="G221" s="1">
        <v>3</v>
      </c>
      <c r="H221" s="1">
        <f t="shared" si="36"/>
        <v>0.4</v>
      </c>
      <c r="I221" s="1">
        <f t="shared" si="37"/>
        <v>0.2</v>
      </c>
      <c r="J221" s="1">
        <f t="shared" si="35"/>
        <v>0</v>
      </c>
      <c r="K221" s="1">
        <f t="shared" si="38"/>
        <v>2.31318</v>
      </c>
      <c r="L221" s="1">
        <f t="shared" si="39"/>
        <v>1.7732000000000001</v>
      </c>
      <c r="M221" s="49">
        <f t="shared" si="34"/>
        <v>0.6528912865934402</v>
      </c>
      <c r="N221" s="49">
        <v>0.66</v>
      </c>
      <c r="O221" s="1">
        <v>1209</v>
      </c>
      <c r="P221" s="51">
        <v>0.05</v>
      </c>
      <c r="Q221" s="51">
        <v>11</v>
      </c>
      <c r="R221" s="51">
        <v>1</v>
      </c>
      <c r="S221" s="1">
        <v>1</v>
      </c>
      <c r="T221" s="1">
        <v>0</v>
      </c>
      <c r="U221" s="47">
        <v>1</v>
      </c>
      <c r="V221" s="47">
        <v>216</v>
      </c>
      <c r="W221" s="41">
        <v>80</v>
      </c>
      <c r="X221">
        <v>200</v>
      </c>
      <c r="Y221">
        <v>1</v>
      </c>
      <c r="Z221">
        <v>2313.1799999999998</v>
      </c>
      <c r="AA221">
        <v>1773.2</v>
      </c>
      <c r="AB221">
        <v>66</v>
      </c>
      <c r="AC221">
        <v>46</v>
      </c>
      <c r="AD221" s="41">
        <f t="shared" si="40"/>
        <v>0.37178256772062701</v>
      </c>
      <c r="AE221" s="41">
        <f t="shared" si="41"/>
        <v>0.48499887209564629</v>
      </c>
      <c r="AF221">
        <f t="shared" si="42"/>
        <v>1.4132133333333334</v>
      </c>
      <c r="AG221">
        <f t="shared" si="43"/>
        <v>7.1997333333333344E-2</v>
      </c>
      <c r="AH221">
        <f t="shared" si="44"/>
        <v>0.66</v>
      </c>
      <c r="AI221">
        <f>HLOOKUP(HLOOKUP(G221,'THP2'!$B$4:$J$8,5,FALSE),'Fuel &amp; Resister'!$B$3:$G$6,4,FALSE)</f>
        <v>2.7360666666666664</v>
      </c>
      <c r="AJ221" s="41">
        <f>HLOOKUP(HLOOKUP(G221,'THP2'!$B$4:$J$8,5,FALSE),'Fuel &amp; Resister'!$B$3:$G$6,3,FALSE)</f>
        <v>13.019</v>
      </c>
      <c r="AO221" s="1">
        <v>1</v>
      </c>
      <c r="AP221" s="1">
        <v>1</v>
      </c>
    </row>
    <row r="222" spans="2:42" x14ac:dyDescent="0.15">
      <c r="B222" s="43" t="s">
        <v>628</v>
      </c>
      <c r="C222" s="61">
        <f>VLOOKUP(B222,[1]SYS!$F$5:$G$359,2,FALSE)</f>
        <v>98</v>
      </c>
      <c r="D222" s="1" t="s">
        <v>50</v>
      </c>
      <c r="E222" s="65" t="s">
        <v>218</v>
      </c>
      <c r="F222" s="42"/>
      <c r="G222" s="1">
        <v>3</v>
      </c>
      <c r="H222" s="1">
        <f t="shared" si="36"/>
        <v>0.40051020408163263</v>
      </c>
      <c r="I222" s="1">
        <f t="shared" si="37"/>
        <v>0.39200000000000002</v>
      </c>
      <c r="J222" s="1">
        <f t="shared" si="35"/>
        <v>0</v>
      </c>
      <c r="K222" s="1">
        <f t="shared" si="38"/>
        <v>2.31318</v>
      </c>
      <c r="L222" s="1">
        <f t="shared" si="39"/>
        <v>1.7732000000000001</v>
      </c>
      <c r="M222" s="49">
        <f t="shared" si="34"/>
        <v>1.2796669217231429</v>
      </c>
      <c r="N222" s="49">
        <v>1.7031999999999998</v>
      </c>
      <c r="O222" s="1">
        <v>1014</v>
      </c>
      <c r="P222" s="51">
        <v>0.05</v>
      </c>
      <c r="Q222" s="51">
        <v>11</v>
      </c>
      <c r="R222" s="51">
        <v>1</v>
      </c>
      <c r="S222" s="1">
        <v>1</v>
      </c>
      <c r="T222" s="1">
        <v>0</v>
      </c>
      <c r="U222" s="47">
        <v>1</v>
      </c>
      <c r="V222" s="47">
        <v>217</v>
      </c>
      <c r="W222" s="41">
        <v>157</v>
      </c>
      <c r="X222">
        <v>392</v>
      </c>
      <c r="Y222">
        <v>1</v>
      </c>
      <c r="Z222">
        <v>2313.1799999999998</v>
      </c>
      <c r="AA222">
        <v>1773.2</v>
      </c>
      <c r="AB222">
        <v>170.32</v>
      </c>
      <c r="AC222">
        <v>36</v>
      </c>
      <c r="AD222" s="41">
        <f t="shared" si="40"/>
        <v>0.37178256772062701</v>
      </c>
      <c r="AE222" s="41">
        <f t="shared" si="41"/>
        <v>0.48499887209564629</v>
      </c>
      <c r="AF222">
        <f t="shared" si="42"/>
        <v>1.4124474042553194</v>
      </c>
      <c r="AG222">
        <f t="shared" si="43"/>
        <v>0.14141501753191482</v>
      </c>
      <c r="AH222">
        <f t="shared" si="44"/>
        <v>1.7031999999999998</v>
      </c>
      <c r="AI222">
        <f>HLOOKUP(HLOOKUP(G222,'THP2'!$B$4:$J$8,5,FALSE),'Fuel &amp; Resister'!$B$3:$G$6,4,FALSE)</f>
        <v>2.7360666666666664</v>
      </c>
      <c r="AJ222" s="41">
        <f>HLOOKUP(HLOOKUP(G222,'THP2'!$B$4:$J$8,5,FALSE),'Fuel &amp; Resister'!$B$3:$G$6,3,FALSE)</f>
        <v>13.019</v>
      </c>
      <c r="AO222" s="1">
        <v>1</v>
      </c>
      <c r="AP222" s="1">
        <v>1</v>
      </c>
    </row>
    <row r="223" spans="2:42" x14ac:dyDescent="0.15">
      <c r="B223" s="43" t="s">
        <v>626</v>
      </c>
      <c r="C223" s="61">
        <f>VLOOKUP(B223,[1]SYS!$F$5:$G$359,2,FALSE)</f>
        <v>73</v>
      </c>
      <c r="D223" s="1" t="s">
        <v>50</v>
      </c>
      <c r="E223" s="65" t="s">
        <v>219</v>
      </c>
      <c r="F223" s="63" t="s">
        <v>480</v>
      </c>
      <c r="G223" s="1">
        <v>3</v>
      </c>
      <c r="H223" s="1">
        <f t="shared" si="36"/>
        <v>0.39869281045751637</v>
      </c>
      <c r="I223" s="1">
        <f t="shared" si="37"/>
        <v>0.153</v>
      </c>
      <c r="J223" s="1">
        <f t="shared" si="35"/>
        <v>2.0000000000000018E-2</v>
      </c>
      <c r="K223" s="1">
        <f t="shared" si="38"/>
        <v>2.3372700000000002</v>
      </c>
      <c r="L223" s="1">
        <f t="shared" si="39"/>
        <v>1.7916700000000001</v>
      </c>
      <c r="M223" s="49">
        <f t="shared" si="34"/>
        <v>0.50466432695686614</v>
      </c>
      <c r="N223" s="49">
        <v>1.0965</v>
      </c>
      <c r="O223" s="1">
        <v>908</v>
      </c>
      <c r="P223" s="51">
        <v>0</v>
      </c>
      <c r="Q223" s="51">
        <v>11</v>
      </c>
      <c r="R223" s="51">
        <v>1</v>
      </c>
      <c r="S223" s="1">
        <v>1</v>
      </c>
      <c r="T223" s="1">
        <v>0</v>
      </c>
      <c r="U223" s="47">
        <v>1</v>
      </c>
      <c r="V223" s="47">
        <v>218</v>
      </c>
      <c r="W223" s="41">
        <v>61</v>
      </c>
      <c r="X223">
        <v>153</v>
      </c>
      <c r="Y223">
        <v>0.98</v>
      </c>
      <c r="Z223">
        <v>2337.27</v>
      </c>
      <c r="AA223">
        <v>1791.67</v>
      </c>
      <c r="AB223">
        <v>109.65</v>
      </c>
      <c r="AC223">
        <v>46</v>
      </c>
      <c r="AD223" s="41">
        <f t="shared" si="40"/>
        <v>0.36795064327185134</v>
      </c>
      <c r="AE223" s="41">
        <f t="shared" si="41"/>
        <v>0.47999910697840559</v>
      </c>
      <c r="AF223">
        <f t="shared" si="42"/>
        <v>1.4299134782608696</v>
      </c>
      <c r="AG223">
        <f t="shared" si="43"/>
        <v>5.5348747826086973E-2</v>
      </c>
      <c r="AH223">
        <f t="shared" si="44"/>
        <v>1.0965</v>
      </c>
      <c r="AI223">
        <f>HLOOKUP(HLOOKUP(G223,'THP2'!$B$4:$J$8,5,FALSE),'Fuel &amp; Resister'!$B$3:$G$6,4,FALSE)</f>
        <v>2.7360666666666664</v>
      </c>
      <c r="AJ223" s="41">
        <f>HLOOKUP(HLOOKUP(G223,'THP2'!$B$4:$J$8,5,FALSE),'Fuel &amp; Resister'!$B$3:$G$6,3,FALSE)</f>
        <v>13.019</v>
      </c>
      <c r="AO223" s="1">
        <v>1</v>
      </c>
      <c r="AP223" s="1">
        <v>1</v>
      </c>
    </row>
    <row r="224" spans="2:42" x14ac:dyDescent="0.15">
      <c r="B224" s="43" t="s">
        <v>626</v>
      </c>
      <c r="C224" s="61">
        <f>VLOOKUP(B224,[1]SYS!$F$5:$G$359,2,FALSE)</f>
        <v>73</v>
      </c>
      <c r="D224" s="1" t="s">
        <v>50</v>
      </c>
      <c r="E224" s="65" t="s">
        <v>220</v>
      </c>
      <c r="F224" s="63" t="s">
        <v>480</v>
      </c>
      <c r="G224" s="1">
        <v>3</v>
      </c>
      <c r="H224" s="1">
        <f t="shared" si="36"/>
        <v>0.4</v>
      </c>
      <c r="I224" s="1">
        <f t="shared" si="37"/>
        <v>0.3</v>
      </c>
      <c r="J224" s="1">
        <f t="shared" si="35"/>
        <v>4.3599999999999972E-2</v>
      </c>
      <c r="K224" s="1">
        <f t="shared" si="38"/>
        <v>2.3618800000000002</v>
      </c>
      <c r="L224" s="1">
        <f t="shared" si="39"/>
        <v>1.81053</v>
      </c>
      <c r="M224" s="49">
        <f t="shared" si="34"/>
        <v>0.99995425878300936</v>
      </c>
      <c r="N224" s="49">
        <v>1.2033</v>
      </c>
      <c r="O224" s="6">
        <v>302</v>
      </c>
      <c r="P224" s="51">
        <v>0.05</v>
      </c>
      <c r="Q224" s="51">
        <v>11</v>
      </c>
      <c r="R224" s="51">
        <v>1</v>
      </c>
      <c r="S224" s="1">
        <v>1</v>
      </c>
      <c r="T224" s="1">
        <v>0</v>
      </c>
      <c r="U224" s="47">
        <v>1</v>
      </c>
      <c r="V224" s="47">
        <v>219</v>
      </c>
      <c r="W224" s="41">
        <v>120</v>
      </c>
      <c r="X224">
        <v>300</v>
      </c>
      <c r="Y224">
        <v>0.95640000000000003</v>
      </c>
      <c r="Z224">
        <v>2361.88</v>
      </c>
      <c r="AA224">
        <v>1810.53</v>
      </c>
      <c r="AB224">
        <v>120.33</v>
      </c>
      <c r="AC224">
        <v>46</v>
      </c>
      <c r="AD224" s="41">
        <f t="shared" si="40"/>
        <v>0.36411672057852218</v>
      </c>
      <c r="AE224" s="41">
        <f t="shared" si="41"/>
        <v>0.4749990334321994</v>
      </c>
      <c r="AF224">
        <f t="shared" si="42"/>
        <v>1.4429633333333332</v>
      </c>
      <c r="AG224">
        <f t="shared" si="43"/>
        <v>0.11027000000000005</v>
      </c>
      <c r="AH224">
        <f t="shared" si="44"/>
        <v>1.2033</v>
      </c>
      <c r="AI224">
        <f>HLOOKUP(HLOOKUP(G224,'THP2'!$B$4:$J$8,5,FALSE),'Fuel &amp; Resister'!$B$3:$G$6,4,FALSE)</f>
        <v>2.7360666666666664</v>
      </c>
      <c r="AJ224" s="41">
        <f>HLOOKUP(HLOOKUP(G224,'THP2'!$B$4:$J$8,5,FALSE),'Fuel &amp; Resister'!$B$3:$G$6,3,FALSE)</f>
        <v>13.019</v>
      </c>
      <c r="AO224" s="1">
        <v>1</v>
      </c>
      <c r="AP224" s="1">
        <v>1</v>
      </c>
    </row>
    <row r="225" spans="2:42" x14ac:dyDescent="0.15">
      <c r="B225" s="43" t="s">
        <v>594</v>
      </c>
      <c r="C225" s="61">
        <f>VLOOKUP(B225,[1]SYS!$F$5:$G$359,2,FALSE)</f>
        <v>70</v>
      </c>
      <c r="D225" s="1" t="s">
        <v>50</v>
      </c>
      <c r="E225" s="65" t="s">
        <v>221</v>
      </c>
      <c r="F225" s="42"/>
      <c r="G225" s="1">
        <v>3</v>
      </c>
      <c r="H225" s="1">
        <f t="shared" si="36"/>
        <v>0.4</v>
      </c>
      <c r="I225" s="1">
        <f t="shared" si="37"/>
        <v>0.05</v>
      </c>
      <c r="J225" s="1">
        <f t="shared" si="35"/>
        <v>3.0000000000000027E-2</v>
      </c>
      <c r="K225" s="1">
        <f t="shared" si="38"/>
        <v>2.49309</v>
      </c>
      <c r="L225" s="1">
        <f t="shared" si="39"/>
        <v>1.9111099999999999</v>
      </c>
      <c r="M225" s="49">
        <f t="shared" si="34"/>
        <v>0.17591741861064597</v>
      </c>
      <c r="N225" s="49">
        <v>0.16500000000000001</v>
      </c>
      <c r="O225" s="1">
        <v>514</v>
      </c>
      <c r="P225" s="51">
        <v>0</v>
      </c>
      <c r="Q225" s="51">
        <v>11</v>
      </c>
      <c r="R225" s="51">
        <v>1</v>
      </c>
      <c r="S225" s="1">
        <v>1</v>
      </c>
      <c r="T225" s="1">
        <v>0</v>
      </c>
      <c r="U225" s="47">
        <v>1</v>
      </c>
      <c r="V225" s="47">
        <v>220</v>
      </c>
      <c r="W225" s="41">
        <v>20</v>
      </c>
      <c r="X225">
        <v>50</v>
      </c>
      <c r="Y225">
        <v>0.97</v>
      </c>
      <c r="Z225">
        <v>2493.09</v>
      </c>
      <c r="AA225">
        <v>1911.11</v>
      </c>
      <c r="AB225">
        <v>16.5</v>
      </c>
      <c r="AC225">
        <v>36</v>
      </c>
      <c r="AD225" s="41">
        <f t="shared" si="40"/>
        <v>0.34495345133950234</v>
      </c>
      <c r="AE225" s="41">
        <f t="shared" si="41"/>
        <v>0.45000026162805912</v>
      </c>
      <c r="AF225">
        <f t="shared" si="42"/>
        <v>1.5231233333333332</v>
      </c>
      <c r="AG225">
        <f t="shared" si="43"/>
        <v>1.9399333333333338E-2</v>
      </c>
      <c r="AH225">
        <f t="shared" si="44"/>
        <v>0.16500000000000001</v>
      </c>
      <c r="AI225">
        <f>HLOOKUP(HLOOKUP(G225,'THP2'!$B$4:$J$8,5,FALSE),'Fuel &amp; Resister'!$B$3:$G$6,4,FALSE)</f>
        <v>2.7360666666666664</v>
      </c>
      <c r="AJ225" s="41">
        <f>HLOOKUP(HLOOKUP(G225,'THP2'!$B$4:$J$8,5,FALSE),'Fuel &amp; Resister'!$B$3:$G$6,3,FALSE)</f>
        <v>13.019</v>
      </c>
      <c r="AO225" s="1">
        <v>1</v>
      </c>
      <c r="AP225" s="1">
        <v>1</v>
      </c>
    </row>
    <row r="226" spans="2:42" x14ac:dyDescent="0.15">
      <c r="B226" s="43" t="s">
        <v>594</v>
      </c>
      <c r="C226" s="61">
        <f>VLOOKUP(B226,[1]SYS!$F$5:$G$359,2,FALSE)</f>
        <v>70</v>
      </c>
      <c r="D226" s="1" t="s">
        <v>50</v>
      </c>
      <c r="E226" s="65" t="s">
        <v>222</v>
      </c>
      <c r="F226" s="42"/>
      <c r="G226" s="1">
        <v>3</v>
      </c>
      <c r="H226" s="1">
        <f t="shared" si="36"/>
        <v>0.40816326530612246</v>
      </c>
      <c r="I226" s="1">
        <f t="shared" si="37"/>
        <v>4.9000000000000002E-2</v>
      </c>
      <c r="J226" s="1">
        <f t="shared" si="35"/>
        <v>3.0000000000000027E-2</v>
      </c>
      <c r="K226" s="1">
        <f t="shared" si="38"/>
        <v>2.49309</v>
      </c>
      <c r="L226" s="1">
        <f t="shared" si="39"/>
        <v>1.9111099999999999</v>
      </c>
      <c r="M226" s="49">
        <f t="shared" si="34"/>
        <v>0.17239907023843307</v>
      </c>
      <c r="N226" s="49">
        <v>0.16170000000000001</v>
      </c>
      <c r="O226" s="6">
        <v>314</v>
      </c>
      <c r="P226" s="51">
        <v>0</v>
      </c>
      <c r="Q226" s="51">
        <v>11</v>
      </c>
      <c r="R226" s="51">
        <v>1</v>
      </c>
      <c r="S226" s="1">
        <v>1</v>
      </c>
      <c r="T226" s="1">
        <v>0</v>
      </c>
      <c r="U226" s="47">
        <v>1</v>
      </c>
      <c r="V226" s="47">
        <v>221</v>
      </c>
      <c r="W226" s="41">
        <v>20</v>
      </c>
      <c r="X226">
        <v>49</v>
      </c>
      <c r="Y226">
        <v>0.97</v>
      </c>
      <c r="Z226">
        <v>2493.09</v>
      </c>
      <c r="AA226">
        <v>1911.11</v>
      </c>
      <c r="AB226">
        <v>16.170000000000002</v>
      </c>
      <c r="AC226">
        <v>36</v>
      </c>
      <c r="AD226" s="41">
        <f t="shared" si="40"/>
        <v>0.34495345133950234</v>
      </c>
      <c r="AE226" s="41">
        <f t="shared" si="41"/>
        <v>0.45000026162805912</v>
      </c>
      <c r="AF226">
        <f t="shared" si="42"/>
        <v>1.5097444827586204</v>
      </c>
      <c r="AG226">
        <f t="shared" si="43"/>
        <v>1.9666910344827596E-2</v>
      </c>
      <c r="AH226">
        <f t="shared" si="44"/>
        <v>0.16170000000000001</v>
      </c>
      <c r="AI226">
        <f>HLOOKUP(HLOOKUP(G226,'THP2'!$B$4:$J$8,5,FALSE),'Fuel &amp; Resister'!$B$3:$G$6,4,FALSE)</f>
        <v>2.7360666666666664</v>
      </c>
      <c r="AJ226" s="41">
        <f>HLOOKUP(HLOOKUP(G226,'THP2'!$B$4:$J$8,5,FALSE),'Fuel &amp; Resister'!$B$3:$G$6,3,FALSE)</f>
        <v>13.019</v>
      </c>
      <c r="AO226" s="1">
        <v>1</v>
      </c>
      <c r="AP226" s="1">
        <v>1</v>
      </c>
    </row>
    <row r="227" spans="2:42" x14ac:dyDescent="0.15">
      <c r="B227" s="43" t="s">
        <v>592</v>
      </c>
      <c r="C227" s="61">
        <f>VLOOKUP(B227,[1]SYS!$F$5:$G$359,2,FALSE)</f>
        <v>77</v>
      </c>
      <c r="D227" s="1" t="s">
        <v>50</v>
      </c>
      <c r="E227" s="65" t="s">
        <v>372</v>
      </c>
      <c r="F227" s="63" t="s">
        <v>373</v>
      </c>
      <c r="G227" s="1">
        <v>3</v>
      </c>
      <c r="H227" s="1">
        <f t="shared" si="36"/>
        <v>0.4</v>
      </c>
      <c r="I227" s="1">
        <f t="shared" si="37"/>
        <v>0.3</v>
      </c>
      <c r="J227" s="1">
        <f t="shared" si="35"/>
        <v>2.0000000000000018E-2</v>
      </c>
      <c r="K227" s="1">
        <f t="shared" si="38"/>
        <v>2.49309</v>
      </c>
      <c r="L227" s="1">
        <f t="shared" si="39"/>
        <v>1.9111099999999999</v>
      </c>
      <c r="M227" s="49">
        <f t="shared" si="34"/>
        <v>1.0555045116638757</v>
      </c>
      <c r="N227" s="49">
        <v>1.254</v>
      </c>
      <c r="O227" s="1">
        <v>608</v>
      </c>
      <c r="P227" s="51">
        <v>0.05</v>
      </c>
      <c r="Q227" s="51">
        <v>11</v>
      </c>
      <c r="R227" s="51">
        <v>1</v>
      </c>
      <c r="S227" s="1">
        <v>1</v>
      </c>
      <c r="T227" s="1">
        <v>0</v>
      </c>
      <c r="U227" s="47">
        <v>1</v>
      </c>
      <c r="V227" s="47">
        <v>222</v>
      </c>
      <c r="W227" s="41">
        <v>120</v>
      </c>
      <c r="X227">
        <v>300</v>
      </c>
      <c r="Y227">
        <v>0.98</v>
      </c>
      <c r="Z227">
        <v>2493.09</v>
      </c>
      <c r="AA227">
        <v>1911.11</v>
      </c>
      <c r="AB227">
        <v>125.4</v>
      </c>
      <c r="AC227">
        <v>46</v>
      </c>
      <c r="AD227" s="41">
        <f t="shared" si="40"/>
        <v>0.34495345133950234</v>
      </c>
      <c r="AE227" s="41">
        <f t="shared" si="41"/>
        <v>0.45000026162805912</v>
      </c>
      <c r="AF227">
        <f t="shared" si="42"/>
        <v>1.5231233333333332</v>
      </c>
      <c r="AG227">
        <f t="shared" si="43"/>
        <v>0.116396</v>
      </c>
      <c r="AH227">
        <f t="shared" si="44"/>
        <v>1.254</v>
      </c>
      <c r="AI227">
        <f>HLOOKUP(HLOOKUP(G227,'THP2'!$B$4:$J$8,5,FALSE),'Fuel &amp; Resister'!$B$3:$G$6,4,FALSE)</f>
        <v>2.7360666666666664</v>
      </c>
      <c r="AJ227" s="41">
        <f>HLOOKUP(HLOOKUP(G227,'THP2'!$B$4:$J$8,5,FALSE),'Fuel &amp; Resister'!$B$3:$G$6,3,FALSE)</f>
        <v>13.019</v>
      </c>
      <c r="AO227" s="1">
        <v>1</v>
      </c>
      <c r="AP227" s="1">
        <v>1</v>
      </c>
    </row>
    <row r="228" spans="2:42" x14ac:dyDescent="0.15">
      <c r="B228" s="43" t="s">
        <v>626</v>
      </c>
      <c r="C228" s="61">
        <f>VLOOKUP(B228,[1]SYS!$F$5:$G$359,2,FALSE)</f>
        <v>73</v>
      </c>
      <c r="D228" s="1" t="s">
        <v>50</v>
      </c>
      <c r="E228" s="65" t="s">
        <v>370</v>
      </c>
      <c r="F228" s="63" t="s">
        <v>371</v>
      </c>
      <c r="G228" s="1">
        <v>3</v>
      </c>
      <c r="H228" s="1">
        <f t="shared" si="36"/>
        <v>0.4</v>
      </c>
      <c r="I228" s="1">
        <f t="shared" si="37"/>
        <v>0.1</v>
      </c>
      <c r="J228" s="1">
        <f t="shared" si="35"/>
        <v>3.0000000000000027E-2</v>
      </c>
      <c r="K228" s="1">
        <f t="shared" si="38"/>
        <v>2.49309</v>
      </c>
      <c r="L228" s="1">
        <f t="shared" si="39"/>
        <v>1.9111099999999999</v>
      </c>
      <c r="M228" s="49">
        <f t="shared" si="34"/>
        <v>0.35183483722129194</v>
      </c>
      <c r="N228" s="49">
        <v>0.33</v>
      </c>
      <c r="O228" s="1">
        <v>1014</v>
      </c>
      <c r="P228" s="51">
        <v>0</v>
      </c>
      <c r="Q228" s="51">
        <v>11</v>
      </c>
      <c r="R228" s="51">
        <v>1</v>
      </c>
      <c r="S228" s="1">
        <v>1</v>
      </c>
      <c r="T228" s="1">
        <v>0</v>
      </c>
      <c r="U228" s="47">
        <v>1</v>
      </c>
      <c r="V228" s="47">
        <v>223</v>
      </c>
      <c r="W228" s="41">
        <v>40</v>
      </c>
      <c r="X228">
        <v>100</v>
      </c>
      <c r="Y228">
        <v>0.97</v>
      </c>
      <c r="Z228">
        <v>2493.09</v>
      </c>
      <c r="AA228">
        <v>1911.11</v>
      </c>
      <c r="AB228">
        <v>33</v>
      </c>
      <c r="AC228">
        <v>36</v>
      </c>
      <c r="AD228" s="41">
        <f t="shared" si="40"/>
        <v>0.34495345133950234</v>
      </c>
      <c r="AE228" s="41">
        <f t="shared" si="41"/>
        <v>0.45000026162805912</v>
      </c>
      <c r="AF228">
        <f t="shared" si="42"/>
        <v>1.5231233333333332</v>
      </c>
      <c r="AG228">
        <f t="shared" si="43"/>
        <v>3.8798666666666676E-2</v>
      </c>
      <c r="AH228">
        <f t="shared" si="44"/>
        <v>0.33</v>
      </c>
      <c r="AI228">
        <f>HLOOKUP(HLOOKUP(G228,'THP2'!$B$4:$J$8,5,FALSE),'Fuel &amp; Resister'!$B$3:$G$6,4,FALSE)</f>
        <v>2.7360666666666664</v>
      </c>
      <c r="AJ228" s="41">
        <f>HLOOKUP(HLOOKUP(G228,'THP2'!$B$4:$J$8,5,FALSE),'Fuel &amp; Resister'!$B$3:$G$6,3,FALSE)</f>
        <v>13.019</v>
      </c>
      <c r="AO228" s="1">
        <v>1</v>
      </c>
      <c r="AP228" s="1">
        <v>1</v>
      </c>
    </row>
    <row r="229" spans="2:42" x14ac:dyDescent="0.15">
      <c r="B229" s="43" t="s">
        <v>626</v>
      </c>
      <c r="C229" s="61">
        <f>VLOOKUP(B229,[1]SYS!$F$5:$G$359,2,FALSE)</f>
        <v>73</v>
      </c>
      <c r="D229" s="1" t="s">
        <v>50</v>
      </c>
      <c r="E229" s="65" t="s">
        <v>368</v>
      </c>
      <c r="F229" s="63" t="s">
        <v>369</v>
      </c>
      <c r="G229" s="1">
        <v>3</v>
      </c>
      <c r="H229" s="1">
        <f t="shared" si="36"/>
        <v>0.4</v>
      </c>
      <c r="I229" s="1">
        <f t="shared" si="37"/>
        <v>0.1</v>
      </c>
      <c r="J229" s="1">
        <f t="shared" si="35"/>
        <v>3.0000000000000027E-2</v>
      </c>
      <c r="K229" s="1">
        <f t="shared" si="38"/>
        <v>2.49309</v>
      </c>
      <c r="L229" s="1">
        <f t="shared" si="39"/>
        <v>1.9111099999999999</v>
      </c>
      <c r="M229" s="49">
        <f t="shared" si="34"/>
        <v>0.35183483722129194</v>
      </c>
      <c r="N229" s="49">
        <v>0.33</v>
      </c>
      <c r="O229" s="6">
        <v>302</v>
      </c>
      <c r="P229" s="51">
        <v>0</v>
      </c>
      <c r="Q229" s="51">
        <v>11</v>
      </c>
      <c r="R229" s="51">
        <v>1</v>
      </c>
      <c r="S229" s="1">
        <v>1</v>
      </c>
      <c r="T229" s="1">
        <v>0</v>
      </c>
      <c r="U229" s="47">
        <v>1</v>
      </c>
      <c r="V229" s="47">
        <v>224</v>
      </c>
      <c r="W229" s="41">
        <v>40</v>
      </c>
      <c r="X229">
        <v>100</v>
      </c>
      <c r="Y229">
        <v>0.97</v>
      </c>
      <c r="Z229">
        <v>2493.09</v>
      </c>
      <c r="AA229">
        <v>1911.11</v>
      </c>
      <c r="AB229">
        <v>33</v>
      </c>
      <c r="AC229">
        <v>36</v>
      </c>
      <c r="AD229" s="41">
        <f t="shared" si="40"/>
        <v>0.34495345133950234</v>
      </c>
      <c r="AE229" s="41">
        <f t="shared" si="41"/>
        <v>0.45000026162805912</v>
      </c>
      <c r="AF229">
        <f t="shared" si="42"/>
        <v>1.5231233333333332</v>
      </c>
      <c r="AG229">
        <f t="shared" si="43"/>
        <v>3.8798666666666676E-2</v>
      </c>
      <c r="AH229">
        <f t="shared" si="44"/>
        <v>0.33</v>
      </c>
      <c r="AI229">
        <f>HLOOKUP(HLOOKUP(G229,'THP2'!$B$4:$J$8,5,FALSE),'Fuel &amp; Resister'!$B$3:$G$6,4,FALSE)</f>
        <v>2.7360666666666664</v>
      </c>
      <c r="AJ229" s="41">
        <f>HLOOKUP(HLOOKUP(G229,'THP2'!$B$4:$J$8,5,FALSE),'Fuel &amp; Resister'!$B$3:$G$6,3,FALSE)</f>
        <v>13.019</v>
      </c>
      <c r="AO229" s="1">
        <v>1</v>
      </c>
      <c r="AP229" s="1">
        <v>1</v>
      </c>
    </row>
    <row r="230" spans="2:42" x14ac:dyDescent="0.15">
      <c r="B230" s="43" t="s">
        <v>626</v>
      </c>
      <c r="C230" s="61">
        <f>VLOOKUP(B230,[1]SYS!$F$5:$G$359,2,FALSE)</f>
        <v>73</v>
      </c>
      <c r="D230" s="1" t="s">
        <v>50</v>
      </c>
      <c r="E230" s="65" t="s">
        <v>366</v>
      </c>
      <c r="F230" s="63" t="s">
        <v>367</v>
      </c>
      <c r="G230" s="1">
        <v>3</v>
      </c>
      <c r="H230" s="1">
        <f t="shared" si="36"/>
        <v>0.4</v>
      </c>
      <c r="I230" s="1">
        <f t="shared" si="37"/>
        <v>0.1</v>
      </c>
      <c r="J230" s="1">
        <f t="shared" si="35"/>
        <v>3.0000000000000027E-2</v>
      </c>
      <c r="K230" s="1">
        <f t="shared" si="38"/>
        <v>2.49309</v>
      </c>
      <c r="L230" s="1">
        <f t="shared" si="39"/>
        <v>1.9111099999999999</v>
      </c>
      <c r="M230" s="49">
        <f t="shared" si="34"/>
        <v>0.35183483722129194</v>
      </c>
      <c r="N230" s="49">
        <v>0.33</v>
      </c>
      <c r="O230" s="6">
        <v>314</v>
      </c>
      <c r="P230" s="51">
        <v>0</v>
      </c>
      <c r="Q230" s="51">
        <v>11</v>
      </c>
      <c r="R230" s="51">
        <v>1</v>
      </c>
      <c r="S230" s="1">
        <v>1</v>
      </c>
      <c r="T230" s="1">
        <v>0</v>
      </c>
      <c r="U230" s="47">
        <v>1</v>
      </c>
      <c r="V230" s="47">
        <v>225</v>
      </c>
      <c r="W230" s="41">
        <v>40</v>
      </c>
      <c r="X230">
        <v>100</v>
      </c>
      <c r="Y230">
        <v>0.97</v>
      </c>
      <c r="Z230">
        <v>2493.09</v>
      </c>
      <c r="AA230">
        <v>1911.11</v>
      </c>
      <c r="AB230">
        <v>33</v>
      </c>
      <c r="AC230">
        <v>36</v>
      </c>
      <c r="AD230" s="41">
        <f t="shared" si="40"/>
        <v>0.34495345133950234</v>
      </c>
      <c r="AE230" s="41">
        <f t="shared" si="41"/>
        <v>0.45000026162805912</v>
      </c>
      <c r="AF230">
        <f t="shared" si="42"/>
        <v>1.5231233333333332</v>
      </c>
      <c r="AG230">
        <f t="shared" si="43"/>
        <v>3.8798666666666676E-2</v>
      </c>
      <c r="AH230">
        <f t="shared" si="44"/>
        <v>0.33</v>
      </c>
      <c r="AI230">
        <f>HLOOKUP(HLOOKUP(G230,'THP2'!$B$4:$J$8,5,FALSE),'Fuel &amp; Resister'!$B$3:$G$6,4,FALSE)</f>
        <v>2.7360666666666664</v>
      </c>
      <c r="AJ230" s="41">
        <f>HLOOKUP(HLOOKUP(G230,'THP2'!$B$4:$J$8,5,FALSE),'Fuel &amp; Resister'!$B$3:$G$6,3,FALSE)</f>
        <v>13.019</v>
      </c>
      <c r="AO230" s="1">
        <v>1</v>
      </c>
      <c r="AP230" s="1">
        <v>1</v>
      </c>
    </row>
    <row r="231" spans="2:42" x14ac:dyDescent="0.15">
      <c r="B231" s="43" t="s">
        <v>626</v>
      </c>
      <c r="C231" s="61">
        <f>VLOOKUP(B231,[1]SYS!$F$5:$G$359,2,FALSE)</f>
        <v>73</v>
      </c>
      <c r="D231" s="1" t="s">
        <v>50</v>
      </c>
      <c r="E231" s="65" t="s">
        <v>364</v>
      </c>
      <c r="F231" s="63" t="s">
        <v>365</v>
      </c>
      <c r="G231" s="1">
        <v>3</v>
      </c>
      <c r="H231" s="1">
        <f t="shared" si="36"/>
        <v>0.4</v>
      </c>
      <c r="I231" s="1">
        <f t="shared" si="37"/>
        <v>0.1</v>
      </c>
      <c r="J231" s="1">
        <f t="shared" si="35"/>
        <v>3.0000000000000027E-2</v>
      </c>
      <c r="K231" s="1">
        <f t="shared" si="38"/>
        <v>2.49309</v>
      </c>
      <c r="L231" s="1">
        <f t="shared" si="39"/>
        <v>1.9111099999999999</v>
      </c>
      <c r="M231" s="49">
        <f t="shared" si="34"/>
        <v>0.35183483722129194</v>
      </c>
      <c r="N231" s="49">
        <v>0.33</v>
      </c>
      <c r="O231" s="1">
        <v>613</v>
      </c>
      <c r="P231" s="51">
        <v>0</v>
      </c>
      <c r="Q231" s="51">
        <v>11</v>
      </c>
      <c r="R231" s="51">
        <v>1</v>
      </c>
      <c r="S231" s="1">
        <v>1</v>
      </c>
      <c r="T231" s="1">
        <v>0</v>
      </c>
      <c r="U231" s="47">
        <v>1</v>
      </c>
      <c r="V231" s="47">
        <v>226</v>
      </c>
      <c r="W231" s="41">
        <v>40</v>
      </c>
      <c r="X231">
        <v>100</v>
      </c>
      <c r="Y231">
        <v>0.97</v>
      </c>
      <c r="Z231">
        <v>2493.09</v>
      </c>
      <c r="AA231">
        <v>1911.11</v>
      </c>
      <c r="AB231">
        <v>33</v>
      </c>
      <c r="AC231">
        <v>36</v>
      </c>
      <c r="AD231" s="41">
        <f t="shared" si="40"/>
        <v>0.34495345133950234</v>
      </c>
      <c r="AE231" s="41">
        <f t="shared" si="41"/>
        <v>0.45000026162805912</v>
      </c>
      <c r="AF231">
        <f t="shared" si="42"/>
        <v>1.5231233333333332</v>
      </c>
      <c r="AG231">
        <f t="shared" si="43"/>
        <v>3.8798666666666676E-2</v>
      </c>
      <c r="AH231">
        <f t="shared" si="44"/>
        <v>0.33</v>
      </c>
      <c r="AI231">
        <f>HLOOKUP(HLOOKUP(G231,'THP2'!$B$4:$J$8,5,FALSE),'Fuel &amp; Resister'!$B$3:$G$6,4,FALSE)</f>
        <v>2.7360666666666664</v>
      </c>
      <c r="AJ231" s="41">
        <f>HLOOKUP(HLOOKUP(G231,'THP2'!$B$4:$J$8,5,FALSE),'Fuel &amp; Resister'!$B$3:$G$6,3,FALSE)</f>
        <v>13.019</v>
      </c>
      <c r="AO231" s="1">
        <v>1</v>
      </c>
      <c r="AP231" s="1">
        <v>1</v>
      </c>
    </row>
    <row r="232" spans="2:42" x14ac:dyDescent="0.15">
      <c r="B232" s="43" t="s">
        <v>626</v>
      </c>
      <c r="C232" s="61">
        <f>VLOOKUP(B232,[1]SYS!$F$5:$G$359,2,FALSE)</f>
        <v>73</v>
      </c>
      <c r="D232" s="1" t="s">
        <v>50</v>
      </c>
      <c r="E232" s="42" t="s">
        <v>223</v>
      </c>
      <c r="F232" s="42"/>
      <c r="G232" s="1">
        <v>3</v>
      </c>
      <c r="H232" s="1">
        <f t="shared" si="36"/>
        <v>0.40625</v>
      </c>
      <c r="I232" s="1">
        <f t="shared" si="37"/>
        <v>6.4000000000000001E-2</v>
      </c>
      <c r="J232" s="1">
        <f t="shared" si="35"/>
        <v>0</v>
      </c>
      <c r="K232" s="1">
        <f t="shared" si="38"/>
        <v>2.5701999999999998</v>
      </c>
      <c r="L232" s="1">
        <f t="shared" si="39"/>
        <v>1.9702200000000001</v>
      </c>
      <c r="M232" s="49">
        <f t="shared" si="34"/>
        <v>0.23213886229138331</v>
      </c>
      <c r="N232" s="49">
        <v>0.2112</v>
      </c>
      <c r="O232" s="1">
        <v>913</v>
      </c>
      <c r="P232" s="51">
        <v>0</v>
      </c>
      <c r="Q232" s="51">
        <v>11</v>
      </c>
      <c r="R232" s="51">
        <v>1</v>
      </c>
      <c r="S232" s="1">
        <v>1</v>
      </c>
      <c r="T232" s="1">
        <v>0</v>
      </c>
      <c r="U232" s="47">
        <v>0</v>
      </c>
      <c r="V232" s="47">
        <v>227</v>
      </c>
      <c r="W232" s="41">
        <v>26</v>
      </c>
      <c r="X232">
        <v>64</v>
      </c>
      <c r="Y232">
        <v>1</v>
      </c>
      <c r="Z232">
        <v>2570.1999999999998</v>
      </c>
      <c r="AA232">
        <v>1970.22</v>
      </c>
      <c r="AB232">
        <v>21.12</v>
      </c>
      <c r="AC232">
        <v>36</v>
      </c>
      <c r="AD232" s="41">
        <f t="shared" si="40"/>
        <v>0.3346043109485643</v>
      </c>
      <c r="AE232" s="41">
        <f t="shared" si="41"/>
        <v>0.43649947721574245</v>
      </c>
      <c r="AF232">
        <f t="shared" si="42"/>
        <v>1.559707368421053</v>
      </c>
      <c r="AG232">
        <f t="shared" si="43"/>
        <v>2.6272808421052618E-2</v>
      </c>
      <c r="AH232">
        <f t="shared" si="44"/>
        <v>0.2112</v>
      </c>
      <c r="AI232">
        <f>HLOOKUP(HLOOKUP(G232,'THP2'!$B$4:$J$8,5,FALSE),'Fuel &amp; Resister'!$B$3:$G$6,4,FALSE)</f>
        <v>2.7360666666666664</v>
      </c>
      <c r="AJ232" s="41">
        <f>HLOOKUP(HLOOKUP(G232,'THP2'!$B$4:$J$8,5,FALSE),'Fuel &amp; Resister'!$B$3:$G$6,3,FALSE)</f>
        <v>13.019</v>
      </c>
      <c r="AO232" s="62">
        <v>0</v>
      </c>
      <c r="AP232" s="62">
        <v>0</v>
      </c>
    </row>
    <row r="233" spans="2:42" x14ac:dyDescent="0.15">
      <c r="B233" s="43" t="s">
        <v>592</v>
      </c>
      <c r="C233" s="61">
        <f>VLOOKUP(B233,[1]SYS!$F$5:$G$359,2,FALSE)</f>
        <v>77</v>
      </c>
      <c r="D233" s="1" t="s">
        <v>50</v>
      </c>
      <c r="E233" s="42" t="s">
        <v>224</v>
      </c>
      <c r="F233" s="63" t="s">
        <v>504</v>
      </c>
      <c r="G233" s="1">
        <v>3</v>
      </c>
      <c r="H233" s="1">
        <f t="shared" si="36"/>
        <v>0.2982456140350877</v>
      </c>
      <c r="I233" s="1">
        <f t="shared" si="37"/>
        <v>0.114</v>
      </c>
      <c r="J233" s="1">
        <f t="shared" si="35"/>
        <v>0</v>
      </c>
      <c r="K233" s="1">
        <f t="shared" si="38"/>
        <v>2.59138</v>
      </c>
      <c r="L233" s="1">
        <f t="shared" si="39"/>
        <v>2.1621799999999998</v>
      </c>
      <c r="M233" s="49">
        <f t="shared" si="34"/>
        <v>0.45378470266555637</v>
      </c>
      <c r="N233" s="49">
        <v>0.37619999999999998</v>
      </c>
      <c r="O233" s="6">
        <v>302</v>
      </c>
      <c r="P233" s="51">
        <v>0</v>
      </c>
      <c r="Q233" s="51">
        <v>11</v>
      </c>
      <c r="R233" s="51">
        <v>1</v>
      </c>
      <c r="S233" s="1">
        <v>1</v>
      </c>
      <c r="T233" s="1">
        <v>0</v>
      </c>
      <c r="U233" s="47">
        <v>0</v>
      </c>
      <c r="V233" s="47">
        <v>228</v>
      </c>
      <c r="W233" s="41">
        <v>34</v>
      </c>
      <c r="X233">
        <v>114</v>
      </c>
      <c r="Y233">
        <v>1</v>
      </c>
      <c r="Z233">
        <v>2591.38</v>
      </c>
      <c r="AA233">
        <v>2162.1799999999998</v>
      </c>
      <c r="AB233">
        <v>37.619999999999997</v>
      </c>
      <c r="AC233">
        <v>46</v>
      </c>
      <c r="AD233" s="41">
        <f t="shared" si="40"/>
        <v>0.33186950582315211</v>
      </c>
      <c r="AE233" s="41">
        <f t="shared" si="41"/>
        <v>0.39774671858957167</v>
      </c>
      <c r="AF233">
        <f t="shared" si="42"/>
        <v>1.9797699999999998</v>
      </c>
      <c r="AG233">
        <f t="shared" si="43"/>
        <v>2.0794739999999996E-2</v>
      </c>
      <c r="AH233">
        <f t="shared" si="44"/>
        <v>0.37619999999999998</v>
      </c>
      <c r="AI233">
        <f>HLOOKUP(HLOOKUP(G233,'THP2'!$B$4:$J$8,5,FALSE),'Fuel &amp; Resister'!$B$3:$G$6,4,FALSE)</f>
        <v>2.7360666666666664</v>
      </c>
      <c r="AJ233" s="41">
        <f>HLOOKUP(HLOOKUP(G233,'THP2'!$B$4:$J$8,5,FALSE),'Fuel &amp; Resister'!$B$3:$G$6,3,FALSE)</f>
        <v>13.019</v>
      </c>
      <c r="AO233" s="62">
        <v>0</v>
      </c>
      <c r="AP233" s="62">
        <v>0</v>
      </c>
    </row>
    <row r="234" spans="2:42" x14ac:dyDescent="0.15">
      <c r="B234" s="43" t="s">
        <v>629</v>
      </c>
      <c r="C234" s="61">
        <f>VLOOKUP(B234,[1]SYS!$F$5:$G$359,2,FALSE)</f>
        <v>83</v>
      </c>
      <c r="D234" s="1" t="s">
        <v>50</v>
      </c>
      <c r="E234" s="65" t="s">
        <v>542</v>
      </c>
      <c r="F234" s="63" t="s">
        <v>560</v>
      </c>
      <c r="G234" s="1">
        <v>3</v>
      </c>
      <c r="H234" s="1">
        <f t="shared" si="36"/>
        <v>0.4</v>
      </c>
      <c r="I234" s="1">
        <v>10</v>
      </c>
      <c r="J234" s="1">
        <f t="shared" si="35"/>
        <v>1.8299999999999983E-2</v>
      </c>
      <c r="K234" s="1">
        <f t="shared" si="38"/>
        <v>2.04352</v>
      </c>
      <c r="L234" s="1">
        <f t="shared" si="39"/>
        <v>1.5664800000000001</v>
      </c>
      <c r="M234" s="49">
        <f t="shared" si="34"/>
        <v>28.838854687088105</v>
      </c>
      <c r="N234" s="49">
        <f>AB234/100</f>
        <v>1.6668000000000001</v>
      </c>
      <c r="O234" s="6">
        <v>504</v>
      </c>
      <c r="P234" s="51">
        <v>0.05</v>
      </c>
      <c r="Q234" s="51">
        <v>11</v>
      </c>
      <c r="R234" s="51">
        <v>1</v>
      </c>
      <c r="S234" s="1">
        <v>1</v>
      </c>
      <c r="T234" s="1">
        <v>0</v>
      </c>
      <c r="U234" s="47">
        <v>0</v>
      </c>
      <c r="V234" s="47"/>
      <c r="W234" s="41">
        <v>274</v>
      </c>
      <c r="X234">
        <v>685</v>
      </c>
      <c r="Y234">
        <v>0.98170000000000002</v>
      </c>
      <c r="Z234">
        <v>2043.52</v>
      </c>
      <c r="AA234">
        <v>1566.48</v>
      </c>
      <c r="AB234">
        <v>166.68</v>
      </c>
      <c r="AC234">
        <v>36</v>
      </c>
      <c r="AD234" s="41">
        <f t="shared" si="40"/>
        <v>0.42084246789852808</v>
      </c>
      <c r="AE234" s="41">
        <f t="shared" ref="AE234:AE257" si="45">1/AA234*860</f>
        <v>0.54900158316735603</v>
      </c>
      <c r="AF234">
        <f t="shared" ref="AF234:AF257" si="46">(L234-H234*K234)/(1-H234)</f>
        <v>1.2484533333333334</v>
      </c>
      <c r="AG234">
        <f t="shared" ref="AG234:AG257" si="47">I234*(L234-AF234)</f>
        <v>3.1802666666666668</v>
      </c>
      <c r="AH234">
        <f t="shared" ref="AH234:AH257" si="48">AB234/100</f>
        <v>1.6668000000000001</v>
      </c>
      <c r="AI234">
        <f>HLOOKUP(HLOOKUP(G234,'THP2'!$B$4:$J$8,5,FALSE),'Fuel &amp; Resister'!$B$3:$G$6,4,FALSE)</f>
        <v>2.7360666666666664</v>
      </c>
      <c r="AJ234" s="41">
        <f>HLOOKUP(HLOOKUP(G234,'THP2'!$B$4:$J$8,5,FALSE),'Fuel &amp; Resister'!$B$3:$G$6,3,FALSE)</f>
        <v>13.019</v>
      </c>
      <c r="AO234" s="1">
        <v>1</v>
      </c>
      <c r="AP234" s="62">
        <v>0</v>
      </c>
    </row>
    <row r="235" spans="2:42" x14ac:dyDescent="0.15">
      <c r="B235" s="43" t="s">
        <v>629</v>
      </c>
      <c r="C235" s="61">
        <f>VLOOKUP(B235,[1]SYS!$F$5:$G$359,2,FALSE)</f>
        <v>83</v>
      </c>
      <c r="D235" s="1" t="s">
        <v>50</v>
      </c>
      <c r="E235" s="65" t="s">
        <v>542</v>
      </c>
      <c r="F235" s="63" t="s">
        <v>561</v>
      </c>
      <c r="G235" s="1">
        <v>3</v>
      </c>
      <c r="H235" s="1">
        <f t="shared" si="36"/>
        <v>0.4</v>
      </c>
      <c r="I235" s="1">
        <f t="shared" si="37"/>
        <v>0.68500000000000005</v>
      </c>
      <c r="J235" s="1">
        <f t="shared" si="35"/>
        <v>1.8299999999999983E-2</v>
      </c>
      <c r="K235" s="1">
        <f t="shared" si="38"/>
        <v>2.04352</v>
      </c>
      <c r="L235" s="1">
        <f t="shared" si="39"/>
        <v>1.5664800000000001</v>
      </c>
      <c r="M235" s="49">
        <f t="shared" si="34"/>
        <v>1.9754615460655349</v>
      </c>
      <c r="N235" s="49">
        <f t="shared" ref="N235:N257" si="49">AB235/100</f>
        <v>1.6668000000000001</v>
      </c>
      <c r="O235" s="6">
        <v>609</v>
      </c>
      <c r="P235" s="51">
        <v>0.05</v>
      </c>
      <c r="Q235" s="51">
        <v>11</v>
      </c>
      <c r="R235" s="51">
        <v>1</v>
      </c>
      <c r="S235" s="1">
        <v>1</v>
      </c>
      <c r="T235" s="1">
        <v>0</v>
      </c>
      <c r="U235" s="47">
        <v>0</v>
      </c>
      <c r="V235" s="47"/>
      <c r="W235" s="41">
        <v>274</v>
      </c>
      <c r="X235">
        <v>685</v>
      </c>
      <c r="Y235">
        <v>0.98170000000000002</v>
      </c>
      <c r="Z235">
        <v>2043.52</v>
      </c>
      <c r="AA235">
        <v>1566.48</v>
      </c>
      <c r="AB235">
        <v>166.68</v>
      </c>
      <c r="AC235">
        <v>36</v>
      </c>
      <c r="AD235" s="41">
        <f t="shared" si="40"/>
        <v>0.42084246789852808</v>
      </c>
      <c r="AE235" s="41">
        <f t="shared" si="45"/>
        <v>0.54900158316735603</v>
      </c>
      <c r="AF235">
        <f t="shared" si="46"/>
        <v>1.2484533333333334</v>
      </c>
      <c r="AG235">
        <f t="shared" si="47"/>
        <v>0.21784826666666668</v>
      </c>
      <c r="AH235">
        <f t="shared" si="48"/>
        <v>1.6668000000000001</v>
      </c>
      <c r="AI235">
        <f>HLOOKUP(HLOOKUP(G235,'THP2'!$B$4:$J$8,5,FALSE),'Fuel &amp; Resister'!$B$3:$G$6,4,FALSE)</f>
        <v>2.7360666666666664</v>
      </c>
      <c r="AJ235" s="41">
        <f>HLOOKUP(HLOOKUP(G235,'THP2'!$B$4:$J$8,5,FALSE),'Fuel &amp; Resister'!$B$3:$G$6,3,FALSE)</f>
        <v>13.019</v>
      </c>
      <c r="AO235" s="1">
        <v>1</v>
      </c>
      <c r="AP235" s="62">
        <v>0</v>
      </c>
    </row>
    <row r="236" spans="2:42" x14ac:dyDescent="0.15">
      <c r="B236" s="43" t="s">
        <v>629</v>
      </c>
      <c r="C236" s="61">
        <f>VLOOKUP(B236,[1]SYS!$F$5:$G$359,2,FALSE)</f>
        <v>83</v>
      </c>
      <c r="D236" s="1" t="s">
        <v>50</v>
      </c>
      <c r="E236" s="65" t="s">
        <v>542</v>
      </c>
      <c r="F236" s="63" t="s">
        <v>561</v>
      </c>
      <c r="G236" s="1">
        <v>3</v>
      </c>
      <c r="H236" s="1">
        <f t="shared" si="36"/>
        <v>0.4</v>
      </c>
      <c r="I236" s="1">
        <f t="shared" si="37"/>
        <v>0.68500000000000005</v>
      </c>
      <c r="J236" s="1">
        <f t="shared" si="35"/>
        <v>1.8299999999999983E-2</v>
      </c>
      <c r="K236" s="1">
        <f t="shared" si="38"/>
        <v>2.04352</v>
      </c>
      <c r="L236" s="1">
        <f t="shared" si="39"/>
        <v>1.5664800000000001</v>
      </c>
      <c r="M236" s="49">
        <f t="shared" si="34"/>
        <v>1.9754615460655349</v>
      </c>
      <c r="N236" s="49">
        <f t="shared" si="49"/>
        <v>1.6668000000000001</v>
      </c>
      <c r="O236" s="6">
        <v>403</v>
      </c>
      <c r="P236" s="51">
        <v>0.05</v>
      </c>
      <c r="Q236" s="51">
        <v>11</v>
      </c>
      <c r="R236" s="51">
        <v>1</v>
      </c>
      <c r="S236" s="1">
        <v>1</v>
      </c>
      <c r="T236" s="1">
        <v>0</v>
      </c>
      <c r="U236" s="47">
        <v>0</v>
      </c>
      <c r="V236" s="47"/>
      <c r="W236" s="41">
        <v>274</v>
      </c>
      <c r="X236">
        <v>685</v>
      </c>
      <c r="Y236">
        <v>0.98170000000000002</v>
      </c>
      <c r="Z236">
        <v>2043.52</v>
      </c>
      <c r="AA236">
        <v>1566.48</v>
      </c>
      <c r="AB236">
        <v>166.68</v>
      </c>
      <c r="AC236">
        <v>36</v>
      </c>
      <c r="AD236" s="41">
        <f t="shared" si="40"/>
        <v>0.42084246789852808</v>
      </c>
      <c r="AE236" s="41">
        <f t="shared" si="45"/>
        <v>0.54900158316735603</v>
      </c>
      <c r="AF236">
        <f t="shared" si="46"/>
        <v>1.2484533333333334</v>
      </c>
      <c r="AG236">
        <f t="shared" si="47"/>
        <v>0.21784826666666668</v>
      </c>
      <c r="AH236">
        <f t="shared" si="48"/>
        <v>1.6668000000000001</v>
      </c>
      <c r="AI236">
        <f>HLOOKUP(HLOOKUP(G236,'THP2'!$B$4:$J$8,5,FALSE),'Fuel &amp; Resister'!$B$3:$G$6,4,FALSE)</f>
        <v>2.7360666666666664</v>
      </c>
      <c r="AJ236" s="41">
        <f>HLOOKUP(HLOOKUP(G236,'THP2'!$B$4:$J$8,5,FALSE),'Fuel &amp; Resister'!$B$3:$G$6,3,FALSE)</f>
        <v>13.019</v>
      </c>
      <c r="AO236" s="1">
        <v>1</v>
      </c>
      <c r="AP236" s="62">
        <v>0</v>
      </c>
    </row>
    <row r="237" spans="2:42" x14ac:dyDescent="0.15">
      <c r="B237" s="43" t="s">
        <v>629</v>
      </c>
      <c r="C237" s="61">
        <f>VLOOKUP(B237,[1]SYS!$F$5:$G$359,2,FALSE)</f>
        <v>83</v>
      </c>
      <c r="D237" s="1" t="s">
        <v>50</v>
      </c>
      <c r="E237" s="65" t="s">
        <v>542</v>
      </c>
      <c r="F237" s="63" t="s">
        <v>561</v>
      </c>
      <c r="G237" s="1">
        <v>3</v>
      </c>
      <c r="H237" s="1">
        <f t="shared" si="36"/>
        <v>0.4</v>
      </c>
      <c r="I237" s="1">
        <f t="shared" si="37"/>
        <v>0.68500000000000005</v>
      </c>
      <c r="J237" s="1">
        <f t="shared" si="35"/>
        <v>1.8299999999999983E-2</v>
      </c>
      <c r="K237" s="1">
        <f t="shared" si="38"/>
        <v>2.04352</v>
      </c>
      <c r="L237" s="1">
        <f t="shared" si="39"/>
        <v>1.5664800000000001</v>
      </c>
      <c r="M237" s="49">
        <f t="shared" si="34"/>
        <v>1.9754615460655349</v>
      </c>
      <c r="N237" s="49">
        <f t="shared" si="49"/>
        <v>1.6668000000000001</v>
      </c>
      <c r="O237" s="6">
        <v>509</v>
      </c>
      <c r="P237" s="51">
        <v>0.05</v>
      </c>
      <c r="Q237" s="51">
        <v>11</v>
      </c>
      <c r="R237" s="51">
        <v>1</v>
      </c>
      <c r="S237" s="1">
        <v>1</v>
      </c>
      <c r="T237" s="1">
        <v>0</v>
      </c>
      <c r="U237" s="47">
        <v>0</v>
      </c>
      <c r="V237" s="47"/>
      <c r="W237" s="41">
        <v>274</v>
      </c>
      <c r="X237">
        <v>685</v>
      </c>
      <c r="Y237">
        <v>0.98170000000000002</v>
      </c>
      <c r="Z237">
        <v>2043.52</v>
      </c>
      <c r="AA237">
        <v>1566.48</v>
      </c>
      <c r="AB237">
        <v>166.68</v>
      </c>
      <c r="AC237">
        <v>36</v>
      </c>
      <c r="AD237" s="41">
        <f t="shared" si="40"/>
        <v>0.42084246789852808</v>
      </c>
      <c r="AE237" s="41">
        <f t="shared" si="45"/>
        <v>0.54900158316735603</v>
      </c>
      <c r="AF237">
        <f t="shared" si="46"/>
        <v>1.2484533333333334</v>
      </c>
      <c r="AG237">
        <f t="shared" si="47"/>
        <v>0.21784826666666668</v>
      </c>
      <c r="AH237">
        <f t="shared" si="48"/>
        <v>1.6668000000000001</v>
      </c>
      <c r="AI237">
        <f>HLOOKUP(HLOOKUP(G237,'THP2'!$B$4:$J$8,5,FALSE),'Fuel &amp; Resister'!$B$3:$G$6,4,FALSE)</f>
        <v>2.7360666666666664</v>
      </c>
      <c r="AJ237" s="41">
        <f>HLOOKUP(HLOOKUP(G237,'THP2'!$B$4:$J$8,5,FALSE),'Fuel &amp; Resister'!$B$3:$G$6,3,FALSE)</f>
        <v>13.019</v>
      </c>
      <c r="AO237" s="1">
        <v>1</v>
      </c>
      <c r="AP237" s="62">
        <v>0</v>
      </c>
    </row>
    <row r="238" spans="2:42" x14ac:dyDescent="0.15">
      <c r="B238" s="43" t="s">
        <v>629</v>
      </c>
      <c r="C238" s="61">
        <f>VLOOKUP(B238,[1]SYS!$F$5:$G$359,2,FALSE)</f>
        <v>83</v>
      </c>
      <c r="D238" s="1" t="s">
        <v>50</v>
      </c>
      <c r="E238" s="65" t="s">
        <v>542</v>
      </c>
      <c r="F238" s="63" t="s">
        <v>561</v>
      </c>
      <c r="G238" s="1">
        <v>3</v>
      </c>
      <c r="H238" s="1">
        <f t="shared" si="36"/>
        <v>0.4</v>
      </c>
      <c r="I238" s="1">
        <f t="shared" si="37"/>
        <v>0.68500000000000005</v>
      </c>
      <c r="J238" s="1">
        <f t="shared" si="35"/>
        <v>1.8299999999999983E-2</v>
      </c>
      <c r="K238" s="1">
        <f t="shared" si="38"/>
        <v>2.04352</v>
      </c>
      <c r="L238" s="1">
        <f t="shared" si="39"/>
        <v>1.5664800000000001</v>
      </c>
      <c r="M238" s="49">
        <f t="shared" si="34"/>
        <v>1.9754615460655349</v>
      </c>
      <c r="N238" s="49">
        <f t="shared" si="49"/>
        <v>1.6668000000000001</v>
      </c>
      <c r="O238" s="6">
        <v>504</v>
      </c>
      <c r="P238" s="51">
        <v>0.05</v>
      </c>
      <c r="Q238" s="51">
        <v>11</v>
      </c>
      <c r="R238" s="51">
        <v>1</v>
      </c>
      <c r="S238" s="1">
        <v>1</v>
      </c>
      <c r="T238" s="1">
        <v>0</v>
      </c>
      <c r="U238" s="47">
        <v>0</v>
      </c>
      <c r="V238" s="47"/>
      <c r="W238" s="41">
        <v>274</v>
      </c>
      <c r="X238">
        <v>685</v>
      </c>
      <c r="Y238">
        <v>0.98170000000000002</v>
      </c>
      <c r="Z238">
        <v>2043.52</v>
      </c>
      <c r="AA238">
        <v>1566.48</v>
      </c>
      <c r="AB238">
        <v>166.68</v>
      </c>
      <c r="AC238">
        <v>36</v>
      </c>
      <c r="AD238" s="41">
        <f t="shared" si="40"/>
        <v>0.42084246789852808</v>
      </c>
      <c r="AE238" s="41">
        <f t="shared" si="45"/>
        <v>0.54900158316735603</v>
      </c>
      <c r="AF238">
        <f t="shared" si="46"/>
        <v>1.2484533333333334</v>
      </c>
      <c r="AG238">
        <f t="shared" si="47"/>
        <v>0.21784826666666668</v>
      </c>
      <c r="AH238">
        <f t="shared" si="48"/>
        <v>1.6668000000000001</v>
      </c>
      <c r="AI238">
        <f>HLOOKUP(HLOOKUP(G238,'THP2'!$B$4:$J$8,5,FALSE),'Fuel &amp; Resister'!$B$3:$G$6,4,FALSE)</f>
        <v>2.7360666666666664</v>
      </c>
      <c r="AJ238" s="41">
        <f>HLOOKUP(HLOOKUP(G238,'THP2'!$B$4:$J$8,5,FALSE),'Fuel &amp; Resister'!$B$3:$G$6,3,FALSE)</f>
        <v>13.019</v>
      </c>
      <c r="AO238" s="1">
        <v>1</v>
      </c>
      <c r="AP238" s="62">
        <v>0</v>
      </c>
    </row>
    <row r="239" spans="2:42" x14ac:dyDescent="0.15">
      <c r="B239" s="43" t="s">
        <v>629</v>
      </c>
      <c r="C239" s="61">
        <f>VLOOKUP(B239,[1]SYS!$F$5:$G$359,2,FALSE)</f>
        <v>83</v>
      </c>
      <c r="D239" s="1" t="s">
        <v>50</v>
      </c>
      <c r="E239" s="65" t="s">
        <v>542</v>
      </c>
      <c r="F239" s="63" t="s">
        <v>561</v>
      </c>
      <c r="G239" s="1">
        <v>3</v>
      </c>
      <c r="H239" s="1">
        <f t="shared" si="36"/>
        <v>0.4</v>
      </c>
      <c r="I239" s="1">
        <f t="shared" si="37"/>
        <v>0.68500000000000005</v>
      </c>
      <c r="J239" s="1">
        <f t="shared" si="35"/>
        <v>1.8299999999999983E-2</v>
      </c>
      <c r="K239" s="1">
        <f t="shared" si="38"/>
        <v>2.04352</v>
      </c>
      <c r="L239" s="1">
        <f t="shared" si="39"/>
        <v>1.5664800000000001</v>
      </c>
      <c r="M239" s="49">
        <f t="shared" si="34"/>
        <v>1.9754615460655349</v>
      </c>
      <c r="N239" s="49">
        <f t="shared" si="49"/>
        <v>1.6668000000000001</v>
      </c>
      <c r="O239" s="6">
        <v>609</v>
      </c>
      <c r="P239" s="51">
        <v>0.05</v>
      </c>
      <c r="Q239" s="51">
        <v>11</v>
      </c>
      <c r="R239" s="51">
        <v>1</v>
      </c>
      <c r="S239" s="1">
        <v>1</v>
      </c>
      <c r="T239" s="1">
        <v>0</v>
      </c>
      <c r="U239" s="47">
        <v>0</v>
      </c>
      <c r="V239" s="47"/>
      <c r="W239" s="41">
        <v>274</v>
      </c>
      <c r="X239">
        <v>685</v>
      </c>
      <c r="Y239">
        <v>0.98170000000000002</v>
      </c>
      <c r="Z239">
        <v>2043.52</v>
      </c>
      <c r="AA239">
        <v>1566.48</v>
      </c>
      <c r="AB239">
        <v>166.68</v>
      </c>
      <c r="AC239">
        <v>36</v>
      </c>
      <c r="AD239" s="41">
        <f t="shared" si="40"/>
        <v>0.42084246789852808</v>
      </c>
      <c r="AE239" s="41">
        <f t="shared" si="45"/>
        <v>0.54900158316735603</v>
      </c>
      <c r="AF239">
        <f t="shared" si="46"/>
        <v>1.2484533333333334</v>
      </c>
      <c r="AG239">
        <f t="shared" si="47"/>
        <v>0.21784826666666668</v>
      </c>
      <c r="AH239">
        <f t="shared" si="48"/>
        <v>1.6668000000000001</v>
      </c>
      <c r="AI239">
        <f>HLOOKUP(HLOOKUP(G239,'THP2'!$B$4:$J$8,5,FALSE),'Fuel &amp; Resister'!$B$3:$G$6,4,FALSE)</f>
        <v>2.7360666666666664</v>
      </c>
      <c r="AJ239" s="41">
        <f>HLOOKUP(HLOOKUP(G239,'THP2'!$B$4:$J$8,5,FALSE),'Fuel &amp; Resister'!$B$3:$G$6,3,FALSE)</f>
        <v>13.019</v>
      </c>
      <c r="AO239" s="1">
        <v>1</v>
      </c>
      <c r="AP239" s="62">
        <v>0</v>
      </c>
    </row>
    <row r="240" spans="2:42" x14ac:dyDescent="0.15">
      <c r="B240" s="43" t="s">
        <v>629</v>
      </c>
      <c r="C240" s="61">
        <f>VLOOKUP(B240,[1]SYS!$F$5:$G$359,2,FALSE)</f>
        <v>83</v>
      </c>
      <c r="D240" s="1" t="s">
        <v>50</v>
      </c>
      <c r="E240" s="65" t="s">
        <v>542</v>
      </c>
      <c r="F240" s="63" t="s">
        <v>561</v>
      </c>
      <c r="G240" s="1">
        <v>3</v>
      </c>
      <c r="H240" s="1">
        <f t="shared" si="36"/>
        <v>0.4</v>
      </c>
      <c r="I240" s="1">
        <f t="shared" si="37"/>
        <v>0.68500000000000005</v>
      </c>
      <c r="J240" s="1">
        <f t="shared" si="35"/>
        <v>1.8299999999999983E-2</v>
      </c>
      <c r="K240" s="1">
        <f t="shared" si="38"/>
        <v>2.04352</v>
      </c>
      <c r="L240" s="1">
        <f t="shared" si="39"/>
        <v>1.5664800000000001</v>
      </c>
      <c r="M240" s="49">
        <f t="shared" si="34"/>
        <v>1.9754615460655349</v>
      </c>
      <c r="N240" s="49">
        <f t="shared" si="49"/>
        <v>1.6668000000000001</v>
      </c>
      <c r="O240" s="6">
        <v>403</v>
      </c>
      <c r="P240" s="51">
        <v>0.05</v>
      </c>
      <c r="Q240" s="51">
        <v>11</v>
      </c>
      <c r="R240" s="51">
        <v>1</v>
      </c>
      <c r="S240" s="1">
        <v>1</v>
      </c>
      <c r="T240" s="1">
        <v>0</v>
      </c>
      <c r="U240" s="47">
        <v>0</v>
      </c>
      <c r="V240" s="47"/>
      <c r="W240" s="41">
        <v>274</v>
      </c>
      <c r="X240">
        <v>685</v>
      </c>
      <c r="Y240">
        <v>0.98170000000000002</v>
      </c>
      <c r="Z240">
        <v>2043.52</v>
      </c>
      <c r="AA240">
        <v>1566.48</v>
      </c>
      <c r="AB240">
        <v>166.68</v>
      </c>
      <c r="AC240">
        <v>36</v>
      </c>
      <c r="AD240" s="41">
        <f t="shared" si="40"/>
        <v>0.42084246789852808</v>
      </c>
      <c r="AE240" s="41">
        <f t="shared" si="45"/>
        <v>0.54900158316735603</v>
      </c>
      <c r="AF240">
        <f t="shared" si="46"/>
        <v>1.2484533333333334</v>
      </c>
      <c r="AG240">
        <f t="shared" si="47"/>
        <v>0.21784826666666668</v>
      </c>
      <c r="AH240">
        <f t="shared" si="48"/>
        <v>1.6668000000000001</v>
      </c>
      <c r="AI240">
        <f>HLOOKUP(HLOOKUP(G240,'THP2'!$B$4:$J$8,5,FALSE),'Fuel &amp; Resister'!$B$3:$G$6,4,FALSE)</f>
        <v>2.7360666666666664</v>
      </c>
      <c r="AJ240" s="41">
        <f>HLOOKUP(HLOOKUP(G240,'THP2'!$B$4:$J$8,5,FALSE),'Fuel &amp; Resister'!$B$3:$G$6,3,FALSE)</f>
        <v>13.019</v>
      </c>
      <c r="AO240" s="1">
        <v>1</v>
      </c>
      <c r="AP240" s="62">
        <v>0</v>
      </c>
    </row>
    <row r="241" spans="2:42" x14ac:dyDescent="0.15">
      <c r="B241" s="43" t="s">
        <v>629</v>
      </c>
      <c r="C241" s="61">
        <f>VLOOKUP(B241,[1]SYS!$F$5:$G$359,2,FALSE)</f>
        <v>83</v>
      </c>
      <c r="D241" s="1" t="s">
        <v>50</v>
      </c>
      <c r="E241" s="65" t="s">
        <v>542</v>
      </c>
      <c r="F241" s="63" t="s">
        <v>561</v>
      </c>
      <c r="G241" s="1">
        <v>3</v>
      </c>
      <c r="H241" s="1">
        <f t="shared" si="36"/>
        <v>0.4</v>
      </c>
      <c r="I241" s="1">
        <f t="shared" si="37"/>
        <v>0.68500000000000005</v>
      </c>
      <c r="J241" s="1">
        <f t="shared" si="35"/>
        <v>1.8299999999999983E-2</v>
      </c>
      <c r="K241" s="1">
        <f t="shared" si="38"/>
        <v>2.04352</v>
      </c>
      <c r="L241" s="1">
        <f t="shared" si="39"/>
        <v>1.5664800000000001</v>
      </c>
      <c r="M241" s="49">
        <f t="shared" si="34"/>
        <v>1.9754615460655349</v>
      </c>
      <c r="N241" s="49">
        <f t="shared" si="49"/>
        <v>1.6668000000000001</v>
      </c>
      <c r="O241" s="6">
        <v>509</v>
      </c>
      <c r="P241" s="51">
        <v>0.05</v>
      </c>
      <c r="Q241" s="51">
        <v>11</v>
      </c>
      <c r="R241" s="51">
        <v>1</v>
      </c>
      <c r="S241" s="1">
        <v>1</v>
      </c>
      <c r="T241" s="1">
        <v>0</v>
      </c>
      <c r="U241" s="47">
        <v>0</v>
      </c>
      <c r="V241" s="47"/>
      <c r="W241" s="41">
        <v>274</v>
      </c>
      <c r="X241">
        <v>685</v>
      </c>
      <c r="Y241">
        <v>0.98170000000000002</v>
      </c>
      <c r="Z241">
        <v>2043.52</v>
      </c>
      <c r="AA241">
        <v>1566.48</v>
      </c>
      <c r="AB241">
        <v>166.68</v>
      </c>
      <c r="AC241">
        <v>36</v>
      </c>
      <c r="AD241" s="41">
        <f t="shared" si="40"/>
        <v>0.42084246789852808</v>
      </c>
      <c r="AE241" s="41">
        <f t="shared" si="45"/>
        <v>0.54900158316735603</v>
      </c>
      <c r="AF241">
        <f t="shared" si="46"/>
        <v>1.2484533333333334</v>
      </c>
      <c r="AG241">
        <f t="shared" si="47"/>
        <v>0.21784826666666668</v>
      </c>
      <c r="AH241">
        <f t="shared" si="48"/>
        <v>1.6668000000000001</v>
      </c>
      <c r="AI241">
        <f>HLOOKUP(HLOOKUP(G241,'THP2'!$B$4:$J$8,5,FALSE),'Fuel &amp; Resister'!$B$3:$G$6,4,FALSE)</f>
        <v>2.7360666666666664</v>
      </c>
      <c r="AJ241" s="41">
        <f>HLOOKUP(HLOOKUP(G241,'THP2'!$B$4:$J$8,5,FALSE),'Fuel &amp; Resister'!$B$3:$G$6,3,FALSE)</f>
        <v>13.019</v>
      </c>
      <c r="AO241" s="1">
        <v>1</v>
      </c>
      <c r="AP241" s="62">
        <v>0</v>
      </c>
    </row>
    <row r="242" spans="2:42" x14ac:dyDescent="0.15">
      <c r="B242" s="43" t="s">
        <v>629</v>
      </c>
      <c r="C242" s="61">
        <f>VLOOKUP(B242,[1]SYS!$F$5:$G$359,2,FALSE)</f>
        <v>83</v>
      </c>
      <c r="D242" s="1" t="s">
        <v>50</v>
      </c>
      <c r="E242" s="65" t="s">
        <v>542</v>
      </c>
      <c r="F242" s="63" t="s">
        <v>561</v>
      </c>
      <c r="G242" s="1">
        <v>3</v>
      </c>
      <c r="H242" s="1">
        <f t="shared" si="36"/>
        <v>0.4</v>
      </c>
      <c r="I242" s="1">
        <f t="shared" si="37"/>
        <v>0.68500000000000005</v>
      </c>
      <c r="J242" s="1">
        <f t="shared" si="35"/>
        <v>1.8299999999999983E-2</v>
      </c>
      <c r="K242" s="1">
        <f t="shared" si="38"/>
        <v>2.04352</v>
      </c>
      <c r="L242" s="1">
        <f t="shared" si="39"/>
        <v>1.5664800000000001</v>
      </c>
      <c r="M242" s="49">
        <f t="shared" si="34"/>
        <v>1.9754615460655349</v>
      </c>
      <c r="N242" s="49">
        <f t="shared" si="49"/>
        <v>1.6668000000000001</v>
      </c>
      <c r="O242" s="6">
        <v>504</v>
      </c>
      <c r="P242" s="51">
        <v>0.05</v>
      </c>
      <c r="Q242" s="51">
        <v>11</v>
      </c>
      <c r="R242" s="51">
        <v>1</v>
      </c>
      <c r="S242" s="1">
        <v>1</v>
      </c>
      <c r="T242" s="1">
        <v>0</v>
      </c>
      <c r="U242" s="47">
        <v>0</v>
      </c>
      <c r="V242" s="47"/>
      <c r="W242" s="41">
        <v>274</v>
      </c>
      <c r="X242">
        <v>685</v>
      </c>
      <c r="Y242">
        <v>0.98170000000000002</v>
      </c>
      <c r="Z242">
        <v>2043.52</v>
      </c>
      <c r="AA242">
        <v>1566.48</v>
      </c>
      <c r="AB242">
        <v>166.68</v>
      </c>
      <c r="AC242">
        <v>36</v>
      </c>
      <c r="AD242" s="41">
        <f t="shared" si="40"/>
        <v>0.42084246789852808</v>
      </c>
      <c r="AE242" s="41">
        <f t="shared" si="45"/>
        <v>0.54900158316735603</v>
      </c>
      <c r="AF242">
        <f t="shared" si="46"/>
        <v>1.2484533333333334</v>
      </c>
      <c r="AG242">
        <f t="shared" si="47"/>
        <v>0.21784826666666668</v>
      </c>
      <c r="AH242">
        <f t="shared" si="48"/>
        <v>1.6668000000000001</v>
      </c>
      <c r="AI242">
        <f>HLOOKUP(HLOOKUP(G242,'THP2'!$B$4:$J$8,5,FALSE),'Fuel &amp; Resister'!$B$3:$G$6,4,FALSE)</f>
        <v>2.7360666666666664</v>
      </c>
      <c r="AJ242" s="41">
        <f>HLOOKUP(HLOOKUP(G242,'THP2'!$B$4:$J$8,5,FALSE),'Fuel &amp; Resister'!$B$3:$G$6,3,FALSE)</f>
        <v>13.019</v>
      </c>
      <c r="AO242" s="1">
        <v>1</v>
      </c>
      <c r="AP242" s="62">
        <v>0</v>
      </c>
    </row>
    <row r="243" spans="2:42" x14ac:dyDescent="0.15">
      <c r="B243" s="43" t="s">
        <v>629</v>
      </c>
      <c r="C243" s="61">
        <f>VLOOKUP(B243,[1]SYS!$F$5:$G$359,2,FALSE)</f>
        <v>83</v>
      </c>
      <c r="D243" s="1" t="s">
        <v>50</v>
      </c>
      <c r="E243" s="65" t="s">
        <v>542</v>
      </c>
      <c r="F243" s="63" t="s">
        <v>561</v>
      </c>
      <c r="G243" s="1">
        <v>3</v>
      </c>
      <c r="H243" s="1">
        <f t="shared" si="36"/>
        <v>0.4</v>
      </c>
      <c r="I243" s="1">
        <f t="shared" si="37"/>
        <v>0.68500000000000005</v>
      </c>
      <c r="J243" s="1">
        <f t="shared" si="35"/>
        <v>1.8299999999999983E-2</v>
      </c>
      <c r="K243" s="1">
        <f t="shared" si="38"/>
        <v>2.04352</v>
      </c>
      <c r="L243" s="1">
        <f t="shared" si="39"/>
        <v>1.5664800000000001</v>
      </c>
      <c r="M243" s="49">
        <f t="shared" si="34"/>
        <v>1.9754615460655349</v>
      </c>
      <c r="N243" s="49">
        <f t="shared" si="49"/>
        <v>1.6668000000000001</v>
      </c>
      <c r="O243" s="6">
        <v>609</v>
      </c>
      <c r="P243" s="51">
        <v>0.05</v>
      </c>
      <c r="Q243" s="51">
        <v>11</v>
      </c>
      <c r="R243" s="51">
        <v>1</v>
      </c>
      <c r="S243" s="1">
        <v>1</v>
      </c>
      <c r="T243" s="1">
        <v>0</v>
      </c>
      <c r="U243" s="47">
        <v>0</v>
      </c>
      <c r="V243" s="47"/>
      <c r="W243" s="41">
        <v>274</v>
      </c>
      <c r="X243">
        <v>685</v>
      </c>
      <c r="Y243">
        <v>0.98170000000000002</v>
      </c>
      <c r="Z243">
        <v>2043.52</v>
      </c>
      <c r="AA243">
        <v>1566.48</v>
      </c>
      <c r="AB243">
        <v>166.68</v>
      </c>
      <c r="AC243">
        <v>36</v>
      </c>
      <c r="AD243" s="41">
        <f t="shared" si="40"/>
        <v>0.42084246789852808</v>
      </c>
      <c r="AE243" s="41">
        <f t="shared" si="45"/>
        <v>0.54900158316735603</v>
      </c>
      <c r="AF243">
        <f t="shared" si="46"/>
        <v>1.2484533333333334</v>
      </c>
      <c r="AG243">
        <f t="shared" si="47"/>
        <v>0.21784826666666668</v>
      </c>
      <c r="AH243">
        <f t="shared" si="48"/>
        <v>1.6668000000000001</v>
      </c>
      <c r="AI243">
        <f>HLOOKUP(HLOOKUP(G243,'THP2'!$B$4:$J$8,5,FALSE),'Fuel &amp; Resister'!$B$3:$G$6,4,FALSE)</f>
        <v>2.7360666666666664</v>
      </c>
      <c r="AJ243" s="41">
        <f>HLOOKUP(HLOOKUP(G243,'THP2'!$B$4:$J$8,5,FALSE),'Fuel &amp; Resister'!$B$3:$G$6,3,FALSE)</f>
        <v>13.019</v>
      </c>
      <c r="AO243" s="1">
        <v>1</v>
      </c>
      <c r="AP243" s="62">
        <v>0</v>
      </c>
    </row>
    <row r="244" spans="2:42" x14ac:dyDescent="0.15">
      <c r="B244" s="43" t="s">
        <v>629</v>
      </c>
      <c r="C244" s="61">
        <f>VLOOKUP(B244,[1]SYS!$F$5:$G$359,2,FALSE)</f>
        <v>83</v>
      </c>
      <c r="D244" s="1" t="s">
        <v>50</v>
      </c>
      <c r="E244" s="65" t="s">
        <v>542</v>
      </c>
      <c r="F244" s="63" t="s">
        <v>561</v>
      </c>
      <c r="G244" s="1">
        <v>3</v>
      </c>
      <c r="H244" s="1">
        <f t="shared" si="36"/>
        <v>0.4</v>
      </c>
      <c r="I244" s="1">
        <f t="shared" si="37"/>
        <v>0.68500000000000005</v>
      </c>
      <c r="J244" s="1">
        <f t="shared" si="35"/>
        <v>1.8299999999999983E-2</v>
      </c>
      <c r="K244" s="1">
        <f t="shared" si="38"/>
        <v>2.04352</v>
      </c>
      <c r="L244" s="1">
        <f t="shared" si="39"/>
        <v>1.5664800000000001</v>
      </c>
      <c r="M244" s="49">
        <f t="shared" si="34"/>
        <v>1.9754615460655349</v>
      </c>
      <c r="N244" s="49">
        <f t="shared" si="49"/>
        <v>1.6668000000000001</v>
      </c>
      <c r="O244" s="6">
        <v>403</v>
      </c>
      <c r="P244" s="51">
        <v>0.05</v>
      </c>
      <c r="Q244" s="51">
        <v>11</v>
      </c>
      <c r="R244" s="51">
        <v>1</v>
      </c>
      <c r="S244" s="1">
        <v>1</v>
      </c>
      <c r="T244" s="1">
        <v>0</v>
      </c>
      <c r="U244" s="47">
        <v>0</v>
      </c>
      <c r="V244" s="47"/>
      <c r="W244" s="41">
        <v>274</v>
      </c>
      <c r="X244">
        <v>685</v>
      </c>
      <c r="Y244">
        <v>0.98170000000000002</v>
      </c>
      <c r="Z244">
        <v>2043.52</v>
      </c>
      <c r="AA244">
        <v>1566.48</v>
      </c>
      <c r="AB244">
        <v>166.68</v>
      </c>
      <c r="AC244">
        <v>36</v>
      </c>
      <c r="AD244" s="41">
        <f t="shared" si="40"/>
        <v>0.42084246789852808</v>
      </c>
      <c r="AE244" s="41">
        <f t="shared" si="45"/>
        <v>0.54900158316735603</v>
      </c>
      <c r="AF244">
        <f t="shared" si="46"/>
        <v>1.2484533333333334</v>
      </c>
      <c r="AG244">
        <f t="shared" si="47"/>
        <v>0.21784826666666668</v>
      </c>
      <c r="AH244">
        <f t="shared" si="48"/>
        <v>1.6668000000000001</v>
      </c>
      <c r="AI244">
        <f>HLOOKUP(HLOOKUP(G244,'THP2'!$B$4:$J$8,5,FALSE),'Fuel &amp; Resister'!$B$3:$G$6,4,FALSE)</f>
        <v>2.7360666666666664</v>
      </c>
      <c r="AJ244" s="41">
        <f>HLOOKUP(HLOOKUP(G244,'THP2'!$B$4:$J$8,5,FALSE),'Fuel &amp; Resister'!$B$3:$G$6,3,FALSE)</f>
        <v>13.019</v>
      </c>
      <c r="AO244" s="1">
        <v>1</v>
      </c>
      <c r="AP244" s="62">
        <v>0</v>
      </c>
    </row>
    <row r="245" spans="2:42" x14ac:dyDescent="0.15">
      <c r="B245" s="43" t="s">
        <v>629</v>
      </c>
      <c r="C245" s="61">
        <f>VLOOKUP(B245,[1]SYS!$F$5:$G$359,2,FALSE)</f>
        <v>83</v>
      </c>
      <c r="D245" s="1" t="s">
        <v>50</v>
      </c>
      <c r="E245" s="65" t="s">
        <v>542</v>
      </c>
      <c r="F245" s="63" t="s">
        <v>561</v>
      </c>
      <c r="G245" s="1">
        <v>3</v>
      </c>
      <c r="H245" s="1">
        <f t="shared" si="36"/>
        <v>0.4</v>
      </c>
      <c r="I245" s="1">
        <f t="shared" si="37"/>
        <v>0.68500000000000005</v>
      </c>
      <c r="J245" s="1">
        <f t="shared" si="35"/>
        <v>1.8299999999999983E-2</v>
      </c>
      <c r="K245" s="1">
        <f t="shared" si="38"/>
        <v>2.04352</v>
      </c>
      <c r="L245" s="1">
        <f t="shared" si="39"/>
        <v>1.5664800000000001</v>
      </c>
      <c r="M245" s="49">
        <f t="shared" si="34"/>
        <v>1.9754615460655349</v>
      </c>
      <c r="N245" s="49">
        <f t="shared" si="49"/>
        <v>1.6668000000000001</v>
      </c>
      <c r="O245" s="6">
        <v>509</v>
      </c>
      <c r="P245" s="51">
        <v>0.05</v>
      </c>
      <c r="Q245" s="51">
        <v>11</v>
      </c>
      <c r="R245" s="51">
        <v>1</v>
      </c>
      <c r="S245" s="1">
        <v>1</v>
      </c>
      <c r="T245" s="1">
        <v>0</v>
      </c>
      <c r="U245" s="47">
        <v>0</v>
      </c>
      <c r="V245" s="47"/>
      <c r="W245" s="41">
        <v>274</v>
      </c>
      <c r="X245">
        <v>685</v>
      </c>
      <c r="Y245">
        <v>0.98170000000000002</v>
      </c>
      <c r="Z245">
        <v>2043.52</v>
      </c>
      <c r="AA245">
        <v>1566.48</v>
      </c>
      <c r="AB245">
        <v>166.68</v>
      </c>
      <c r="AC245">
        <v>36</v>
      </c>
      <c r="AD245" s="41">
        <f t="shared" si="40"/>
        <v>0.42084246789852808</v>
      </c>
      <c r="AE245" s="41">
        <f t="shared" si="45"/>
        <v>0.54900158316735603</v>
      </c>
      <c r="AF245">
        <f t="shared" si="46"/>
        <v>1.2484533333333334</v>
      </c>
      <c r="AG245">
        <f t="shared" si="47"/>
        <v>0.21784826666666668</v>
      </c>
      <c r="AH245">
        <f t="shared" si="48"/>
        <v>1.6668000000000001</v>
      </c>
      <c r="AI245">
        <f>HLOOKUP(HLOOKUP(G245,'THP2'!$B$4:$J$8,5,FALSE),'Fuel &amp; Resister'!$B$3:$G$6,4,FALSE)</f>
        <v>2.7360666666666664</v>
      </c>
      <c r="AJ245" s="41">
        <f>HLOOKUP(HLOOKUP(G245,'THP2'!$B$4:$J$8,5,FALSE),'Fuel &amp; Resister'!$B$3:$G$6,3,FALSE)</f>
        <v>13.019</v>
      </c>
      <c r="AO245" s="1">
        <v>1</v>
      </c>
      <c r="AP245" s="62">
        <v>0</v>
      </c>
    </row>
    <row r="246" spans="2:42" x14ac:dyDescent="0.15">
      <c r="B246" s="43" t="s">
        <v>629</v>
      </c>
      <c r="C246" s="61">
        <f>VLOOKUP(B246,[1]SYS!$F$5:$G$359,2,FALSE)</f>
        <v>83</v>
      </c>
      <c r="D246" s="1" t="s">
        <v>50</v>
      </c>
      <c r="E246" s="65" t="s">
        <v>542</v>
      </c>
      <c r="F246" s="63" t="s">
        <v>561</v>
      </c>
      <c r="G246" s="1">
        <v>3</v>
      </c>
      <c r="H246" s="1">
        <f t="shared" si="36"/>
        <v>0.4</v>
      </c>
      <c r="I246" s="1">
        <f t="shared" si="37"/>
        <v>0.68500000000000005</v>
      </c>
      <c r="J246" s="1">
        <f t="shared" si="35"/>
        <v>1.8299999999999983E-2</v>
      </c>
      <c r="K246" s="1">
        <f t="shared" si="38"/>
        <v>2.04352</v>
      </c>
      <c r="L246" s="1">
        <f t="shared" si="39"/>
        <v>1.5664800000000001</v>
      </c>
      <c r="M246" s="49">
        <f t="shared" si="34"/>
        <v>1.9754615460655349</v>
      </c>
      <c r="N246" s="49">
        <f t="shared" si="49"/>
        <v>1.6668000000000001</v>
      </c>
      <c r="O246" s="6">
        <v>504</v>
      </c>
      <c r="P246" s="51">
        <v>0.05</v>
      </c>
      <c r="Q246" s="51">
        <v>11</v>
      </c>
      <c r="R246" s="51">
        <v>1</v>
      </c>
      <c r="S246" s="1">
        <v>1</v>
      </c>
      <c r="T246" s="1">
        <v>0</v>
      </c>
      <c r="U246" s="47">
        <v>0</v>
      </c>
      <c r="V246" s="47"/>
      <c r="W246" s="41">
        <v>274</v>
      </c>
      <c r="X246">
        <v>685</v>
      </c>
      <c r="Y246">
        <v>0.98170000000000002</v>
      </c>
      <c r="Z246">
        <v>2043.52</v>
      </c>
      <c r="AA246">
        <v>1566.48</v>
      </c>
      <c r="AB246">
        <v>166.68</v>
      </c>
      <c r="AC246">
        <v>36</v>
      </c>
      <c r="AD246" s="41">
        <f t="shared" si="40"/>
        <v>0.42084246789852808</v>
      </c>
      <c r="AE246" s="41">
        <f t="shared" si="45"/>
        <v>0.54900158316735603</v>
      </c>
      <c r="AF246">
        <f t="shared" si="46"/>
        <v>1.2484533333333334</v>
      </c>
      <c r="AG246">
        <f t="shared" si="47"/>
        <v>0.21784826666666668</v>
      </c>
      <c r="AH246">
        <f t="shared" si="48"/>
        <v>1.6668000000000001</v>
      </c>
      <c r="AI246">
        <f>HLOOKUP(HLOOKUP(G246,'THP2'!$B$4:$J$8,5,FALSE),'Fuel &amp; Resister'!$B$3:$G$6,4,FALSE)</f>
        <v>2.7360666666666664</v>
      </c>
      <c r="AJ246" s="41">
        <f>HLOOKUP(HLOOKUP(G246,'THP2'!$B$4:$J$8,5,FALSE),'Fuel &amp; Resister'!$B$3:$G$6,3,FALSE)</f>
        <v>13.019</v>
      </c>
      <c r="AO246" s="1">
        <v>1</v>
      </c>
      <c r="AP246" s="62">
        <v>0</v>
      </c>
    </row>
    <row r="247" spans="2:42" x14ac:dyDescent="0.15">
      <c r="B247" s="43" t="s">
        <v>629</v>
      </c>
      <c r="C247" s="61">
        <f>VLOOKUP(B247,[1]SYS!$F$5:$G$359,2,FALSE)</f>
        <v>83</v>
      </c>
      <c r="D247" s="1" t="s">
        <v>50</v>
      </c>
      <c r="E247" s="65" t="s">
        <v>542</v>
      </c>
      <c r="F247" s="63" t="s">
        <v>543</v>
      </c>
      <c r="G247" s="1">
        <v>3</v>
      </c>
      <c r="H247" s="1">
        <f t="shared" si="36"/>
        <v>0.4</v>
      </c>
      <c r="I247" s="1">
        <f t="shared" si="37"/>
        <v>0.68500000000000005</v>
      </c>
      <c r="J247" s="1">
        <f t="shared" si="35"/>
        <v>1.8299999999999983E-2</v>
      </c>
      <c r="K247" s="1">
        <f t="shared" si="38"/>
        <v>2.04352</v>
      </c>
      <c r="L247" s="1">
        <f t="shared" si="39"/>
        <v>1.5664800000000001</v>
      </c>
      <c r="M247" s="49">
        <f t="shared" si="34"/>
        <v>1.9754615460655349</v>
      </c>
      <c r="N247" s="49">
        <f t="shared" si="49"/>
        <v>1.6668000000000001</v>
      </c>
      <c r="O247" s="6">
        <v>609</v>
      </c>
      <c r="P247" s="51">
        <v>0.05</v>
      </c>
      <c r="Q247" s="51">
        <v>11</v>
      </c>
      <c r="R247" s="51">
        <v>1</v>
      </c>
      <c r="S247" s="1">
        <v>1</v>
      </c>
      <c r="T247" s="1">
        <v>0</v>
      </c>
      <c r="U247" s="47">
        <v>0</v>
      </c>
      <c r="V247" s="47"/>
      <c r="W247" s="41">
        <v>274</v>
      </c>
      <c r="X247">
        <v>685</v>
      </c>
      <c r="Y247">
        <v>0.98170000000000002</v>
      </c>
      <c r="Z247">
        <v>2043.52</v>
      </c>
      <c r="AA247">
        <v>1566.48</v>
      </c>
      <c r="AB247">
        <v>166.68</v>
      </c>
      <c r="AC247">
        <v>36</v>
      </c>
      <c r="AD247" s="41">
        <f t="shared" si="40"/>
        <v>0.42084246789852808</v>
      </c>
      <c r="AE247" s="41">
        <f t="shared" si="45"/>
        <v>0.54900158316735603</v>
      </c>
      <c r="AF247">
        <f t="shared" si="46"/>
        <v>1.2484533333333334</v>
      </c>
      <c r="AG247">
        <f t="shared" si="47"/>
        <v>0.21784826666666668</v>
      </c>
      <c r="AH247">
        <f t="shared" si="48"/>
        <v>1.6668000000000001</v>
      </c>
      <c r="AI247">
        <f>HLOOKUP(HLOOKUP(G247,'THP2'!$B$4:$J$8,5,FALSE),'Fuel &amp; Resister'!$B$3:$G$6,4,FALSE)</f>
        <v>2.7360666666666664</v>
      </c>
      <c r="AJ247" s="41">
        <f>HLOOKUP(HLOOKUP(G247,'THP2'!$B$4:$J$8,5,FALSE),'Fuel &amp; Resister'!$B$3:$G$6,3,FALSE)</f>
        <v>13.019</v>
      </c>
      <c r="AO247" s="1">
        <v>1</v>
      </c>
      <c r="AP247" s="62">
        <v>0</v>
      </c>
    </row>
    <row r="248" spans="2:42" x14ac:dyDescent="0.15">
      <c r="B248" s="43" t="s">
        <v>629</v>
      </c>
      <c r="C248" s="61">
        <f>VLOOKUP(B248,[1]SYS!$F$5:$G$359,2,FALSE)</f>
        <v>83</v>
      </c>
      <c r="D248" s="1" t="s">
        <v>50</v>
      </c>
      <c r="E248" s="65" t="s">
        <v>542</v>
      </c>
      <c r="F248" s="63" t="s">
        <v>543</v>
      </c>
      <c r="G248" s="1">
        <v>3</v>
      </c>
      <c r="H248" s="1">
        <f t="shared" si="36"/>
        <v>0.4</v>
      </c>
      <c r="I248" s="1">
        <f t="shared" si="37"/>
        <v>0.68500000000000005</v>
      </c>
      <c r="J248" s="1">
        <f t="shared" si="35"/>
        <v>1.8299999999999983E-2</v>
      </c>
      <c r="K248" s="1">
        <f t="shared" si="38"/>
        <v>2.04352</v>
      </c>
      <c r="L248" s="1">
        <f t="shared" si="39"/>
        <v>1.5664800000000001</v>
      </c>
      <c r="M248" s="49">
        <f t="shared" si="34"/>
        <v>1.9754615460655349</v>
      </c>
      <c r="N248" s="49">
        <f t="shared" si="49"/>
        <v>1.6668000000000001</v>
      </c>
      <c r="O248" s="6">
        <v>403</v>
      </c>
      <c r="P248" s="51">
        <v>0.05</v>
      </c>
      <c r="Q248" s="51">
        <v>11</v>
      </c>
      <c r="R248" s="51">
        <v>1</v>
      </c>
      <c r="S248" s="1">
        <v>1</v>
      </c>
      <c r="T248" s="1">
        <v>0</v>
      </c>
      <c r="U248" s="47">
        <v>0</v>
      </c>
      <c r="V248" s="47"/>
      <c r="W248" s="41">
        <v>274</v>
      </c>
      <c r="X248">
        <v>685</v>
      </c>
      <c r="Y248">
        <v>0.98170000000000002</v>
      </c>
      <c r="Z248">
        <v>2043.52</v>
      </c>
      <c r="AA248">
        <v>1566.48</v>
      </c>
      <c r="AB248">
        <v>166.68</v>
      </c>
      <c r="AC248">
        <v>36</v>
      </c>
      <c r="AD248" s="41">
        <f t="shared" si="40"/>
        <v>0.42084246789852808</v>
      </c>
      <c r="AE248" s="41">
        <f t="shared" si="45"/>
        <v>0.54900158316735603</v>
      </c>
      <c r="AF248">
        <f t="shared" si="46"/>
        <v>1.2484533333333334</v>
      </c>
      <c r="AG248">
        <f t="shared" si="47"/>
        <v>0.21784826666666668</v>
      </c>
      <c r="AH248">
        <f t="shared" si="48"/>
        <v>1.6668000000000001</v>
      </c>
      <c r="AI248">
        <f>HLOOKUP(HLOOKUP(G248,'THP2'!$B$4:$J$8,5,FALSE),'Fuel &amp; Resister'!$B$3:$G$6,4,FALSE)</f>
        <v>2.7360666666666664</v>
      </c>
      <c r="AJ248" s="41">
        <f>HLOOKUP(HLOOKUP(G248,'THP2'!$B$4:$J$8,5,FALSE),'Fuel &amp; Resister'!$B$3:$G$6,3,FALSE)</f>
        <v>13.019</v>
      </c>
      <c r="AO248" s="1">
        <v>1</v>
      </c>
      <c r="AP248" s="62">
        <v>0</v>
      </c>
    </row>
    <row r="249" spans="2:42" x14ac:dyDescent="0.15">
      <c r="B249" s="43" t="s">
        <v>629</v>
      </c>
      <c r="C249" s="61">
        <f>VLOOKUP(B249,[1]SYS!$F$5:$G$359,2,FALSE)</f>
        <v>83</v>
      </c>
      <c r="D249" s="1" t="s">
        <v>50</v>
      </c>
      <c r="E249" s="65" t="s">
        <v>542</v>
      </c>
      <c r="F249" s="63" t="s">
        <v>543</v>
      </c>
      <c r="G249" s="1">
        <v>3</v>
      </c>
      <c r="H249" s="1">
        <f t="shared" si="36"/>
        <v>0.4</v>
      </c>
      <c r="I249" s="1">
        <f t="shared" si="37"/>
        <v>0.68500000000000005</v>
      </c>
      <c r="J249" s="1">
        <f t="shared" si="35"/>
        <v>1.8299999999999983E-2</v>
      </c>
      <c r="K249" s="1">
        <f t="shared" si="38"/>
        <v>2.04352</v>
      </c>
      <c r="L249" s="1">
        <f t="shared" si="39"/>
        <v>1.5664800000000001</v>
      </c>
      <c r="M249" s="49">
        <f t="shared" si="34"/>
        <v>1.9754615460655349</v>
      </c>
      <c r="N249" s="49">
        <f t="shared" si="49"/>
        <v>1.6668000000000001</v>
      </c>
      <c r="O249" s="6">
        <v>509</v>
      </c>
      <c r="P249" s="51">
        <v>0.05</v>
      </c>
      <c r="Q249" s="51">
        <v>11</v>
      </c>
      <c r="R249" s="51">
        <v>1</v>
      </c>
      <c r="S249" s="1">
        <v>1</v>
      </c>
      <c r="T249" s="1">
        <v>0</v>
      </c>
      <c r="U249" s="47">
        <v>0</v>
      </c>
      <c r="V249" s="47"/>
      <c r="W249" s="41">
        <v>274</v>
      </c>
      <c r="X249">
        <v>685</v>
      </c>
      <c r="Y249">
        <v>0.98170000000000002</v>
      </c>
      <c r="Z249">
        <v>2043.52</v>
      </c>
      <c r="AA249">
        <v>1566.48</v>
      </c>
      <c r="AB249">
        <v>166.68</v>
      </c>
      <c r="AC249">
        <v>36</v>
      </c>
      <c r="AD249" s="41">
        <f t="shared" si="40"/>
        <v>0.42084246789852808</v>
      </c>
      <c r="AE249" s="41">
        <f t="shared" si="45"/>
        <v>0.54900158316735603</v>
      </c>
      <c r="AF249">
        <f t="shared" si="46"/>
        <v>1.2484533333333334</v>
      </c>
      <c r="AG249">
        <f t="shared" si="47"/>
        <v>0.21784826666666668</v>
      </c>
      <c r="AH249">
        <f t="shared" si="48"/>
        <v>1.6668000000000001</v>
      </c>
      <c r="AI249">
        <f>HLOOKUP(HLOOKUP(G249,'THP2'!$B$4:$J$8,5,FALSE),'Fuel &amp; Resister'!$B$3:$G$6,4,FALSE)</f>
        <v>2.7360666666666664</v>
      </c>
      <c r="AJ249" s="41">
        <f>HLOOKUP(HLOOKUP(G249,'THP2'!$B$4:$J$8,5,FALSE),'Fuel &amp; Resister'!$B$3:$G$6,3,FALSE)</f>
        <v>13.019</v>
      </c>
      <c r="AO249" s="1">
        <v>1</v>
      </c>
      <c r="AP249" s="62">
        <v>0</v>
      </c>
    </row>
    <row r="250" spans="2:42" x14ac:dyDescent="0.15">
      <c r="B250" s="43" t="s">
        <v>629</v>
      </c>
      <c r="C250" s="61">
        <f>VLOOKUP(B250,[1]SYS!$F$5:$G$359,2,FALSE)</f>
        <v>83</v>
      </c>
      <c r="D250" s="1" t="s">
        <v>50</v>
      </c>
      <c r="E250" s="65" t="s">
        <v>542</v>
      </c>
      <c r="F250" s="63" t="s">
        <v>543</v>
      </c>
      <c r="G250" s="1">
        <v>3</v>
      </c>
      <c r="H250" s="1">
        <f t="shared" si="36"/>
        <v>0.4</v>
      </c>
      <c r="I250" s="1">
        <f t="shared" si="37"/>
        <v>0.68500000000000005</v>
      </c>
      <c r="J250" s="1">
        <f t="shared" si="35"/>
        <v>1.8299999999999983E-2</v>
      </c>
      <c r="K250" s="1">
        <f t="shared" si="38"/>
        <v>2.04352</v>
      </c>
      <c r="L250" s="1">
        <f t="shared" si="39"/>
        <v>1.5664800000000001</v>
      </c>
      <c r="M250" s="49">
        <f t="shared" si="34"/>
        <v>1.9754615460655349</v>
      </c>
      <c r="N250" s="49">
        <f t="shared" si="49"/>
        <v>1.6668000000000001</v>
      </c>
      <c r="O250" s="6">
        <v>504</v>
      </c>
      <c r="P250" s="51">
        <v>0.05</v>
      </c>
      <c r="Q250" s="51">
        <v>11</v>
      </c>
      <c r="R250" s="51">
        <v>1</v>
      </c>
      <c r="S250" s="1">
        <v>1</v>
      </c>
      <c r="T250" s="1">
        <v>0</v>
      </c>
      <c r="U250" s="47">
        <v>0</v>
      </c>
      <c r="V250" s="47"/>
      <c r="W250" s="41">
        <v>274</v>
      </c>
      <c r="X250">
        <v>685</v>
      </c>
      <c r="Y250">
        <v>0.98170000000000002</v>
      </c>
      <c r="Z250">
        <v>2043.52</v>
      </c>
      <c r="AA250">
        <v>1566.48</v>
      </c>
      <c r="AB250">
        <v>166.68</v>
      </c>
      <c r="AC250">
        <v>36</v>
      </c>
      <c r="AD250" s="41">
        <f t="shared" si="40"/>
        <v>0.42084246789852808</v>
      </c>
      <c r="AE250" s="41">
        <f t="shared" si="45"/>
        <v>0.54900158316735603</v>
      </c>
      <c r="AF250">
        <f t="shared" si="46"/>
        <v>1.2484533333333334</v>
      </c>
      <c r="AG250">
        <f t="shared" si="47"/>
        <v>0.21784826666666668</v>
      </c>
      <c r="AH250">
        <f t="shared" si="48"/>
        <v>1.6668000000000001</v>
      </c>
      <c r="AI250">
        <f>HLOOKUP(HLOOKUP(G250,'THP2'!$B$4:$J$8,5,FALSE),'Fuel &amp; Resister'!$B$3:$G$6,4,FALSE)</f>
        <v>2.7360666666666664</v>
      </c>
      <c r="AJ250" s="41">
        <f>HLOOKUP(HLOOKUP(G250,'THP2'!$B$4:$J$8,5,FALSE),'Fuel &amp; Resister'!$B$3:$G$6,3,FALSE)</f>
        <v>13.019</v>
      </c>
      <c r="AO250" s="1">
        <v>1</v>
      </c>
      <c r="AP250" s="62">
        <v>0</v>
      </c>
    </row>
    <row r="251" spans="2:42" x14ac:dyDescent="0.15">
      <c r="B251" s="43" t="s">
        <v>629</v>
      </c>
      <c r="C251" s="61">
        <f>VLOOKUP(B251,[1]SYS!$F$5:$G$359,2,FALSE)</f>
        <v>83</v>
      </c>
      <c r="D251" s="1" t="s">
        <v>50</v>
      </c>
      <c r="E251" s="65" t="s">
        <v>542</v>
      </c>
      <c r="F251" s="63" t="s">
        <v>543</v>
      </c>
      <c r="G251" s="1">
        <v>3</v>
      </c>
      <c r="H251" s="1">
        <f t="shared" si="36"/>
        <v>0.4</v>
      </c>
      <c r="I251" s="1">
        <f t="shared" si="37"/>
        <v>0.68500000000000005</v>
      </c>
      <c r="J251" s="1">
        <f t="shared" si="35"/>
        <v>1.8299999999999983E-2</v>
      </c>
      <c r="K251" s="1">
        <f t="shared" si="38"/>
        <v>2.04352</v>
      </c>
      <c r="L251" s="1">
        <f t="shared" si="39"/>
        <v>1.5664800000000001</v>
      </c>
      <c r="M251" s="49">
        <f t="shared" si="34"/>
        <v>1.9754615460655349</v>
      </c>
      <c r="N251" s="49">
        <f t="shared" si="49"/>
        <v>1.6668000000000001</v>
      </c>
      <c r="O251" s="6">
        <v>609</v>
      </c>
      <c r="P251" s="51">
        <v>0.05</v>
      </c>
      <c r="Q251" s="51">
        <v>11</v>
      </c>
      <c r="R251" s="51">
        <v>1</v>
      </c>
      <c r="S251" s="1">
        <v>1</v>
      </c>
      <c r="T251" s="1">
        <v>0</v>
      </c>
      <c r="U251" s="47">
        <v>0</v>
      </c>
      <c r="V251" s="47"/>
      <c r="W251" s="41">
        <v>274</v>
      </c>
      <c r="X251">
        <v>685</v>
      </c>
      <c r="Y251">
        <v>0.98170000000000002</v>
      </c>
      <c r="Z251">
        <v>2043.52</v>
      </c>
      <c r="AA251">
        <v>1566.48</v>
      </c>
      <c r="AB251">
        <v>166.68</v>
      </c>
      <c r="AC251">
        <v>36</v>
      </c>
      <c r="AD251" s="41">
        <f t="shared" si="40"/>
        <v>0.42084246789852808</v>
      </c>
      <c r="AE251" s="41">
        <f t="shared" si="45"/>
        <v>0.54900158316735603</v>
      </c>
      <c r="AF251">
        <f t="shared" si="46"/>
        <v>1.2484533333333334</v>
      </c>
      <c r="AG251">
        <f t="shared" si="47"/>
        <v>0.21784826666666668</v>
      </c>
      <c r="AH251">
        <f t="shared" si="48"/>
        <v>1.6668000000000001</v>
      </c>
      <c r="AI251">
        <f>HLOOKUP(HLOOKUP(G251,'THP2'!$B$4:$J$8,5,FALSE),'Fuel &amp; Resister'!$B$3:$G$6,4,FALSE)</f>
        <v>2.7360666666666664</v>
      </c>
      <c r="AJ251" s="41">
        <f>HLOOKUP(HLOOKUP(G251,'THP2'!$B$4:$J$8,5,FALSE),'Fuel &amp; Resister'!$B$3:$G$6,3,FALSE)</f>
        <v>13.019</v>
      </c>
      <c r="AO251" s="1">
        <v>1</v>
      </c>
      <c r="AP251" s="62">
        <v>0</v>
      </c>
    </row>
    <row r="252" spans="2:42" x14ac:dyDescent="0.15">
      <c r="B252" s="43" t="s">
        <v>629</v>
      </c>
      <c r="C252" s="61">
        <f>VLOOKUP(B252,[1]SYS!$F$5:$G$359,2,FALSE)</f>
        <v>83</v>
      </c>
      <c r="D252" s="1" t="s">
        <v>50</v>
      </c>
      <c r="E252" s="65" t="s">
        <v>542</v>
      </c>
      <c r="F252" s="63" t="s">
        <v>543</v>
      </c>
      <c r="G252" s="1">
        <v>3</v>
      </c>
      <c r="H252" s="1">
        <f t="shared" si="36"/>
        <v>0.4</v>
      </c>
      <c r="I252" s="1">
        <f t="shared" si="37"/>
        <v>0.68500000000000005</v>
      </c>
      <c r="J252" s="1">
        <f t="shared" si="35"/>
        <v>1.8299999999999983E-2</v>
      </c>
      <c r="K252" s="1">
        <f t="shared" si="38"/>
        <v>2.04352</v>
      </c>
      <c r="L252" s="1">
        <f t="shared" si="39"/>
        <v>1.5664800000000001</v>
      </c>
      <c r="M252" s="49">
        <f t="shared" si="34"/>
        <v>1.9754615460655349</v>
      </c>
      <c r="N252" s="49">
        <f t="shared" si="49"/>
        <v>1.6668000000000001</v>
      </c>
      <c r="O252" s="6">
        <v>403</v>
      </c>
      <c r="P252" s="51">
        <v>0.05</v>
      </c>
      <c r="Q252" s="51">
        <v>11</v>
      </c>
      <c r="R252" s="51">
        <v>1</v>
      </c>
      <c r="S252" s="1">
        <v>1</v>
      </c>
      <c r="T252" s="1">
        <v>0</v>
      </c>
      <c r="U252" s="47">
        <v>0</v>
      </c>
      <c r="V252" s="47"/>
      <c r="W252" s="41">
        <v>274</v>
      </c>
      <c r="X252">
        <v>685</v>
      </c>
      <c r="Y252">
        <v>0.98170000000000002</v>
      </c>
      <c r="Z252">
        <v>2043.52</v>
      </c>
      <c r="AA252">
        <v>1566.48</v>
      </c>
      <c r="AB252">
        <v>166.68</v>
      </c>
      <c r="AC252">
        <v>36</v>
      </c>
      <c r="AD252" s="41">
        <f t="shared" si="40"/>
        <v>0.42084246789852808</v>
      </c>
      <c r="AE252" s="41">
        <f t="shared" si="45"/>
        <v>0.54900158316735603</v>
      </c>
      <c r="AF252">
        <f t="shared" si="46"/>
        <v>1.2484533333333334</v>
      </c>
      <c r="AG252">
        <f t="shared" si="47"/>
        <v>0.21784826666666668</v>
      </c>
      <c r="AH252">
        <f t="shared" si="48"/>
        <v>1.6668000000000001</v>
      </c>
      <c r="AI252">
        <f>HLOOKUP(HLOOKUP(G252,'THP2'!$B$4:$J$8,5,FALSE),'Fuel &amp; Resister'!$B$3:$G$6,4,FALSE)</f>
        <v>2.7360666666666664</v>
      </c>
      <c r="AJ252" s="41">
        <f>HLOOKUP(HLOOKUP(G252,'THP2'!$B$4:$J$8,5,FALSE),'Fuel &amp; Resister'!$B$3:$G$6,3,FALSE)</f>
        <v>13.019</v>
      </c>
      <c r="AO252" s="1">
        <v>1</v>
      </c>
      <c r="AP252" s="62">
        <v>0</v>
      </c>
    </row>
    <row r="253" spans="2:42" x14ac:dyDescent="0.15">
      <c r="B253" s="43" t="s">
        <v>629</v>
      </c>
      <c r="C253" s="61">
        <f>VLOOKUP(B253,[1]SYS!$F$5:$G$359,2,FALSE)</f>
        <v>83</v>
      </c>
      <c r="D253" s="1" t="s">
        <v>50</v>
      </c>
      <c r="E253" s="65" t="s">
        <v>542</v>
      </c>
      <c r="F253" s="63" t="s">
        <v>543</v>
      </c>
      <c r="G253" s="1">
        <v>3</v>
      </c>
      <c r="H253" s="1">
        <f t="shared" si="36"/>
        <v>0.4</v>
      </c>
      <c r="I253" s="1">
        <f t="shared" si="37"/>
        <v>0.68500000000000005</v>
      </c>
      <c r="J253" s="1">
        <f t="shared" si="35"/>
        <v>1.8299999999999983E-2</v>
      </c>
      <c r="K253" s="1">
        <f t="shared" si="38"/>
        <v>2.04352</v>
      </c>
      <c r="L253" s="1">
        <f t="shared" si="39"/>
        <v>1.5664800000000001</v>
      </c>
      <c r="M253" s="49">
        <f t="shared" si="34"/>
        <v>1.9754615460655349</v>
      </c>
      <c r="N253" s="49">
        <f t="shared" si="49"/>
        <v>1.6668000000000001</v>
      </c>
      <c r="O253" s="6">
        <v>509</v>
      </c>
      <c r="P253" s="51">
        <v>0.05</v>
      </c>
      <c r="Q253" s="51">
        <v>11</v>
      </c>
      <c r="R253" s="51">
        <v>1</v>
      </c>
      <c r="S253" s="1">
        <v>1</v>
      </c>
      <c r="T253" s="1">
        <v>0</v>
      </c>
      <c r="U253" s="47">
        <v>0</v>
      </c>
      <c r="V253" s="47"/>
      <c r="W253" s="41">
        <v>274</v>
      </c>
      <c r="X253">
        <v>685</v>
      </c>
      <c r="Y253">
        <v>0.98170000000000002</v>
      </c>
      <c r="Z253">
        <v>2043.52</v>
      </c>
      <c r="AA253">
        <v>1566.48</v>
      </c>
      <c r="AB253">
        <v>166.68</v>
      </c>
      <c r="AC253">
        <v>36</v>
      </c>
      <c r="AD253" s="41">
        <f t="shared" si="40"/>
        <v>0.42084246789852808</v>
      </c>
      <c r="AE253" s="41">
        <f t="shared" si="45"/>
        <v>0.54900158316735603</v>
      </c>
      <c r="AF253">
        <f t="shared" si="46"/>
        <v>1.2484533333333334</v>
      </c>
      <c r="AG253">
        <f t="shared" si="47"/>
        <v>0.21784826666666668</v>
      </c>
      <c r="AH253">
        <f t="shared" si="48"/>
        <v>1.6668000000000001</v>
      </c>
      <c r="AI253">
        <f>HLOOKUP(HLOOKUP(G253,'THP2'!$B$4:$J$8,5,FALSE),'Fuel &amp; Resister'!$B$3:$G$6,4,FALSE)</f>
        <v>2.7360666666666664</v>
      </c>
      <c r="AJ253" s="41">
        <f>HLOOKUP(HLOOKUP(G253,'THP2'!$B$4:$J$8,5,FALSE),'Fuel &amp; Resister'!$B$3:$G$6,3,FALSE)</f>
        <v>13.019</v>
      </c>
      <c r="AO253" s="1">
        <v>1</v>
      </c>
      <c r="AP253" s="62">
        <v>0</v>
      </c>
    </row>
    <row r="254" spans="2:42" x14ac:dyDescent="0.15">
      <c r="B254" s="43" t="s">
        <v>629</v>
      </c>
      <c r="C254" s="61">
        <f>VLOOKUP(B254,[1]SYS!$F$5:$G$359,2,FALSE)</f>
        <v>83</v>
      </c>
      <c r="D254" s="1" t="s">
        <v>50</v>
      </c>
      <c r="E254" s="65" t="s">
        <v>542</v>
      </c>
      <c r="F254" s="63" t="s">
        <v>543</v>
      </c>
      <c r="G254" s="1">
        <v>3</v>
      </c>
      <c r="H254" s="1">
        <f t="shared" si="36"/>
        <v>0.4</v>
      </c>
      <c r="I254" s="1">
        <f t="shared" si="37"/>
        <v>0.68500000000000005</v>
      </c>
      <c r="J254" s="1">
        <f t="shared" si="35"/>
        <v>1.8299999999999983E-2</v>
      </c>
      <c r="K254" s="1">
        <f t="shared" si="38"/>
        <v>2.04352</v>
      </c>
      <c r="L254" s="1">
        <f t="shared" si="39"/>
        <v>1.5664800000000001</v>
      </c>
      <c r="M254" s="49">
        <f t="shared" si="34"/>
        <v>1.9754615460655349</v>
      </c>
      <c r="N254" s="49">
        <f t="shared" si="49"/>
        <v>1.6668000000000001</v>
      </c>
      <c r="O254" s="6">
        <v>504</v>
      </c>
      <c r="P254" s="51">
        <v>0.05</v>
      </c>
      <c r="Q254" s="51">
        <v>11</v>
      </c>
      <c r="R254" s="51">
        <v>1</v>
      </c>
      <c r="S254" s="1">
        <v>1</v>
      </c>
      <c r="T254" s="1">
        <v>0</v>
      </c>
      <c r="U254" s="47">
        <v>0</v>
      </c>
      <c r="V254" s="47"/>
      <c r="W254" s="41">
        <v>274</v>
      </c>
      <c r="X254">
        <v>685</v>
      </c>
      <c r="Y254">
        <v>0.98170000000000002</v>
      </c>
      <c r="Z254">
        <v>2043.52</v>
      </c>
      <c r="AA254">
        <v>1566.48</v>
      </c>
      <c r="AB254">
        <v>166.68</v>
      </c>
      <c r="AC254">
        <v>36</v>
      </c>
      <c r="AD254" s="41">
        <f t="shared" si="40"/>
        <v>0.42084246789852808</v>
      </c>
      <c r="AE254" s="41">
        <f t="shared" si="45"/>
        <v>0.54900158316735603</v>
      </c>
      <c r="AF254">
        <f t="shared" si="46"/>
        <v>1.2484533333333334</v>
      </c>
      <c r="AG254">
        <f t="shared" si="47"/>
        <v>0.21784826666666668</v>
      </c>
      <c r="AH254">
        <f t="shared" si="48"/>
        <v>1.6668000000000001</v>
      </c>
      <c r="AI254">
        <f>HLOOKUP(HLOOKUP(G254,'THP2'!$B$4:$J$8,5,FALSE),'Fuel &amp; Resister'!$B$3:$G$6,4,FALSE)</f>
        <v>2.7360666666666664</v>
      </c>
      <c r="AJ254" s="41">
        <f>HLOOKUP(HLOOKUP(G254,'THP2'!$B$4:$J$8,5,FALSE),'Fuel &amp; Resister'!$B$3:$G$6,3,FALSE)</f>
        <v>13.019</v>
      </c>
      <c r="AO254" s="1">
        <v>1</v>
      </c>
      <c r="AP254" s="62">
        <v>0</v>
      </c>
    </row>
    <row r="255" spans="2:42" x14ac:dyDescent="0.15">
      <c r="B255" s="43" t="s">
        <v>629</v>
      </c>
      <c r="C255" s="61">
        <f>VLOOKUP(B255,[1]SYS!$F$5:$G$359,2,FALSE)</f>
        <v>83</v>
      </c>
      <c r="D255" s="1" t="s">
        <v>50</v>
      </c>
      <c r="E255" s="65" t="s">
        <v>542</v>
      </c>
      <c r="F255" s="63" t="s">
        <v>543</v>
      </c>
      <c r="G255" s="1">
        <v>3</v>
      </c>
      <c r="H255" s="1">
        <f t="shared" si="36"/>
        <v>0.4</v>
      </c>
      <c r="I255" s="1">
        <f t="shared" si="37"/>
        <v>0.68500000000000005</v>
      </c>
      <c r="J255" s="1">
        <f t="shared" si="35"/>
        <v>1.8299999999999983E-2</v>
      </c>
      <c r="K255" s="1">
        <f t="shared" si="38"/>
        <v>2.04352</v>
      </c>
      <c r="L255" s="1">
        <f t="shared" si="39"/>
        <v>1.5664800000000001</v>
      </c>
      <c r="M255" s="49">
        <f t="shared" si="34"/>
        <v>1.9754615460655349</v>
      </c>
      <c r="N255" s="49">
        <f t="shared" si="49"/>
        <v>1.6668000000000001</v>
      </c>
      <c r="O255" s="6">
        <v>609</v>
      </c>
      <c r="P255" s="51">
        <v>0.05</v>
      </c>
      <c r="Q255" s="51">
        <v>11</v>
      </c>
      <c r="R255" s="51">
        <v>1</v>
      </c>
      <c r="S255" s="1">
        <v>1</v>
      </c>
      <c r="T255" s="1">
        <v>0</v>
      </c>
      <c r="U255" s="47">
        <v>0</v>
      </c>
      <c r="V255" s="47"/>
      <c r="W255" s="41">
        <v>274</v>
      </c>
      <c r="X255">
        <v>685</v>
      </c>
      <c r="Y255">
        <v>0.98170000000000002</v>
      </c>
      <c r="Z255">
        <v>2043.52</v>
      </c>
      <c r="AA255">
        <v>1566.48</v>
      </c>
      <c r="AB255">
        <v>166.68</v>
      </c>
      <c r="AC255">
        <v>36</v>
      </c>
      <c r="AD255" s="41">
        <f t="shared" si="40"/>
        <v>0.42084246789852808</v>
      </c>
      <c r="AE255" s="41">
        <f t="shared" si="45"/>
        <v>0.54900158316735603</v>
      </c>
      <c r="AF255">
        <f t="shared" si="46"/>
        <v>1.2484533333333334</v>
      </c>
      <c r="AG255">
        <f t="shared" si="47"/>
        <v>0.21784826666666668</v>
      </c>
      <c r="AH255">
        <f t="shared" si="48"/>
        <v>1.6668000000000001</v>
      </c>
      <c r="AI255">
        <f>HLOOKUP(HLOOKUP(G255,'THP2'!$B$4:$J$8,5,FALSE),'Fuel &amp; Resister'!$B$3:$G$6,4,FALSE)</f>
        <v>2.7360666666666664</v>
      </c>
      <c r="AJ255" s="41">
        <f>HLOOKUP(HLOOKUP(G255,'THP2'!$B$4:$J$8,5,FALSE),'Fuel &amp; Resister'!$B$3:$G$6,3,FALSE)</f>
        <v>13.019</v>
      </c>
      <c r="AO255" s="1">
        <v>1</v>
      </c>
      <c r="AP255" s="62">
        <v>0</v>
      </c>
    </row>
    <row r="256" spans="2:42" x14ac:dyDescent="0.15">
      <c r="B256" s="43" t="s">
        <v>629</v>
      </c>
      <c r="C256" s="61">
        <f>VLOOKUP(B256,[1]SYS!$F$5:$G$359,2,FALSE)</f>
        <v>83</v>
      </c>
      <c r="D256" s="1" t="s">
        <v>50</v>
      </c>
      <c r="E256" s="65" t="s">
        <v>542</v>
      </c>
      <c r="F256" s="63" t="s">
        <v>543</v>
      </c>
      <c r="G256" s="1">
        <v>3</v>
      </c>
      <c r="H256" s="1">
        <f t="shared" si="36"/>
        <v>0.4</v>
      </c>
      <c r="I256" s="1">
        <f t="shared" si="37"/>
        <v>0.68500000000000005</v>
      </c>
      <c r="J256" s="1">
        <f t="shared" si="35"/>
        <v>1.8299999999999983E-2</v>
      </c>
      <c r="K256" s="1">
        <f t="shared" si="38"/>
        <v>2.04352</v>
      </c>
      <c r="L256" s="1">
        <f t="shared" si="39"/>
        <v>1.5664800000000001</v>
      </c>
      <c r="M256" s="49">
        <f t="shared" si="34"/>
        <v>1.9754615460655349</v>
      </c>
      <c r="N256" s="49">
        <f t="shared" si="49"/>
        <v>1.6668000000000001</v>
      </c>
      <c r="O256" s="6">
        <v>704</v>
      </c>
      <c r="P256" s="51">
        <v>0.05</v>
      </c>
      <c r="Q256" s="51">
        <v>11</v>
      </c>
      <c r="R256" s="51">
        <v>1</v>
      </c>
      <c r="S256" s="1">
        <v>1</v>
      </c>
      <c r="T256" s="1">
        <v>0</v>
      </c>
      <c r="U256" s="47">
        <v>0</v>
      </c>
      <c r="V256" s="47"/>
      <c r="W256" s="41">
        <v>274</v>
      </c>
      <c r="X256">
        <v>685</v>
      </c>
      <c r="Y256">
        <v>0.98170000000000002</v>
      </c>
      <c r="Z256">
        <v>2043.52</v>
      </c>
      <c r="AA256">
        <v>1566.48</v>
      </c>
      <c r="AB256">
        <v>166.68</v>
      </c>
      <c r="AC256">
        <v>36</v>
      </c>
      <c r="AD256" s="41">
        <f t="shared" si="40"/>
        <v>0.42084246789852808</v>
      </c>
      <c r="AE256" s="41">
        <f t="shared" si="45"/>
        <v>0.54900158316735603</v>
      </c>
      <c r="AF256">
        <f t="shared" si="46"/>
        <v>1.2484533333333334</v>
      </c>
      <c r="AG256">
        <f t="shared" si="47"/>
        <v>0.21784826666666668</v>
      </c>
      <c r="AH256">
        <f t="shared" si="48"/>
        <v>1.6668000000000001</v>
      </c>
      <c r="AI256">
        <f>HLOOKUP(HLOOKUP(G256,'THP2'!$B$4:$J$8,5,FALSE),'Fuel &amp; Resister'!$B$3:$G$6,4,FALSE)</f>
        <v>2.7360666666666664</v>
      </c>
      <c r="AJ256" s="41">
        <f>HLOOKUP(HLOOKUP(G256,'THP2'!$B$4:$J$8,5,FALSE),'Fuel &amp; Resister'!$B$3:$G$6,3,FALSE)</f>
        <v>13.019</v>
      </c>
      <c r="AO256" s="1">
        <v>1</v>
      </c>
      <c r="AP256" s="62">
        <v>0</v>
      </c>
    </row>
    <row r="257" spans="2:42" x14ac:dyDescent="0.15">
      <c r="B257" s="43" t="s">
        <v>629</v>
      </c>
      <c r="C257" s="61">
        <f>VLOOKUP(B257,[1]SYS!$F$5:$G$359,2,FALSE)</f>
        <v>83</v>
      </c>
      <c r="D257" s="1" t="s">
        <v>50</v>
      </c>
      <c r="E257" s="65" t="s">
        <v>542</v>
      </c>
      <c r="F257" s="63" t="s">
        <v>543</v>
      </c>
      <c r="G257" s="1">
        <v>3</v>
      </c>
      <c r="H257" s="1">
        <f t="shared" si="36"/>
        <v>0.4</v>
      </c>
      <c r="I257" s="1">
        <f t="shared" si="37"/>
        <v>0.68500000000000005</v>
      </c>
      <c r="J257" s="1">
        <f t="shared" si="35"/>
        <v>1.8299999999999983E-2</v>
      </c>
      <c r="K257" s="1">
        <f t="shared" si="38"/>
        <v>2.04352</v>
      </c>
      <c r="L257" s="1">
        <f t="shared" si="39"/>
        <v>1.5664800000000001</v>
      </c>
      <c r="M257" s="49">
        <f t="shared" si="34"/>
        <v>1.9754615460655349</v>
      </c>
      <c r="N257" s="49">
        <f t="shared" si="49"/>
        <v>1.6668000000000001</v>
      </c>
      <c r="O257" s="6">
        <v>809</v>
      </c>
      <c r="P257" s="51">
        <v>0.05</v>
      </c>
      <c r="Q257" s="51">
        <v>11</v>
      </c>
      <c r="R257" s="51">
        <v>1</v>
      </c>
      <c r="S257" s="1">
        <v>1</v>
      </c>
      <c r="T257" s="1">
        <v>0</v>
      </c>
      <c r="U257" s="47">
        <v>0</v>
      </c>
      <c r="V257" s="47"/>
      <c r="W257" s="41">
        <v>274</v>
      </c>
      <c r="X257">
        <v>685</v>
      </c>
      <c r="Y257">
        <v>0.98170000000000002</v>
      </c>
      <c r="Z257">
        <v>2043.52</v>
      </c>
      <c r="AA257">
        <v>1566.48</v>
      </c>
      <c r="AB257">
        <v>166.68</v>
      </c>
      <c r="AC257">
        <v>36</v>
      </c>
      <c r="AD257" s="41">
        <f t="shared" si="40"/>
        <v>0.42084246789852808</v>
      </c>
      <c r="AE257" s="41">
        <f t="shared" si="45"/>
        <v>0.54900158316735603</v>
      </c>
      <c r="AF257">
        <f t="shared" si="46"/>
        <v>1.2484533333333334</v>
      </c>
      <c r="AG257">
        <f t="shared" si="47"/>
        <v>0.21784826666666668</v>
      </c>
      <c r="AH257">
        <f t="shared" si="48"/>
        <v>1.6668000000000001</v>
      </c>
      <c r="AI257">
        <f>HLOOKUP(HLOOKUP(G257,'THP2'!$B$4:$J$8,5,FALSE),'Fuel &amp; Resister'!$B$3:$G$6,4,FALSE)</f>
        <v>2.7360666666666664</v>
      </c>
      <c r="AJ257" s="41">
        <f>HLOOKUP(HLOOKUP(G257,'THP2'!$B$4:$J$8,5,FALSE),'Fuel &amp; Resister'!$B$3:$G$6,3,FALSE)</f>
        <v>13.019</v>
      </c>
      <c r="AO257" s="1">
        <v>1</v>
      </c>
      <c r="AP257" s="62">
        <v>0</v>
      </c>
    </row>
    <row r="258" spans="2:42" x14ac:dyDescent="0.15">
      <c r="B258" s="43" t="s">
        <v>630</v>
      </c>
      <c r="C258" s="61">
        <f>VLOOKUP(B258,[1]SYS!$F$5:$G$359,2,FALSE)</f>
        <v>152</v>
      </c>
      <c r="D258" s="1" t="s">
        <v>50</v>
      </c>
      <c r="E258" s="65" t="s">
        <v>363</v>
      </c>
      <c r="F258" s="63" t="s">
        <v>362</v>
      </c>
      <c r="G258" s="1">
        <v>3</v>
      </c>
      <c r="H258" s="1">
        <f t="shared" si="36"/>
        <v>0.39983164983164982</v>
      </c>
      <c r="I258" s="1">
        <f t="shared" si="37"/>
        <v>1.1879999999999999</v>
      </c>
      <c r="J258" s="1">
        <f t="shared" si="35"/>
        <v>1.639999999999997E-2</v>
      </c>
      <c r="K258" s="1">
        <f t="shared" si="38"/>
        <v>2.0105599999999999</v>
      </c>
      <c r="L258" s="1">
        <f t="shared" si="39"/>
        <v>1.54122</v>
      </c>
      <c r="M258" s="49">
        <f t="shared" si="34"/>
        <v>3.3708096694212943</v>
      </c>
      <c r="N258" s="49">
        <v>2.1949000000000001</v>
      </c>
      <c r="O258" s="1">
        <v>514</v>
      </c>
      <c r="P258" s="51">
        <v>0.05</v>
      </c>
      <c r="Q258" s="51">
        <v>11</v>
      </c>
      <c r="R258" s="51">
        <v>1</v>
      </c>
      <c r="S258" s="1">
        <v>1</v>
      </c>
      <c r="T258" s="1">
        <v>0</v>
      </c>
      <c r="U258" s="47">
        <v>1</v>
      </c>
      <c r="V258" s="47">
        <v>229</v>
      </c>
      <c r="W258" s="41">
        <v>475</v>
      </c>
      <c r="X258">
        <v>1188</v>
      </c>
      <c r="Y258">
        <v>0.98360000000000003</v>
      </c>
      <c r="Z258">
        <v>2010.56</v>
      </c>
      <c r="AA258">
        <v>1541.22</v>
      </c>
      <c r="AB258">
        <v>219.49</v>
      </c>
      <c r="AC258">
        <v>36</v>
      </c>
      <c r="AD258" s="41">
        <f t="shared" si="40"/>
        <v>0.42774152474932353</v>
      </c>
      <c r="AE258" s="41">
        <f t="shared" si="41"/>
        <v>0.55799950688415678</v>
      </c>
      <c r="AF258">
        <f t="shared" si="42"/>
        <v>1.2285460869565219</v>
      </c>
      <c r="AG258">
        <f t="shared" si="43"/>
        <v>0.371456608695652</v>
      </c>
      <c r="AH258">
        <f t="shared" si="44"/>
        <v>2.1949000000000001</v>
      </c>
      <c r="AI258">
        <f>HLOOKUP(HLOOKUP(G258,'THP2'!$B$4:$J$8,5,FALSE),'Fuel &amp; Resister'!$B$3:$G$6,4,FALSE)</f>
        <v>2.7360666666666664</v>
      </c>
      <c r="AJ258" s="41">
        <f>HLOOKUP(HLOOKUP(G258,'THP2'!$B$4:$J$8,5,FALSE),'Fuel &amp; Resister'!$B$3:$G$6,3,FALSE)</f>
        <v>13.019</v>
      </c>
      <c r="AO258" s="1">
        <v>1</v>
      </c>
      <c r="AP258" s="1">
        <v>1</v>
      </c>
    </row>
    <row r="259" spans="2:42" x14ac:dyDescent="0.15">
      <c r="B259" s="43" t="s">
        <v>630</v>
      </c>
      <c r="C259" s="61">
        <f>VLOOKUP(B259,[1]SYS!$F$5:$G$359,2,FALSE)</f>
        <v>152</v>
      </c>
      <c r="D259" s="1" t="s">
        <v>50</v>
      </c>
      <c r="E259" s="65" t="s">
        <v>361</v>
      </c>
      <c r="F259" s="63" t="s">
        <v>362</v>
      </c>
      <c r="G259" s="1">
        <v>3</v>
      </c>
      <c r="H259" s="1">
        <f t="shared" si="36"/>
        <v>0.39983164983164982</v>
      </c>
      <c r="I259" s="1">
        <f t="shared" si="37"/>
        <v>1.1879999999999999</v>
      </c>
      <c r="J259" s="1">
        <f t="shared" si="35"/>
        <v>1.639999999999997E-2</v>
      </c>
      <c r="K259" s="1">
        <f t="shared" si="38"/>
        <v>2.0105599999999999</v>
      </c>
      <c r="L259" s="1">
        <f t="shared" si="39"/>
        <v>1.54122</v>
      </c>
      <c r="M259" s="49">
        <f t="shared" ref="M259:M322" si="50">(I259*10^6*L259/AJ259*AI259/10^6)*24*365/1000</f>
        <v>3.3708096694212943</v>
      </c>
      <c r="N259" s="49">
        <v>2.1949000000000001</v>
      </c>
      <c r="O259" s="1">
        <v>514</v>
      </c>
      <c r="P259" s="51">
        <v>0.05</v>
      </c>
      <c r="Q259" s="51">
        <v>11</v>
      </c>
      <c r="R259" s="51">
        <v>1</v>
      </c>
      <c r="S259" s="1">
        <v>1</v>
      </c>
      <c r="T259" s="1">
        <v>0</v>
      </c>
      <c r="U259" s="47">
        <v>1</v>
      </c>
      <c r="V259" s="47">
        <v>230</v>
      </c>
      <c r="W259" s="41">
        <v>475</v>
      </c>
      <c r="X259">
        <v>1188</v>
      </c>
      <c r="Y259">
        <v>0.98360000000000003</v>
      </c>
      <c r="Z259">
        <v>2010.56</v>
      </c>
      <c r="AA259">
        <v>1541.22</v>
      </c>
      <c r="AB259">
        <v>219.49</v>
      </c>
      <c r="AC259">
        <v>36</v>
      </c>
      <c r="AD259" s="41">
        <f t="shared" si="40"/>
        <v>0.42774152474932353</v>
      </c>
      <c r="AE259" s="41">
        <f t="shared" si="41"/>
        <v>0.55799950688415678</v>
      </c>
      <c r="AF259">
        <f t="shared" si="42"/>
        <v>1.2285460869565219</v>
      </c>
      <c r="AG259">
        <f t="shared" si="43"/>
        <v>0.371456608695652</v>
      </c>
      <c r="AH259">
        <f t="shared" si="44"/>
        <v>2.1949000000000001</v>
      </c>
      <c r="AI259">
        <f>HLOOKUP(HLOOKUP(G259,'THP2'!$B$4:$J$8,5,FALSE),'Fuel &amp; Resister'!$B$3:$G$6,4,FALSE)</f>
        <v>2.7360666666666664</v>
      </c>
      <c r="AJ259" s="41">
        <f>HLOOKUP(HLOOKUP(G259,'THP2'!$B$4:$J$8,5,FALSE),'Fuel &amp; Resister'!$B$3:$G$6,3,FALSE)</f>
        <v>13.019</v>
      </c>
      <c r="AO259" s="1">
        <v>1</v>
      </c>
      <c r="AP259" s="1">
        <v>1</v>
      </c>
    </row>
    <row r="260" spans="2:42" x14ac:dyDescent="0.15">
      <c r="B260" s="43" t="s">
        <v>631</v>
      </c>
      <c r="C260" s="61">
        <f>VLOOKUP(B260,[1]SYS!$F$5:$G$359,2,FALSE)</f>
        <v>168</v>
      </c>
      <c r="D260" s="1" t="s">
        <v>50</v>
      </c>
      <c r="E260" s="65" t="s">
        <v>356</v>
      </c>
      <c r="F260" s="63" t="s">
        <v>357</v>
      </c>
      <c r="G260" s="1">
        <v>3</v>
      </c>
      <c r="H260" s="1">
        <f t="shared" si="36"/>
        <v>0.4</v>
      </c>
      <c r="I260" s="1">
        <f t="shared" si="37"/>
        <v>0.59499999999999997</v>
      </c>
      <c r="J260" s="1">
        <f t="shared" si="35"/>
        <v>2.6900000000000035E-2</v>
      </c>
      <c r="K260" s="1">
        <f t="shared" si="38"/>
        <v>2.1308499999999997</v>
      </c>
      <c r="L260" s="1">
        <f t="shared" si="39"/>
        <v>1.6334300000000002</v>
      </c>
      <c r="M260" s="49">
        <f t="shared" si="50"/>
        <v>1.7892484420395114</v>
      </c>
      <c r="N260" s="49">
        <v>1.5712999999999999</v>
      </c>
      <c r="O260" s="6">
        <v>326</v>
      </c>
      <c r="P260" s="51">
        <v>0.05</v>
      </c>
      <c r="Q260" s="51">
        <v>11</v>
      </c>
      <c r="R260" s="51">
        <v>1</v>
      </c>
      <c r="S260" s="1">
        <v>1</v>
      </c>
      <c r="T260" s="1">
        <v>0</v>
      </c>
      <c r="U260" s="47">
        <v>1</v>
      </c>
      <c r="V260" s="47">
        <v>231</v>
      </c>
      <c r="W260" s="41">
        <v>238</v>
      </c>
      <c r="X260">
        <v>595</v>
      </c>
      <c r="Y260">
        <v>0.97309999999999997</v>
      </c>
      <c r="Z260">
        <v>2130.85</v>
      </c>
      <c r="AA260">
        <v>1633.43</v>
      </c>
      <c r="AB260">
        <v>157.13</v>
      </c>
      <c r="AC260">
        <v>36</v>
      </c>
      <c r="AD260" s="41">
        <f t="shared" si="40"/>
        <v>0.40359480958303029</v>
      </c>
      <c r="AE260" s="41">
        <f t="shared" si="41"/>
        <v>0.52649945207324467</v>
      </c>
      <c r="AF260">
        <f t="shared" si="42"/>
        <v>1.3018166666666673</v>
      </c>
      <c r="AG260">
        <f t="shared" si="43"/>
        <v>0.19730993333333305</v>
      </c>
      <c r="AH260">
        <f t="shared" si="44"/>
        <v>1.5712999999999999</v>
      </c>
      <c r="AI260">
        <f>HLOOKUP(HLOOKUP(G260,'THP2'!$B$4:$J$8,5,FALSE),'Fuel &amp; Resister'!$B$3:$G$6,4,FALSE)</f>
        <v>2.7360666666666664</v>
      </c>
      <c r="AJ260" s="41">
        <f>HLOOKUP(HLOOKUP(G260,'THP2'!$B$4:$J$8,5,FALSE),'Fuel &amp; Resister'!$B$3:$G$6,3,FALSE)</f>
        <v>13.019</v>
      </c>
      <c r="AO260" s="1">
        <v>1</v>
      </c>
      <c r="AP260" s="1">
        <v>1</v>
      </c>
    </row>
    <row r="261" spans="2:42" x14ac:dyDescent="0.15">
      <c r="B261" s="43" t="s">
        <v>631</v>
      </c>
      <c r="C261" s="61">
        <f>VLOOKUP(B261,[1]SYS!$F$5:$G$359,2,FALSE)</f>
        <v>168</v>
      </c>
      <c r="D261" s="1" t="s">
        <v>50</v>
      </c>
      <c r="E261" s="65" t="s">
        <v>358</v>
      </c>
      <c r="F261" s="63" t="s">
        <v>357</v>
      </c>
      <c r="G261" s="1">
        <v>3</v>
      </c>
      <c r="H261" s="1">
        <f t="shared" si="36"/>
        <v>0.4</v>
      </c>
      <c r="I261" s="1">
        <f t="shared" si="37"/>
        <v>0.59499999999999997</v>
      </c>
      <c r="J261" s="1">
        <f t="shared" si="35"/>
        <v>2.6900000000000035E-2</v>
      </c>
      <c r="K261" s="1">
        <f t="shared" si="38"/>
        <v>2.1308499999999997</v>
      </c>
      <c r="L261" s="1">
        <f t="shared" si="39"/>
        <v>1.6334300000000002</v>
      </c>
      <c r="M261" s="49">
        <f t="shared" si="50"/>
        <v>1.7892484420395114</v>
      </c>
      <c r="N261" s="49">
        <v>1.5712999999999999</v>
      </c>
      <c r="O261" s="1">
        <v>413</v>
      </c>
      <c r="P261" s="51">
        <v>0.05</v>
      </c>
      <c r="Q261" s="51">
        <v>11</v>
      </c>
      <c r="R261" s="51">
        <v>1</v>
      </c>
      <c r="S261" s="1">
        <v>1</v>
      </c>
      <c r="T261" s="1">
        <v>0</v>
      </c>
      <c r="U261" s="47">
        <v>1</v>
      </c>
      <c r="V261" s="47">
        <v>232</v>
      </c>
      <c r="W261" s="41">
        <v>238</v>
      </c>
      <c r="X261">
        <v>595</v>
      </c>
      <c r="Y261">
        <v>0.97309999999999997</v>
      </c>
      <c r="Z261">
        <v>2130.85</v>
      </c>
      <c r="AA261">
        <v>1633.43</v>
      </c>
      <c r="AB261">
        <v>157.13</v>
      </c>
      <c r="AC261">
        <v>36</v>
      </c>
      <c r="AD261" s="41">
        <f t="shared" si="40"/>
        <v>0.40359480958303029</v>
      </c>
      <c r="AE261" s="41">
        <f t="shared" si="41"/>
        <v>0.52649945207324467</v>
      </c>
      <c r="AF261">
        <f t="shared" si="42"/>
        <v>1.3018166666666673</v>
      </c>
      <c r="AG261">
        <f t="shared" si="43"/>
        <v>0.19730993333333305</v>
      </c>
      <c r="AH261">
        <f t="shared" si="44"/>
        <v>1.5712999999999999</v>
      </c>
      <c r="AI261">
        <f>HLOOKUP(HLOOKUP(G261,'THP2'!$B$4:$J$8,5,FALSE),'Fuel &amp; Resister'!$B$3:$G$6,4,FALSE)</f>
        <v>2.7360666666666664</v>
      </c>
      <c r="AJ261" s="41">
        <f>HLOOKUP(HLOOKUP(G261,'THP2'!$B$4:$J$8,5,FALSE),'Fuel &amp; Resister'!$B$3:$G$6,3,FALSE)</f>
        <v>13.019</v>
      </c>
      <c r="AO261" s="1">
        <v>1</v>
      </c>
      <c r="AP261" s="1">
        <v>1</v>
      </c>
    </row>
    <row r="262" spans="2:42" x14ac:dyDescent="0.15">
      <c r="B262" s="43" t="s">
        <v>631</v>
      </c>
      <c r="C262" s="61">
        <f>VLOOKUP(B262,[1]SYS!$F$5:$G$359,2,FALSE)</f>
        <v>168</v>
      </c>
      <c r="D262" s="1" t="s">
        <v>50</v>
      </c>
      <c r="E262" s="65" t="s">
        <v>359</v>
      </c>
      <c r="F262" s="63" t="s">
        <v>357</v>
      </c>
      <c r="G262" s="1">
        <v>3</v>
      </c>
      <c r="H262" s="1">
        <f t="shared" si="36"/>
        <v>0.4</v>
      </c>
      <c r="I262" s="1">
        <f t="shared" si="37"/>
        <v>0.59499999999999997</v>
      </c>
      <c r="J262" s="1">
        <f t="shared" si="35"/>
        <v>2.6900000000000035E-2</v>
      </c>
      <c r="K262" s="1">
        <f t="shared" si="38"/>
        <v>2.1308499999999997</v>
      </c>
      <c r="L262" s="1">
        <f t="shared" si="39"/>
        <v>1.6334300000000002</v>
      </c>
      <c r="M262" s="49">
        <f t="shared" si="50"/>
        <v>1.7892484420395114</v>
      </c>
      <c r="N262" s="49">
        <v>1.5712999999999999</v>
      </c>
      <c r="O262" s="1">
        <v>1113</v>
      </c>
      <c r="P262" s="51">
        <v>0.05</v>
      </c>
      <c r="Q262" s="51">
        <v>11</v>
      </c>
      <c r="R262" s="51">
        <v>1</v>
      </c>
      <c r="S262" s="1">
        <v>1</v>
      </c>
      <c r="T262" s="1">
        <v>0</v>
      </c>
      <c r="U262" s="47">
        <v>1</v>
      </c>
      <c r="V262" s="47">
        <v>233</v>
      </c>
      <c r="W262" s="41">
        <v>238</v>
      </c>
      <c r="X262">
        <v>595</v>
      </c>
      <c r="Y262">
        <v>0.97309999999999997</v>
      </c>
      <c r="Z262">
        <v>2130.85</v>
      </c>
      <c r="AA262">
        <v>1633.43</v>
      </c>
      <c r="AB262">
        <v>157.13</v>
      </c>
      <c r="AC262">
        <v>36</v>
      </c>
      <c r="AD262" s="41">
        <f t="shared" si="40"/>
        <v>0.40359480958303029</v>
      </c>
      <c r="AE262" s="41">
        <f t="shared" si="41"/>
        <v>0.52649945207324467</v>
      </c>
      <c r="AF262">
        <f t="shared" si="42"/>
        <v>1.3018166666666673</v>
      </c>
      <c r="AG262">
        <f t="shared" si="43"/>
        <v>0.19730993333333305</v>
      </c>
      <c r="AH262">
        <f t="shared" si="44"/>
        <v>1.5712999999999999</v>
      </c>
      <c r="AI262">
        <f>HLOOKUP(HLOOKUP(G262,'THP2'!$B$4:$J$8,5,FALSE),'Fuel &amp; Resister'!$B$3:$G$6,4,FALSE)</f>
        <v>2.7360666666666664</v>
      </c>
      <c r="AJ262" s="41">
        <f>HLOOKUP(HLOOKUP(G262,'THP2'!$B$4:$J$8,5,FALSE),'Fuel &amp; Resister'!$B$3:$G$6,3,FALSE)</f>
        <v>13.019</v>
      </c>
      <c r="AO262" s="1">
        <v>1</v>
      </c>
      <c r="AP262" s="1">
        <v>1</v>
      </c>
    </row>
    <row r="263" spans="2:42" x14ac:dyDescent="0.15">
      <c r="B263" s="43" t="s">
        <v>631</v>
      </c>
      <c r="C263" s="61">
        <f>VLOOKUP(B263,[1]SYS!$F$5:$G$359,2,FALSE)</f>
        <v>168</v>
      </c>
      <c r="D263" s="1" t="s">
        <v>50</v>
      </c>
      <c r="E263" s="65" t="s">
        <v>360</v>
      </c>
      <c r="F263" s="63" t="s">
        <v>357</v>
      </c>
      <c r="G263" s="1">
        <v>3</v>
      </c>
      <c r="H263" s="1">
        <f t="shared" si="36"/>
        <v>0.4</v>
      </c>
      <c r="I263" s="1">
        <f t="shared" si="37"/>
        <v>0.59499999999999997</v>
      </c>
      <c r="J263" s="1">
        <f t="shared" si="35"/>
        <v>2.6900000000000035E-2</v>
      </c>
      <c r="K263" s="1">
        <f t="shared" si="38"/>
        <v>2.1308499999999997</v>
      </c>
      <c r="L263" s="1">
        <f t="shared" si="39"/>
        <v>1.6334300000000002</v>
      </c>
      <c r="M263" s="49">
        <f t="shared" si="50"/>
        <v>1.7892484420395114</v>
      </c>
      <c r="N263" s="49">
        <v>1.5712999999999999</v>
      </c>
      <c r="O263" s="1">
        <v>613</v>
      </c>
      <c r="P263" s="51">
        <v>0.05</v>
      </c>
      <c r="Q263" s="51">
        <v>11</v>
      </c>
      <c r="R263" s="51">
        <v>1</v>
      </c>
      <c r="S263" s="1">
        <v>1</v>
      </c>
      <c r="T263" s="1">
        <v>0</v>
      </c>
      <c r="U263" s="47">
        <v>1</v>
      </c>
      <c r="V263" s="47">
        <v>234</v>
      </c>
      <c r="W263" s="41">
        <v>238</v>
      </c>
      <c r="X263">
        <v>595</v>
      </c>
      <c r="Y263">
        <v>0.97309999999999997</v>
      </c>
      <c r="Z263">
        <v>2130.85</v>
      </c>
      <c r="AA263">
        <v>1633.43</v>
      </c>
      <c r="AB263">
        <v>157.13</v>
      </c>
      <c r="AC263">
        <v>36</v>
      </c>
      <c r="AD263" s="41">
        <f t="shared" si="40"/>
        <v>0.40359480958303029</v>
      </c>
      <c r="AE263" s="41">
        <f t="shared" si="41"/>
        <v>0.52649945207324467</v>
      </c>
      <c r="AF263">
        <f t="shared" si="42"/>
        <v>1.3018166666666673</v>
      </c>
      <c r="AG263">
        <f t="shared" si="43"/>
        <v>0.19730993333333305</v>
      </c>
      <c r="AH263">
        <f t="shared" si="44"/>
        <v>1.5712999999999999</v>
      </c>
      <c r="AI263">
        <f>HLOOKUP(HLOOKUP(G263,'THP2'!$B$4:$J$8,5,FALSE),'Fuel &amp; Resister'!$B$3:$G$6,4,FALSE)</f>
        <v>2.7360666666666664</v>
      </c>
      <c r="AJ263" s="41">
        <f>HLOOKUP(HLOOKUP(G263,'THP2'!$B$4:$J$8,5,FALSE),'Fuel &amp; Resister'!$B$3:$G$6,3,FALSE)</f>
        <v>13.019</v>
      </c>
      <c r="AO263" s="1">
        <v>1</v>
      </c>
      <c r="AP263" s="1">
        <v>1</v>
      </c>
    </row>
    <row r="264" spans="2:42" x14ac:dyDescent="0.15">
      <c r="B264" s="43" t="s">
        <v>596</v>
      </c>
      <c r="C264" s="61">
        <f>VLOOKUP(B264,[1]SYS!$F$5:$G$359,2,FALSE)</f>
        <v>155</v>
      </c>
      <c r="D264" s="1" t="s">
        <v>50</v>
      </c>
      <c r="E264" s="65" t="s">
        <v>347</v>
      </c>
      <c r="F264" s="63" t="s">
        <v>346</v>
      </c>
      <c r="G264" s="1">
        <v>3</v>
      </c>
      <c r="H264" s="1">
        <f t="shared" si="36"/>
        <v>0.4</v>
      </c>
      <c r="I264" s="1">
        <f t="shared" si="37"/>
        <v>0.4</v>
      </c>
      <c r="J264" s="1">
        <f t="shared" si="35"/>
        <v>2.0000000000000018E-2</v>
      </c>
      <c r="K264" s="1">
        <f t="shared" si="38"/>
        <v>2.1492199999999997</v>
      </c>
      <c r="L264" s="1">
        <f t="shared" si="39"/>
        <v>1.64751</v>
      </c>
      <c r="M264" s="49">
        <f t="shared" si="50"/>
        <v>1.2132245923477993</v>
      </c>
      <c r="N264" s="49">
        <v>1.3619999999999999</v>
      </c>
      <c r="O264" s="1">
        <v>514</v>
      </c>
      <c r="P264" s="51">
        <v>0.05</v>
      </c>
      <c r="Q264" s="51">
        <v>11</v>
      </c>
      <c r="R264" s="51">
        <v>1</v>
      </c>
      <c r="S264" s="1">
        <v>1</v>
      </c>
      <c r="T264" s="1">
        <v>0</v>
      </c>
      <c r="U264" s="47">
        <v>1</v>
      </c>
      <c r="V264" s="47">
        <v>235</v>
      </c>
      <c r="W264" s="41">
        <v>160</v>
      </c>
      <c r="X264">
        <v>400</v>
      </c>
      <c r="Y264">
        <v>0.98</v>
      </c>
      <c r="Z264">
        <v>2149.2199999999998</v>
      </c>
      <c r="AA264">
        <v>1647.51</v>
      </c>
      <c r="AB264">
        <v>136.19999999999999</v>
      </c>
      <c r="AC264">
        <v>36</v>
      </c>
      <c r="AD264" s="41">
        <f t="shared" si="40"/>
        <v>0.40014516894501267</v>
      </c>
      <c r="AE264" s="41">
        <f t="shared" si="41"/>
        <v>0.52199986646515051</v>
      </c>
      <c r="AF264">
        <f t="shared" si="42"/>
        <v>1.3130366666666669</v>
      </c>
      <c r="AG264">
        <f t="shared" si="43"/>
        <v>0.13378933333333329</v>
      </c>
      <c r="AH264">
        <f t="shared" si="44"/>
        <v>1.3619999999999999</v>
      </c>
      <c r="AI264">
        <f>HLOOKUP(HLOOKUP(G264,'THP2'!$B$4:$J$8,5,FALSE),'Fuel &amp; Resister'!$B$3:$G$6,4,FALSE)</f>
        <v>2.7360666666666664</v>
      </c>
      <c r="AJ264" s="41">
        <f>HLOOKUP(HLOOKUP(G264,'THP2'!$B$4:$J$8,5,FALSE),'Fuel &amp; Resister'!$B$3:$G$6,3,FALSE)</f>
        <v>13.019</v>
      </c>
      <c r="AO264" s="1">
        <v>1</v>
      </c>
      <c r="AP264" s="1">
        <v>1</v>
      </c>
    </row>
    <row r="265" spans="2:42" x14ac:dyDescent="0.15">
      <c r="B265" s="43" t="s">
        <v>596</v>
      </c>
      <c r="C265" s="61">
        <f>VLOOKUP(B265,[1]SYS!$F$5:$G$359,2,FALSE)</f>
        <v>155</v>
      </c>
      <c r="D265" s="1" t="s">
        <v>50</v>
      </c>
      <c r="E265" s="65" t="s">
        <v>348</v>
      </c>
      <c r="F265" s="63" t="s">
        <v>346</v>
      </c>
      <c r="G265" s="1">
        <v>3</v>
      </c>
      <c r="H265" s="1">
        <f t="shared" si="36"/>
        <v>0.4</v>
      </c>
      <c r="I265" s="1">
        <f t="shared" si="37"/>
        <v>0.4</v>
      </c>
      <c r="J265" s="1">
        <f t="shared" si="35"/>
        <v>2.0000000000000018E-2</v>
      </c>
      <c r="K265" s="1">
        <f t="shared" si="38"/>
        <v>2.1492199999999997</v>
      </c>
      <c r="L265" s="1">
        <f t="shared" si="39"/>
        <v>1.64751</v>
      </c>
      <c r="M265" s="49">
        <f t="shared" si="50"/>
        <v>1.2132245923477993</v>
      </c>
      <c r="N265" s="49">
        <v>1.3619999999999999</v>
      </c>
      <c r="O265" s="1">
        <v>913</v>
      </c>
      <c r="P265" s="51">
        <v>0.05</v>
      </c>
      <c r="Q265" s="51">
        <v>11</v>
      </c>
      <c r="R265" s="51">
        <v>1</v>
      </c>
      <c r="S265" s="1">
        <v>1</v>
      </c>
      <c r="T265" s="1">
        <v>0</v>
      </c>
      <c r="U265" s="47">
        <v>1</v>
      </c>
      <c r="V265" s="47">
        <v>236</v>
      </c>
      <c r="W265" s="41">
        <v>160</v>
      </c>
      <c r="X265">
        <v>400</v>
      </c>
      <c r="Y265">
        <v>0.98</v>
      </c>
      <c r="Z265">
        <v>2149.2199999999998</v>
      </c>
      <c r="AA265">
        <v>1647.51</v>
      </c>
      <c r="AB265">
        <v>136.19999999999999</v>
      </c>
      <c r="AC265">
        <v>36</v>
      </c>
      <c r="AD265" s="41">
        <f t="shared" si="40"/>
        <v>0.40014516894501267</v>
      </c>
      <c r="AE265" s="41">
        <f t="shared" si="41"/>
        <v>0.52199986646515051</v>
      </c>
      <c r="AF265">
        <f t="shared" si="42"/>
        <v>1.3130366666666669</v>
      </c>
      <c r="AG265">
        <f t="shared" si="43"/>
        <v>0.13378933333333329</v>
      </c>
      <c r="AH265">
        <f t="shared" si="44"/>
        <v>1.3619999999999999</v>
      </c>
      <c r="AI265">
        <f>HLOOKUP(HLOOKUP(G265,'THP2'!$B$4:$J$8,5,FALSE),'Fuel &amp; Resister'!$B$3:$G$6,4,FALSE)</f>
        <v>2.7360666666666664</v>
      </c>
      <c r="AJ265" s="41">
        <f>HLOOKUP(HLOOKUP(G265,'THP2'!$B$4:$J$8,5,FALSE),'Fuel &amp; Resister'!$B$3:$G$6,3,FALSE)</f>
        <v>13.019</v>
      </c>
      <c r="AO265" s="1">
        <v>1</v>
      </c>
      <c r="AP265" s="1">
        <v>1</v>
      </c>
    </row>
    <row r="266" spans="2:42" x14ac:dyDescent="0.15">
      <c r="B266" s="43" t="s">
        <v>596</v>
      </c>
      <c r="C266" s="61">
        <f>VLOOKUP(B266,[1]SYS!$F$5:$G$359,2,FALSE)</f>
        <v>155</v>
      </c>
      <c r="D266" s="1" t="s">
        <v>50</v>
      </c>
      <c r="E266" s="65" t="s">
        <v>349</v>
      </c>
      <c r="F266" s="63" t="s">
        <v>346</v>
      </c>
      <c r="G266" s="1">
        <v>3</v>
      </c>
      <c r="H266" s="1">
        <f t="shared" si="36"/>
        <v>0.4</v>
      </c>
      <c r="I266" s="1">
        <f t="shared" si="37"/>
        <v>0.4</v>
      </c>
      <c r="J266" s="1">
        <f t="shared" si="35"/>
        <v>2.0000000000000018E-2</v>
      </c>
      <c r="K266" s="1">
        <f t="shared" si="38"/>
        <v>2.1492199999999997</v>
      </c>
      <c r="L266" s="1">
        <f t="shared" si="39"/>
        <v>1.64751</v>
      </c>
      <c r="M266" s="49">
        <f t="shared" si="50"/>
        <v>1.2132245923477993</v>
      </c>
      <c r="N266" s="49">
        <v>1.3619999999999999</v>
      </c>
      <c r="O266" s="6">
        <v>326</v>
      </c>
      <c r="P266" s="51">
        <v>0.05</v>
      </c>
      <c r="Q266" s="51">
        <v>11</v>
      </c>
      <c r="R266" s="51">
        <v>1</v>
      </c>
      <c r="S266" s="1">
        <v>1</v>
      </c>
      <c r="T266" s="1">
        <v>0</v>
      </c>
      <c r="U266" s="47">
        <v>1</v>
      </c>
      <c r="V266" s="47">
        <v>237</v>
      </c>
      <c r="W266" s="41">
        <v>160</v>
      </c>
      <c r="X266">
        <v>400</v>
      </c>
      <c r="Y266">
        <v>0.98</v>
      </c>
      <c r="Z266">
        <v>2149.2199999999998</v>
      </c>
      <c r="AA266">
        <v>1647.51</v>
      </c>
      <c r="AB266">
        <v>136.19999999999999</v>
      </c>
      <c r="AC266">
        <v>36</v>
      </c>
      <c r="AD266" s="41">
        <f t="shared" si="40"/>
        <v>0.40014516894501267</v>
      </c>
      <c r="AE266" s="41">
        <f t="shared" si="41"/>
        <v>0.52199986646515051</v>
      </c>
      <c r="AF266">
        <f t="shared" si="42"/>
        <v>1.3130366666666669</v>
      </c>
      <c r="AG266">
        <f t="shared" si="43"/>
        <v>0.13378933333333329</v>
      </c>
      <c r="AH266">
        <f t="shared" si="44"/>
        <v>1.3619999999999999</v>
      </c>
      <c r="AI266">
        <f>HLOOKUP(HLOOKUP(G266,'THP2'!$B$4:$J$8,5,FALSE),'Fuel &amp; Resister'!$B$3:$G$6,4,FALSE)</f>
        <v>2.7360666666666664</v>
      </c>
      <c r="AJ266" s="41">
        <f>HLOOKUP(HLOOKUP(G266,'THP2'!$B$4:$J$8,5,FALSE),'Fuel &amp; Resister'!$B$3:$G$6,3,FALSE)</f>
        <v>13.019</v>
      </c>
      <c r="AO266" s="1">
        <v>1</v>
      </c>
      <c r="AP266" s="1">
        <v>1</v>
      </c>
    </row>
    <row r="267" spans="2:42" x14ac:dyDescent="0.15">
      <c r="B267" s="43" t="s">
        <v>596</v>
      </c>
      <c r="C267" s="61">
        <f>VLOOKUP(B267,[1]SYS!$F$5:$G$359,2,FALSE)</f>
        <v>155</v>
      </c>
      <c r="D267" s="1" t="s">
        <v>50</v>
      </c>
      <c r="E267" s="65" t="s">
        <v>350</v>
      </c>
      <c r="F267" s="63" t="s">
        <v>346</v>
      </c>
      <c r="G267" s="1">
        <v>3</v>
      </c>
      <c r="H267" s="1">
        <f t="shared" si="36"/>
        <v>0.4</v>
      </c>
      <c r="I267" s="1">
        <f t="shared" si="37"/>
        <v>0.4</v>
      </c>
      <c r="J267" s="1">
        <f t="shared" si="35"/>
        <v>2.0000000000000018E-2</v>
      </c>
      <c r="K267" s="1">
        <f t="shared" si="38"/>
        <v>2.1492199999999997</v>
      </c>
      <c r="L267" s="1">
        <f t="shared" si="39"/>
        <v>1.64751</v>
      </c>
      <c r="M267" s="49">
        <f t="shared" si="50"/>
        <v>1.2132245923477993</v>
      </c>
      <c r="N267" s="49">
        <v>1.3619999999999999</v>
      </c>
      <c r="O267" s="1">
        <v>514</v>
      </c>
      <c r="P267" s="51">
        <v>0.05</v>
      </c>
      <c r="Q267" s="51">
        <v>11</v>
      </c>
      <c r="R267" s="51">
        <v>1</v>
      </c>
      <c r="S267" s="1">
        <v>1</v>
      </c>
      <c r="T267" s="1">
        <v>0</v>
      </c>
      <c r="U267" s="47">
        <v>1</v>
      </c>
      <c r="V267" s="47">
        <v>238</v>
      </c>
      <c r="W267" s="41">
        <v>160</v>
      </c>
      <c r="X267">
        <v>400</v>
      </c>
      <c r="Y267">
        <v>0.98</v>
      </c>
      <c r="Z267">
        <v>2149.2199999999998</v>
      </c>
      <c r="AA267">
        <v>1647.51</v>
      </c>
      <c r="AB267">
        <v>136.19999999999999</v>
      </c>
      <c r="AC267">
        <v>36</v>
      </c>
      <c r="AD267" s="41">
        <f t="shared" si="40"/>
        <v>0.40014516894501267</v>
      </c>
      <c r="AE267" s="41">
        <f t="shared" si="41"/>
        <v>0.52199986646515051</v>
      </c>
      <c r="AF267">
        <f t="shared" si="42"/>
        <v>1.3130366666666669</v>
      </c>
      <c r="AG267">
        <f t="shared" si="43"/>
        <v>0.13378933333333329</v>
      </c>
      <c r="AH267">
        <f t="shared" si="44"/>
        <v>1.3619999999999999</v>
      </c>
      <c r="AI267">
        <f>HLOOKUP(HLOOKUP(G267,'THP2'!$B$4:$J$8,5,FALSE),'Fuel &amp; Resister'!$B$3:$G$6,4,FALSE)</f>
        <v>2.7360666666666664</v>
      </c>
      <c r="AJ267" s="41">
        <f>HLOOKUP(HLOOKUP(G267,'THP2'!$B$4:$J$8,5,FALSE),'Fuel &amp; Resister'!$B$3:$G$6,3,FALSE)</f>
        <v>13.019</v>
      </c>
      <c r="AO267" s="1">
        <v>1</v>
      </c>
      <c r="AP267" s="1">
        <v>1</v>
      </c>
    </row>
    <row r="268" spans="2:42" x14ac:dyDescent="0.15">
      <c r="B268" s="43" t="s">
        <v>596</v>
      </c>
      <c r="C268" s="61">
        <f>VLOOKUP(B268,[1]SYS!$F$5:$G$359,2,FALSE)</f>
        <v>155</v>
      </c>
      <c r="D268" s="1" t="s">
        <v>50</v>
      </c>
      <c r="E268" s="42" t="s">
        <v>351</v>
      </c>
      <c r="F268" s="63" t="s">
        <v>346</v>
      </c>
      <c r="G268" s="1">
        <v>3</v>
      </c>
      <c r="H268" s="1">
        <f t="shared" si="36"/>
        <v>0.3991769547325103</v>
      </c>
      <c r="I268" s="1">
        <f t="shared" si="37"/>
        <v>0.24299999999999999</v>
      </c>
      <c r="J268" s="1">
        <f t="shared" si="35"/>
        <v>1.8499999999999961E-2</v>
      </c>
      <c r="K268" s="1">
        <f t="shared" si="38"/>
        <v>2.3084199999999999</v>
      </c>
      <c r="L268" s="1">
        <f t="shared" si="39"/>
        <v>1.76955</v>
      </c>
      <c r="M268" s="49">
        <f t="shared" si="50"/>
        <v>0.79163004064548725</v>
      </c>
      <c r="N268" s="49">
        <v>1.1924999999999999</v>
      </c>
      <c r="O268" s="1">
        <v>1113</v>
      </c>
      <c r="P268" s="51">
        <v>0.05</v>
      </c>
      <c r="Q268" s="51">
        <v>11</v>
      </c>
      <c r="R268" s="51">
        <v>1</v>
      </c>
      <c r="S268" s="1">
        <v>1</v>
      </c>
      <c r="T268" s="1">
        <v>0</v>
      </c>
      <c r="U268" s="47">
        <v>0</v>
      </c>
      <c r="V268" s="47">
        <v>239</v>
      </c>
      <c r="W268" s="41">
        <v>97</v>
      </c>
      <c r="X268">
        <v>243</v>
      </c>
      <c r="Y268">
        <v>0.98150000000000004</v>
      </c>
      <c r="Z268">
        <v>2308.42</v>
      </c>
      <c r="AA268">
        <v>1769.55</v>
      </c>
      <c r="AB268">
        <v>119.25</v>
      </c>
      <c r="AC268">
        <v>36</v>
      </c>
      <c r="AD268" s="41">
        <f t="shared" si="40"/>
        <v>0.37254918948891447</v>
      </c>
      <c r="AE268" s="41">
        <f t="shared" si="41"/>
        <v>0.48599926534994775</v>
      </c>
      <c r="AF268">
        <f t="shared" si="42"/>
        <v>1.4115336301369863</v>
      </c>
      <c r="AG268">
        <f t="shared" si="43"/>
        <v>8.6997977876712318E-2</v>
      </c>
      <c r="AH268">
        <f t="shared" si="44"/>
        <v>1.1924999999999999</v>
      </c>
      <c r="AI268">
        <f>HLOOKUP(HLOOKUP(G268,'THP2'!$B$4:$J$8,5,FALSE),'Fuel &amp; Resister'!$B$3:$G$6,4,FALSE)</f>
        <v>2.7360666666666664</v>
      </c>
      <c r="AJ268" s="41">
        <f>HLOOKUP(HLOOKUP(G268,'THP2'!$B$4:$J$8,5,FALSE),'Fuel &amp; Resister'!$B$3:$G$6,3,FALSE)</f>
        <v>13.019</v>
      </c>
      <c r="AO268" s="62">
        <v>0</v>
      </c>
      <c r="AP268" s="62">
        <v>0</v>
      </c>
    </row>
    <row r="269" spans="2:42" x14ac:dyDescent="0.15">
      <c r="B269" s="43" t="s">
        <v>596</v>
      </c>
      <c r="C269" s="61">
        <f>VLOOKUP(B269,[1]SYS!$F$5:$G$359,2,FALSE)</f>
        <v>155</v>
      </c>
      <c r="D269" s="1" t="s">
        <v>50</v>
      </c>
      <c r="E269" s="42" t="s">
        <v>352</v>
      </c>
      <c r="F269" s="63" t="s">
        <v>346</v>
      </c>
      <c r="G269" s="1">
        <v>3</v>
      </c>
      <c r="H269" s="1">
        <f t="shared" si="36"/>
        <v>0.3991769547325103</v>
      </c>
      <c r="I269" s="1">
        <f t="shared" si="37"/>
        <v>0.24299999999999999</v>
      </c>
      <c r="J269" s="1">
        <f t="shared" si="35"/>
        <v>1.8000000000000016E-2</v>
      </c>
      <c r="K269" s="1">
        <f t="shared" si="38"/>
        <v>2.3084199999999999</v>
      </c>
      <c r="L269" s="1">
        <f t="shared" si="39"/>
        <v>1.76955</v>
      </c>
      <c r="M269" s="49">
        <f t="shared" si="50"/>
        <v>0.79163004064548725</v>
      </c>
      <c r="N269" s="49">
        <v>1.1924999999999999</v>
      </c>
      <c r="O269" s="1">
        <v>913</v>
      </c>
      <c r="P269" s="51">
        <v>0.05</v>
      </c>
      <c r="Q269" s="51">
        <v>11</v>
      </c>
      <c r="R269" s="51">
        <v>1</v>
      </c>
      <c r="S269" s="1">
        <v>1</v>
      </c>
      <c r="T269" s="1">
        <v>0</v>
      </c>
      <c r="U269" s="47">
        <v>0</v>
      </c>
      <c r="V269" s="47">
        <v>240</v>
      </c>
      <c r="W269" s="41">
        <v>97</v>
      </c>
      <c r="X269">
        <v>243</v>
      </c>
      <c r="Y269">
        <v>0.98199999999999998</v>
      </c>
      <c r="Z269">
        <v>2308.42</v>
      </c>
      <c r="AA269">
        <v>1769.55</v>
      </c>
      <c r="AB269">
        <v>119.25</v>
      </c>
      <c r="AC269">
        <v>36</v>
      </c>
      <c r="AD269" s="41">
        <f t="shared" si="40"/>
        <v>0.37254918948891447</v>
      </c>
      <c r="AE269" s="41">
        <f t="shared" si="41"/>
        <v>0.48599926534994775</v>
      </c>
      <c r="AF269">
        <f t="shared" si="42"/>
        <v>1.4115336301369863</v>
      </c>
      <c r="AG269">
        <f t="shared" si="43"/>
        <v>8.6997977876712318E-2</v>
      </c>
      <c r="AH269">
        <f t="shared" si="44"/>
        <v>1.1924999999999999</v>
      </c>
      <c r="AI269">
        <f>HLOOKUP(HLOOKUP(G269,'THP2'!$B$4:$J$8,5,FALSE),'Fuel &amp; Resister'!$B$3:$G$6,4,FALSE)</f>
        <v>2.7360666666666664</v>
      </c>
      <c r="AJ269" s="41">
        <f>HLOOKUP(HLOOKUP(G269,'THP2'!$B$4:$J$8,5,FALSE),'Fuel &amp; Resister'!$B$3:$G$6,3,FALSE)</f>
        <v>13.019</v>
      </c>
      <c r="AO269" s="62">
        <v>0</v>
      </c>
      <c r="AP269" s="62">
        <v>0</v>
      </c>
    </row>
    <row r="270" spans="2:42" x14ac:dyDescent="0.15">
      <c r="B270" s="43" t="s">
        <v>596</v>
      </c>
      <c r="C270" s="61">
        <f>VLOOKUP(B270,[1]SYS!$F$5:$G$359,2,FALSE)</f>
        <v>155</v>
      </c>
      <c r="D270" s="1" t="s">
        <v>50</v>
      </c>
      <c r="E270" s="42" t="s">
        <v>353</v>
      </c>
      <c r="F270" s="63" t="s">
        <v>346</v>
      </c>
      <c r="G270" s="1">
        <v>3</v>
      </c>
      <c r="H270" s="1">
        <f t="shared" si="36"/>
        <v>0.3991769547325103</v>
      </c>
      <c r="I270" s="1">
        <f t="shared" si="37"/>
        <v>0.24299999999999999</v>
      </c>
      <c r="J270" s="1">
        <f t="shared" si="35"/>
        <v>1.8000000000000016E-2</v>
      </c>
      <c r="K270" s="1">
        <f t="shared" si="38"/>
        <v>2.3084199999999999</v>
      </c>
      <c r="L270" s="1">
        <f t="shared" si="39"/>
        <v>1.76955</v>
      </c>
      <c r="M270" s="49">
        <f t="shared" si="50"/>
        <v>0.79163004064548725</v>
      </c>
      <c r="N270" s="49">
        <v>1.1924999999999999</v>
      </c>
      <c r="O270" s="1">
        <v>1113</v>
      </c>
      <c r="P270" s="51">
        <v>0.05</v>
      </c>
      <c r="Q270" s="51">
        <v>11</v>
      </c>
      <c r="R270" s="51">
        <v>1</v>
      </c>
      <c r="S270" s="1">
        <v>1</v>
      </c>
      <c r="T270" s="1">
        <v>0</v>
      </c>
      <c r="U270" s="47">
        <v>0</v>
      </c>
      <c r="V270" s="47">
        <v>241</v>
      </c>
      <c r="W270" s="41">
        <v>97</v>
      </c>
      <c r="X270">
        <v>243</v>
      </c>
      <c r="Y270">
        <v>0.98199999999999998</v>
      </c>
      <c r="Z270">
        <v>2308.42</v>
      </c>
      <c r="AA270">
        <v>1769.55</v>
      </c>
      <c r="AB270">
        <v>119.25</v>
      </c>
      <c r="AC270">
        <v>36</v>
      </c>
      <c r="AD270" s="41">
        <f t="shared" si="40"/>
        <v>0.37254918948891447</v>
      </c>
      <c r="AE270" s="41">
        <f t="shared" si="41"/>
        <v>0.48599926534994775</v>
      </c>
      <c r="AF270">
        <f t="shared" si="42"/>
        <v>1.4115336301369863</v>
      </c>
      <c r="AG270">
        <f t="shared" si="43"/>
        <v>8.6997977876712318E-2</v>
      </c>
      <c r="AH270">
        <f t="shared" si="44"/>
        <v>1.1924999999999999</v>
      </c>
      <c r="AI270">
        <f>HLOOKUP(HLOOKUP(G270,'THP2'!$B$4:$J$8,5,FALSE),'Fuel &amp; Resister'!$B$3:$G$6,4,FALSE)</f>
        <v>2.7360666666666664</v>
      </c>
      <c r="AJ270" s="41">
        <f>HLOOKUP(HLOOKUP(G270,'THP2'!$B$4:$J$8,5,FALSE),'Fuel &amp; Resister'!$B$3:$G$6,3,FALSE)</f>
        <v>13.019</v>
      </c>
      <c r="AO270" s="62">
        <v>0</v>
      </c>
      <c r="AP270" s="62">
        <v>0</v>
      </c>
    </row>
    <row r="271" spans="2:42" x14ac:dyDescent="0.15">
      <c r="B271" s="43" t="s">
        <v>596</v>
      </c>
      <c r="C271" s="61">
        <f>VLOOKUP(B271,[1]SYS!$F$5:$G$359,2,FALSE)</f>
        <v>155</v>
      </c>
      <c r="D271" s="1" t="s">
        <v>50</v>
      </c>
      <c r="E271" s="42" t="s">
        <v>354</v>
      </c>
      <c r="F271" s="63" t="s">
        <v>346</v>
      </c>
      <c r="G271" s="1">
        <v>3</v>
      </c>
      <c r="H271" s="1">
        <f t="shared" si="36"/>
        <v>0.3991769547325103</v>
      </c>
      <c r="I271" s="1">
        <f t="shared" si="37"/>
        <v>0.24299999999999999</v>
      </c>
      <c r="J271" s="1">
        <f t="shared" si="35"/>
        <v>1.8000000000000016E-2</v>
      </c>
      <c r="K271" s="1">
        <f t="shared" si="38"/>
        <v>2.3084199999999999</v>
      </c>
      <c r="L271" s="1">
        <f t="shared" si="39"/>
        <v>1.76955</v>
      </c>
      <c r="M271" s="49">
        <f t="shared" si="50"/>
        <v>0.79163004064548725</v>
      </c>
      <c r="N271" s="49">
        <v>1.1924999999999999</v>
      </c>
      <c r="O271" s="1">
        <v>514</v>
      </c>
      <c r="P271" s="51">
        <v>0.05</v>
      </c>
      <c r="Q271" s="51">
        <v>11</v>
      </c>
      <c r="R271" s="51">
        <v>1</v>
      </c>
      <c r="S271" s="1">
        <v>1</v>
      </c>
      <c r="T271" s="1">
        <v>0</v>
      </c>
      <c r="U271" s="47">
        <v>0</v>
      </c>
      <c r="V271" s="47">
        <v>242</v>
      </c>
      <c r="W271" s="41">
        <v>97</v>
      </c>
      <c r="X271">
        <v>243</v>
      </c>
      <c r="Y271">
        <v>0.98199999999999998</v>
      </c>
      <c r="Z271">
        <v>2308.42</v>
      </c>
      <c r="AA271">
        <v>1769.55</v>
      </c>
      <c r="AB271">
        <v>119.25</v>
      </c>
      <c r="AC271">
        <v>36</v>
      </c>
      <c r="AD271" s="41">
        <f t="shared" si="40"/>
        <v>0.37254918948891447</v>
      </c>
      <c r="AE271" s="41">
        <f t="shared" si="41"/>
        <v>0.48599926534994775</v>
      </c>
      <c r="AF271">
        <f t="shared" si="42"/>
        <v>1.4115336301369863</v>
      </c>
      <c r="AG271">
        <f t="shared" si="43"/>
        <v>8.6997977876712318E-2</v>
      </c>
      <c r="AH271">
        <f t="shared" si="44"/>
        <v>1.1924999999999999</v>
      </c>
      <c r="AI271">
        <f>HLOOKUP(HLOOKUP(G271,'THP2'!$B$4:$J$8,5,FALSE),'Fuel &amp; Resister'!$B$3:$G$6,4,FALSE)</f>
        <v>2.7360666666666664</v>
      </c>
      <c r="AJ271" s="41">
        <f>HLOOKUP(HLOOKUP(G271,'THP2'!$B$4:$J$8,5,FALSE),'Fuel &amp; Resister'!$B$3:$G$6,3,FALSE)</f>
        <v>13.019</v>
      </c>
      <c r="AO271" s="62">
        <v>0</v>
      </c>
      <c r="AP271" s="62">
        <v>0</v>
      </c>
    </row>
    <row r="272" spans="2:42" x14ac:dyDescent="0.15">
      <c r="B272" s="43" t="s">
        <v>596</v>
      </c>
      <c r="C272" s="61">
        <f>VLOOKUP(B272,[1]SYS!$F$5:$G$359,2,FALSE)</f>
        <v>155</v>
      </c>
      <c r="D272" s="1" t="s">
        <v>50</v>
      </c>
      <c r="E272" s="42" t="s">
        <v>355</v>
      </c>
      <c r="F272" s="63" t="s">
        <v>346</v>
      </c>
      <c r="G272" s="1">
        <v>3</v>
      </c>
      <c r="H272" s="1">
        <f t="shared" si="36"/>
        <v>0.3991769547325103</v>
      </c>
      <c r="I272" s="1">
        <f t="shared" si="37"/>
        <v>0.24299999999999999</v>
      </c>
      <c r="J272" s="1">
        <f t="shared" si="35"/>
        <v>1.8000000000000016E-2</v>
      </c>
      <c r="K272" s="1">
        <f t="shared" si="38"/>
        <v>2.3084199999999999</v>
      </c>
      <c r="L272" s="1">
        <f t="shared" si="39"/>
        <v>1.76955</v>
      </c>
      <c r="M272" s="49">
        <f t="shared" si="50"/>
        <v>0.79163004064548725</v>
      </c>
      <c r="N272" s="49">
        <v>1.1924999999999999</v>
      </c>
      <c r="O272" s="1">
        <v>913</v>
      </c>
      <c r="P272" s="51">
        <v>0.05</v>
      </c>
      <c r="Q272" s="51">
        <v>11</v>
      </c>
      <c r="R272" s="51">
        <v>1</v>
      </c>
      <c r="S272" s="1">
        <v>1</v>
      </c>
      <c r="T272" s="1">
        <v>0</v>
      </c>
      <c r="U272" s="47">
        <v>0</v>
      </c>
      <c r="V272" s="47">
        <v>243</v>
      </c>
      <c r="W272" s="41">
        <v>97</v>
      </c>
      <c r="X272">
        <v>243</v>
      </c>
      <c r="Y272">
        <v>0.98199999999999998</v>
      </c>
      <c r="Z272">
        <v>2308.42</v>
      </c>
      <c r="AA272">
        <v>1769.55</v>
      </c>
      <c r="AB272">
        <v>119.25</v>
      </c>
      <c r="AC272">
        <v>36</v>
      </c>
      <c r="AD272" s="41">
        <f t="shared" si="40"/>
        <v>0.37254918948891447</v>
      </c>
      <c r="AE272" s="41">
        <f t="shared" si="41"/>
        <v>0.48599926534994775</v>
      </c>
      <c r="AF272">
        <f t="shared" si="42"/>
        <v>1.4115336301369863</v>
      </c>
      <c r="AG272">
        <f t="shared" si="43"/>
        <v>8.6997977876712318E-2</v>
      </c>
      <c r="AH272">
        <f t="shared" si="44"/>
        <v>1.1924999999999999</v>
      </c>
      <c r="AI272">
        <f>HLOOKUP(HLOOKUP(G272,'THP2'!$B$4:$J$8,5,FALSE),'Fuel &amp; Resister'!$B$3:$G$6,4,FALSE)</f>
        <v>2.7360666666666664</v>
      </c>
      <c r="AJ272" s="41">
        <f>HLOOKUP(HLOOKUP(G272,'THP2'!$B$4:$J$8,5,FALSE),'Fuel &amp; Resister'!$B$3:$G$6,3,FALSE)</f>
        <v>13.019</v>
      </c>
      <c r="AO272" s="62">
        <v>0</v>
      </c>
      <c r="AP272" s="62">
        <v>0</v>
      </c>
    </row>
    <row r="273" spans="2:42" x14ac:dyDescent="0.15">
      <c r="B273" s="43" t="s">
        <v>596</v>
      </c>
      <c r="C273" s="61">
        <f>VLOOKUP(B273,[1]SYS!$F$5:$G$359,2,FALSE)</f>
        <v>155</v>
      </c>
      <c r="D273" s="1" t="s">
        <v>50</v>
      </c>
      <c r="E273" s="42" t="s">
        <v>345</v>
      </c>
      <c r="F273" s="63" t="s">
        <v>346</v>
      </c>
      <c r="G273" s="1">
        <v>3</v>
      </c>
      <c r="H273" s="1">
        <f t="shared" si="36"/>
        <v>0.3991769547325103</v>
      </c>
      <c r="I273" s="1">
        <f t="shared" si="37"/>
        <v>0.24299999999999999</v>
      </c>
      <c r="J273" s="1">
        <f t="shared" si="35"/>
        <v>1.749999999999996E-2</v>
      </c>
      <c r="K273" s="1">
        <f t="shared" si="38"/>
        <v>2.3084199999999999</v>
      </c>
      <c r="L273" s="1">
        <f t="shared" si="39"/>
        <v>1.76955</v>
      </c>
      <c r="M273" s="49">
        <f t="shared" si="50"/>
        <v>0.79163004064548725</v>
      </c>
      <c r="N273" s="49">
        <v>1.1924999999999999</v>
      </c>
      <c r="O273" s="1">
        <v>211</v>
      </c>
      <c r="P273" s="51">
        <v>0.05</v>
      </c>
      <c r="Q273" s="51">
        <v>11</v>
      </c>
      <c r="R273" s="51">
        <v>1</v>
      </c>
      <c r="S273" s="1">
        <v>1</v>
      </c>
      <c r="T273" s="1">
        <v>0</v>
      </c>
      <c r="U273" s="47">
        <v>0</v>
      </c>
      <c r="V273" s="47">
        <v>244</v>
      </c>
      <c r="W273" s="41">
        <v>97</v>
      </c>
      <c r="X273">
        <v>243</v>
      </c>
      <c r="Y273">
        <v>0.98250000000000004</v>
      </c>
      <c r="Z273">
        <v>2308.42</v>
      </c>
      <c r="AA273">
        <v>1769.55</v>
      </c>
      <c r="AB273">
        <v>119.25</v>
      </c>
      <c r="AC273">
        <v>36</v>
      </c>
      <c r="AD273" s="41">
        <f t="shared" si="40"/>
        <v>0.37254918948891447</v>
      </c>
      <c r="AE273" s="41">
        <f t="shared" si="41"/>
        <v>0.48599926534994775</v>
      </c>
      <c r="AF273">
        <f t="shared" si="42"/>
        <v>1.4115336301369863</v>
      </c>
      <c r="AG273">
        <f t="shared" si="43"/>
        <v>8.6997977876712318E-2</v>
      </c>
      <c r="AH273">
        <f t="shared" si="44"/>
        <v>1.1924999999999999</v>
      </c>
      <c r="AI273">
        <f>HLOOKUP(HLOOKUP(G273,'THP2'!$B$4:$J$8,5,FALSE),'Fuel &amp; Resister'!$B$3:$G$6,4,FALSE)</f>
        <v>2.7360666666666664</v>
      </c>
      <c r="AJ273" s="41">
        <f>HLOOKUP(HLOOKUP(G273,'THP2'!$B$4:$J$8,5,FALSE),'Fuel &amp; Resister'!$B$3:$G$6,3,FALSE)</f>
        <v>13.019</v>
      </c>
      <c r="AO273" s="62">
        <v>0</v>
      </c>
      <c r="AP273" s="62">
        <v>0</v>
      </c>
    </row>
    <row r="274" spans="2:42" x14ac:dyDescent="0.15">
      <c r="B274" s="43" t="s">
        <v>596</v>
      </c>
      <c r="C274" s="61">
        <f>VLOOKUP(B274,[1]SYS!$F$5:$G$359,2,FALSE)</f>
        <v>155</v>
      </c>
      <c r="D274" s="1" t="s">
        <v>50</v>
      </c>
      <c r="E274" s="42" t="s">
        <v>225</v>
      </c>
      <c r="F274" s="63" t="s">
        <v>536</v>
      </c>
      <c r="G274" s="1">
        <v>3</v>
      </c>
      <c r="H274" s="1">
        <f t="shared" si="36"/>
        <v>0.3991769547325103</v>
      </c>
      <c r="I274" s="1">
        <f t="shared" si="37"/>
        <v>0.24299999999999999</v>
      </c>
      <c r="J274" s="1">
        <f t="shared" si="35"/>
        <v>2.5100000000000011E-2</v>
      </c>
      <c r="K274" s="1">
        <f t="shared" si="38"/>
        <v>2.3127</v>
      </c>
      <c r="L274" s="1">
        <f t="shared" si="39"/>
        <v>1.7728299999999999</v>
      </c>
      <c r="M274" s="49">
        <f t="shared" si="50"/>
        <v>0.79309738914274219</v>
      </c>
      <c r="N274" s="49">
        <v>1.1924999999999999</v>
      </c>
      <c r="O274" s="1">
        <v>913</v>
      </c>
      <c r="P274" s="51">
        <v>0.05</v>
      </c>
      <c r="Q274" s="51">
        <v>11</v>
      </c>
      <c r="R274" s="51">
        <v>1</v>
      </c>
      <c r="S274" s="1">
        <v>1</v>
      </c>
      <c r="T274" s="1">
        <v>0</v>
      </c>
      <c r="U274" s="47">
        <v>0</v>
      </c>
      <c r="V274" s="47">
        <v>245</v>
      </c>
      <c r="W274" s="41">
        <v>97</v>
      </c>
      <c r="X274">
        <v>243</v>
      </c>
      <c r="Y274">
        <v>0.97489999999999999</v>
      </c>
      <c r="Z274">
        <v>2312.6999999999998</v>
      </c>
      <c r="AA274">
        <v>1772.83</v>
      </c>
      <c r="AB274">
        <v>119.25</v>
      </c>
      <c r="AC274">
        <v>36</v>
      </c>
      <c r="AD274" s="41">
        <f t="shared" si="40"/>
        <v>0.37185973105028758</v>
      </c>
      <c r="AE274" s="41">
        <f t="shared" si="41"/>
        <v>0.48510009419966948</v>
      </c>
      <c r="AF274">
        <f t="shared" si="42"/>
        <v>1.4141492465753425</v>
      </c>
      <c r="AG274">
        <f t="shared" si="43"/>
        <v>8.7159423082191753E-2</v>
      </c>
      <c r="AH274">
        <f t="shared" si="44"/>
        <v>1.1924999999999999</v>
      </c>
      <c r="AI274">
        <f>HLOOKUP(HLOOKUP(G274,'THP2'!$B$4:$J$8,5,FALSE),'Fuel &amp; Resister'!$B$3:$G$6,4,FALSE)</f>
        <v>2.7360666666666664</v>
      </c>
      <c r="AJ274" s="41">
        <f>HLOOKUP(HLOOKUP(G274,'THP2'!$B$4:$J$8,5,FALSE),'Fuel &amp; Resister'!$B$3:$G$6,3,FALSE)</f>
        <v>13.019</v>
      </c>
      <c r="AO274" s="62">
        <v>0</v>
      </c>
      <c r="AP274" s="62">
        <v>0</v>
      </c>
    </row>
    <row r="275" spans="2:42" x14ac:dyDescent="0.15">
      <c r="B275" s="43" t="s">
        <v>596</v>
      </c>
      <c r="C275" s="61">
        <f>VLOOKUP(B275,[1]SYS!$F$5:$G$359,2,FALSE)</f>
        <v>155</v>
      </c>
      <c r="D275" s="1" t="s">
        <v>50</v>
      </c>
      <c r="E275" s="42" t="s">
        <v>226</v>
      </c>
      <c r="F275" s="63" t="s">
        <v>536</v>
      </c>
      <c r="G275" s="1">
        <v>3</v>
      </c>
      <c r="H275" s="1">
        <f t="shared" si="36"/>
        <v>0.3991769547325103</v>
      </c>
      <c r="I275" s="1">
        <f t="shared" si="37"/>
        <v>0.24299999999999999</v>
      </c>
      <c r="J275" s="1">
        <f t="shared" si="35"/>
        <v>2.5100000000000011E-2</v>
      </c>
      <c r="K275" s="1">
        <f t="shared" si="38"/>
        <v>2.3127</v>
      </c>
      <c r="L275" s="1">
        <f t="shared" si="39"/>
        <v>1.7728299999999999</v>
      </c>
      <c r="M275" s="49">
        <f t="shared" si="50"/>
        <v>0.79309738914274219</v>
      </c>
      <c r="N275" s="49">
        <v>1.1924999999999999</v>
      </c>
      <c r="O275" s="1">
        <v>401</v>
      </c>
      <c r="P275" s="51">
        <v>0.05</v>
      </c>
      <c r="Q275" s="51">
        <v>11</v>
      </c>
      <c r="R275" s="51">
        <v>1</v>
      </c>
      <c r="S275" s="1">
        <v>1</v>
      </c>
      <c r="T275" s="1">
        <v>0</v>
      </c>
      <c r="U275" s="47">
        <v>0</v>
      </c>
      <c r="V275" s="47">
        <v>246</v>
      </c>
      <c r="W275" s="41">
        <v>97</v>
      </c>
      <c r="X275">
        <v>243</v>
      </c>
      <c r="Y275">
        <v>0.97489999999999999</v>
      </c>
      <c r="Z275">
        <v>2312.6999999999998</v>
      </c>
      <c r="AA275">
        <v>1772.83</v>
      </c>
      <c r="AB275">
        <v>119.25</v>
      </c>
      <c r="AC275">
        <v>36</v>
      </c>
      <c r="AD275" s="41">
        <f t="shared" si="40"/>
        <v>0.37185973105028758</v>
      </c>
      <c r="AE275" s="41">
        <f t="shared" si="41"/>
        <v>0.48510009419966948</v>
      </c>
      <c r="AF275">
        <f t="shared" si="42"/>
        <v>1.4141492465753425</v>
      </c>
      <c r="AG275">
        <f t="shared" si="43"/>
        <v>8.7159423082191753E-2</v>
      </c>
      <c r="AH275">
        <f t="shared" si="44"/>
        <v>1.1924999999999999</v>
      </c>
      <c r="AI275">
        <f>HLOOKUP(HLOOKUP(G275,'THP2'!$B$4:$J$8,5,FALSE),'Fuel &amp; Resister'!$B$3:$G$6,4,FALSE)</f>
        <v>2.7360666666666664</v>
      </c>
      <c r="AJ275" s="41">
        <f>HLOOKUP(HLOOKUP(G275,'THP2'!$B$4:$J$8,5,FALSE),'Fuel &amp; Resister'!$B$3:$G$6,3,FALSE)</f>
        <v>13.019</v>
      </c>
      <c r="AO275" s="62">
        <v>0</v>
      </c>
      <c r="AP275" s="62">
        <v>0</v>
      </c>
    </row>
    <row r="276" spans="2:42" x14ac:dyDescent="0.15">
      <c r="B276" s="43" t="s">
        <v>596</v>
      </c>
      <c r="C276" s="61">
        <f>VLOOKUP(B276,[1]SYS!$F$5:$G$359,2,FALSE)</f>
        <v>155</v>
      </c>
      <c r="D276" s="1" t="s">
        <v>50</v>
      </c>
      <c r="E276" s="42" t="s">
        <v>227</v>
      </c>
      <c r="F276" s="63" t="s">
        <v>536</v>
      </c>
      <c r="G276" s="1">
        <v>3</v>
      </c>
      <c r="H276" s="1">
        <f t="shared" si="36"/>
        <v>0.3991769547325103</v>
      </c>
      <c r="I276" s="1">
        <f t="shared" si="37"/>
        <v>0.24299999999999999</v>
      </c>
      <c r="J276" s="1">
        <f t="shared" si="35"/>
        <v>2.5100000000000011E-2</v>
      </c>
      <c r="K276" s="1">
        <f t="shared" si="38"/>
        <v>2.3127</v>
      </c>
      <c r="L276" s="1">
        <f t="shared" si="39"/>
        <v>1.7728299999999999</v>
      </c>
      <c r="M276" s="49">
        <f t="shared" si="50"/>
        <v>0.79309738914274219</v>
      </c>
      <c r="N276" s="49">
        <v>1.1924999999999999</v>
      </c>
      <c r="O276" s="1">
        <v>613</v>
      </c>
      <c r="P276" s="51">
        <v>0.05</v>
      </c>
      <c r="Q276" s="51">
        <v>11</v>
      </c>
      <c r="R276" s="51">
        <v>1</v>
      </c>
      <c r="S276" s="1">
        <v>1</v>
      </c>
      <c r="T276" s="1">
        <v>0</v>
      </c>
      <c r="U276" s="47">
        <v>0</v>
      </c>
      <c r="V276" s="47">
        <v>247</v>
      </c>
      <c r="W276" s="41">
        <v>97</v>
      </c>
      <c r="X276">
        <v>243</v>
      </c>
      <c r="Y276">
        <v>0.97489999999999999</v>
      </c>
      <c r="Z276">
        <v>2312.6999999999998</v>
      </c>
      <c r="AA276">
        <v>1772.83</v>
      </c>
      <c r="AB276">
        <v>119.25</v>
      </c>
      <c r="AC276">
        <v>36</v>
      </c>
      <c r="AD276" s="41">
        <f t="shared" si="40"/>
        <v>0.37185973105028758</v>
      </c>
      <c r="AE276" s="41">
        <f t="shared" si="41"/>
        <v>0.48510009419966948</v>
      </c>
      <c r="AF276">
        <f t="shared" si="42"/>
        <v>1.4141492465753425</v>
      </c>
      <c r="AG276">
        <f t="shared" si="43"/>
        <v>8.7159423082191753E-2</v>
      </c>
      <c r="AH276">
        <f t="shared" si="44"/>
        <v>1.1924999999999999</v>
      </c>
      <c r="AI276">
        <f>HLOOKUP(HLOOKUP(G276,'THP2'!$B$4:$J$8,5,FALSE),'Fuel &amp; Resister'!$B$3:$G$6,4,FALSE)</f>
        <v>2.7360666666666664</v>
      </c>
      <c r="AJ276" s="41">
        <f>HLOOKUP(HLOOKUP(G276,'THP2'!$B$4:$J$8,5,FALSE),'Fuel &amp; Resister'!$B$3:$G$6,3,FALSE)</f>
        <v>13.019</v>
      </c>
      <c r="AO276" s="62">
        <v>0</v>
      </c>
      <c r="AP276" s="62">
        <v>0</v>
      </c>
    </row>
    <row r="277" spans="2:42" x14ac:dyDescent="0.15">
      <c r="B277" s="43" t="s">
        <v>596</v>
      </c>
      <c r="C277" s="61">
        <f>VLOOKUP(B277,[1]SYS!$F$5:$G$359,2,FALSE)</f>
        <v>155</v>
      </c>
      <c r="D277" s="1" t="s">
        <v>50</v>
      </c>
      <c r="E277" s="42" t="s">
        <v>228</v>
      </c>
      <c r="F277" s="63" t="s">
        <v>536</v>
      </c>
      <c r="G277" s="1">
        <v>3</v>
      </c>
      <c r="H277" s="1">
        <f t="shared" si="36"/>
        <v>0.3991769547325103</v>
      </c>
      <c r="I277" s="1">
        <f t="shared" si="37"/>
        <v>0.24299999999999999</v>
      </c>
      <c r="J277" s="1">
        <f t="shared" si="35"/>
        <v>2.4599999999999955E-2</v>
      </c>
      <c r="K277" s="1">
        <f t="shared" si="38"/>
        <v>2.3127</v>
      </c>
      <c r="L277" s="1">
        <f t="shared" si="39"/>
        <v>1.7728299999999999</v>
      </c>
      <c r="M277" s="49">
        <f t="shared" si="50"/>
        <v>0.79309738914274219</v>
      </c>
      <c r="N277" s="49">
        <v>1.1924999999999999</v>
      </c>
      <c r="O277" s="1">
        <v>913</v>
      </c>
      <c r="P277" s="51">
        <v>0.05</v>
      </c>
      <c r="Q277" s="51">
        <v>11</v>
      </c>
      <c r="R277" s="51">
        <v>1</v>
      </c>
      <c r="S277" s="1">
        <v>1</v>
      </c>
      <c r="T277" s="1">
        <v>0</v>
      </c>
      <c r="U277" s="47">
        <v>0</v>
      </c>
      <c r="V277" s="47">
        <v>248</v>
      </c>
      <c r="W277" s="41">
        <v>97</v>
      </c>
      <c r="X277">
        <v>243</v>
      </c>
      <c r="Y277">
        <v>0.97540000000000004</v>
      </c>
      <c r="Z277">
        <v>2312.6999999999998</v>
      </c>
      <c r="AA277">
        <v>1772.83</v>
      </c>
      <c r="AB277">
        <v>119.25</v>
      </c>
      <c r="AC277">
        <v>36</v>
      </c>
      <c r="AD277" s="41">
        <f t="shared" si="40"/>
        <v>0.37185973105028758</v>
      </c>
      <c r="AE277" s="41">
        <f t="shared" si="41"/>
        <v>0.48510009419966948</v>
      </c>
      <c r="AF277">
        <f t="shared" si="42"/>
        <v>1.4141492465753425</v>
      </c>
      <c r="AG277">
        <f t="shared" si="43"/>
        <v>8.7159423082191753E-2</v>
      </c>
      <c r="AH277">
        <f t="shared" si="44"/>
        <v>1.1924999999999999</v>
      </c>
      <c r="AI277">
        <f>HLOOKUP(HLOOKUP(G277,'THP2'!$B$4:$J$8,5,FALSE),'Fuel &amp; Resister'!$B$3:$G$6,4,FALSE)</f>
        <v>2.7360666666666664</v>
      </c>
      <c r="AJ277" s="41">
        <f>HLOOKUP(HLOOKUP(G277,'THP2'!$B$4:$J$8,5,FALSE),'Fuel &amp; Resister'!$B$3:$G$6,3,FALSE)</f>
        <v>13.019</v>
      </c>
      <c r="AO277" s="62">
        <v>0</v>
      </c>
      <c r="AP277" s="62">
        <v>0</v>
      </c>
    </row>
    <row r="278" spans="2:42" x14ac:dyDescent="0.15">
      <c r="B278" s="43" t="s">
        <v>596</v>
      </c>
      <c r="C278" s="61">
        <f>VLOOKUP(B278,[1]SYS!$F$5:$G$359,2,FALSE)</f>
        <v>155</v>
      </c>
      <c r="D278" s="1" t="s">
        <v>50</v>
      </c>
      <c r="E278" s="42" t="s">
        <v>229</v>
      </c>
      <c r="F278" s="63" t="s">
        <v>536</v>
      </c>
      <c r="G278" s="1">
        <v>3</v>
      </c>
      <c r="H278" s="1">
        <f t="shared" si="36"/>
        <v>0.3991769547325103</v>
      </c>
      <c r="I278" s="1">
        <f t="shared" si="37"/>
        <v>0.24299999999999999</v>
      </c>
      <c r="J278" s="1">
        <f t="shared" si="35"/>
        <v>2.4599999999999955E-2</v>
      </c>
      <c r="K278" s="1">
        <f t="shared" si="38"/>
        <v>2.3127</v>
      </c>
      <c r="L278" s="1">
        <f t="shared" si="39"/>
        <v>1.7728299999999999</v>
      </c>
      <c r="M278" s="49">
        <f t="shared" si="50"/>
        <v>0.79309738914274219</v>
      </c>
      <c r="N278" s="49">
        <v>1.1924999999999999</v>
      </c>
      <c r="O278" s="1">
        <v>211</v>
      </c>
      <c r="P278" s="51">
        <v>0.05</v>
      </c>
      <c r="Q278" s="51">
        <v>11</v>
      </c>
      <c r="R278" s="51">
        <v>1</v>
      </c>
      <c r="S278" s="1">
        <v>1</v>
      </c>
      <c r="T278" s="1">
        <v>0</v>
      </c>
      <c r="U278" s="47">
        <v>0</v>
      </c>
      <c r="V278" s="47">
        <v>249</v>
      </c>
      <c r="W278" s="41">
        <v>97</v>
      </c>
      <c r="X278">
        <v>243</v>
      </c>
      <c r="Y278">
        <v>0.97540000000000004</v>
      </c>
      <c r="Z278">
        <v>2312.6999999999998</v>
      </c>
      <c r="AA278">
        <v>1772.83</v>
      </c>
      <c r="AB278">
        <v>119.25</v>
      </c>
      <c r="AC278">
        <v>36</v>
      </c>
      <c r="AD278" s="41">
        <f t="shared" si="40"/>
        <v>0.37185973105028758</v>
      </c>
      <c r="AE278" s="41">
        <f t="shared" si="41"/>
        <v>0.48510009419966948</v>
      </c>
      <c r="AF278">
        <f t="shared" si="42"/>
        <v>1.4141492465753425</v>
      </c>
      <c r="AG278">
        <f t="shared" si="43"/>
        <v>8.7159423082191753E-2</v>
      </c>
      <c r="AH278">
        <f t="shared" si="44"/>
        <v>1.1924999999999999</v>
      </c>
      <c r="AI278">
        <f>HLOOKUP(HLOOKUP(G278,'THP2'!$B$4:$J$8,5,FALSE),'Fuel &amp; Resister'!$B$3:$G$6,4,FALSE)</f>
        <v>2.7360666666666664</v>
      </c>
      <c r="AJ278" s="41">
        <f>HLOOKUP(HLOOKUP(G278,'THP2'!$B$4:$J$8,5,FALSE),'Fuel &amp; Resister'!$B$3:$G$6,3,FALSE)</f>
        <v>13.019</v>
      </c>
      <c r="AO278" s="62">
        <v>0</v>
      </c>
      <c r="AP278" s="62">
        <v>0</v>
      </c>
    </row>
    <row r="279" spans="2:42" x14ac:dyDescent="0.15">
      <c r="B279" s="43" t="s">
        <v>596</v>
      </c>
      <c r="C279" s="61">
        <f>VLOOKUP(B279,[1]SYS!$F$5:$G$359,2,FALSE)</f>
        <v>155</v>
      </c>
      <c r="D279" s="1" t="s">
        <v>50</v>
      </c>
      <c r="E279" s="42" t="s">
        <v>230</v>
      </c>
      <c r="F279" s="63" t="s">
        <v>536</v>
      </c>
      <c r="G279" s="1">
        <v>3</v>
      </c>
      <c r="H279" s="1">
        <f t="shared" si="36"/>
        <v>0.3991769547325103</v>
      </c>
      <c r="I279" s="1">
        <f t="shared" si="37"/>
        <v>0.24299999999999999</v>
      </c>
      <c r="J279" s="1">
        <f t="shared" si="35"/>
        <v>2.4599999999999955E-2</v>
      </c>
      <c r="K279" s="1">
        <f t="shared" si="38"/>
        <v>2.3127</v>
      </c>
      <c r="L279" s="1">
        <f t="shared" si="39"/>
        <v>1.7728299999999999</v>
      </c>
      <c r="M279" s="49">
        <f t="shared" si="50"/>
        <v>0.79309738914274219</v>
      </c>
      <c r="N279" s="49">
        <v>1.1924999999999999</v>
      </c>
      <c r="O279" s="1">
        <v>1113</v>
      </c>
      <c r="P279" s="51">
        <v>0.05</v>
      </c>
      <c r="Q279" s="51">
        <v>11</v>
      </c>
      <c r="R279" s="51">
        <v>1</v>
      </c>
      <c r="S279" s="1">
        <v>1</v>
      </c>
      <c r="T279" s="1">
        <v>0</v>
      </c>
      <c r="U279" s="47">
        <v>0</v>
      </c>
      <c r="V279" s="47">
        <v>250</v>
      </c>
      <c r="W279" s="41">
        <v>97</v>
      </c>
      <c r="X279">
        <v>243</v>
      </c>
      <c r="Y279">
        <v>0.97540000000000004</v>
      </c>
      <c r="Z279">
        <v>2312.6999999999998</v>
      </c>
      <c r="AA279">
        <v>1772.83</v>
      </c>
      <c r="AB279">
        <v>119.25</v>
      </c>
      <c r="AC279">
        <v>36</v>
      </c>
      <c r="AD279" s="41">
        <f t="shared" si="40"/>
        <v>0.37185973105028758</v>
      </c>
      <c r="AE279" s="41">
        <f t="shared" si="41"/>
        <v>0.48510009419966948</v>
      </c>
      <c r="AF279">
        <f t="shared" si="42"/>
        <v>1.4141492465753425</v>
      </c>
      <c r="AG279">
        <f t="shared" si="43"/>
        <v>8.7159423082191753E-2</v>
      </c>
      <c r="AH279">
        <f t="shared" si="44"/>
        <v>1.1924999999999999</v>
      </c>
      <c r="AI279">
        <f>HLOOKUP(HLOOKUP(G279,'THP2'!$B$4:$J$8,5,FALSE),'Fuel &amp; Resister'!$B$3:$G$6,4,FALSE)</f>
        <v>2.7360666666666664</v>
      </c>
      <c r="AJ279" s="41">
        <f>HLOOKUP(HLOOKUP(G279,'THP2'!$B$4:$J$8,5,FALSE),'Fuel &amp; Resister'!$B$3:$G$6,3,FALSE)</f>
        <v>13.019</v>
      </c>
      <c r="AO279" s="62">
        <v>0</v>
      </c>
      <c r="AP279" s="62">
        <v>0</v>
      </c>
    </row>
    <row r="280" spans="2:42" x14ac:dyDescent="0.15">
      <c r="B280" s="43" t="s">
        <v>596</v>
      </c>
      <c r="C280" s="61">
        <f>VLOOKUP(B280,[1]SYS!$F$5:$G$359,2,FALSE)</f>
        <v>155</v>
      </c>
      <c r="D280" s="1" t="s">
        <v>50</v>
      </c>
      <c r="E280" s="42" t="s">
        <v>231</v>
      </c>
      <c r="F280" s="63" t="s">
        <v>536</v>
      </c>
      <c r="G280" s="1">
        <v>3</v>
      </c>
      <c r="H280" s="1">
        <f t="shared" si="36"/>
        <v>0.3991769547325103</v>
      </c>
      <c r="I280" s="1">
        <f t="shared" si="37"/>
        <v>0.24299999999999999</v>
      </c>
      <c r="J280" s="1">
        <f t="shared" si="35"/>
        <v>2.4599999999999955E-2</v>
      </c>
      <c r="K280" s="1">
        <f t="shared" si="38"/>
        <v>2.3127</v>
      </c>
      <c r="L280" s="1">
        <f t="shared" si="39"/>
        <v>1.7728299999999999</v>
      </c>
      <c r="M280" s="49">
        <f t="shared" si="50"/>
        <v>0.79309738914274219</v>
      </c>
      <c r="N280" s="49">
        <v>1.1924999999999999</v>
      </c>
      <c r="O280" s="1">
        <v>613</v>
      </c>
      <c r="P280" s="51">
        <v>0.05</v>
      </c>
      <c r="Q280" s="51">
        <v>11</v>
      </c>
      <c r="R280" s="51">
        <v>1</v>
      </c>
      <c r="S280" s="1">
        <v>1</v>
      </c>
      <c r="T280" s="1">
        <v>0</v>
      </c>
      <c r="U280" s="47">
        <v>0</v>
      </c>
      <c r="V280" s="47">
        <v>251</v>
      </c>
      <c r="W280" s="41">
        <v>97</v>
      </c>
      <c r="X280">
        <v>243</v>
      </c>
      <c r="Y280">
        <v>0.97540000000000004</v>
      </c>
      <c r="Z280">
        <v>2312.6999999999998</v>
      </c>
      <c r="AA280">
        <v>1772.83</v>
      </c>
      <c r="AB280">
        <v>119.25</v>
      </c>
      <c r="AC280">
        <v>36</v>
      </c>
      <c r="AD280" s="41">
        <f t="shared" si="40"/>
        <v>0.37185973105028758</v>
      </c>
      <c r="AE280" s="41">
        <f t="shared" si="41"/>
        <v>0.48510009419966948</v>
      </c>
      <c r="AF280">
        <f t="shared" si="42"/>
        <v>1.4141492465753425</v>
      </c>
      <c r="AG280">
        <f t="shared" si="43"/>
        <v>8.7159423082191753E-2</v>
      </c>
      <c r="AH280">
        <f t="shared" si="44"/>
        <v>1.1924999999999999</v>
      </c>
      <c r="AI280">
        <f>HLOOKUP(HLOOKUP(G280,'THP2'!$B$4:$J$8,5,FALSE),'Fuel &amp; Resister'!$B$3:$G$6,4,FALSE)</f>
        <v>2.7360666666666664</v>
      </c>
      <c r="AJ280" s="41">
        <f>HLOOKUP(HLOOKUP(G280,'THP2'!$B$4:$J$8,5,FALSE),'Fuel &amp; Resister'!$B$3:$G$6,3,FALSE)</f>
        <v>13.019</v>
      </c>
      <c r="AO280" s="62">
        <v>0</v>
      </c>
      <c r="AP280" s="62">
        <v>0</v>
      </c>
    </row>
    <row r="281" spans="2:42" x14ac:dyDescent="0.15">
      <c r="B281" s="43" t="s">
        <v>596</v>
      </c>
      <c r="C281" s="61">
        <f>VLOOKUP(B281,[1]SYS!$F$5:$G$359,2,FALSE)</f>
        <v>155</v>
      </c>
      <c r="D281" s="1" t="s">
        <v>50</v>
      </c>
      <c r="E281" s="42" t="s">
        <v>232</v>
      </c>
      <c r="F281" s="63" t="s">
        <v>536</v>
      </c>
      <c r="G281" s="1">
        <v>3</v>
      </c>
      <c r="H281" s="1">
        <f t="shared" si="36"/>
        <v>0.3991769547325103</v>
      </c>
      <c r="I281" s="1">
        <f t="shared" si="37"/>
        <v>0.24299999999999999</v>
      </c>
      <c r="J281" s="1">
        <f t="shared" si="35"/>
        <v>2.4599999999999955E-2</v>
      </c>
      <c r="K281" s="1">
        <f t="shared" si="38"/>
        <v>2.3127</v>
      </c>
      <c r="L281" s="1">
        <f t="shared" si="39"/>
        <v>1.7728299999999999</v>
      </c>
      <c r="M281" s="49">
        <f t="shared" si="50"/>
        <v>0.79309738914274219</v>
      </c>
      <c r="N281" s="49">
        <v>1.1924999999999999</v>
      </c>
      <c r="O281" s="1">
        <v>401</v>
      </c>
      <c r="P281" s="51">
        <v>0.05</v>
      </c>
      <c r="Q281" s="51">
        <v>11</v>
      </c>
      <c r="R281" s="51">
        <v>1</v>
      </c>
      <c r="S281" s="1">
        <v>1</v>
      </c>
      <c r="T281" s="1">
        <v>0</v>
      </c>
      <c r="U281" s="47">
        <v>0</v>
      </c>
      <c r="V281" s="47">
        <v>252</v>
      </c>
      <c r="W281" s="41">
        <v>97</v>
      </c>
      <c r="X281">
        <v>243</v>
      </c>
      <c r="Y281">
        <v>0.97540000000000004</v>
      </c>
      <c r="Z281">
        <v>2312.6999999999998</v>
      </c>
      <c r="AA281">
        <v>1772.83</v>
      </c>
      <c r="AB281">
        <v>119.25</v>
      </c>
      <c r="AC281">
        <v>36</v>
      </c>
      <c r="AD281" s="41">
        <f t="shared" si="40"/>
        <v>0.37185973105028758</v>
      </c>
      <c r="AE281" s="41">
        <f t="shared" si="41"/>
        <v>0.48510009419966948</v>
      </c>
      <c r="AF281">
        <f t="shared" si="42"/>
        <v>1.4141492465753425</v>
      </c>
      <c r="AG281">
        <f t="shared" si="43"/>
        <v>8.7159423082191753E-2</v>
      </c>
      <c r="AH281">
        <f t="shared" si="44"/>
        <v>1.1924999999999999</v>
      </c>
      <c r="AI281">
        <f>HLOOKUP(HLOOKUP(G281,'THP2'!$B$4:$J$8,5,FALSE),'Fuel &amp; Resister'!$B$3:$G$6,4,FALSE)</f>
        <v>2.7360666666666664</v>
      </c>
      <c r="AJ281" s="41">
        <f>HLOOKUP(HLOOKUP(G281,'THP2'!$B$4:$J$8,5,FALSE),'Fuel &amp; Resister'!$B$3:$G$6,3,FALSE)</f>
        <v>13.019</v>
      </c>
      <c r="AO281" s="62">
        <v>0</v>
      </c>
      <c r="AP281" s="62">
        <v>0</v>
      </c>
    </row>
    <row r="282" spans="2:42" x14ac:dyDescent="0.15">
      <c r="B282" s="43" t="s">
        <v>596</v>
      </c>
      <c r="C282" s="61">
        <f>VLOOKUP(B282,[1]SYS!$F$5:$G$359,2,FALSE)</f>
        <v>155</v>
      </c>
      <c r="D282" s="1" t="s">
        <v>50</v>
      </c>
      <c r="E282" s="42" t="s">
        <v>233</v>
      </c>
      <c r="F282" s="63" t="s">
        <v>536</v>
      </c>
      <c r="G282" s="1">
        <v>3</v>
      </c>
      <c r="H282" s="1">
        <f t="shared" si="36"/>
        <v>0.3991769547325103</v>
      </c>
      <c r="I282" s="1">
        <f t="shared" si="37"/>
        <v>0.24299999999999999</v>
      </c>
      <c r="J282" s="1">
        <f t="shared" si="35"/>
        <v>2.4599999999999955E-2</v>
      </c>
      <c r="K282" s="1">
        <f t="shared" si="38"/>
        <v>2.3127</v>
      </c>
      <c r="L282" s="1">
        <f t="shared" si="39"/>
        <v>1.7728299999999999</v>
      </c>
      <c r="M282" s="49">
        <f t="shared" si="50"/>
        <v>0.79309738914274219</v>
      </c>
      <c r="N282" s="49">
        <v>1.1924999999999999</v>
      </c>
      <c r="O282" s="1">
        <v>913</v>
      </c>
      <c r="P282" s="51">
        <v>0.05</v>
      </c>
      <c r="Q282" s="51">
        <v>11</v>
      </c>
      <c r="R282" s="51">
        <v>1</v>
      </c>
      <c r="S282" s="1">
        <v>1</v>
      </c>
      <c r="T282" s="1">
        <v>0</v>
      </c>
      <c r="U282" s="47">
        <v>0</v>
      </c>
      <c r="V282" s="47">
        <v>253</v>
      </c>
      <c r="W282" s="41">
        <v>97</v>
      </c>
      <c r="X282">
        <v>243</v>
      </c>
      <c r="Y282">
        <v>0.97540000000000004</v>
      </c>
      <c r="Z282">
        <v>2312.6999999999998</v>
      </c>
      <c r="AA282">
        <v>1772.83</v>
      </c>
      <c r="AB282">
        <v>119.25</v>
      </c>
      <c r="AC282">
        <v>36</v>
      </c>
      <c r="AD282" s="41">
        <f t="shared" si="40"/>
        <v>0.37185973105028758</v>
      </c>
      <c r="AE282" s="41">
        <f t="shared" si="41"/>
        <v>0.48510009419966948</v>
      </c>
      <c r="AF282">
        <f t="shared" si="42"/>
        <v>1.4141492465753425</v>
      </c>
      <c r="AG282">
        <f t="shared" si="43"/>
        <v>8.7159423082191753E-2</v>
      </c>
      <c r="AH282">
        <f t="shared" si="44"/>
        <v>1.1924999999999999</v>
      </c>
      <c r="AI282">
        <f>HLOOKUP(HLOOKUP(G282,'THP2'!$B$4:$J$8,5,FALSE),'Fuel &amp; Resister'!$B$3:$G$6,4,FALSE)</f>
        <v>2.7360666666666664</v>
      </c>
      <c r="AJ282" s="41">
        <f>HLOOKUP(HLOOKUP(G282,'THP2'!$B$4:$J$8,5,FALSE),'Fuel &amp; Resister'!$B$3:$G$6,3,FALSE)</f>
        <v>13.019</v>
      </c>
      <c r="AO282" s="62">
        <v>0</v>
      </c>
      <c r="AP282" s="62">
        <v>0</v>
      </c>
    </row>
    <row r="283" spans="2:42" x14ac:dyDescent="0.15">
      <c r="B283" s="43" t="s">
        <v>596</v>
      </c>
      <c r="C283" s="61">
        <f>VLOOKUP(B283,[1]SYS!$F$5:$G$359,2,FALSE)</f>
        <v>155</v>
      </c>
      <c r="D283" s="1" t="s">
        <v>50</v>
      </c>
      <c r="E283" s="42" t="s">
        <v>234</v>
      </c>
      <c r="F283" s="63" t="s">
        <v>536</v>
      </c>
      <c r="G283" s="1">
        <v>3</v>
      </c>
      <c r="H283" s="1">
        <f t="shared" si="36"/>
        <v>0.3991769547325103</v>
      </c>
      <c r="I283" s="1">
        <f t="shared" si="37"/>
        <v>0.24299999999999999</v>
      </c>
      <c r="J283" s="1">
        <f t="shared" si="35"/>
        <v>2.4599999999999955E-2</v>
      </c>
      <c r="K283" s="1">
        <f t="shared" si="38"/>
        <v>2.3127</v>
      </c>
      <c r="L283" s="1">
        <f t="shared" si="39"/>
        <v>1.7728299999999999</v>
      </c>
      <c r="M283" s="49">
        <f t="shared" si="50"/>
        <v>0.79309738914274219</v>
      </c>
      <c r="N283" s="49">
        <v>1.1924999999999999</v>
      </c>
      <c r="O283" s="1">
        <v>211</v>
      </c>
      <c r="P283" s="51">
        <v>0.05</v>
      </c>
      <c r="Q283" s="51">
        <v>11</v>
      </c>
      <c r="R283" s="51">
        <v>1</v>
      </c>
      <c r="S283" s="1">
        <v>1</v>
      </c>
      <c r="T283" s="1">
        <v>0</v>
      </c>
      <c r="U283" s="47">
        <v>0</v>
      </c>
      <c r="V283" s="47">
        <v>254</v>
      </c>
      <c r="W283" s="41">
        <v>97</v>
      </c>
      <c r="X283">
        <v>243</v>
      </c>
      <c r="Y283">
        <v>0.97540000000000004</v>
      </c>
      <c r="Z283">
        <v>2312.6999999999998</v>
      </c>
      <c r="AA283">
        <v>1772.83</v>
      </c>
      <c r="AB283">
        <v>119.25</v>
      </c>
      <c r="AC283">
        <v>36</v>
      </c>
      <c r="AD283" s="41">
        <f t="shared" si="40"/>
        <v>0.37185973105028758</v>
      </c>
      <c r="AE283" s="41">
        <f t="shared" si="41"/>
        <v>0.48510009419966948</v>
      </c>
      <c r="AF283">
        <f t="shared" si="42"/>
        <v>1.4141492465753425</v>
      </c>
      <c r="AG283">
        <f t="shared" si="43"/>
        <v>8.7159423082191753E-2</v>
      </c>
      <c r="AH283">
        <f t="shared" si="44"/>
        <v>1.1924999999999999</v>
      </c>
      <c r="AI283">
        <f>HLOOKUP(HLOOKUP(G283,'THP2'!$B$4:$J$8,5,FALSE),'Fuel &amp; Resister'!$B$3:$G$6,4,FALSE)</f>
        <v>2.7360666666666664</v>
      </c>
      <c r="AJ283" s="41">
        <f>HLOOKUP(HLOOKUP(G283,'THP2'!$B$4:$J$8,5,FALSE),'Fuel &amp; Resister'!$B$3:$G$6,3,FALSE)</f>
        <v>13.019</v>
      </c>
      <c r="AO283" s="62">
        <v>0</v>
      </c>
      <c r="AP283" s="62">
        <v>0</v>
      </c>
    </row>
    <row r="284" spans="2:42" x14ac:dyDescent="0.15">
      <c r="B284" s="43" t="s">
        <v>596</v>
      </c>
      <c r="C284" s="61">
        <f>VLOOKUP(B284,[1]SYS!$F$5:$G$359,2,FALSE)</f>
        <v>155</v>
      </c>
      <c r="D284" s="1" t="s">
        <v>50</v>
      </c>
      <c r="E284" s="42" t="s">
        <v>235</v>
      </c>
      <c r="F284" s="63" t="s">
        <v>536</v>
      </c>
      <c r="G284" s="1">
        <v>3</v>
      </c>
      <c r="H284" s="1">
        <f t="shared" si="36"/>
        <v>0.3991769547325103</v>
      </c>
      <c r="I284" s="1">
        <f t="shared" si="37"/>
        <v>0.24299999999999999</v>
      </c>
      <c r="J284" s="1">
        <f t="shared" si="35"/>
        <v>2.410000000000001E-2</v>
      </c>
      <c r="K284" s="1">
        <f t="shared" si="38"/>
        <v>2.3127</v>
      </c>
      <c r="L284" s="1">
        <f t="shared" si="39"/>
        <v>1.7728299999999999</v>
      </c>
      <c r="M284" s="49">
        <f t="shared" si="50"/>
        <v>0.79309738914274219</v>
      </c>
      <c r="N284" s="49">
        <v>1.1924999999999999</v>
      </c>
      <c r="O284" s="1">
        <v>1014</v>
      </c>
      <c r="P284" s="51">
        <v>0.05</v>
      </c>
      <c r="Q284" s="51">
        <v>11</v>
      </c>
      <c r="R284" s="51">
        <v>1</v>
      </c>
      <c r="S284" s="1">
        <v>1</v>
      </c>
      <c r="T284" s="1">
        <v>0</v>
      </c>
      <c r="U284" s="47">
        <v>0</v>
      </c>
      <c r="V284" s="47">
        <v>255</v>
      </c>
      <c r="W284" s="41">
        <v>97</v>
      </c>
      <c r="X284">
        <v>243</v>
      </c>
      <c r="Y284">
        <v>0.97589999999999999</v>
      </c>
      <c r="Z284">
        <v>2312.6999999999998</v>
      </c>
      <c r="AA284">
        <v>1772.83</v>
      </c>
      <c r="AB284">
        <v>119.25</v>
      </c>
      <c r="AC284">
        <v>36</v>
      </c>
      <c r="AD284" s="41">
        <f t="shared" si="40"/>
        <v>0.37185973105028758</v>
      </c>
      <c r="AE284" s="41">
        <f t="shared" si="41"/>
        <v>0.48510009419966948</v>
      </c>
      <c r="AF284">
        <f t="shared" si="42"/>
        <v>1.4141492465753425</v>
      </c>
      <c r="AG284">
        <f t="shared" si="43"/>
        <v>8.7159423082191753E-2</v>
      </c>
      <c r="AH284">
        <f t="shared" si="44"/>
        <v>1.1924999999999999</v>
      </c>
      <c r="AI284">
        <f>HLOOKUP(HLOOKUP(G284,'THP2'!$B$4:$J$8,5,FALSE),'Fuel &amp; Resister'!$B$3:$G$6,4,FALSE)</f>
        <v>2.7360666666666664</v>
      </c>
      <c r="AJ284" s="41">
        <f>HLOOKUP(HLOOKUP(G284,'THP2'!$B$4:$J$8,5,FALSE),'Fuel &amp; Resister'!$B$3:$G$6,3,FALSE)</f>
        <v>13.019</v>
      </c>
      <c r="AO284" s="62">
        <v>0</v>
      </c>
      <c r="AP284" s="62">
        <v>0</v>
      </c>
    </row>
    <row r="285" spans="2:42" x14ac:dyDescent="0.15">
      <c r="B285" s="43" t="s">
        <v>596</v>
      </c>
      <c r="C285" s="61">
        <f>VLOOKUP(B285,[1]SYS!$F$5:$G$359,2,FALSE)</f>
        <v>155</v>
      </c>
      <c r="D285" s="1" t="s">
        <v>50</v>
      </c>
      <c r="E285" s="42" t="s">
        <v>236</v>
      </c>
      <c r="F285" s="63" t="s">
        <v>536</v>
      </c>
      <c r="G285" s="1">
        <v>3</v>
      </c>
      <c r="H285" s="1">
        <f t="shared" si="36"/>
        <v>0.3991769547325103</v>
      </c>
      <c r="I285" s="1">
        <f t="shared" si="37"/>
        <v>0.24299999999999999</v>
      </c>
      <c r="J285" s="1">
        <f t="shared" si="35"/>
        <v>2.410000000000001E-2</v>
      </c>
      <c r="K285" s="1">
        <f t="shared" si="38"/>
        <v>2.3127</v>
      </c>
      <c r="L285" s="1">
        <f t="shared" si="39"/>
        <v>1.7728299999999999</v>
      </c>
      <c r="M285" s="49">
        <f t="shared" si="50"/>
        <v>0.79309738914274219</v>
      </c>
      <c r="N285" s="49">
        <v>1.1924999999999999</v>
      </c>
      <c r="O285" s="1">
        <v>1014</v>
      </c>
      <c r="P285" s="51">
        <v>0.05</v>
      </c>
      <c r="Q285" s="51">
        <v>11</v>
      </c>
      <c r="R285" s="51">
        <v>1</v>
      </c>
      <c r="S285" s="1">
        <v>1</v>
      </c>
      <c r="T285" s="1">
        <v>0</v>
      </c>
      <c r="U285" s="47">
        <v>0</v>
      </c>
      <c r="V285" s="47">
        <v>256</v>
      </c>
      <c r="W285" s="41">
        <v>97</v>
      </c>
      <c r="X285">
        <v>243</v>
      </c>
      <c r="Y285">
        <v>0.97589999999999999</v>
      </c>
      <c r="Z285">
        <v>2312.6999999999998</v>
      </c>
      <c r="AA285">
        <v>1772.83</v>
      </c>
      <c r="AB285">
        <v>119.25</v>
      </c>
      <c r="AC285">
        <v>36</v>
      </c>
      <c r="AD285" s="41">
        <f t="shared" si="40"/>
        <v>0.37185973105028758</v>
      </c>
      <c r="AE285" s="41">
        <f t="shared" si="41"/>
        <v>0.48510009419966948</v>
      </c>
      <c r="AF285">
        <f t="shared" si="42"/>
        <v>1.4141492465753425</v>
      </c>
      <c r="AG285">
        <f t="shared" si="43"/>
        <v>8.7159423082191753E-2</v>
      </c>
      <c r="AH285">
        <f t="shared" si="44"/>
        <v>1.1924999999999999</v>
      </c>
      <c r="AI285">
        <f>HLOOKUP(HLOOKUP(G285,'THP2'!$B$4:$J$8,5,FALSE),'Fuel &amp; Resister'!$B$3:$G$6,4,FALSE)</f>
        <v>2.7360666666666664</v>
      </c>
      <c r="AJ285" s="41">
        <f>HLOOKUP(HLOOKUP(G285,'THP2'!$B$4:$J$8,5,FALSE),'Fuel &amp; Resister'!$B$3:$G$6,3,FALSE)</f>
        <v>13.019</v>
      </c>
      <c r="AO285" s="62">
        <v>0</v>
      </c>
      <c r="AP285" s="62">
        <v>0</v>
      </c>
    </row>
    <row r="286" spans="2:42" x14ac:dyDescent="0.15">
      <c r="B286" s="43" t="s">
        <v>596</v>
      </c>
      <c r="C286" s="61">
        <f>VLOOKUP(B286,[1]SYS!$F$5:$G$359,2,FALSE)</f>
        <v>155</v>
      </c>
      <c r="D286" s="1" t="s">
        <v>50</v>
      </c>
      <c r="E286" s="42" t="s">
        <v>237</v>
      </c>
      <c r="F286" s="63" t="s">
        <v>536</v>
      </c>
      <c r="G286" s="1">
        <v>3</v>
      </c>
      <c r="H286" s="1">
        <f t="shared" si="36"/>
        <v>0.3991769547325103</v>
      </c>
      <c r="I286" s="1">
        <f t="shared" si="37"/>
        <v>0.24299999999999999</v>
      </c>
      <c r="J286" s="1">
        <f t="shared" ref="J286:J421" si="51">1-Y286</f>
        <v>2.410000000000001E-2</v>
      </c>
      <c r="K286" s="1">
        <f t="shared" si="38"/>
        <v>2.3127</v>
      </c>
      <c r="L286" s="1">
        <f t="shared" si="39"/>
        <v>1.7728299999999999</v>
      </c>
      <c r="M286" s="49">
        <f t="shared" si="50"/>
        <v>0.79309738914274219</v>
      </c>
      <c r="N286" s="49">
        <v>1.1924999999999999</v>
      </c>
      <c r="O286" s="1">
        <v>1014</v>
      </c>
      <c r="P286" s="51">
        <v>0.05</v>
      </c>
      <c r="Q286" s="51">
        <v>11</v>
      </c>
      <c r="R286" s="51">
        <v>1</v>
      </c>
      <c r="S286" s="1">
        <v>1</v>
      </c>
      <c r="T286" s="1">
        <v>0</v>
      </c>
      <c r="U286" s="47">
        <v>0</v>
      </c>
      <c r="V286" s="47">
        <v>257</v>
      </c>
      <c r="W286" s="41">
        <v>97</v>
      </c>
      <c r="X286">
        <v>243</v>
      </c>
      <c r="Y286">
        <v>0.97589999999999999</v>
      </c>
      <c r="Z286">
        <v>2312.6999999999998</v>
      </c>
      <c r="AA286">
        <v>1772.83</v>
      </c>
      <c r="AB286">
        <v>119.25</v>
      </c>
      <c r="AC286">
        <v>36</v>
      </c>
      <c r="AD286" s="41">
        <f t="shared" si="40"/>
        <v>0.37185973105028758</v>
      </c>
      <c r="AE286" s="41">
        <f t="shared" si="41"/>
        <v>0.48510009419966948</v>
      </c>
      <c r="AF286">
        <f t="shared" si="42"/>
        <v>1.4141492465753425</v>
      </c>
      <c r="AG286">
        <f t="shared" si="43"/>
        <v>8.7159423082191753E-2</v>
      </c>
      <c r="AH286">
        <f t="shared" si="44"/>
        <v>1.1924999999999999</v>
      </c>
      <c r="AI286">
        <f>HLOOKUP(HLOOKUP(G286,'THP2'!$B$4:$J$8,5,FALSE),'Fuel &amp; Resister'!$B$3:$G$6,4,FALSE)</f>
        <v>2.7360666666666664</v>
      </c>
      <c r="AJ286" s="41">
        <f>HLOOKUP(HLOOKUP(G286,'THP2'!$B$4:$J$8,5,FALSE),'Fuel &amp; Resister'!$B$3:$G$6,3,FALSE)</f>
        <v>13.019</v>
      </c>
      <c r="AO286" s="62">
        <v>0</v>
      </c>
      <c r="AP286" s="62">
        <v>0</v>
      </c>
    </row>
    <row r="287" spans="2:42" x14ac:dyDescent="0.15">
      <c r="B287" s="43" t="s">
        <v>596</v>
      </c>
      <c r="C287" s="61">
        <f>VLOOKUP(B287,[1]SYS!$F$5:$G$359,2,FALSE)</f>
        <v>155</v>
      </c>
      <c r="D287" s="1" t="s">
        <v>50</v>
      </c>
      <c r="E287" s="42" t="s">
        <v>238</v>
      </c>
      <c r="F287" s="63" t="s">
        <v>536</v>
      </c>
      <c r="G287" s="1">
        <v>3</v>
      </c>
      <c r="H287" s="1">
        <f t="shared" ref="H287:H422" si="52">W287/X287</f>
        <v>0.3991769547325103</v>
      </c>
      <c r="I287" s="1">
        <f t="shared" ref="I287:I422" si="53">X287/1000</f>
        <v>0.24299999999999999</v>
      </c>
      <c r="J287" s="1">
        <f t="shared" si="51"/>
        <v>2.410000000000001E-2</v>
      </c>
      <c r="K287" s="1">
        <f t="shared" ref="K287:K422" si="54">Z287/1000</f>
        <v>2.3127</v>
      </c>
      <c r="L287" s="1">
        <f t="shared" ref="L287:L422" si="55">AA287/1000</f>
        <v>1.7728299999999999</v>
      </c>
      <c r="M287" s="49">
        <f t="shared" si="50"/>
        <v>0.79309738914274219</v>
      </c>
      <c r="N287" s="49">
        <v>1.1924999999999999</v>
      </c>
      <c r="O287" s="6">
        <v>326</v>
      </c>
      <c r="P287" s="51">
        <v>0.05</v>
      </c>
      <c r="Q287" s="51">
        <v>11</v>
      </c>
      <c r="R287" s="51">
        <v>1</v>
      </c>
      <c r="S287" s="1">
        <v>1</v>
      </c>
      <c r="T287" s="1">
        <v>0</v>
      </c>
      <c r="U287" s="47">
        <v>0</v>
      </c>
      <c r="V287" s="47">
        <v>258</v>
      </c>
      <c r="W287" s="41">
        <v>97</v>
      </c>
      <c r="X287">
        <v>243</v>
      </c>
      <c r="Y287">
        <v>0.97589999999999999</v>
      </c>
      <c r="Z287">
        <v>2312.6999999999998</v>
      </c>
      <c r="AA287">
        <v>1772.83</v>
      </c>
      <c r="AB287">
        <v>119.25</v>
      </c>
      <c r="AC287">
        <v>36</v>
      </c>
      <c r="AD287" s="41">
        <f t="shared" ref="AD287:AD422" si="56">1/Z287*860</f>
        <v>0.37185973105028758</v>
      </c>
      <c r="AE287" s="41">
        <f t="shared" ref="AE287:AE422" si="57">1/AA287*860</f>
        <v>0.48510009419966948</v>
      </c>
      <c r="AF287">
        <f t="shared" ref="AF287:AF422" si="58">(L287-H287*K287)/(1-H287)</f>
        <v>1.4141492465753425</v>
      </c>
      <c r="AG287">
        <f t="shared" ref="AG287:AG422" si="59">I287*(L287-AF287)</f>
        <v>8.7159423082191753E-2</v>
      </c>
      <c r="AH287">
        <f t="shared" ref="AH287:AH422" si="60">AB287/100</f>
        <v>1.1924999999999999</v>
      </c>
      <c r="AI287">
        <f>HLOOKUP(HLOOKUP(G287,'THP2'!$B$4:$J$8,5,FALSE),'Fuel &amp; Resister'!$B$3:$G$6,4,FALSE)</f>
        <v>2.7360666666666664</v>
      </c>
      <c r="AJ287" s="41">
        <f>HLOOKUP(HLOOKUP(G287,'THP2'!$B$4:$J$8,5,FALSE),'Fuel &amp; Resister'!$B$3:$G$6,3,FALSE)</f>
        <v>13.019</v>
      </c>
      <c r="AO287" s="62">
        <v>0</v>
      </c>
      <c r="AP287" s="62">
        <v>0</v>
      </c>
    </row>
    <row r="288" spans="2:42" x14ac:dyDescent="0.15">
      <c r="B288" s="43" t="s">
        <v>596</v>
      </c>
      <c r="C288" s="61">
        <f>VLOOKUP(B288,[1]SYS!$F$5:$G$359,2,FALSE)</f>
        <v>155</v>
      </c>
      <c r="D288" s="1" t="s">
        <v>50</v>
      </c>
      <c r="E288" s="65" t="s">
        <v>541</v>
      </c>
      <c r="F288" s="63" t="s">
        <v>544</v>
      </c>
      <c r="G288" s="1">
        <v>3</v>
      </c>
      <c r="H288" s="1">
        <f t="shared" si="52"/>
        <v>0.4</v>
      </c>
      <c r="I288" s="1">
        <f t="shared" si="53"/>
        <v>0.59499999999999997</v>
      </c>
      <c r="J288" s="1">
        <f t="shared" si="51"/>
        <v>2.6900000000000035E-2</v>
      </c>
      <c r="K288" s="1">
        <f t="shared" si="54"/>
        <v>2.1308499999999997</v>
      </c>
      <c r="L288" s="1">
        <f t="shared" si="55"/>
        <v>1.6334300000000002</v>
      </c>
      <c r="M288" s="49">
        <f t="shared" si="50"/>
        <v>1.7892484420395114</v>
      </c>
      <c r="N288" s="49">
        <f>AB288/100</f>
        <v>1.5712999999999999</v>
      </c>
      <c r="O288" s="6">
        <v>1004</v>
      </c>
      <c r="P288" s="51">
        <v>0.05</v>
      </c>
      <c r="Q288" s="51">
        <v>11</v>
      </c>
      <c r="R288" s="51">
        <v>1</v>
      </c>
      <c r="S288" s="1">
        <v>1</v>
      </c>
      <c r="T288" s="1">
        <v>0</v>
      </c>
      <c r="U288" s="47">
        <v>0</v>
      </c>
      <c r="V288" s="47"/>
      <c r="W288" s="41">
        <v>238</v>
      </c>
      <c r="X288">
        <v>595</v>
      </c>
      <c r="Y288">
        <v>0.97309999999999997</v>
      </c>
      <c r="Z288">
        <v>2130.85</v>
      </c>
      <c r="AA288">
        <v>1633.43</v>
      </c>
      <c r="AB288">
        <v>157.13</v>
      </c>
      <c r="AC288"/>
      <c r="AD288" s="41"/>
      <c r="AI288">
        <f>HLOOKUP(HLOOKUP(G288,'THP2'!$B$4:$J$8,5,FALSE),'Fuel &amp; Resister'!$B$3:$G$6,4,FALSE)</f>
        <v>2.7360666666666664</v>
      </c>
      <c r="AJ288" s="41">
        <f>HLOOKUP(HLOOKUP(G288,'THP2'!$B$4:$J$8,5,FALSE),'Fuel &amp; Resister'!$B$3:$G$6,3,FALSE)</f>
        <v>13.019</v>
      </c>
      <c r="AO288" s="1">
        <v>1</v>
      </c>
      <c r="AP288" s="62">
        <v>0</v>
      </c>
    </row>
    <row r="289" spans="2:42" x14ac:dyDescent="0.15">
      <c r="B289" s="43" t="s">
        <v>596</v>
      </c>
      <c r="C289" s="61">
        <f>VLOOKUP(B289,[1]SYS!$F$5:$G$359,2,FALSE)</f>
        <v>155</v>
      </c>
      <c r="D289" s="1" t="s">
        <v>50</v>
      </c>
      <c r="E289" s="65" t="s">
        <v>541</v>
      </c>
      <c r="F289" s="63" t="s">
        <v>544</v>
      </c>
      <c r="G289" s="1">
        <v>3</v>
      </c>
      <c r="H289" s="1">
        <f t="shared" si="52"/>
        <v>0.4</v>
      </c>
      <c r="I289" s="1">
        <f t="shared" si="53"/>
        <v>0.59499999999999997</v>
      </c>
      <c r="J289" s="1">
        <f t="shared" si="51"/>
        <v>2.6900000000000035E-2</v>
      </c>
      <c r="K289" s="1">
        <f t="shared" si="54"/>
        <v>2.1308499999999997</v>
      </c>
      <c r="L289" s="1">
        <f t="shared" si="55"/>
        <v>1.6334300000000002</v>
      </c>
      <c r="M289" s="49">
        <f t="shared" si="50"/>
        <v>1.7892484420395114</v>
      </c>
      <c r="N289" s="49">
        <f t="shared" ref="N289:N308" si="61">AB289/100</f>
        <v>1.5712999999999999</v>
      </c>
      <c r="O289" s="6">
        <v>1109</v>
      </c>
      <c r="P289" s="51">
        <v>0.05</v>
      </c>
      <c r="Q289" s="51">
        <v>11</v>
      </c>
      <c r="R289" s="51">
        <v>1</v>
      </c>
      <c r="S289" s="1">
        <v>1</v>
      </c>
      <c r="T289" s="1">
        <v>0</v>
      </c>
      <c r="U289" s="47">
        <v>0</v>
      </c>
      <c r="V289" s="47"/>
      <c r="W289" s="41">
        <v>238</v>
      </c>
      <c r="X289">
        <v>595</v>
      </c>
      <c r="Y289">
        <v>0.97309999999999997</v>
      </c>
      <c r="Z289">
        <v>2130.85</v>
      </c>
      <c r="AA289">
        <v>1633.43</v>
      </c>
      <c r="AB289">
        <v>157.13</v>
      </c>
      <c r="AC289"/>
      <c r="AD289" s="41"/>
      <c r="AI289">
        <f>HLOOKUP(HLOOKUP(G289,'THP2'!$B$4:$J$8,5,FALSE),'Fuel &amp; Resister'!$B$3:$G$6,4,FALSE)</f>
        <v>2.7360666666666664</v>
      </c>
      <c r="AJ289" s="41">
        <f>HLOOKUP(HLOOKUP(G289,'THP2'!$B$4:$J$8,5,FALSE),'Fuel &amp; Resister'!$B$3:$G$6,3,FALSE)</f>
        <v>13.019</v>
      </c>
      <c r="AO289" s="1">
        <v>1</v>
      </c>
      <c r="AP289" s="62">
        <v>0</v>
      </c>
    </row>
    <row r="290" spans="2:42" x14ac:dyDescent="0.15">
      <c r="B290" s="43" t="s">
        <v>596</v>
      </c>
      <c r="C290" s="61">
        <f>VLOOKUP(B290,[1]SYS!$F$5:$G$359,2,FALSE)</f>
        <v>155</v>
      </c>
      <c r="D290" s="1" t="s">
        <v>50</v>
      </c>
      <c r="E290" s="65" t="s">
        <v>541</v>
      </c>
      <c r="F290" s="63" t="s">
        <v>544</v>
      </c>
      <c r="G290" s="1">
        <v>3</v>
      </c>
      <c r="H290" s="1">
        <f t="shared" si="52"/>
        <v>0.4</v>
      </c>
      <c r="I290" s="1">
        <f t="shared" si="53"/>
        <v>0.59499999999999997</v>
      </c>
      <c r="J290" s="1">
        <f t="shared" si="51"/>
        <v>2.6900000000000035E-2</v>
      </c>
      <c r="K290" s="1">
        <f t="shared" si="54"/>
        <v>2.1308499999999997</v>
      </c>
      <c r="L290" s="1">
        <f t="shared" si="55"/>
        <v>1.6334300000000002</v>
      </c>
      <c r="M290" s="49">
        <f t="shared" si="50"/>
        <v>1.7892484420395114</v>
      </c>
      <c r="N290" s="49">
        <f t="shared" si="61"/>
        <v>1.5712999999999999</v>
      </c>
      <c r="O290" s="6">
        <v>704</v>
      </c>
      <c r="P290" s="51">
        <v>0.05</v>
      </c>
      <c r="Q290" s="51">
        <v>11</v>
      </c>
      <c r="R290" s="51">
        <v>1</v>
      </c>
      <c r="S290" s="1">
        <v>1</v>
      </c>
      <c r="T290" s="1">
        <v>0</v>
      </c>
      <c r="U290" s="47">
        <v>0</v>
      </c>
      <c r="V290" s="47"/>
      <c r="W290" s="41">
        <v>238</v>
      </c>
      <c r="X290">
        <v>595</v>
      </c>
      <c r="Y290">
        <v>0.97309999999999997</v>
      </c>
      <c r="Z290">
        <v>2130.85</v>
      </c>
      <c r="AA290">
        <v>1633.43</v>
      </c>
      <c r="AB290">
        <v>157.13</v>
      </c>
      <c r="AC290"/>
      <c r="AD290" s="41"/>
      <c r="AI290">
        <f>HLOOKUP(HLOOKUP(G290,'THP2'!$B$4:$J$8,5,FALSE),'Fuel &amp; Resister'!$B$3:$G$6,4,FALSE)</f>
        <v>2.7360666666666664</v>
      </c>
      <c r="AJ290" s="41">
        <f>HLOOKUP(HLOOKUP(G290,'THP2'!$B$4:$J$8,5,FALSE),'Fuel &amp; Resister'!$B$3:$G$6,3,FALSE)</f>
        <v>13.019</v>
      </c>
      <c r="AO290" s="1">
        <v>1</v>
      </c>
      <c r="AP290" s="62">
        <v>0</v>
      </c>
    </row>
    <row r="291" spans="2:42" x14ac:dyDescent="0.15">
      <c r="B291" s="43" t="s">
        <v>596</v>
      </c>
      <c r="C291" s="61">
        <f>VLOOKUP(B291,[1]SYS!$F$5:$G$359,2,FALSE)</f>
        <v>155</v>
      </c>
      <c r="D291" s="1" t="s">
        <v>50</v>
      </c>
      <c r="E291" s="65" t="s">
        <v>541</v>
      </c>
      <c r="F291" s="63" t="s">
        <v>544</v>
      </c>
      <c r="G291" s="1">
        <v>3</v>
      </c>
      <c r="H291" s="1">
        <f t="shared" si="52"/>
        <v>0.4</v>
      </c>
      <c r="I291" s="1">
        <f t="shared" si="53"/>
        <v>0.59499999999999997</v>
      </c>
      <c r="J291" s="1">
        <f t="shared" si="51"/>
        <v>2.6900000000000035E-2</v>
      </c>
      <c r="K291" s="1">
        <f t="shared" si="54"/>
        <v>2.1308499999999997</v>
      </c>
      <c r="L291" s="1">
        <f t="shared" si="55"/>
        <v>1.6334300000000002</v>
      </c>
      <c r="M291" s="49">
        <f t="shared" si="50"/>
        <v>1.7892484420395114</v>
      </c>
      <c r="N291" s="49">
        <f t="shared" si="61"/>
        <v>1.5712999999999999</v>
      </c>
      <c r="O291" s="6">
        <v>809</v>
      </c>
      <c r="P291" s="51">
        <v>0.05</v>
      </c>
      <c r="Q291" s="51">
        <v>11</v>
      </c>
      <c r="R291" s="51">
        <v>1</v>
      </c>
      <c r="S291" s="1">
        <v>1</v>
      </c>
      <c r="T291" s="1">
        <v>0</v>
      </c>
      <c r="U291" s="47">
        <v>0</v>
      </c>
      <c r="V291" s="47"/>
      <c r="W291" s="41">
        <v>238</v>
      </c>
      <c r="X291">
        <v>595</v>
      </c>
      <c r="Y291">
        <v>0.97309999999999997</v>
      </c>
      <c r="Z291">
        <v>2130.85</v>
      </c>
      <c r="AA291">
        <v>1633.43</v>
      </c>
      <c r="AB291">
        <v>157.13</v>
      </c>
      <c r="AC291"/>
      <c r="AD291" s="41"/>
      <c r="AI291">
        <f>HLOOKUP(HLOOKUP(G291,'THP2'!$B$4:$J$8,5,FALSE),'Fuel &amp; Resister'!$B$3:$G$6,4,FALSE)</f>
        <v>2.7360666666666664</v>
      </c>
      <c r="AJ291" s="41">
        <f>HLOOKUP(HLOOKUP(G291,'THP2'!$B$4:$J$8,5,FALSE),'Fuel &amp; Resister'!$B$3:$G$6,3,FALSE)</f>
        <v>13.019</v>
      </c>
      <c r="AO291" s="1">
        <v>1</v>
      </c>
      <c r="AP291" s="62">
        <v>0</v>
      </c>
    </row>
    <row r="292" spans="2:42" x14ac:dyDescent="0.15">
      <c r="B292" s="43" t="s">
        <v>596</v>
      </c>
      <c r="C292" s="61">
        <f>VLOOKUP(B292,[1]SYS!$F$5:$G$359,2,FALSE)</f>
        <v>155</v>
      </c>
      <c r="D292" s="1" t="s">
        <v>50</v>
      </c>
      <c r="E292" s="65" t="s">
        <v>541</v>
      </c>
      <c r="F292" s="63" t="s">
        <v>544</v>
      </c>
      <c r="G292" s="1">
        <v>3</v>
      </c>
      <c r="H292" s="1">
        <f t="shared" si="52"/>
        <v>0.4</v>
      </c>
      <c r="I292" s="1">
        <f t="shared" si="53"/>
        <v>0.59499999999999997</v>
      </c>
      <c r="J292" s="1">
        <f t="shared" si="51"/>
        <v>2.6900000000000035E-2</v>
      </c>
      <c r="K292" s="1">
        <f t="shared" si="54"/>
        <v>2.1308499999999997</v>
      </c>
      <c r="L292" s="1">
        <f t="shared" si="55"/>
        <v>1.6334300000000002</v>
      </c>
      <c r="M292" s="49">
        <f t="shared" si="50"/>
        <v>1.7892484420395114</v>
      </c>
      <c r="N292" s="49">
        <f t="shared" si="61"/>
        <v>1.5712999999999999</v>
      </c>
      <c r="O292" s="6">
        <v>1004</v>
      </c>
      <c r="P292" s="51">
        <v>0.05</v>
      </c>
      <c r="Q292" s="51">
        <v>11</v>
      </c>
      <c r="R292" s="51">
        <v>1</v>
      </c>
      <c r="S292" s="1">
        <v>1</v>
      </c>
      <c r="T292" s="1">
        <v>0</v>
      </c>
      <c r="U292" s="47">
        <v>0</v>
      </c>
      <c r="V292" s="47"/>
      <c r="W292" s="41">
        <v>238</v>
      </c>
      <c r="X292">
        <v>595</v>
      </c>
      <c r="Y292">
        <v>0.97309999999999997</v>
      </c>
      <c r="Z292">
        <v>2130.85</v>
      </c>
      <c r="AA292">
        <v>1633.43</v>
      </c>
      <c r="AB292">
        <v>157.13</v>
      </c>
      <c r="AC292"/>
      <c r="AD292" s="41"/>
      <c r="AI292">
        <f>HLOOKUP(HLOOKUP(G292,'THP2'!$B$4:$J$8,5,FALSE),'Fuel &amp; Resister'!$B$3:$G$6,4,FALSE)</f>
        <v>2.7360666666666664</v>
      </c>
      <c r="AJ292" s="41">
        <f>HLOOKUP(HLOOKUP(G292,'THP2'!$B$4:$J$8,5,FALSE),'Fuel &amp; Resister'!$B$3:$G$6,3,FALSE)</f>
        <v>13.019</v>
      </c>
      <c r="AO292" s="1">
        <v>1</v>
      </c>
      <c r="AP292" s="62">
        <v>0</v>
      </c>
    </row>
    <row r="293" spans="2:42" x14ac:dyDescent="0.15">
      <c r="B293" s="43" t="s">
        <v>596</v>
      </c>
      <c r="C293" s="61">
        <f>VLOOKUP(B293,[1]SYS!$F$5:$G$359,2,FALSE)</f>
        <v>155</v>
      </c>
      <c r="D293" s="1" t="s">
        <v>50</v>
      </c>
      <c r="E293" s="65" t="s">
        <v>541</v>
      </c>
      <c r="F293" s="63" t="s">
        <v>544</v>
      </c>
      <c r="G293" s="1">
        <v>3</v>
      </c>
      <c r="H293" s="1">
        <f t="shared" si="52"/>
        <v>0.4</v>
      </c>
      <c r="I293" s="1">
        <f t="shared" si="53"/>
        <v>0.59499999999999997</v>
      </c>
      <c r="J293" s="1">
        <f t="shared" si="51"/>
        <v>2.6900000000000035E-2</v>
      </c>
      <c r="K293" s="1">
        <f t="shared" si="54"/>
        <v>2.1308499999999997</v>
      </c>
      <c r="L293" s="1">
        <f t="shared" si="55"/>
        <v>1.6334300000000002</v>
      </c>
      <c r="M293" s="49">
        <f t="shared" si="50"/>
        <v>1.7892484420395114</v>
      </c>
      <c r="N293" s="49">
        <f t="shared" si="61"/>
        <v>1.5712999999999999</v>
      </c>
      <c r="O293" s="6">
        <v>1109</v>
      </c>
      <c r="P293" s="51">
        <v>0.05</v>
      </c>
      <c r="Q293" s="51">
        <v>11</v>
      </c>
      <c r="R293" s="51">
        <v>1</v>
      </c>
      <c r="S293" s="1">
        <v>1</v>
      </c>
      <c r="T293" s="1">
        <v>0</v>
      </c>
      <c r="U293" s="47">
        <v>0</v>
      </c>
      <c r="V293" s="47"/>
      <c r="W293" s="41">
        <v>238</v>
      </c>
      <c r="X293">
        <v>595</v>
      </c>
      <c r="Y293">
        <v>0.97309999999999997</v>
      </c>
      <c r="Z293">
        <v>2130.85</v>
      </c>
      <c r="AA293">
        <v>1633.43</v>
      </c>
      <c r="AB293">
        <v>157.13</v>
      </c>
      <c r="AC293"/>
      <c r="AD293" s="41"/>
      <c r="AI293">
        <f>HLOOKUP(HLOOKUP(G293,'THP2'!$B$4:$J$8,5,FALSE),'Fuel &amp; Resister'!$B$3:$G$6,4,FALSE)</f>
        <v>2.7360666666666664</v>
      </c>
      <c r="AJ293" s="41">
        <f>HLOOKUP(HLOOKUP(G293,'THP2'!$B$4:$J$8,5,FALSE),'Fuel &amp; Resister'!$B$3:$G$6,3,FALSE)</f>
        <v>13.019</v>
      </c>
      <c r="AO293" s="1">
        <v>1</v>
      </c>
      <c r="AP293" s="62">
        <v>0</v>
      </c>
    </row>
    <row r="294" spans="2:42" x14ac:dyDescent="0.15">
      <c r="B294" s="43" t="s">
        <v>596</v>
      </c>
      <c r="C294" s="61">
        <f>VLOOKUP(B294,[1]SYS!$F$5:$G$359,2,FALSE)</f>
        <v>155</v>
      </c>
      <c r="D294" s="1" t="s">
        <v>50</v>
      </c>
      <c r="E294" s="65" t="s">
        <v>541</v>
      </c>
      <c r="F294" s="63" t="s">
        <v>544</v>
      </c>
      <c r="G294" s="1">
        <v>3</v>
      </c>
      <c r="H294" s="1">
        <f t="shared" si="52"/>
        <v>0.4</v>
      </c>
      <c r="I294" s="1">
        <f t="shared" si="53"/>
        <v>0.59499999999999997</v>
      </c>
      <c r="J294" s="1">
        <f t="shared" si="51"/>
        <v>2.6900000000000035E-2</v>
      </c>
      <c r="K294" s="1">
        <f t="shared" si="54"/>
        <v>2.1308499999999997</v>
      </c>
      <c r="L294" s="1">
        <f t="shared" si="55"/>
        <v>1.6334300000000002</v>
      </c>
      <c r="M294" s="49">
        <f t="shared" si="50"/>
        <v>1.7892484420395114</v>
      </c>
      <c r="N294" s="49">
        <f t="shared" si="61"/>
        <v>1.5712999999999999</v>
      </c>
      <c r="O294" s="6">
        <v>507</v>
      </c>
      <c r="P294" s="51">
        <v>0.05</v>
      </c>
      <c r="Q294" s="51">
        <v>11</v>
      </c>
      <c r="R294" s="51">
        <v>1</v>
      </c>
      <c r="S294" s="1">
        <v>1</v>
      </c>
      <c r="T294" s="1">
        <v>0</v>
      </c>
      <c r="U294" s="47">
        <v>0</v>
      </c>
      <c r="V294" s="47"/>
      <c r="W294" s="41">
        <v>238</v>
      </c>
      <c r="X294">
        <v>595</v>
      </c>
      <c r="Y294">
        <v>0.97309999999999997</v>
      </c>
      <c r="Z294">
        <v>2130.85</v>
      </c>
      <c r="AA294">
        <v>1633.43</v>
      </c>
      <c r="AB294">
        <v>157.13</v>
      </c>
      <c r="AC294"/>
      <c r="AD294" s="41"/>
      <c r="AI294">
        <f>HLOOKUP(HLOOKUP(G294,'THP2'!$B$4:$J$8,5,FALSE),'Fuel &amp; Resister'!$B$3:$G$6,4,FALSE)</f>
        <v>2.7360666666666664</v>
      </c>
      <c r="AJ294" s="41">
        <f>HLOOKUP(HLOOKUP(G294,'THP2'!$B$4:$J$8,5,FALSE),'Fuel &amp; Resister'!$B$3:$G$6,3,FALSE)</f>
        <v>13.019</v>
      </c>
      <c r="AO294" s="1">
        <v>1</v>
      </c>
      <c r="AP294" s="62">
        <v>0</v>
      </c>
    </row>
    <row r="295" spans="2:42" x14ac:dyDescent="0.15">
      <c r="B295" s="43" t="s">
        <v>596</v>
      </c>
      <c r="C295" s="61">
        <f>VLOOKUP(B295,[1]SYS!$F$5:$G$359,2,FALSE)</f>
        <v>155</v>
      </c>
      <c r="D295" s="1" t="s">
        <v>50</v>
      </c>
      <c r="E295" s="65" t="s">
        <v>541</v>
      </c>
      <c r="F295" s="63" t="s">
        <v>544</v>
      </c>
      <c r="G295" s="1">
        <v>3</v>
      </c>
      <c r="H295" s="1">
        <f t="shared" si="52"/>
        <v>0.4</v>
      </c>
      <c r="I295" s="1">
        <f t="shared" si="53"/>
        <v>0.59499999999999997</v>
      </c>
      <c r="J295" s="1">
        <f t="shared" si="51"/>
        <v>2.6900000000000035E-2</v>
      </c>
      <c r="K295" s="1">
        <f t="shared" si="54"/>
        <v>2.1308499999999997</v>
      </c>
      <c r="L295" s="1">
        <f t="shared" si="55"/>
        <v>1.6334300000000002</v>
      </c>
      <c r="M295" s="49">
        <f t="shared" si="50"/>
        <v>1.7892484420395114</v>
      </c>
      <c r="N295" s="49">
        <f t="shared" si="61"/>
        <v>1.5712999999999999</v>
      </c>
      <c r="O295" s="6">
        <v>612</v>
      </c>
      <c r="P295" s="51">
        <v>0.05</v>
      </c>
      <c r="Q295" s="51">
        <v>11</v>
      </c>
      <c r="R295" s="51">
        <v>1</v>
      </c>
      <c r="S295" s="1">
        <v>1</v>
      </c>
      <c r="T295" s="1">
        <v>0</v>
      </c>
      <c r="U295" s="47">
        <v>0</v>
      </c>
      <c r="V295" s="47"/>
      <c r="W295" s="41">
        <v>238</v>
      </c>
      <c r="X295">
        <v>595</v>
      </c>
      <c r="Y295">
        <v>0.97309999999999997</v>
      </c>
      <c r="Z295">
        <v>2130.85</v>
      </c>
      <c r="AA295">
        <v>1633.43</v>
      </c>
      <c r="AB295">
        <v>157.13</v>
      </c>
      <c r="AC295"/>
      <c r="AD295" s="41"/>
      <c r="AI295">
        <f>HLOOKUP(HLOOKUP(G295,'THP2'!$B$4:$J$8,5,FALSE),'Fuel &amp; Resister'!$B$3:$G$6,4,FALSE)</f>
        <v>2.7360666666666664</v>
      </c>
      <c r="AJ295" s="41">
        <f>HLOOKUP(HLOOKUP(G295,'THP2'!$B$4:$J$8,5,FALSE),'Fuel &amp; Resister'!$B$3:$G$6,3,FALSE)</f>
        <v>13.019</v>
      </c>
      <c r="AO295" s="1">
        <v>1</v>
      </c>
      <c r="AP295" s="62">
        <v>0</v>
      </c>
    </row>
    <row r="296" spans="2:42" x14ac:dyDescent="0.15">
      <c r="B296" s="43" t="s">
        <v>596</v>
      </c>
      <c r="C296" s="61">
        <f>VLOOKUP(B296,[1]SYS!$F$5:$G$359,2,FALSE)</f>
        <v>155</v>
      </c>
      <c r="D296" s="1" t="s">
        <v>50</v>
      </c>
      <c r="E296" s="65" t="s">
        <v>541</v>
      </c>
      <c r="F296" s="63" t="s">
        <v>544</v>
      </c>
      <c r="G296" s="1">
        <v>3</v>
      </c>
      <c r="H296" s="1">
        <f t="shared" si="52"/>
        <v>0.4</v>
      </c>
      <c r="I296" s="1">
        <f t="shared" si="53"/>
        <v>0.59499999999999997</v>
      </c>
      <c r="J296" s="1">
        <f t="shared" si="51"/>
        <v>2.6900000000000035E-2</v>
      </c>
      <c r="K296" s="1">
        <f t="shared" si="54"/>
        <v>2.1308499999999997</v>
      </c>
      <c r="L296" s="1">
        <f t="shared" si="55"/>
        <v>1.6334300000000002</v>
      </c>
      <c r="M296" s="49">
        <f t="shared" si="50"/>
        <v>1.7892484420395114</v>
      </c>
      <c r="N296" s="49">
        <f t="shared" si="61"/>
        <v>1.5712999999999999</v>
      </c>
      <c r="O296" s="6">
        <v>507</v>
      </c>
      <c r="P296" s="51">
        <v>0.05</v>
      </c>
      <c r="Q296" s="51">
        <v>11</v>
      </c>
      <c r="R296" s="51">
        <v>1</v>
      </c>
      <c r="S296" s="1">
        <v>1</v>
      </c>
      <c r="T296" s="1">
        <v>0</v>
      </c>
      <c r="U296" s="47">
        <v>0</v>
      </c>
      <c r="V296" s="47"/>
      <c r="W296" s="41">
        <v>238</v>
      </c>
      <c r="X296">
        <v>595</v>
      </c>
      <c r="Y296">
        <v>0.97309999999999997</v>
      </c>
      <c r="Z296">
        <v>2130.85</v>
      </c>
      <c r="AA296">
        <v>1633.43</v>
      </c>
      <c r="AB296">
        <v>157.13</v>
      </c>
      <c r="AC296"/>
      <c r="AD296" s="41"/>
      <c r="AI296">
        <f>HLOOKUP(HLOOKUP(G296,'THP2'!$B$4:$J$8,5,FALSE),'Fuel &amp; Resister'!$B$3:$G$6,4,FALSE)</f>
        <v>2.7360666666666664</v>
      </c>
      <c r="AJ296" s="41">
        <f>HLOOKUP(HLOOKUP(G296,'THP2'!$B$4:$J$8,5,FALSE),'Fuel &amp; Resister'!$B$3:$G$6,3,FALSE)</f>
        <v>13.019</v>
      </c>
      <c r="AO296" s="1">
        <v>1</v>
      </c>
      <c r="AP296" s="62">
        <v>0</v>
      </c>
    </row>
    <row r="297" spans="2:42" x14ac:dyDescent="0.15">
      <c r="B297" s="43" t="s">
        <v>596</v>
      </c>
      <c r="C297" s="61">
        <f>VLOOKUP(B297,[1]SYS!$F$5:$G$359,2,FALSE)</f>
        <v>155</v>
      </c>
      <c r="D297" s="1" t="s">
        <v>50</v>
      </c>
      <c r="E297" s="65" t="s">
        <v>541</v>
      </c>
      <c r="F297" s="63" t="s">
        <v>544</v>
      </c>
      <c r="G297" s="1">
        <v>3</v>
      </c>
      <c r="H297" s="1">
        <f t="shared" si="52"/>
        <v>0.4</v>
      </c>
      <c r="I297" s="1">
        <f t="shared" si="53"/>
        <v>0.59499999999999997</v>
      </c>
      <c r="J297" s="1">
        <f t="shared" si="51"/>
        <v>2.6900000000000035E-2</v>
      </c>
      <c r="K297" s="1">
        <f t="shared" si="54"/>
        <v>2.1308499999999997</v>
      </c>
      <c r="L297" s="1">
        <f t="shared" si="55"/>
        <v>1.6334300000000002</v>
      </c>
      <c r="M297" s="49">
        <f t="shared" si="50"/>
        <v>1.7892484420395114</v>
      </c>
      <c r="N297" s="49">
        <f t="shared" si="61"/>
        <v>1.5712999999999999</v>
      </c>
      <c r="O297" s="6">
        <v>612</v>
      </c>
      <c r="P297" s="51">
        <v>0.05</v>
      </c>
      <c r="Q297" s="51">
        <v>11</v>
      </c>
      <c r="R297" s="51">
        <v>1</v>
      </c>
      <c r="S297" s="1">
        <v>1</v>
      </c>
      <c r="T297" s="1">
        <v>0</v>
      </c>
      <c r="U297" s="47">
        <v>0</v>
      </c>
      <c r="V297" s="47"/>
      <c r="W297" s="41">
        <v>238</v>
      </c>
      <c r="X297">
        <v>595</v>
      </c>
      <c r="Y297">
        <v>0.97309999999999997</v>
      </c>
      <c r="Z297">
        <v>2130.85</v>
      </c>
      <c r="AA297">
        <v>1633.43</v>
      </c>
      <c r="AB297">
        <v>157.13</v>
      </c>
      <c r="AC297"/>
      <c r="AD297" s="41"/>
      <c r="AI297">
        <f>HLOOKUP(HLOOKUP(G297,'THP2'!$B$4:$J$8,5,FALSE),'Fuel &amp; Resister'!$B$3:$G$6,4,FALSE)</f>
        <v>2.7360666666666664</v>
      </c>
      <c r="AJ297" s="41">
        <f>HLOOKUP(HLOOKUP(G297,'THP2'!$B$4:$J$8,5,FALSE),'Fuel &amp; Resister'!$B$3:$G$6,3,FALSE)</f>
        <v>13.019</v>
      </c>
      <c r="AO297" s="1">
        <v>1</v>
      </c>
      <c r="AP297" s="62">
        <v>0</v>
      </c>
    </row>
    <row r="298" spans="2:42" x14ac:dyDescent="0.15">
      <c r="B298" s="43" t="s">
        <v>596</v>
      </c>
      <c r="C298" s="61">
        <f>VLOOKUP(B298,[1]SYS!$F$5:$G$359,2,FALSE)</f>
        <v>155</v>
      </c>
      <c r="D298" s="1" t="s">
        <v>50</v>
      </c>
      <c r="E298" s="65" t="s">
        <v>541</v>
      </c>
      <c r="F298" s="63" t="s">
        <v>544</v>
      </c>
      <c r="G298" s="1">
        <v>3</v>
      </c>
      <c r="H298" s="1">
        <f t="shared" si="52"/>
        <v>0.4</v>
      </c>
      <c r="I298" s="1">
        <f t="shared" si="53"/>
        <v>0.59499999999999997</v>
      </c>
      <c r="J298" s="1">
        <f t="shared" si="51"/>
        <v>2.6900000000000035E-2</v>
      </c>
      <c r="K298" s="1">
        <f t="shared" si="54"/>
        <v>2.1308499999999997</v>
      </c>
      <c r="L298" s="1">
        <f t="shared" si="55"/>
        <v>1.6334300000000002</v>
      </c>
      <c r="M298" s="49">
        <f t="shared" si="50"/>
        <v>1.7892484420395114</v>
      </c>
      <c r="N298" s="49">
        <f t="shared" si="61"/>
        <v>1.5712999999999999</v>
      </c>
      <c r="O298" s="6">
        <v>403</v>
      </c>
      <c r="P298" s="51">
        <v>0.05</v>
      </c>
      <c r="Q298" s="51">
        <v>11</v>
      </c>
      <c r="R298" s="51">
        <v>1</v>
      </c>
      <c r="S298" s="1">
        <v>1</v>
      </c>
      <c r="T298" s="1">
        <v>0</v>
      </c>
      <c r="U298" s="47">
        <v>0</v>
      </c>
      <c r="V298" s="47"/>
      <c r="W298" s="41">
        <v>238</v>
      </c>
      <c r="X298">
        <v>595</v>
      </c>
      <c r="Y298">
        <v>0.97309999999999997</v>
      </c>
      <c r="Z298">
        <v>2130.85</v>
      </c>
      <c r="AA298">
        <v>1633.43</v>
      </c>
      <c r="AB298">
        <v>157.13</v>
      </c>
      <c r="AC298"/>
      <c r="AD298" s="41"/>
      <c r="AI298">
        <f>HLOOKUP(HLOOKUP(G298,'THP2'!$B$4:$J$8,5,FALSE),'Fuel &amp; Resister'!$B$3:$G$6,4,FALSE)</f>
        <v>2.7360666666666664</v>
      </c>
      <c r="AJ298" s="41">
        <f>HLOOKUP(HLOOKUP(G298,'THP2'!$B$4:$J$8,5,FALSE),'Fuel &amp; Resister'!$B$3:$G$6,3,FALSE)</f>
        <v>13.019</v>
      </c>
      <c r="AO298" s="1">
        <v>1</v>
      </c>
      <c r="AP298" s="62">
        <v>0</v>
      </c>
    </row>
    <row r="299" spans="2:42" x14ac:dyDescent="0.15">
      <c r="B299" s="43" t="s">
        <v>596</v>
      </c>
      <c r="C299" s="61">
        <f>VLOOKUP(B299,[1]SYS!$F$5:$G$359,2,FALSE)</f>
        <v>155</v>
      </c>
      <c r="D299" s="1" t="s">
        <v>50</v>
      </c>
      <c r="E299" s="65" t="s">
        <v>541</v>
      </c>
      <c r="F299" s="63" t="s">
        <v>544</v>
      </c>
      <c r="G299" s="1">
        <v>3</v>
      </c>
      <c r="H299" s="1">
        <f t="shared" si="52"/>
        <v>0.4</v>
      </c>
      <c r="I299" s="1">
        <f t="shared" si="53"/>
        <v>0.59499999999999997</v>
      </c>
      <c r="J299" s="1">
        <f t="shared" si="51"/>
        <v>2.6900000000000035E-2</v>
      </c>
      <c r="K299" s="1">
        <f t="shared" si="54"/>
        <v>2.1308499999999997</v>
      </c>
      <c r="L299" s="1">
        <f t="shared" si="55"/>
        <v>1.6334300000000002</v>
      </c>
      <c r="M299" s="49">
        <f t="shared" si="50"/>
        <v>1.7892484420395114</v>
      </c>
      <c r="N299" s="49">
        <f t="shared" si="61"/>
        <v>1.5712999999999999</v>
      </c>
      <c r="O299" s="6">
        <v>509</v>
      </c>
      <c r="P299" s="51">
        <v>0.05</v>
      </c>
      <c r="Q299" s="51">
        <v>11</v>
      </c>
      <c r="R299" s="51">
        <v>1</v>
      </c>
      <c r="S299" s="1">
        <v>1</v>
      </c>
      <c r="T299" s="1">
        <v>0</v>
      </c>
      <c r="U299" s="47">
        <v>0</v>
      </c>
      <c r="V299" s="47"/>
      <c r="W299" s="41">
        <v>238</v>
      </c>
      <c r="X299">
        <v>595</v>
      </c>
      <c r="Y299">
        <v>0.97309999999999997</v>
      </c>
      <c r="Z299">
        <v>2130.85</v>
      </c>
      <c r="AA299">
        <v>1633.43</v>
      </c>
      <c r="AB299">
        <v>157.13</v>
      </c>
      <c r="AC299"/>
      <c r="AD299" s="41"/>
      <c r="AI299">
        <f>HLOOKUP(HLOOKUP(G299,'THP2'!$B$4:$J$8,5,FALSE),'Fuel &amp; Resister'!$B$3:$G$6,4,FALSE)</f>
        <v>2.7360666666666664</v>
      </c>
      <c r="AJ299" s="41">
        <f>HLOOKUP(HLOOKUP(G299,'THP2'!$B$4:$J$8,5,FALSE),'Fuel &amp; Resister'!$B$3:$G$6,3,FALSE)</f>
        <v>13.019</v>
      </c>
      <c r="AO299" s="1">
        <v>1</v>
      </c>
      <c r="AP299" s="62">
        <v>0</v>
      </c>
    </row>
    <row r="300" spans="2:42" x14ac:dyDescent="0.15">
      <c r="B300" s="43" t="s">
        <v>596</v>
      </c>
      <c r="C300" s="61">
        <f>VLOOKUP(B300,[1]SYS!$F$5:$G$359,2,FALSE)</f>
        <v>155</v>
      </c>
      <c r="D300" s="1" t="s">
        <v>50</v>
      </c>
      <c r="E300" s="65" t="s">
        <v>541</v>
      </c>
      <c r="F300" s="63" t="s">
        <v>544</v>
      </c>
      <c r="G300" s="1">
        <v>3</v>
      </c>
      <c r="H300" s="1">
        <f t="shared" si="52"/>
        <v>0.4</v>
      </c>
      <c r="I300" s="1">
        <f t="shared" si="53"/>
        <v>0.59499999999999997</v>
      </c>
      <c r="J300" s="1">
        <f t="shared" si="51"/>
        <v>2.6900000000000035E-2</v>
      </c>
      <c r="K300" s="1">
        <f t="shared" si="54"/>
        <v>2.1308499999999997</v>
      </c>
      <c r="L300" s="1">
        <f t="shared" si="55"/>
        <v>1.6334300000000002</v>
      </c>
      <c r="M300" s="49">
        <f t="shared" si="50"/>
        <v>1.7892484420395114</v>
      </c>
      <c r="N300" s="49">
        <f t="shared" si="61"/>
        <v>1.5712999999999999</v>
      </c>
      <c r="O300" s="6">
        <v>903</v>
      </c>
      <c r="P300" s="51">
        <v>0.05</v>
      </c>
      <c r="Q300" s="51">
        <v>11</v>
      </c>
      <c r="R300" s="51">
        <v>1</v>
      </c>
      <c r="S300" s="1">
        <v>1</v>
      </c>
      <c r="T300" s="1">
        <v>0</v>
      </c>
      <c r="U300" s="47">
        <v>0</v>
      </c>
      <c r="V300" s="47"/>
      <c r="W300" s="41">
        <v>238</v>
      </c>
      <c r="X300">
        <v>595</v>
      </c>
      <c r="Y300">
        <v>0.97309999999999997</v>
      </c>
      <c r="Z300">
        <v>2130.85</v>
      </c>
      <c r="AA300">
        <v>1633.43</v>
      </c>
      <c r="AB300">
        <v>157.13</v>
      </c>
      <c r="AC300"/>
      <c r="AD300" s="41"/>
      <c r="AI300">
        <f>HLOOKUP(HLOOKUP(G300,'THP2'!$B$4:$J$8,5,FALSE),'Fuel &amp; Resister'!$B$3:$G$6,4,FALSE)</f>
        <v>2.7360666666666664</v>
      </c>
      <c r="AJ300" s="41">
        <f>HLOOKUP(HLOOKUP(G300,'THP2'!$B$4:$J$8,5,FALSE),'Fuel &amp; Resister'!$B$3:$G$6,3,FALSE)</f>
        <v>13.019</v>
      </c>
      <c r="AO300" s="1">
        <v>1</v>
      </c>
      <c r="AP300" s="62">
        <v>0</v>
      </c>
    </row>
    <row r="301" spans="2:42" x14ac:dyDescent="0.15">
      <c r="B301" s="43" t="s">
        <v>597</v>
      </c>
      <c r="C301" s="61">
        <f>VLOOKUP(B301,[1]SYS!$F$5:$G$359,2,FALSE)</f>
        <v>187</v>
      </c>
      <c r="D301" s="1" t="s">
        <v>50</v>
      </c>
      <c r="E301" s="65" t="s">
        <v>541</v>
      </c>
      <c r="F301" s="63" t="s">
        <v>563</v>
      </c>
      <c r="G301" s="1">
        <v>3</v>
      </c>
      <c r="H301" s="1">
        <f t="shared" si="52"/>
        <v>0.4</v>
      </c>
      <c r="I301" s="1">
        <f t="shared" si="53"/>
        <v>0.59499999999999997</v>
      </c>
      <c r="J301" s="1">
        <f t="shared" si="51"/>
        <v>2.6900000000000035E-2</v>
      </c>
      <c r="K301" s="1">
        <f t="shared" si="54"/>
        <v>2.1308499999999997</v>
      </c>
      <c r="L301" s="1">
        <f t="shared" si="55"/>
        <v>1.6334300000000002</v>
      </c>
      <c r="M301" s="49">
        <f t="shared" si="50"/>
        <v>1.7892484420395114</v>
      </c>
      <c r="N301" s="49">
        <f t="shared" si="61"/>
        <v>1.5712999999999999</v>
      </c>
      <c r="O301" s="6">
        <v>1009</v>
      </c>
      <c r="P301" s="51">
        <v>0.05</v>
      </c>
      <c r="Q301" s="51">
        <v>11</v>
      </c>
      <c r="R301" s="51">
        <v>1</v>
      </c>
      <c r="S301" s="1">
        <v>1</v>
      </c>
      <c r="T301" s="1">
        <v>0</v>
      </c>
      <c r="U301" s="47">
        <v>0</v>
      </c>
      <c r="V301" s="47"/>
      <c r="W301" s="41">
        <v>238</v>
      </c>
      <c r="X301">
        <v>595</v>
      </c>
      <c r="Y301">
        <v>0.97309999999999997</v>
      </c>
      <c r="Z301">
        <v>2130.85</v>
      </c>
      <c r="AA301">
        <v>1633.43</v>
      </c>
      <c r="AB301">
        <v>157.13</v>
      </c>
      <c r="AC301"/>
      <c r="AD301" s="41"/>
      <c r="AI301">
        <f>HLOOKUP(HLOOKUP(G301,'THP2'!$B$4:$J$8,5,FALSE),'Fuel &amp; Resister'!$B$3:$G$6,4,FALSE)</f>
        <v>2.7360666666666664</v>
      </c>
      <c r="AJ301" s="41">
        <f>HLOOKUP(HLOOKUP(G301,'THP2'!$B$4:$J$8,5,FALSE),'Fuel &amp; Resister'!$B$3:$G$6,3,FALSE)</f>
        <v>13.019</v>
      </c>
      <c r="AO301" s="1">
        <v>1</v>
      </c>
      <c r="AP301" s="62">
        <v>0</v>
      </c>
    </row>
    <row r="302" spans="2:42" x14ac:dyDescent="0.15">
      <c r="B302" s="43" t="s">
        <v>597</v>
      </c>
      <c r="C302" s="61">
        <f>VLOOKUP(B302,[1]SYS!$F$5:$G$359,2,FALSE)</f>
        <v>187</v>
      </c>
      <c r="D302" s="1" t="s">
        <v>50</v>
      </c>
      <c r="E302" s="65" t="s">
        <v>541</v>
      </c>
      <c r="F302" s="63" t="s">
        <v>563</v>
      </c>
      <c r="G302" s="1">
        <v>3</v>
      </c>
      <c r="H302" s="1">
        <f t="shared" si="52"/>
        <v>0.4</v>
      </c>
      <c r="I302" s="1">
        <f t="shared" si="53"/>
        <v>0.59499999999999997</v>
      </c>
      <c r="J302" s="1">
        <f t="shared" si="51"/>
        <v>2.6900000000000035E-2</v>
      </c>
      <c r="K302" s="1">
        <f t="shared" si="54"/>
        <v>2.1308499999999997</v>
      </c>
      <c r="L302" s="1">
        <f t="shared" si="55"/>
        <v>1.6334300000000002</v>
      </c>
      <c r="M302" s="49">
        <f t="shared" si="50"/>
        <v>1.7892484420395114</v>
      </c>
      <c r="N302" s="49">
        <f t="shared" si="61"/>
        <v>1.5712999999999999</v>
      </c>
      <c r="O302" s="6">
        <v>601</v>
      </c>
      <c r="P302" s="51">
        <v>0.05</v>
      </c>
      <c r="Q302" s="51">
        <v>11</v>
      </c>
      <c r="R302" s="51">
        <v>1</v>
      </c>
      <c r="S302" s="1">
        <v>1</v>
      </c>
      <c r="T302" s="1">
        <v>0</v>
      </c>
      <c r="U302" s="47">
        <v>0</v>
      </c>
      <c r="V302" s="47"/>
      <c r="W302" s="41">
        <v>238</v>
      </c>
      <c r="X302">
        <v>595</v>
      </c>
      <c r="Y302">
        <v>0.97309999999999997</v>
      </c>
      <c r="Z302">
        <v>2130.85</v>
      </c>
      <c r="AA302">
        <v>1633.43</v>
      </c>
      <c r="AB302">
        <v>157.13</v>
      </c>
      <c r="AC302"/>
      <c r="AD302" s="41"/>
      <c r="AI302">
        <f>HLOOKUP(HLOOKUP(G302,'THP2'!$B$4:$J$8,5,FALSE),'Fuel &amp; Resister'!$B$3:$G$6,4,FALSE)</f>
        <v>2.7360666666666664</v>
      </c>
      <c r="AJ302" s="41">
        <f>HLOOKUP(HLOOKUP(G302,'THP2'!$B$4:$J$8,5,FALSE),'Fuel &amp; Resister'!$B$3:$G$6,3,FALSE)</f>
        <v>13.019</v>
      </c>
      <c r="AO302" s="1">
        <v>1</v>
      </c>
      <c r="AP302" s="62">
        <v>0</v>
      </c>
    </row>
    <row r="303" spans="2:42" x14ac:dyDescent="0.15">
      <c r="B303" s="43" t="s">
        <v>597</v>
      </c>
      <c r="C303" s="61">
        <f>VLOOKUP(B303,[1]SYS!$F$5:$G$359,2,FALSE)</f>
        <v>187</v>
      </c>
      <c r="D303" s="1" t="s">
        <v>50</v>
      </c>
      <c r="E303" s="65" t="s">
        <v>541</v>
      </c>
      <c r="F303" s="63" t="s">
        <v>563</v>
      </c>
      <c r="G303" s="1">
        <v>3</v>
      </c>
      <c r="H303" s="1">
        <f t="shared" si="52"/>
        <v>0.4</v>
      </c>
      <c r="I303" s="1">
        <f t="shared" si="53"/>
        <v>0.59499999999999997</v>
      </c>
      <c r="J303" s="1">
        <f t="shared" si="51"/>
        <v>2.6900000000000035E-2</v>
      </c>
      <c r="K303" s="1">
        <f t="shared" si="54"/>
        <v>2.1308499999999997</v>
      </c>
      <c r="L303" s="1">
        <f t="shared" si="55"/>
        <v>1.6334300000000002</v>
      </c>
      <c r="M303" s="49">
        <f t="shared" si="50"/>
        <v>1.7892484420395114</v>
      </c>
      <c r="N303" s="49">
        <f t="shared" si="61"/>
        <v>1.5712999999999999</v>
      </c>
      <c r="O303" s="6">
        <v>707</v>
      </c>
      <c r="P303" s="51">
        <v>0.05</v>
      </c>
      <c r="Q303" s="51">
        <v>11</v>
      </c>
      <c r="R303" s="51">
        <v>1</v>
      </c>
      <c r="S303" s="1">
        <v>1</v>
      </c>
      <c r="T303" s="1">
        <v>0</v>
      </c>
      <c r="U303" s="47">
        <v>0</v>
      </c>
      <c r="V303" s="47"/>
      <c r="W303" s="41">
        <v>238</v>
      </c>
      <c r="X303">
        <v>595</v>
      </c>
      <c r="Y303">
        <v>0.97309999999999997</v>
      </c>
      <c r="Z303">
        <v>2130.85</v>
      </c>
      <c r="AA303">
        <v>1633.43</v>
      </c>
      <c r="AB303">
        <v>157.13</v>
      </c>
      <c r="AC303"/>
      <c r="AD303" s="41"/>
      <c r="AI303">
        <f>HLOOKUP(HLOOKUP(G303,'THP2'!$B$4:$J$8,5,FALSE),'Fuel &amp; Resister'!$B$3:$G$6,4,FALSE)</f>
        <v>2.7360666666666664</v>
      </c>
      <c r="AJ303" s="41">
        <f>HLOOKUP(HLOOKUP(G303,'THP2'!$B$4:$J$8,5,FALSE),'Fuel &amp; Resister'!$B$3:$G$6,3,FALSE)</f>
        <v>13.019</v>
      </c>
      <c r="AO303" s="1">
        <v>1</v>
      </c>
      <c r="AP303" s="62">
        <v>0</v>
      </c>
    </row>
    <row r="304" spans="2:42" x14ac:dyDescent="0.15">
      <c r="B304" s="43" t="s">
        <v>597</v>
      </c>
      <c r="C304" s="61">
        <f>VLOOKUP(B304,[1]SYS!$F$5:$G$359,2,FALSE)</f>
        <v>187</v>
      </c>
      <c r="D304" s="1" t="s">
        <v>50</v>
      </c>
      <c r="E304" s="65" t="s">
        <v>541</v>
      </c>
      <c r="F304" s="63" t="s">
        <v>563</v>
      </c>
      <c r="G304" s="1">
        <v>3</v>
      </c>
      <c r="H304" s="1">
        <f t="shared" si="52"/>
        <v>0.4</v>
      </c>
      <c r="I304" s="1">
        <f t="shared" si="53"/>
        <v>0.59499999999999997</v>
      </c>
      <c r="J304" s="1">
        <f t="shared" si="51"/>
        <v>2.6900000000000035E-2</v>
      </c>
      <c r="K304" s="1">
        <f t="shared" si="54"/>
        <v>2.1308499999999997</v>
      </c>
      <c r="L304" s="1">
        <f t="shared" si="55"/>
        <v>1.6334300000000002</v>
      </c>
      <c r="M304" s="49">
        <f t="shared" si="50"/>
        <v>1.7892484420395114</v>
      </c>
      <c r="N304" s="49">
        <f t="shared" si="61"/>
        <v>1.5712999999999999</v>
      </c>
      <c r="O304" s="6">
        <v>1106</v>
      </c>
      <c r="P304" s="51">
        <v>0.05</v>
      </c>
      <c r="Q304" s="51">
        <v>11</v>
      </c>
      <c r="R304" s="51">
        <v>1</v>
      </c>
      <c r="S304" s="1">
        <v>1</v>
      </c>
      <c r="T304" s="1">
        <v>0</v>
      </c>
      <c r="U304" s="47">
        <v>0</v>
      </c>
      <c r="V304" s="47"/>
      <c r="W304" s="41">
        <v>238</v>
      </c>
      <c r="X304">
        <v>595</v>
      </c>
      <c r="Y304">
        <v>0.97309999999999997</v>
      </c>
      <c r="Z304">
        <v>2130.85</v>
      </c>
      <c r="AA304">
        <v>1633.43</v>
      </c>
      <c r="AB304">
        <v>157.13</v>
      </c>
      <c r="AC304"/>
      <c r="AD304" s="41"/>
      <c r="AI304">
        <f>HLOOKUP(HLOOKUP(G304,'THP2'!$B$4:$J$8,5,FALSE),'Fuel &amp; Resister'!$B$3:$G$6,4,FALSE)</f>
        <v>2.7360666666666664</v>
      </c>
      <c r="AJ304" s="41">
        <f>HLOOKUP(HLOOKUP(G304,'THP2'!$B$4:$J$8,5,FALSE),'Fuel &amp; Resister'!$B$3:$G$6,3,FALSE)</f>
        <v>13.019</v>
      </c>
      <c r="AO304" s="1">
        <v>1</v>
      </c>
      <c r="AP304" s="62">
        <v>0</v>
      </c>
    </row>
    <row r="305" spans="1:42" x14ac:dyDescent="0.15">
      <c r="B305" s="43" t="s">
        <v>632</v>
      </c>
      <c r="C305" s="61">
        <f>VLOOKUP(B305,[1]SYS!$F$5:$G$359,2,FALSE)</f>
        <v>192</v>
      </c>
      <c r="D305" s="1" t="s">
        <v>50</v>
      </c>
      <c r="E305" s="65" t="s">
        <v>541</v>
      </c>
      <c r="F305" s="63" t="s">
        <v>562</v>
      </c>
      <c r="G305" s="1">
        <v>3</v>
      </c>
      <c r="H305" s="1">
        <f t="shared" si="52"/>
        <v>0.4</v>
      </c>
      <c r="I305" s="1">
        <f t="shared" si="53"/>
        <v>0.59499999999999997</v>
      </c>
      <c r="J305" s="1">
        <f t="shared" si="51"/>
        <v>2.6900000000000035E-2</v>
      </c>
      <c r="K305" s="1">
        <f t="shared" si="54"/>
        <v>2.1308499999999997</v>
      </c>
      <c r="L305" s="1">
        <f t="shared" si="55"/>
        <v>1.6334300000000002</v>
      </c>
      <c r="M305" s="49">
        <f t="shared" si="50"/>
        <v>1.7892484420395114</v>
      </c>
      <c r="N305" s="49">
        <f t="shared" si="61"/>
        <v>1.5712999999999999</v>
      </c>
      <c r="O305" s="6">
        <v>1212</v>
      </c>
      <c r="P305" s="51">
        <v>0.05</v>
      </c>
      <c r="Q305" s="51">
        <v>11</v>
      </c>
      <c r="R305" s="51">
        <v>1</v>
      </c>
      <c r="S305" s="1">
        <v>1</v>
      </c>
      <c r="T305" s="1">
        <v>0</v>
      </c>
      <c r="U305" s="47">
        <v>0</v>
      </c>
      <c r="V305" s="47"/>
      <c r="W305" s="41">
        <v>238</v>
      </c>
      <c r="X305">
        <v>595</v>
      </c>
      <c r="Y305">
        <v>0.97309999999999997</v>
      </c>
      <c r="Z305">
        <v>2130.85</v>
      </c>
      <c r="AA305">
        <v>1633.43</v>
      </c>
      <c r="AB305">
        <v>157.13</v>
      </c>
      <c r="AC305"/>
      <c r="AD305" s="41"/>
      <c r="AI305">
        <f>HLOOKUP(HLOOKUP(G305,'THP2'!$B$4:$J$8,5,FALSE),'Fuel &amp; Resister'!$B$3:$G$6,4,FALSE)</f>
        <v>2.7360666666666664</v>
      </c>
      <c r="AJ305" s="41">
        <f>HLOOKUP(HLOOKUP(G305,'THP2'!$B$4:$J$8,5,FALSE),'Fuel &amp; Resister'!$B$3:$G$6,3,FALSE)</f>
        <v>13.019</v>
      </c>
      <c r="AO305" s="1">
        <v>1</v>
      </c>
      <c r="AP305" s="62">
        <v>0</v>
      </c>
    </row>
    <row r="306" spans="1:42" x14ac:dyDescent="0.15">
      <c r="B306" s="43" t="s">
        <v>632</v>
      </c>
      <c r="C306" s="61">
        <f>VLOOKUP(B306,[1]SYS!$F$5:$G$359,2,FALSE)</f>
        <v>192</v>
      </c>
      <c r="D306" s="1" t="s">
        <v>50</v>
      </c>
      <c r="E306" s="65" t="s">
        <v>541</v>
      </c>
      <c r="F306" s="63" t="s">
        <v>562</v>
      </c>
      <c r="G306" s="1">
        <v>3</v>
      </c>
      <c r="H306" s="1">
        <f t="shared" si="52"/>
        <v>0.4</v>
      </c>
      <c r="I306" s="1">
        <f t="shared" si="53"/>
        <v>0.59499999999999997</v>
      </c>
      <c r="J306" s="1">
        <f t="shared" si="51"/>
        <v>2.6900000000000035E-2</v>
      </c>
      <c r="K306" s="1">
        <f t="shared" si="54"/>
        <v>2.1308499999999997</v>
      </c>
      <c r="L306" s="1">
        <f t="shared" si="55"/>
        <v>1.6334300000000002</v>
      </c>
      <c r="M306" s="49">
        <f t="shared" si="50"/>
        <v>1.7892484420395114</v>
      </c>
      <c r="N306" s="49">
        <f t="shared" si="61"/>
        <v>1.5712999999999999</v>
      </c>
      <c r="O306" s="6">
        <v>403</v>
      </c>
      <c r="P306" s="51">
        <v>0.05</v>
      </c>
      <c r="Q306" s="51">
        <v>11</v>
      </c>
      <c r="R306" s="51">
        <v>1</v>
      </c>
      <c r="S306" s="1">
        <v>1</v>
      </c>
      <c r="T306" s="1">
        <v>0</v>
      </c>
      <c r="U306" s="47">
        <v>0</v>
      </c>
      <c r="V306" s="47"/>
      <c r="W306" s="41">
        <v>238</v>
      </c>
      <c r="X306">
        <v>595</v>
      </c>
      <c r="Y306">
        <v>0.97309999999999997</v>
      </c>
      <c r="Z306">
        <v>2130.85</v>
      </c>
      <c r="AA306">
        <v>1633.43</v>
      </c>
      <c r="AB306">
        <v>157.13</v>
      </c>
      <c r="AC306"/>
      <c r="AD306" s="41"/>
      <c r="AI306">
        <f>HLOOKUP(HLOOKUP(G306,'THP2'!$B$4:$J$8,5,FALSE),'Fuel &amp; Resister'!$B$3:$G$6,4,FALSE)</f>
        <v>2.7360666666666664</v>
      </c>
      <c r="AJ306" s="41">
        <f>HLOOKUP(HLOOKUP(G306,'THP2'!$B$4:$J$8,5,FALSE),'Fuel &amp; Resister'!$B$3:$G$6,3,FALSE)</f>
        <v>13.019</v>
      </c>
      <c r="AO306" s="1">
        <v>1</v>
      </c>
      <c r="AP306" s="62">
        <v>0</v>
      </c>
    </row>
    <row r="307" spans="1:42" x14ac:dyDescent="0.15">
      <c r="B307" s="43" t="s">
        <v>632</v>
      </c>
      <c r="C307" s="61">
        <f>VLOOKUP(B307,[1]SYS!$F$5:$G$359,2,FALSE)</f>
        <v>192</v>
      </c>
      <c r="D307" s="1" t="s">
        <v>50</v>
      </c>
      <c r="E307" s="65" t="s">
        <v>541</v>
      </c>
      <c r="F307" s="63" t="s">
        <v>562</v>
      </c>
      <c r="G307" s="1">
        <v>3</v>
      </c>
      <c r="H307" s="1">
        <f t="shared" si="52"/>
        <v>0.4</v>
      </c>
      <c r="I307" s="1">
        <f t="shared" si="53"/>
        <v>0.59499999999999997</v>
      </c>
      <c r="J307" s="1">
        <f t="shared" si="51"/>
        <v>2.6900000000000035E-2</v>
      </c>
      <c r="K307" s="1">
        <f t="shared" si="54"/>
        <v>2.1308499999999997</v>
      </c>
      <c r="L307" s="1">
        <f t="shared" si="55"/>
        <v>1.6334300000000002</v>
      </c>
      <c r="M307" s="49">
        <f t="shared" si="50"/>
        <v>1.7892484420395114</v>
      </c>
      <c r="N307" s="49">
        <f t="shared" si="61"/>
        <v>1.5712999999999999</v>
      </c>
      <c r="O307" s="6">
        <v>509</v>
      </c>
      <c r="P307" s="51">
        <v>0.05</v>
      </c>
      <c r="Q307" s="51">
        <v>11</v>
      </c>
      <c r="R307" s="51">
        <v>1</v>
      </c>
      <c r="S307" s="1">
        <v>1</v>
      </c>
      <c r="T307" s="1">
        <v>0</v>
      </c>
      <c r="U307" s="47">
        <v>0</v>
      </c>
      <c r="V307" s="47"/>
      <c r="W307" s="41">
        <v>238</v>
      </c>
      <c r="X307">
        <v>595</v>
      </c>
      <c r="Y307">
        <v>0.97309999999999997</v>
      </c>
      <c r="Z307">
        <v>2130.85</v>
      </c>
      <c r="AA307">
        <v>1633.43</v>
      </c>
      <c r="AB307">
        <v>157.13</v>
      </c>
      <c r="AC307"/>
      <c r="AD307" s="41"/>
      <c r="AI307">
        <f>HLOOKUP(HLOOKUP(G307,'THP2'!$B$4:$J$8,5,FALSE),'Fuel &amp; Resister'!$B$3:$G$6,4,FALSE)</f>
        <v>2.7360666666666664</v>
      </c>
      <c r="AJ307" s="41">
        <f>HLOOKUP(HLOOKUP(G307,'THP2'!$B$4:$J$8,5,FALSE),'Fuel &amp; Resister'!$B$3:$G$6,3,FALSE)</f>
        <v>13.019</v>
      </c>
      <c r="AO307" s="1">
        <v>1</v>
      </c>
      <c r="AP307" s="62">
        <v>0</v>
      </c>
    </row>
    <row r="308" spans="1:42" x14ac:dyDescent="0.15">
      <c r="B308" s="43" t="s">
        <v>632</v>
      </c>
      <c r="C308" s="61">
        <f>VLOOKUP(B308,[1]SYS!$F$5:$G$359,2,FALSE)</f>
        <v>192</v>
      </c>
      <c r="D308" s="1" t="s">
        <v>50</v>
      </c>
      <c r="E308" s="65" t="s">
        <v>541</v>
      </c>
      <c r="F308" s="63" t="s">
        <v>562</v>
      </c>
      <c r="G308" s="1">
        <v>3</v>
      </c>
      <c r="H308" s="1">
        <f t="shared" si="52"/>
        <v>0.4</v>
      </c>
      <c r="I308" s="1">
        <f t="shared" si="53"/>
        <v>0.59499999999999997</v>
      </c>
      <c r="J308" s="1">
        <f t="shared" si="51"/>
        <v>2.6900000000000035E-2</v>
      </c>
      <c r="K308" s="1">
        <f t="shared" si="54"/>
        <v>2.1308499999999997</v>
      </c>
      <c r="L308" s="1">
        <f t="shared" si="55"/>
        <v>1.6334300000000002</v>
      </c>
      <c r="M308" s="49">
        <f t="shared" si="50"/>
        <v>1.7892484420395114</v>
      </c>
      <c r="N308" s="49">
        <f t="shared" si="61"/>
        <v>1.5712999999999999</v>
      </c>
      <c r="O308" s="6">
        <v>903</v>
      </c>
      <c r="P308" s="51">
        <v>0.05</v>
      </c>
      <c r="Q308" s="51">
        <v>11</v>
      </c>
      <c r="R308" s="51">
        <v>1</v>
      </c>
      <c r="S308" s="1">
        <v>1</v>
      </c>
      <c r="T308" s="1">
        <v>0</v>
      </c>
      <c r="U308" s="47">
        <v>0</v>
      </c>
      <c r="V308" s="47"/>
      <c r="W308" s="41">
        <v>238</v>
      </c>
      <c r="X308">
        <v>595</v>
      </c>
      <c r="Y308">
        <v>0.97309999999999997</v>
      </c>
      <c r="Z308">
        <v>2130.85</v>
      </c>
      <c r="AA308">
        <v>1633.43</v>
      </c>
      <c r="AB308">
        <v>157.13</v>
      </c>
      <c r="AC308"/>
      <c r="AD308" s="41"/>
      <c r="AI308">
        <f>HLOOKUP(HLOOKUP(G308,'THP2'!$B$4:$J$8,5,FALSE),'Fuel &amp; Resister'!$B$3:$G$6,4,FALSE)</f>
        <v>2.7360666666666664</v>
      </c>
      <c r="AJ308" s="41">
        <f>HLOOKUP(HLOOKUP(G308,'THP2'!$B$4:$J$8,5,FALSE),'Fuel &amp; Resister'!$B$3:$G$6,3,FALSE)</f>
        <v>13.019</v>
      </c>
      <c r="AO308" s="1">
        <v>1</v>
      </c>
      <c r="AP308" s="62">
        <v>0</v>
      </c>
    </row>
    <row r="309" spans="1:42" x14ac:dyDescent="0.15">
      <c r="B309" s="43" t="s">
        <v>633</v>
      </c>
      <c r="C309" s="61">
        <f>VLOOKUP(B309,[1]SYS!$F$5:$G$359,2,FALSE)</f>
        <v>206</v>
      </c>
      <c r="D309" s="1" t="s">
        <v>50</v>
      </c>
      <c r="E309" s="65" t="s">
        <v>239</v>
      </c>
      <c r="F309" s="63" t="s">
        <v>545</v>
      </c>
      <c r="G309" s="1">
        <v>3</v>
      </c>
      <c r="H309" s="1">
        <f t="shared" si="52"/>
        <v>0.4</v>
      </c>
      <c r="I309" s="1">
        <f t="shared" si="53"/>
        <v>0.42499999999999999</v>
      </c>
      <c r="J309" s="1">
        <f t="shared" si="51"/>
        <v>2.0000000000000018E-2</v>
      </c>
      <c r="K309" s="1">
        <f t="shared" si="54"/>
        <v>2.1127899999999999</v>
      </c>
      <c r="L309" s="1">
        <f t="shared" si="55"/>
        <v>1.6195899999999999</v>
      </c>
      <c r="M309" s="49">
        <f t="shared" si="50"/>
        <v>1.2672058552698364</v>
      </c>
      <c r="N309" s="49">
        <v>1.8825000000000001</v>
      </c>
      <c r="O309" s="1">
        <v>807</v>
      </c>
      <c r="P309" s="51">
        <v>0.05</v>
      </c>
      <c r="Q309" s="51">
        <v>11</v>
      </c>
      <c r="R309" s="51">
        <v>1</v>
      </c>
      <c r="S309" s="1">
        <v>1</v>
      </c>
      <c r="T309" s="1">
        <v>0</v>
      </c>
      <c r="U309" s="47">
        <v>0</v>
      </c>
      <c r="V309" s="47">
        <v>259</v>
      </c>
      <c r="W309" s="41">
        <v>170</v>
      </c>
      <c r="X309">
        <v>425</v>
      </c>
      <c r="Y309">
        <v>0.98</v>
      </c>
      <c r="Z309">
        <v>2112.79</v>
      </c>
      <c r="AA309">
        <v>1619.59</v>
      </c>
      <c r="AB309">
        <v>188.25</v>
      </c>
      <c r="AC309">
        <v>36</v>
      </c>
      <c r="AD309" s="41">
        <f t="shared" si="56"/>
        <v>0.40704471338845793</v>
      </c>
      <c r="AE309" s="41">
        <f t="shared" si="57"/>
        <v>0.53099858606190453</v>
      </c>
      <c r="AF309">
        <f t="shared" si="58"/>
        <v>1.2907899999999999</v>
      </c>
      <c r="AG309">
        <f t="shared" si="59"/>
        <v>0.13973999999999998</v>
      </c>
      <c r="AH309">
        <f t="shared" si="60"/>
        <v>1.8825000000000001</v>
      </c>
      <c r="AI309">
        <f>HLOOKUP(HLOOKUP(G309,'THP2'!$B$4:$J$8,5,FALSE),'Fuel &amp; Resister'!$B$3:$G$6,4,FALSE)</f>
        <v>2.7360666666666664</v>
      </c>
      <c r="AJ309" s="41">
        <f>HLOOKUP(HLOOKUP(G309,'THP2'!$B$4:$J$8,5,FALSE),'Fuel &amp; Resister'!$B$3:$G$6,3,FALSE)</f>
        <v>13.019</v>
      </c>
      <c r="AO309" s="1">
        <v>1</v>
      </c>
      <c r="AP309" s="62">
        <v>0</v>
      </c>
    </row>
    <row r="310" spans="1:42" x14ac:dyDescent="0.15">
      <c r="B310" s="43" t="s">
        <v>633</v>
      </c>
      <c r="C310" s="61">
        <f>VLOOKUP(B310,[1]SYS!$F$5:$G$359,2,FALSE)</f>
        <v>206</v>
      </c>
      <c r="D310" s="1" t="s">
        <v>50</v>
      </c>
      <c r="E310" s="65" t="s">
        <v>239</v>
      </c>
      <c r="F310" s="63" t="s">
        <v>545</v>
      </c>
      <c r="G310" s="1">
        <v>3</v>
      </c>
      <c r="H310" s="1">
        <f t="shared" si="52"/>
        <v>0.4</v>
      </c>
      <c r="I310" s="1">
        <f t="shared" si="53"/>
        <v>0.42499999999999999</v>
      </c>
      <c r="J310" s="1">
        <f t="shared" si="51"/>
        <v>2.0000000000000018E-2</v>
      </c>
      <c r="K310" s="1">
        <f t="shared" si="54"/>
        <v>2.1127899999999999</v>
      </c>
      <c r="L310" s="1">
        <f t="shared" si="55"/>
        <v>1.6195899999999999</v>
      </c>
      <c r="M310" s="49">
        <f t="shared" si="50"/>
        <v>1.2672058552698364</v>
      </c>
      <c r="N310" s="49">
        <v>1.8825000000000001</v>
      </c>
      <c r="O310" s="1">
        <v>912</v>
      </c>
      <c r="P310" s="51">
        <v>0.05</v>
      </c>
      <c r="Q310" s="51">
        <v>11</v>
      </c>
      <c r="R310" s="51">
        <v>1</v>
      </c>
      <c r="S310" s="1">
        <v>1</v>
      </c>
      <c r="T310" s="1">
        <v>0</v>
      </c>
      <c r="U310" s="47">
        <v>0</v>
      </c>
      <c r="V310" s="47">
        <v>260</v>
      </c>
      <c r="W310" s="41">
        <v>170</v>
      </c>
      <c r="X310">
        <v>425</v>
      </c>
      <c r="Y310">
        <v>0.98</v>
      </c>
      <c r="Z310">
        <v>2112.79</v>
      </c>
      <c r="AA310">
        <v>1619.59</v>
      </c>
      <c r="AB310">
        <v>188.25</v>
      </c>
      <c r="AC310">
        <v>36</v>
      </c>
      <c r="AD310" s="41">
        <f t="shared" si="56"/>
        <v>0.40704471338845793</v>
      </c>
      <c r="AE310" s="41">
        <f t="shared" si="57"/>
        <v>0.53099858606190453</v>
      </c>
      <c r="AF310">
        <f t="shared" si="58"/>
        <v>1.2907899999999999</v>
      </c>
      <c r="AG310">
        <f t="shared" si="59"/>
        <v>0.13973999999999998</v>
      </c>
      <c r="AH310">
        <f t="shared" si="60"/>
        <v>1.8825000000000001</v>
      </c>
      <c r="AI310">
        <f>HLOOKUP(HLOOKUP(G310,'THP2'!$B$4:$J$8,5,FALSE),'Fuel &amp; Resister'!$B$3:$G$6,4,FALSE)</f>
        <v>2.7360666666666664</v>
      </c>
      <c r="AJ310" s="41">
        <f>HLOOKUP(HLOOKUP(G310,'THP2'!$B$4:$J$8,5,FALSE),'Fuel &amp; Resister'!$B$3:$G$6,3,FALSE)</f>
        <v>13.019</v>
      </c>
      <c r="AO310" s="1">
        <v>1</v>
      </c>
      <c r="AP310" s="62">
        <v>0</v>
      </c>
    </row>
    <row r="311" spans="1:42" x14ac:dyDescent="0.15">
      <c r="B311" s="43" t="s">
        <v>633</v>
      </c>
      <c r="C311" s="61">
        <f>VLOOKUP(B311,[1]SYS!$F$5:$G$359,2,FALSE)</f>
        <v>206</v>
      </c>
      <c r="D311" s="1" t="s">
        <v>50</v>
      </c>
      <c r="E311" s="65" t="s">
        <v>239</v>
      </c>
      <c r="F311" s="63" t="s">
        <v>545</v>
      </c>
      <c r="G311" s="1">
        <v>3</v>
      </c>
      <c r="H311" s="1">
        <f t="shared" si="52"/>
        <v>0.4</v>
      </c>
      <c r="I311" s="1">
        <f t="shared" si="53"/>
        <v>0.42499999999999999</v>
      </c>
      <c r="J311" s="1">
        <f t="shared" si="51"/>
        <v>2.0000000000000018E-2</v>
      </c>
      <c r="K311" s="1">
        <f t="shared" si="54"/>
        <v>2.1127899999999999</v>
      </c>
      <c r="L311" s="1">
        <f t="shared" si="55"/>
        <v>1.6195899999999999</v>
      </c>
      <c r="M311" s="49">
        <f t="shared" si="50"/>
        <v>1.2672058552698364</v>
      </c>
      <c r="N311" s="49">
        <v>1.8825000000000001</v>
      </c>
      <c r="O311" s="1">
        <v>504</v>
      </c>
      <c r="P311" s="51">
        <v>0.05</v>
      </c>
      <c r="Q311" s="51">
        <v>11</v>
      </c>
      <c r="R311" s="51">
        <v>1</v>
      </c>
      <c r="S311" s="1">
        <v>1</v>
      </c>
      <c r="T311" s="1">
        <v>0</v>
      </c>
      <c r="U311" s="47">
        <v>0</v>
      </c>
      <c r="V311" s="47">
        <v>261</v>
      </c>
      <c r="W311" s="41">
        <v>170</v>
      </c>
      <c r="X311">
        <v>425</v>
      </c>
      <c r="Y311">
        <v>0.98</v>
      </c>
      <c r="Z311">
        <v>2112.79</v>
      </c>
      <c r="AA311">
        <v>1619.59</v>
      </c>
      <c r="AB311">
        <v>188.25</v>
      </c>
      <c r="AC311">
        <v>36</v>
      </c>
      <c r="AD311" s="41">
        <f t="shared" si="56"/>
        <v>0.40704471338845793</v>
      </c>
      <c r="AE311" s="41">
        <f t="shared" si="57"/>
        <v>0.53099858606190453</v>
      </c>
      <c r="AF311">
        <f t="shared" si="58"/>
        <v>1.2907899999999999</v>
      </c>
      <c r="AG311">
        <f t="shared" si="59"/>
        <v>0.13973999999999998</v>
      </c>
      <c r="AH311">
        <f t="shared" si="60"/>
        <v>1.8825000000000001</v>
      </c>
      <c r="AI311">
        <f>HLOOKUP(HLOOKUP(G311,'THP2'!$B$4:$J$8,5,FALSE),'Fuel &amp; Resister'!$B$3:$G$6,4,FALSE)</f>
        <v>2.7360666666666664</v>
      </c>
      <c r="AJ311" s="41">
        <f>HLOOKUP(HLOOKUP(G311,'THP2'!$B$4:$J$8,5,FALSE),'Fuel &amp; Resister'!$B$3:$G$6,3,FALSE)</f>
        <v>13.019</v>
      </c>
      <c r="AO311" s="1">
        <v>1</v>
      </c>
      <c r="AP311" s="62">
        <v>0</v>
      </c>
    </row>
    <row r="312" spans="1:42" x14ac:dyDescent="0.15">
      <c r="A312"/>
      <c r="B312" s="43" t="s">
        <v>633</v>
      </c>
      <c r="C312" s="61">
        <f>VLOOKUP(B312,[1]SYS!$F$5:$G$359,2,FALSE)</f>
        <v>206</v>
      </c>
      <c r="D312" s="1" t="s">
        <v>50</v>
      </c>
      <c r="E312" s="65" t="s">
        <v>239</v>
      </c>
      <c r="F312" s="63" t="s">
        <v>545</v>
      </c>
      <c r="G312" s="1">
        <v>3</v>
      </c>
      <c r="H312" s="1">
        <f t="shared" si="52"/>
        <v>0.4</v>
      </c>
      <c r="I312" s="1">
        <f t="shared" si="53"/>
        <v>0.42499999999999999</v>
      </c>
      <c r="J312" s="1">
        <f t="shared" si="51"/>
        <v>2.0000000000000018E-2</v>
      </c>
      <c r="K312" s="1">
        <f t="shared" si="54"/>
        <v>2.1127899999999999</v>
      </c>
      <c r="L312" s="1">
        <f t="shared" si="55"/>
        <v>1.6195899999999999</v>
      </c>
      <c r="M312" s="49">
        <f t="shared" si="50"/>
        <v>1.2672058552698364</v>
      </c>
      <c r="N312" s="49">
        <v>1.8825000000000001</v>
      </c>
      <c r="O312" s="1">
        <v>609</v>
      </c>
      <c r="P312" s="51">
        <v>0.05</v>
      </c>
      <c r="Q312" s="51">
        <v>11</v>
      </c>
      <c r="R312" s="51">
        <v>1</v>
      </c>
      <c r="S312" s="1">
        <v>1</v>
      </c>
      <c r="T312" s="1">
        <v>0</v>
      </c>
      <c r="U312" s="47">
        <v>0</v>
      </c>
      <c r="V312" s="47"/>
      <c r="W312" s="41">
        <v>170</v>
      </c>
      <c r="X312">
        <v>425</v>
      </c>
      <c r="Y312">
        <v>0.98</v>
      </c>
      <c r="Z312">
        <v>2112.79</v>
      </c>
      <c r="AA312">
        <v>1619.59</v>
      </c>
      <c r="AB312">
        <v>188.25</v>
      </c>
      <c r="AC312"/>
      <c r="AD312" s="41">
        <f t="shared" si="56"/>
        <v>0.40704471338845793</v>
      </c>
      <c r="AE312" s="41">
        <f t="shared" si="57"/>
        <v>0.53099858606190453</v>
      </c>
      <c r="AF312">
        <f t="shared" si="58"/>
        <v>1.2907899999999999</v>
      </c>
      <c r="AG312">
        <f t="shared" si="59"/>
        <v>0.13973999999999998</v>
      </c>
      <c r="AH312">
        <f t="shared" si="60"/>
        <v>1.8825000000000001</v>
      </c>
      <c r="AI312">
        <f>HLOOKUP(HLOOKUP(G312,'THP2'!$B$4:$J$8,5,FALSE),'Fuel &amp; Resister'!$B$3:$G$6,4,FALSE)</f>
        <v>2.7360666666666664</v>
      </c>
      <c r="AJ312" s="41">
        <f>HLOOKUP(HLOOKUP(G312,'THP2'!$B$4:$J$8,5,FALSE),'Fuel &amp; Resister'!$B$3:$G$6,3,FALSE)</f>
        <v>13.019</v>
      </c>
      <c r="AO312" s="1">
        <v>1</v>
      </c>
      <c r="AP312" s="62">
        <v>0</v>
      </c>
    </row>
    <row r="313" spans="1:42" x14ac:dyDescent="0.15">
      <c r="A313"/>
      <c r="B313" s="43" t="s">
        <v>633</v>
      </c>
      <c r="C313" s="61">
        <f>VLOOKUP(B313,[1]SYS!$F$5:$G$359,2,FALSE)</f>
        <v>206</v>
      </c>
      <c r="D313" s="1" t="s">
        <v>50</v>
      </c>
      <c r="E313" s="65" t="s">
        <v>239</v>
      </c>
      <c r="F313" s="63" t="s">
        <v>545</v>
      </c>
      <c r="G313" s="1">
        <v>3</v>
      </c>
      <c r="H313" s="1">
        <f t="shared" si="52"/>
        <v>0.4</v>
      </c>
      <c r="I313" s="1">
        <f t="shared" si="53"/>
        <v>0.42499999999999999</v>
      </c>
      <c r="J313" s="1">
        <f t="shared" si="51"/>
        <v>2.0000000000000018E-2</v>
      </c>
      <c r="K313" s="1">
        <f t="shared" si="54"/>
        <v>2.1127899999999999</v>
      </c>
      <c r="L313" s="1">
        <f t="shared" si="55"/>
        <v>1.6195899999999999</v>
      </c>
      <c r="M313" s="49">
        <f t="shared" si="50"/>
        <v>1.2672058552698364</v>
      </c>
      <c r="N313" s="49">
        <v>1.8825000000000001</v>
      </c>
      <c r="O313" s="1">
        <v>1004</v>
      </c>
      <c r="P313" s="51">
        <v>0.05</v>
      </c>
      <c r="Q313" s="51">
        <v>11</v>
      </c>
      <c r="R313" s="51">
        <v>1</v>
      </c>
      <c r="S313" s="1">
        <v>1</v>
      </c>
      <c r="T313" s="1">
        <v>0</v>
      </c>
      <c r="U313" s="47">
        <v>0</v>
      </c>
      <c r="V313" s="47"/>
      <c r="W313" s="41">
        <v>170</v>
      </c>
      <c r="X313">
        <v>425</v>
      </c>
      <c r="Y313">
        <v>0.98</v>
      </c>
      <c r="Z313">
        <v>2112.79</v>
      </c>
      <c r="AA313">
        <v>1619.59</v>
      </c>
      <c r="AB313">
        <v>188.25</v>
      </c>
      <c r="AC313"/>
      <c r="AD313" s="41">
        <f t="shared" si="56"/>
        <v>0.40704471338845793</v>
      </c>
      <c r="AE313" s="41">
        <f t="shared" si="57"/>
        <v>0.53099858606190453</v>
      </c>
      <c r="AF313">
        <f t="shared" si="58"/>
        <v>1.2907899999999999</v>
      </c>
      <c r="AG313">
        <f t="shared" si="59"/>
        <v>0.13973999999999998</v>
      </c>
      <c r="AH313">
        <f t="shared" si="60"/>
        <v>1.8825000000000001</v>
      </c>
      <c r="AI313">
        <f>HLOOKUP(HLOOKUP(G313,'THP2'!$B$4:$J$8,5,FALSE),'Fuel &amp; Resister'!$B$3:$G$6,4,FALSE)</f>
        <v>2.7360666666666664</v>
      </c>
      <c r="AJ313" s="41">
        <f>HLOOKUP(HLOOKUP(G313,'THP2'!$B$4:$J$8,5,FALSE),'Fuel &amp; Resister'!$B$3:$G$6,3,FALSE)</f>
        <v>13.019</v>
      </c>
      <c r="AO313" s="1">
        <v>1</v>
      </c>
      <c r="AP313" s="62">
        <v>0</v>
      </c>
    </row>
    <row r="314" spans="1:42" x14ac:dyDescent="0.15">
      <c r="A314"/>
      <c r="B314" s="43" t="s">
        <v>633</v>
      </c>
      <c r="C314" s="61">
        <f>VLOOKUP(B314,[1]SYS!$F$5:$G$359,2,FALSE)</f>
        <v>206</v>
      </c>
      <c r="D314" s="1" t="s">
        <v>50</v>
      </c>
      <c r="E314" s="65" t="s">
        <v>239</v>
      </c>
      <c r="F314" s="63" t="s">
        <v>545</v>
      </c>
      <c r="G314" s="1">
        <v>3</v>
      </c>
      <c r="H314" s="1">
        <f t="shared" si="52"/>
        <v>0.4</v>
      </c>
      <c r="I314" s="1">
        <f t="shared" si="53"/>
        <v>0.42499999999999999</v>
      </c>
      <c r="J314" s="1">
        <f t="shared" si="51"/>
        <v>2.0000000000000018E-2</v>
      </c>
      <c r="K314" s="1">
        <f t="shared" si="54"/>
        <v>2.1127899999999999</v>
      </c>
      <c r="L314" s="1">
        <f t="shared" si="55"/>
        <v>1.6195899999999999</v>
      </c>
      <c r="M314" s="49">
        <f t="shared" si="50"/>
        <v>1.2672058552698364</v>
      </c>
      <c r="N314" s="49">
        <v>1.8825000000000001</v>
      </c>
      <c r="O314" s="1">
        <v>1109</v>
      </c>
      <c r="P314" s="51">
        <v>0.05</v>
      </c>
      <c r="Q314" s="51">
        <v>11</v>
      </c>
      <c r="R314" s="51">
        <v>1</v>
      </c>
      <c r="S314" s="1">
        <v>1</v>
      </c>
      <c r="T314" s="1">
        <v>0</v>
      </c>
      <c r="U314" s="47">
        <v>0</v>
      </c>
      <c r="V314" s="47"/>
      <c r="W314" s="41">
        <v>170</v>
      </c>
      <c r="X314">
        <v>425</v>
      </c>
      <c r="Y314">
        <v>0.98</v>
      </c>
      <c r="Z314">
        <v>2112.79</v>
      </c>
      <c r="AA314">
        <v>1619.59</v>
      </c>
      <c r="AB314">
        <v>188.25</v>
      </c>
      <c r="AC314"/>
      <c r="AD314" s="41">
        <f t="shared" si="56"/>
        <v>0.40704471338845793</v>
      </c>
      <c r="AE314" s="41">
        <f t="shared" si="57"/>
        <v>0.53099858606190453</v>
      </c>
      <c r="AF314">
        <f t="shared" si="58"/>
        <v>1.2907899999999999</v>
      </c>
      <c r="AG314">
        <f t="shared" si="59"/>
        <v>0.13973999999999998</v>
      </c>
      <c r="AH314">
        <f t="shared" si="60"/>
        <v>1.8825000000000001</v>
      </c>
      <c r="AI314">
        <f>HLOOKUP(HLOOKUP(G314,'THP2'!$B$4:$J$8,5,FALSE),'Fuel &amp; Resister'!$B$3:$G$6,4,FALSE)</f>
        <v>2.7360666666666664</v>
      </c>
      <c r="AJ314" s="41">
        <f>HLOOKUP(HLOOKUP(G314,'THP2'!$B$4:$J$8,5,FALSE),'Fuel &amp; Resister'!$B$3:$G$6,3,FALSE)</f>
        <v>13.019</v>
      </c>
      <c r="AO314" s="1">
        <v>1</v>
      </c>
      <c r="AP314" s="62">
        <v>0</v>
      </c>
    </row>
    <row r="315" spans="1:42" x14ac:dyDescent="0.15">
      <c r="A315"/>
      <c r="B315" s="43" t="s">
        <v>633</v>
      </c>
      <c r="C315" s="61">
        <f>VLOOKUP(B315,[1]SYS!$F$5:$G$359,2,FALSE)</f>
        <v>206</v>
      </c>
      <c r="D315" s="1" t="s">
        <v>50</v>
      </c>
      <c r="E315" s="65" t="s">
        <v>239</v>
      </c>
      <c r="F315" s="63" t="s">
        <v>545</v>
      </c>
      <c r="G315" s="1">
        <v>3</v>
      </c>
      <c r="H315" s="1">
        <f t="shared" si="52"/>
        <v>0.4</v>
      </c>
      <c r="I315" s="1">
        <f t="shared" si="53"/>
        <v>0.42499999999999999</v>
      </c>
      <c r="J315" s="1">
        <f t="shared" si="51"/>
        <v>2.0000000000000018E-2</v>
      </c>
      <c r="K315" s="1">
        <f t="shared" si="54"/>
        <v>2.1127899999999999</v>
      </c>
      <c r="L315" s="1">
        <f t="shared" si="55"/>
        <v>1.6195899999999999</v>
      </c>
      <c r="M315" s="49">
        <f t="shared" si="50"/>
        <v>1.2672058552698364</v>
      </c>
      <c r="N315" s="49">
        <v>1.8825000000000001</v>
      </c>
      <c r="O315" s="1">
        <v>401</v>
      </c>
      <c r="P315" s="51">
        <v>0.05</v>
      </c>
      <c r="Q315" s="51">
        <v>11</v>
      </c>
      <c r="R315" s="51">
        <v>1</v>
      </c>
      <c r="S315" s="1">
        <v>1</v>
      </c>
      <c r="T315" s="1">
        <v>0</v>
      </c>
      <c r="U315" s="47">
        <v>0</v>
      </c>
      <c r="V315" s="47"/>
      <c r="W315" s="41">
        <v>170</v>
      </c>
      <c r="X315">
        <v>425</v>
      </c>
      <c r="Y315">
        <v>0.98</v>
      </c>
      <c r="Z315">
        <v>2112.79</v>
      </c>
      <c r="AA315">
        <v>1619.59</v>
      </c>
      <c r="AB315">
        <v>188.25</v>
      </c>
      <c r="AC315"/>
      <c r="AD315" s="41">
        <f t="shared" si="56"/>
        <v>0.40704471338845793</v>
      </c>
      <c r="AE315" s="41">
        <f t="shared" si="57"/>
        <v>0.53099858606190453</v>
      </c>
      <c r="AF315">
        <f t="shared" si="58"/>
        <v>1.2907899999999999</v>
      </c>
      <c r="AG315">
        <f t="shared" si="59"/>
        <v>0.13973999999999998</v>
      </c>
      <c r="AH315">
        <f t="shared" si="60"/>
        <v>1.8825000000000001</v>
      </c>
      <c r="AI315">
        <f>HLOOKUP(HLOOKUP(G315,'THP2'!$B$4:$J$8,5,FALSE),'Fuel &amp; Resister'!$B$3:$G$6,4,FALSE)</f>
        <v>2.7360666666666664</v>
      </c>
      <c r="AJ315" s="41">
        <f>HLOOKUP(HLOOKUP(G315,'THP2'!$B$4:$J$8,5,FALSE),'Fuel &amp; Resister'!$B$3:$G$6,3,FALSE)</f>
        <v>13.019</v>
      </c>
      <c r="AO315" s="1">
        <v>1</v>
      </c>
      <c r="AP315" s="62">
        <v>0</v>
      </c>
    </row>
    <row r="316" spans="1:42" x14ac:dyDescent="0.15">
      <c r="A316"/>
      <c r="B316" s="43" t="s">
        <v>633</v>
      </c>
      <c r="C316" s="61">
        <f>VLOOKUP(B316,[1]SYS!$F$5:$G$359,2,FALSE)</f>
        <v>206</v>
      </c>
      <c r="D316" s="1" t="s">
        <v>50</v>
      </c>
      <c r="E316" s="65" t="s">
        <v>239</v>
      </c>
      <c r="F316" s="63" t="s">
        <v>545</v>
      </c>
      <c r="G316" s="1">
        <v>3</v>
      </c>
      <c r="H316" s="1">
        <f t="shared" si="52"/>
        <v>0.4</v>
      </c>
      <c r="I316" s="1">
        <f t="shared" si="53"/>
        <v>0.42499999999999999</v>
      </c>
      <c r="J316" s="1">
        <f t="shared" si="51"/>
        <v>2.0000000000000018E-2</v>
      </c>
      <c r="K316" s="1">
        <f t="shared" si="54"/>
        <v>2.1127899999999999</v>
      </c>
      <c r="L316" s="1">
        <f t="shared" si="55"/>
        <v>1.6195899999999999</v>
      </c>
      <c r="M316" s="49">
        <f t="shared" si="50"/>
        <v>1.2672058552698364</v>
      </c>
      <c r="N316" s="49">
        <v>1.8825000000000001</v>
      </c>
      <c r="O316" s="1">
        <v>714</v>
      </c>
      <c r="P316" s="51">
        <v>0.05</v>
      </c>
      <c r="Q316" s="51">
        <v>11</v>
      </c>
      <c r="R316" s="51">
        <v>1</v>
      </c>
      <c r="S316" s="1">
        <v>1</v>
      </c>
      <c r="T316" s="1">
        <v>0</v>
      </c>
      <c r="U316" s="47">
        <v>0</v>
      </c>
      <c r="V316" s="47"/>
      <c r="W316" s="41">
        <v>170</v>
      </c>
      <c r="X316">
        <v>425</v>
      </c>
      <c r="Y316">
        <v>0.98</v>
      </c>
      <c r="Z316">
        <v>2112.79</v>
      </c>
      <c r="AA316">
        <v>1619.59</v>
      </c>
      <c r="AB316">
        <v>188.25</v>
      </c>
      <c r="AC316"/>
      <c r="AD316" s="41">
        <f t="shared" si="56"/>
        <v>0.40704471338845793</v>
      </c>
      <c r="AE316" s="41">
        <f t="shared" si="57"/>
        <v>0.53099858606190453</v>
      </c>
      <c r="AF316">
        <f t="shared" si="58"/>
        <v>1.2907899999999999</v>
      </c>
      <c r="AG316">
        <f t="shared" si="59"/>
        <v>0.13973999999999998</v>
      </c>
      <c r="AH316">
        <f t="shared" si="60"/>
        <v>1.8825000000000001</v>
      </c>
      <c r="AI316">
        <f>HLOOKUP(HLOOKUP(G316,'THP2'!$B$4:$J$8,5,FALSE),'Fuel &amp; Resister'!$B$3:$G$6,4,FALSE)</f>
        <v>2.7360666666666664</v>
      </c>
      <c r="AJ316" s="41">
        <f>HLOOKUP(HLOOKUP(G316,'THP2'!$B$4:$J$8,5,FALSE),'Fuel &amp; Resister'!$B$3:$G$6,3,FALSE)</f>
        <v>13.019</v>
      </c>
      <c r="AO316" s="1">
        <v>1</v>
      </c>
      <c r="AP316" s="62">
        <v>0</v>
      </c>
    </row>
    <row r="317" spans="1:42" x14ac:dyDescent="0.15">
      <c r="A317"/>
      <c r="B317" s="43" t="s">
        <v>633</v>
      </c>
      <c r="C317" s="61">
        <f>VLOOKUP(B317,[1]SYS!$F$5:$G$359,2,FALSE)</f>
        <v>206</v>
      </c>
      <c r="D317" s="1" t="s">
        <v>50</v>
      </c>
      <c r="E317" s="65" t="s">
        <v>239</v>
      </c>
      <c r="F317" s="63" t="s">
        <v>545</v>
      </c>
      <c r="G317" s="1">
        <v>3</v>
      </c>
      <c r="H317" s="1">
        <f t="shared" si="52"/>
        <v>0.4</v>
      </c>
      <c r="I317" s="1">
        <f t="shared" si="53"/>
        <v>0.42499999999999999</v>
      </c>
      <c r="J317" s="1">
        <f t="shared" si="51"/>
        <v>2.0000000000000018E-2</v>
      </c>
      <c r="K317" s="1">
        <f t="shared" si="54"/>
        <v>2.1127899999999999</v>
      </c>
      <c r="L317" s="1">
        <f t="shared" si="55"/>
        <v>1.6195899999999999</v>
      </c>
      <c r="M317" s="49">
        <f t="shared" si="50"/>
        <v>1.2672058552698364</v>
      </c>
      <c r="N317" s="49">
        <v>1.8825000000000001</v>
      </c>
      <c r="O317" s="1">
        <v>413</v>
      </c>
      <c r="P317" s="51">
        <v>0.05</v>
      </c>
      <c r="Q317" s="51">
        <v>11</v>
      </c>
      <c r="R317" s="51">
        <v>1</v>
      </c>
      <c r="S317" s="1">
        <v>1</v>
      </c>
      <c r="T317" s="1">
        <v>0</v>
      </c>
      <c r="U317" s="47">
        <v>0</v>
      </c>
      <c r="V317" s="47"/>
      <c r="W317" s="41">
        <v>170</v>
      </c>
      <c r="X317">
        <v>425</v>
      </c>
      <c r="Y317">
        <v>0.98</v>
      </c>
      <c r="Z317">
        <v>2112.79</v>
      </c>
      <c r="AA317">
        <v>1619.59</v>
      </c>
      <c r="AB317">
        <v>188.25</v>
      </c>
      <c r="AC317"/>
      <c r="AD317" s="41">
        <f t="shared" si="56"/>
        <v>0.40704471338845793</v>
      </c>
      <c r="AE317" s="41">
        <f t="shared" si="57"/>
        <v>0.53099858606190453</v>
      </c>
      <c r="AF317">
        <f t="shared" si="58"/>
        <v>1.2907899999999999</v>
      </c>
      <c r="AG317">
        <f t="shared" si="59"/>
        <v>0.13973999999999998</v>
      </c>
      <c r="AH317">
        <f t="shared" si="60"/>
        <v>1.8825000000000001</v>
      </c>
      <c r="AI317">
        <f>HLOOKUP(HLOOKUP(G317,'THP2'!$B$4:$J$8,5,FALSE),'Fuel &amp; Resister'!$B$3:$G$6,4,FALSE)</f>
        <v>2.7360666666666664</v>
      </c>
      <c r="AJ317" s="41">
        <f>HLOOKUP(HLOOKUP(G317,'THP2'!$B$4:$J$8,5,FALSE),'Fuel &amp; Resister'!$B$3:$G$6,3,FALSE)</f>
        <v>13.019</v>
      </c>
      <c r="AO317" s="1">
        <v>1</v>
      </c>
      <c r="AP317" s="62">
        <v>0</v>
      </c>
    </row>
    <row r="318" spans="1:42" x14ac:dyDescent="0.15">
      <c r="A318"/>
      <c r="B318" s="43" t="s">
        <v>633</v>
      </c>
      <c r="C318" s="61">
        <f>VLOOKUP(B318,[1]SYS!$F$5:$G$359,2,FALSE)</f>
        <v>206</v>
      </c>
      <c r="D318" s="1" t="s">
        <v>50</v>
      </c>
      <c r="E318" s="65" t="s">
        <v>239</v>
      </c>
      <c r="F318" s="63" t="s">
        <v>545</v>
      </c>
      <c r="G318" s="1">
        <v>3</v>
      </c>
      <c r="H318" s="1">
        <f t="shared" si="52"/>
        <v>0.4</v>
      </c>
      <c r="I318" s="1">
        <f t="shared" si="53"/>
        <v>0.42499999999999999</v>
      </c>
      <c r="J318" s="1">
        <f t="shared" si="51"/>
        <v>2.0000000000000018E-2</v>
      </c>
      <c r="K318" s="1">
        <f t="shared" si="54"/>
        <v>2.1127899999999999</v>
      </c>
      <c r="L318" s="1">
        <f t="shared" si="55"/>
        <v>1.6195899999999999</v>
      </c>
      <c r="M318" s="49">
        <f t="shared" si="50"/>
        <v>1.2672058552698364</v>
      </c>
      <c r="N318" s="49">
        <v>1.8825000000000001</v>
      </c>
      <c r="O318" s="6">
        <v>1014</v>
      </c>
      <c r="P318" s="51">
        <v>0.05</v>
      </c>
      <c r="Q318" s="51">
        <v>11</v>
      </c>
      <c r="R318" s="51">
        <v>1</v>
      </c>
      <c r="S318" s="1">
        <v>1</v>
      </c>
      <c r="T318" s="1">
        <v>0</v>
      </c>
      <c r="U318" s="47">
        <v>0</v>
      </c>
      <c r="V318" s="47">
        <v>262</v>
      </c>
      <c r="W318" s="41">
        <v>170</v>
      </c>
      <c r="X318">
        <v>425</v>
      </c>
      <c r="Y318">
        <v>0.98</v>
      </c>
      <c r="Z318">
        <v>2112.79</v>
      </c>
      <c r="AA318">
        <v>1619.59</v>
      </c>
      <c r="AB318">
        <v>188.25</v>
      </c>
      <c r="AC318">
        <v>36</v>
      </c>
      <c r="AD318" s="41">
        <f t="shared" si="56"/>
        <v>0.40704471338845793</v>
      </c>
      <c r="AE318" s="41">
        <f t="shared" si="57"/>
        <v>0.53099858606190453</v>
      </c>
      <c r="AF318">
        <f t="shared" si="58"/>
        <v>1.2907899999999999</v>
      </c>
      <c r="AG318">
        <f t="shared" si="59"/>
        <v>0.13973999999999998</v>
      </c>
      <c r="AH318">
        <f t="shared" si="60"/>
        <v>1.8825000000000001</v>
      </c>
      <c r="AI318">
        <f>HLOOKUP(HLOOKUP(G318,'THP2'!$B$4:$J$8,5,FALSE),'Fuel &amp; Resister'!$B$3:$G$6,4,FALSE)</f>
        <v>2.7360666666666664</v>
      </c>
      <c r="AJ318" s="41">
        <f>HLOOKUP(HLOOKUP(G318,'THP2'!$B$4:$J$8,5,FALSE),'Fuel &amp; Resister'!$B$3:$G$6,3,FALSE)</f>
        <v>13.019</v>
      </c>
      <c r="AO318" s="1">
        <v>1</v>
      </c>
      <c r="AP318" s="62">
        <v>0</v>
      </c>
    </row>
    <row r="319" spans="1:42" x14ac:dyDescent="0.15">
      <c r="A319"/>
      <c r="B319" s="43" t="s">
        <v>633</v>
      </c>
      <c r="C319" s="61">
        <f>VLOOKUP(B319,[1]SYS!$F$5:$G$359,2,FALSE)</f>
        <v>206</v>
      </c>
      <c r="D319" s="1" t="s">
        <v>50</v>
      </c>
      <c r="E319" s="65" t="s">
        <v>240</v>
      </c>
      <c r="F319" s="63" t="s">
        <v>483</v>
      </c>
      <c r="G319" s="1">
        <v>3</v>
      </c>
      <c r="H319" s="1">
        <f t="shared" si="52"/>
        <v>0.4</v>
      </c>
      <c r="I319" s="1">
        <f t="shared" si="53"/>
        <v>0.42499999999999999</v>
      </c>
      <c r="J319" s="1">
        <f t="shared" si="51"/>
        <v>2.0000000000000018E-2</v>
      </c>
      <c r="K319" s="1">
        <f t="shared" si="54"/>
        <v>2.1127899999999999</v>
      </c>
      <c r="L319" s="1">
        <f t="shared" si="55"/>
        <v>1.6195899999999999</v>
      </c>
      <c r="M319" s="49">
        <f t="shared" si="50"/>
        <v>1.2672058552698364</v>
      </c>
      <c r="N319" s="49">
        <v>1.8825000000000001</v>
      </c>
      <c r="O319" s="1">
        <v>413</v>
      </c>
      <c r="P319" s="51">
        <v>0.05</v>
      </c>
      <c r="Q319" s="51">
        <v>11</v>
      </c>
      <c r="R319" s="51">
        <v>1</v>
      </c>
      <c r="S319" s="1">
        <v>1</v>
      </c>
      <c r="T319" s="1">
        <v>0</v>
      </c>
      <c r="U319" s="47">
        <v>1</v>
      </c>
      <c r="V319" s="47">
        <v>263</v>
      </c>
      <c r="W319" s="41">
        <v>170</v>
      </c>
      <c r="X319">
        <v>425</v>
      </c>
      <c r="Y319">
        <v>0.98</v>
      </c>
      <c r="Z319">
        <v>2112.79</v>
      </c>
      <c r="AA319">
        <v>1619.59</v>
      </c>
      <c r="AB319">
        <v>188.25</v>
      </c>
      <c r="AC319">
        <v>36</v>
      </c>
      <c r="AD319" s="41">
        <f t="shared" si="56"/>
        <v>0.40704471338845793</v>
      </c>
      <c r="AE319" s="41">
        <f t="shared" si="57"/>
        <v>0.53099858606190453</v>
      </c>
      <c r="AF319">
        <f t="shared" si="58"/>
        <v>1.2907899999999999</v>
      </c>
      <c r="AG319">
        <f t="shared" si="59"/>
        <v>0.13973999999999998</v>
      </c>
      <c r="AH319">
        <f t="shared" si="60"/>
        <v>1.8825000000000001</v>
      </c>
      <c r="AI319">
        <f>HLOOKUP(HLOOKUP(G319,'THP2'!$B$4:$J$8,5,FALSE),'Fuel &amp; Resister'!$B$3:$G$6,4,FALSE)</f>
        <v>2.7360666666666664</v>
      </c>
      <c r="AJ319" s="41">
        <f>HLOOKUP(HLOOKUP(G319,'THP2'!$B$4:$J$8,5,FALSE),'Fuel &amp; Resister'!$B$3:$G$6,3,FALSE)</f>
        <v>13.019</v>
      </c>
      <c r="AO319" s="1">
        <v>1</v>
      </c>
      <c r="AP319" s="1">
        <v>1</v>
      </c>
    </row>
    <row r="320" spans="1:42" x14ac:dyDescent="0.15">
      <c r="A320"/>
      <c r="B320" s="43" t="s">
        <v>634</v>
      </c>
      <c r="C320" s="61">
        <f>VLOOKUP(B320,[1]SYS!$F$5:$G$359,2,FALSE)</f>
        <v>227</v>
      </c>
      <c r="D320" s="1" t="s">
        <v>50</v>
      </c>
      <c r="E320" s="65" t="s">
        <v>241</v>
      </c>
      <c r="F320" s="63" t="s">
        <v>464</v>
      </c>
      <c r="G320" s="1">
        <v>3</v>
      </c>
      <c r="H320" s="1">
        <f t="shared" si="52"/>
        <v>0.39961389961389959</v>
      </c>
      <c r="I320" s="1">
        <f t="shared" si="53"/>
        <v>0.51800000000000002</v>
      </c>
      <c r="J320" s="1">
        <f t="shared" si="51"/>
        <v>2.0000000000000018E-2</v>
      </c>
      <c r="K320" s="1">
        <f t="shared" si="54"/>
        <v>1.94773</v>
      </c>
      <c r="L320" s="1">
        <f t="shared" si="55"/>
        <v>1.4930600000000001</v>
      </c>
      <c r="M320" s="49">
        <f t="shared" si="50"/>
        <v>1.4238366730743928</v>
      </c>
      <c r="N320" s="49">
        <v>1.4891999999999999</v>
      </c>
      <c r="O320" s="1">
        <v>1014</v>
      </c>
      <c r="P320" s="51">
        <v>0.05</v>
      </c>
      <c r="Q320" s="51">
        <v>11</v>
      </c>
      <c r="R320" s="51">
        <v>1</v>
      </c>
      <c r="S320" s="1">
        <v>1</v>
      </c>
      <c r="T320" s="1">
        <v>0</v>
      </c>
      <c r="U320" s="47">
        <v>1</v>
      </c>
      <c r="V320" s="47">
        <v>264</v>
      </c>
      <c r="W320" s="41">
        <v>207</v>
      </c>
      <c r="X320">
        <v>518</v>
      </c>
      <c r="Y320">
        <v>0.98</v>
      </c>
      <c r="Z320">
        <v>1947.73</v>
      </c>
      <c r="AA320">
        <v>1493.06</v>
      </c>
      <c r="AB320">
        <v>148.91999999999999</v>
      </c>
      <c r="AC320">
        <v>36</v>
      </c>
      <c r="AD320" s="41">
        <f t="shared" si="56"/>
        <v>0.4415396384509146</v>
      </c>
      <c r="AE320" s="41">
        <f t="shared" si="57"/>
        <v>0.57599828540045284</v>
      </c>
      <c r="AF320">
        <f t="shared" si="58"/>
        <v>1.1904339871382636</v>
      </c>
      <c r="AG320">
        <f t="shared" si="59"/>
        <v>0.15676027466237946</v>
      </c>
      <c r="AH320">
        <f t="shared" si="60"/>
        <v>1.4891999999999999</v>
      </c>
      <c r="AI320">
        <f>HLOOKUP(HLOOKUP(G320,'THP2'!$B$4:$J$8,5,FALSE),'Fuel &amp; Resister'!$B$3:$G$6,4,FALSE)</f>
        <v>2.7360666666666664</v>
      </c>
      <c r="AJ320" s="41">
        <f>HLOOKUP(HLOOKUP(G320,'THP2'!$B$4:$J$8,5,FALSE),'Fuel &amp; Resister'!$B$3:$G$6,3,FALSE)</f>
        <v>13.019</v>
      </c>
      <c r="AO320" s="1">
        <v>1</v>
      </c>
      <c r="AP320" s="1">
        <v>1</v>
      </c>
    </row>
    <row r="321" spans="1:42" x14ac:dyDescent="0.15">
      <c r="A321"/>
      <c r="B321" s="43" t="s">
        <v>604</v>
      </c>
      <c r="C321" s="61">
        <f>VLOOKUP(B321,[1]SYS!$F$5:$G$359,2,FALSE)</f>
        <v>226</v>
      </c>
      <c r="D321" s="1" t="s">
        <v>50</v>
      </c>
      <c r="E321" s="65" t="s">
        <v>242</v>
      </c>
      <c r="F321" s="63" t="s">
        <v>461</v>
      </c>
      <c r="G321" s="1">
        <v>3</v>
      </c>
      <c r="H321" s="1">
        <f t="shared" si="52"/>
        <v>0.39916839916839919</v>
      </c>
      <c r="I321" s="1">
        <f t="shared" si="53"/>
        <v>0.48099999999999998</v>
      </c>
      <c r="J321" s="1">
        <f t="shared" si="51"/>
        <v>1.749999999999996E-2</v>
      </c>
      <c r="K321" s="1">
        <f t="shared" si="54"/>
        <v>2.0775799999999998</v>
      </c>
      <c r="L321" s="1">
        <f t="shared" si="55"/>
        <v>1.59259</v>
      </c>
      <c r="M321" s="49">
        <f t="shared" si="50"/>
        <v>1.4102698299958334</v>
      </c>
      <c r="N321" s="49">
        <v>1.4494999999999998</v>
      </c>
      <c r="O321" s="1">
        <v>1002</v>
      </c>
      <c r="P321" s="51">
        <v>0.05</v>
      </c>
      <c r="Q321" s="51">
        <v>11</v>
      </c>
      <c r="R321" s="51">
        <v>1</v>
      </c>
      <c r="S321" s="1">
        <v>1</v>
      </c>
      <c r="T321" s="1">
        <v>0</v>
      </c>
      <c r="U321" s="47">
        <v>1</v>
      </c>
      <c r="V321" s="47">
        <v>265</v>
      </c>
      <c r="W321" s="41">
        <v>192</v>
      </c>
      <c r="X321">
        <v>481</v>
      </c>
      <c r="Y321">
        <v>0.98250000000000004</v>
      </c>
      <c r="Z321">
        <v>2077.58</v>
      </c>
      <c r="AA321">
        <v>1592.59</v>
      </c>
      <c r="AB321">
        <v>144.94999999999999</v>
      </c>
      <c r="AC321">
        <v>36</v>
      </c>
      <c r="AD321" s="41">
        <f t="shared" si="56"/>
        <v>0.41394314539030991</v>
      </c>
      <c r="AE321" s="41">
        <f t="shared" si="57"/>
        <v>0.54000087907119854</v>
      </c>
      <c r="AF321">
        <f t="shared" si="58"/>
        <v>1.2703821107266438</v>
      </c>
      <c r="AG321">
        <f t="shared" si="59"/>
        <v>0.15498199474048432</v>
      </c>
      <c r="AH321">
        <f t="shared" si="60"/>
        <v>1.4494999999999998</v>
      </c>
      <c r="AI321">
        <f>HLOOKUP(HLOOKUP(G321,'THP2'!$B$4:$J$8,5,FALSE),'Fuel &amp; Resister'!$B$3:$G$6,4,FALSE)</f>
        <v>2.7360666666666664</v>
      </c>
      <c r="AJ321" s="41">
        <f>HLOOKUP(HLOOKUP(G321,'THP2'!$B$4:$J$8,5,FALSE),'Fuel &amp; Resister'!$B$3:$G$6,3,FALSE)</f>
        <v>13.019</v>
      </c>
      <c r="AO321" s="1">
        <v>1</v>
      </c>
      <c r="AP321" s="1">
        <v>1</v>
      </c>
    </row>
    <row r="322" spans="1:42" x14ac:dyDescent="0.15">
      <c r="A322"/>
      <c r="B322" s="43" t="s">
        <v>604</v>
      </c>
      <c r="C322" s="61">
        <f>VLOOKUP(B322,[1]SYS!$F$5:$G$359,2,FALSE)</f>
        <v>226</v>
      </c>
      <c r="D322" s="1" t="s">
        <v>50</v>
      </c>
      <c r="E322" s="65" t="s">
        <v>243</v>
      </c>
      <c r="F322" s="63" t="s">
        <v>461</v>
      </c>
      <c r="G322" s="1">
        <v>3</v>
      </c>
      <c r="H322" s="1">
        <f t="shared" si="52"/>
        <v>0.39916839916839919</v>
      </c>
      <c r="I322" s="1">
        <f t="shared" si="53"/>
        <v>0.48099999999999998</v>
      </c>
      <c r="J322" s="1">
        <f t="shared" si="51"/>
        <v>1.749999999999996E-2</v>
      </c>
      <c r="K322" s="1">
        <f t="shared" si="54"/>
        <v>2.0775799999999998</v>
      </c>
      <c r="L322" s="1">
        <f t="shared" si="55"/>
        <v>1.59259</v>
      </c>
      <c r="M322" s="49">
        <f t="shared" si="50"/>
        <v>1.4102698299958334</v>
      </c>
      <c r="N322" s="49">
        <v>1.4494999999999998</v>
      </c>
      <c r="O322" s="1">
        <v>1125</v>
      </c>
      <c r="P322" s="51">
        <v>0.05</v>
      </c>
      <c r="Q322" s="51">
        <v>11</v>
      </c>
      <c r="R322" s="51">
        <v>1</v>
      </c>
      <c r="S322" s="1">
        <v>1</v>
      </c>
      <c r="T322" s="1">
        <v>0</v>
      </c>
      <c r="U322" s="47">
        <v>1</v>
      </c>
      <c r="V322" s="47">
        <v>266</v>
      </c>
      <c r="W322" s="41">
        <v>192</v>
      </c>
      <c r="X322">
        <v>481</v>
      </c>
      <c r="Y322">
        <v>0.98250000000000004</v>
      </c>
      <c r="Z322">
        <v>2077.58</v>
      </c>
      <c r="AA322">
        <v>1592.59</v>
      </c>
      <c r="AB322">
        <v>144.94999999999999</v>
      </c>
      <c r="AC322">
        <v>36</v>
      </c>
      <c r="AD322" s="41">
        <f t="shared" si="56"/>
        <v>0.41394314539030991</v>
      </c>
      <c r="AE322" s="41">
        <f t="shared" si="57"/>
        <v>0.54000087907119854</v>
      </c>
      <c r="AF322">
        <f t="shared" si="58"/>
        <v>1.2703821107266438</v>
      </c>
      <c r="AG322">
        <f t="shared" si="59"/>
        <v>0.15498199474048432</v>
      </c>
      <c r="AH322">
        <f t="shared" si="60"/>
        <v>1.4494999999999998</v>
      </c>
      <c r="AI322">
        <f>HLOOKUP(HLOOKUP(G322,'THP2'!$B$4:$J$8,5,FALSE),'Fuel &amp; Resister'!$B$3:$G$6,4,FALSE)</f>
        <v>2.7360666666666664</v>
      </c>
      <c r="AJ322" s="41">
        <f>HLOOKUP(HLOOKUP(G322,'THP2'!$B$4:$J$8,5,FALSE),'Fuel &amp; Resister'!$B$3:$G$6,3,FALSE)</f>
        <v>13.019</v>
      </c>
      <c r="AO322" s="1">
        <v>1</v>
      </c>
      <c r="AP322" s="1">
        <v>1</v>
      </c>
    </row>
    <row r="323" spans="1:42" x14ac:dyDescent="0.15">
      <c r="A323"/>
      <c r="B323" s="43" t="s">
        <v>604</v>
      </c>
      <c r="C323" s="61">
        <f>VLOOKUP(B323,[1]SYS!$F$5:$G$359,2,FALSE)</f>
        <v>226</v>
      </c>
      <c r="D323" s="1" t="s">
        <v>50</v>
      </c>
      <c r="E323" s="65" t="s">
        <v>244</v>
      </c>
      <c r="F323" s="63" t="s">
        <v>461</v>
      </c>
      <c r="G323" s="1">
        <v>3</v>
      </c>
      <c r="H323" s="1">
        <f t="shared" si="52"/>
        <v>0.39916839916839919</v>
      </c>
      <c r="I323" s="1">
        <f t="shared" si="53"/>
        <v>0.48099999999999998</v>
      </c>
      <c r="J323" s="1">
        <f t="shared" si="51"/>
        <v>1.749999999999996E-2</v>
      </c>
      <c r="K323" s="1">
        <f t="shared" si="54"/>
        <v>2.0775799999999998</v>
      </c>
      <c r="L323" s="1">
        <f t="shared" si="55"/>
        <v>1.59259</v>
      </c>
      <c r="M323" s="49">
        <f t="shared" ref="M323:M386" si="62">(I323*10^6*L323/AJ323*AI323/10^6)*24*365/1000</f>
        <v>1.4102698299958334</v>
      </c>
      <c r="N323" s="49">
        <v>1.4494999999999998</v>
      </c>
      <c r="O323" s="1">
        <v>1014</v>
      </c>
      <c r="P323" s="51">
        <v>0.05</v>
      </c>
      <c r="Q323" s="51">
        <v>11</v>
      </c>
      <c r="R323" s="51">
        <v>1</v>
      </c>
      <c r="S323" s="1">
        <v>1</v>
      </c>
      <c r="T323" s="1">
        <v>0</v>
      </c>
      <c r="U323" s="47">
        <v>1</v>
      </c>
      <c r="V323" s="47">
        <v>267</v>
      </c>
      <c r="W323" s="41">
        <v>192</v>
      </c>
      <c r="X323">
        <v>481</v>
      </c>
      <c r="Y323">
        <v>0.98250000000000004</v>
      </c>
      <c r="Z323">
        <v>2077.58</v>
      </c>
      <c r="AA323">
        <v>1592.59</v>
      </c>
      <c r="AB323">
        <v>144.94999999999999</v>
      </c>
      <c r="AC323">
        <v>36</v>
      </c>
      <c r="AD323" s="41">
        <f t="shared" si="56"/>
        <v>0.41394314539030991</v>
      </c>
      <c r="AE323" s="41">
        <f t="shared" si="57"/>
        <v>0.54000087907119854</v>
      </c>
      <c r="AF323">
        <f t="shared" si="58"/>
        <v>1.2703821107266438</v>
      </c>
      <c r="AG323">
        <f t="shared" si="59"/>
        <v>0.15498199474048432</v>
      </c>
      <c r="AH323">
        <f t="shared" si="60"/>
        <v>1.4494999999999998</v>
      </c>
      <c r="AI323">
        <f>HLOOKUP(HLOOKUP(G323,'THP2'!$B$4:$J$8,5,FALSE),'Fuel &amp; Resister'!$B$3:$G$6,4,FALSE)</f>
        <v>2.7360666666666664</v>
      </c>
      <c r="AJ323" s="41">
        <f>HLOOKUP(HLOOKUP(G323,'THP2'!$B$4:$J$8,5,FALSE),'Fuel &amp; Resister'!$B$3:$G$6,3,FALSE)</f>
        <v>13.019</v>
      </c>
      <c r="AO323" s="1">
        <v>1</v>
      </c>
      <c r="AP323" s="1">
        <v>1</v>
      </c>
    </row>
    <row r="324" spans="1:42" x14ac:dyDescent="0.15">
      <c r="A324"/>
      <c r="B324" s="43" t="s">
        <v>604</v>
      </c>
      <c r="C324" s="61">
        <f>VLOOKUP(B324,[1]SYS!$F$5:$G$359,2,FALSE)</f>
        <v>226</v>
      </c>
      <c r="D324" s="1" t="s">
        <v>50</v>
      </c>
      <c r="E324" s="65" t="s">
        <v>245</v>
      </c>
      <c r="F324" s="63" t="s">
        <v>461</v>
      </c>
      <c r="G324" s="1">
        <v>3</v>
      </c>
      <c r="H324" s="1">
        <f t="shared" si="52"/>
        <v>0.39916839916839919</v>
      </c>
      <c r="I324" s="1">
        <f t="shared" si="53"/>
        <v>0.48099999999999998</v>
      </c>
      <c r="J324" s="1">
        <f t="shared" si="51"/>
        <v>1.749999999999996E-2</v>
      </c>
      <c r="K324" s="1">
        <f t="shared" si="54"/>
        <v>2.0775799999999998</v>
      </c>
      <c r="L324" s="1">
        <f t="shared" si="55"/>
        <v>1.59259</v>
      </c>
      <c r="M324" s="49">
        <f t="shared" si="62"/>
        <v>1.4102698299958334</v>
      </c>
      <c r="N324" s="49">
        <v>1.4494999999999998</v>
      </c>
      <c r="O324" s="1">
        <v>1014</v>
      </c>
      <c r="P324" s="51">
        <v>0.05</v>
      </c>
      <c r="Q324" s="51">
        <v>11</v>
      </c>
      <c r="R324" s="51">
        <v>1</v>
      </c>
      <c r="S324" s="1">
        <v>1</v>
      </c>
      <c r="T324" s="1">
        <v>0</v>
      </c>
      <c r="U324" s="47">
        <v>1</v>
      </c>
      <c r="V324" s="47">
        <v>268</v>
      </c>
      <c r="W324" s="41">
        <v>192</v>
      </c>
      <c r="X324">
        <v>481</v>
      </c>
      <c r="Y324">
        <v>0.98250000000000004</v>
      </c>
      <c r="Z324">
        <v>2077.58</v>
      </c>
      <c r="AA324">
        <v>1592.59</v>
      </c>
      <c r="AB324">
        <v>144.94999999999999</v>
      </c>
      <c r="AC324">
        <v>36</v>
      </c>
      <c r="AD324" s="41">
        <f t="shared" si="56"/>
        <v>0.41394314539030991</v>
      </c>
      <c r="AE324" s="41">
        <f t="shared" si="57"/>
        <v>0.54000087907119854</v>
      </c>
      <c r="AF324">
        <f t="shared" si="58"/>
        <v>1.2703821107266438</v>
      </c>
      <c r="AG324">
        <f t="shared" si="59"/>
        <v>0.15498199474048432</v>
      </c>
      <c r="AH324">
        <f t="shared" si="60"/>
        <v>1.4494999999999998</v>
      </c>
      <c r="AI324">
        <f>HLOOKUP(HLOOKUP(G324,'THP2'!$B$4:$J$8,5,FALSE),'Fuel &amp; Resister'!$B$3:$G$6,4,FALSE)</f>
        <v>2.7360666666666664</v>
      </c>
      <c r="AJ324" s="41">
        <f>HLOOKUP(HLOOKUP(G324,'THP2'!$B$4:$J$8,5,FALSE),'Fuel &amp; Resister'!$B$3:$G$6,3,FALSE)</f>
        <v>13.019</v>
      </c>
      <c r="AO324" s="1">
        <v>1</v>
      </c>
      <c r="AP324" s="1">
        <v>1</v>
      </c>
    </row>
    <row r="325" spans="1:42" x14ac:dyDescent="0.15">
      <c r="A325"/>
      <c r="B325" s="43" t="s">
        <v>604</v>
      </c>
      <c r="C325" s="61">
        <f>VLOOKUP(B325,[1]SYS!$F$5:$G$359,2,FALSE)</f>
        <v>226</v>
      </c>
      <c r="D325" s="1" t="s">
        <v>50</v>
      </c>
      <c r="E325" s="65" t="s">
        <v>246</v>
      </c>
      <c r="F325" s="63" t="s">
        <v>461</v>
      </c>
      <c r="G325" s="1">
        <v>3</v>
      </c>
      <c r="H325" s="1">
        <f t="shared" si="52"/>
        <v>0.39916839916839919</v>
      </c>
      <c r="I325" s="1">
        <f t="shared" si="53"/>
        <v>0.48099999999999998</v>
      </c>
      <c r="J325" s="1">
        <f t="shared" si="51"/>
        <v>1.749999999999996E-2</v>
      </c>
      <c r="K325" s="1">
        <f t="shared" si="54"/>
        <v>2.0775799999999998</v>
      </c>
      <c r="L325" s="1">
        <f t="shared" si="55"/>
        <v>1.59259</v>
      </c>
      <c r="M325" s="49">
        <f t="shared" si="62"/>
        <v>1.4102698299958334</v>
      </c>
      <c r="N325" s="49">
        <v>1.4494999999999998</v>
      </c>
      <c r="O325" s="1">
        <v>1113</v>
      </c>
      <c r="P325" s="51">
        <v>0.05</v>
      </c>
      <c r="Q325" s="51">
        <v>11</v>
      </c>
      <c r="R325" s="51">
        <v>1</v>
      </c>
      <c r="S325" s="1">
        <v>1</v>
      </c>
      <c r="T325" s="1">
        <v>0</v>
      </c>
      <c r="U325" s="47">
        <v>1</v>
      </c>
      <c r="V325" s="47">
        <v>269</v>
      </c>
      <c r="W325" s="41">
        <v>192</v>
      </c>
      <c r="X325">
        <v>481</v>
      </c>
      <c r="Y325">
        <v>0.98250000000000004</v>
      </c>
      <c r="Z325">
        <v>2077.58</v>
      </c>
      <c r="AA325">
        <v>1592.59</v>
      </c>
      <c r="AB325">
        <v>144.94999999999999</v>
      </c>
      <c r="AC325">
        <v>36</v>
      </c>
      <c r="AD325" s="41">
        <f t="shared" si="56"/>
        <v>0.41394314539030991</v>
      </c>
      <c r="AE325" s="41">
        <f t="shared" si="57"/>
        <v>0.54000087907119854</v>
      </c>
      <c r="AF325">
        <f t="shared" si="58"/>
        <v>1.2703821107266438</v>
      </c>
      <c r="AG325">
        <f t="shared" si="59"/>
        <v>0.15498199474048432</v>
      </c>
      <c r="AH325">
        <f t="shared" si="60"/>
        <v>1.4494999999999998</v>
      </c>
      <c r="AI325">
        <f>HLOOKUP(HLOOKUP(G325,'THP2'!$B$4:$J$8,5,FALSE),'Fuel &amp; Resister'!$B$3:$G$6,4,FALSE)</f>
        <v>2.7360666666666664</v>
      </c>
      <c r="AJ325" s="41">
        <f>HLOOKUP(HLOOKUP(G325,'THP2'!$B$4:$J$8,5,FALSE),'Fuel &amp; Resister'!$B$3:$G$6,3,FALSE)</f>
        <v>13.019</v>
      </c>
      <c r="AO325" s="1">
        <v>1</v>
      </c>
      <c r="AP325" s="1">
        <v>1</v>
      </c>
    </row>
    <row r="326" spans="1:42" x14ac:dyDescent="0.15">
      <c r="A326"/>
      <c r="B326" s="43" t="s">
        <v>604</v>
      </c>
      <c r="C326" s="61">
        <f>VLOOKUP(B326,[1]SYS!$F$5:$G$359,2,FALSE)</f>
        <v>226</v>
      </c>
      <c r="D326" s="1" t="s">
        <v>50</v>
      </c>
      <c r="E326" s="65" t="s">
        <v>247</v>
      </c>
      <c r="F326" s="63" t="s">
        <v>461</v>
      </c>
      <c r="G326" s="1">
        <v>3</v>
      </c>
      <c r="H326" s="1">
        <f t="shared" si="52"/>
        <v>0.40041067761806981</v>
      </c>
      <c r="I326" s="1">
        <f t="shared" si="53"/>
        <v>0.48699999999999999</v>
      </c>
      <c r="J326" s="1">
        <f t="shared" si="51"/>
        <v>1.749999999999996E-2</v>
      </c>
      <c r="K326" s="1">
        <f t="shared" si="54"/>
        <v>2.0775799999999998</v>
      </c>
      <c r="L326" s="1">
        <f t="shared" si="55"/>
        <v>1.59259</v>
      </c>
      <c r="M326" s="49">
        <f t="shared" si="62"/>
        <v>1.4278615534469248</v>
      </c>
      <c r="N326" s="49">
        <v>1.456</v>
      </c>
      <c r="O326" s="1">
        <v>1014</v>
      </c>
      <c r="P326" s="51">
        <v>0.05</v>
      </c>
      <c r="Q326" s="51">
        <v>11</v>
      </c>
      <c r="R326" s="51">
        <v>1</v>
      </c>
      <c r="S326" s="1">
        <v>1</v>
      </c>
      <c r="T326" s="1">
        <v>0</v>
      </c>
      <c r="U326" s="47">
        <v>1</v>
      </c>
      <c r="V326" s="47">
        <v>270</v>
      </c>
      <c r="W326" s="41">
        <v>195</v>
      </c>
      <c r="X326">
        <v>487</v>
      </c>
      <c r="Y326">
        <v>0.98250000000000004</v>
      </c>
      <c r="Z326">
        <v>2077.58</v>
      </c>
      <c r="AA326">
        <v>1592.59</v>
      </c>
      <c r="AB326">
        <v>145.6</v>
      </c>
      <c r="AC326">
        <v>36</v>
      </c>
      <c r="AD326" s="41">
        <f t="shared" si="56"/>
        <v>0.41394314539030991</v>
      </c>
      <c r="AE326" s="41">
        <f t="shared" si="57"/>
        <v>0.54000087907119854</v>
      </c>
      <c r="AF326">
        <f t="shared" si="58"/>
        <v>1.268709691780822</v>
      </c>
      <c r="AG326">
        <f t="shared" si="59"/>
        <v>0.15772971010273965</v>
      </c>
      <c r="AH326">
        <f t="shared" si="60"/>
        <v>1.456</v>
      </c>
      <c r="AI326">
        <f>HLOOKUP(HLOOKUP(G326,'THP2'!$B$4:$J$8,5,FALSE),'Fuel &amp; Resister'!$B$3:$G$6,4,FALSE)</f>
        <v>2.7360666666666664</v>
      </c>
      <c r="AJ326" s="41">
        <f>HLOOKUP(HLOOKUP(G326,'THP2'!$B$4:$J$8,5,FALSE),'Fuel &amp; Resister'!$B$3:$G$6,3,FALSE)</f>
        <v>13.019</v>
      </c>
      <c r="AO326" s="1">
        <v>1</v>
      </c>
      <c r="AP326" s="1">
        <v>1</v>
      </c>
    </row>
    <row r="327" spans="1:42" x14ac:dyDescent="0.15">
      <c r="A327"/>
      <c r="B327" s="43" t="s">
        <v>604</v>
      </c>
      <c r="C327" s="61">
        <f>VLOOKUP(B327,[1]SYS!$F$5:$G$359,2,FALSE)</f>
        <v>226</v>
      </c>
      <c r="D327" s="1" t="s">
        <v>50</v>
      </c>
      <c r="E327" s="65" t="s">
        <v>248</v>
      </c>
      <c r="F327" s="42"/>
      <c r="G327" s="1">
        <v>3</v>
      </c>
      <c r="H327" s="1">
        <f t="shared" si="52"/>
        <v>0.4</v>
      </c>
      <c r="I327" s="1">
        <f t="shared" si="53"/>
        <v>0.5</v>
      </c>
      <c r="J327" s="1">
        <f t="shared" si="51"/>
        <v>0</v>
      </c>
      <c r="K327" s="1">
        <f t="shared" si="54"/>
        <v>2.1167800000000003</v>
      </c>
      <c r="L327" s="1">
        <f t="shared" si="55"/>
        <v>1.6226400000000001</v>
      </c>
      <c r="M327" s="49">
        <f t="shared" si="62"/>
        <v>1.4936379388647358</v>
      </c>
      <c r="N327" s="49">
        <v>1.47</v>
      </c>
      <c r="O327" s="1">
        <v>1014</v>
      </c>
      <c r="P327" s="51">
        <v>0.05</v>
      </c>
      <c r="Q327" s="51">
        <v>11</v>
      </c>
      <c r="R327" s="51">
        <v>1</v>
      </c>
      <c r="S327" s="1">
        <v>1</v>
      </c>
      <c r="T327" s="1">
        <v>0</v>
      </c>
      <c r="U327" s="47">
        <v>1</v>
      </c>
      <c r="V327" s="47">
        <v>271</v>
      </c>
      <c r="W327" s="41">
        <v>200</v>
      </c>
      <c r="X327">
        <v>500</v>
      </c>
      <c r="Y327">
        <v>1</v>
      </c>
      <c r="Z327">
        <v>2116.7800000000002</v>
      </c>
      <c r="AA327">
        <v>1622.64</v>
      </c>
      <c r="AB327">
        <v>147</v>
      </c>
      <c r="AC327">
        <v>36</v>
      </c>
      <c r="AD327" s="41">
        <f t="shared" si="56"/>
        <v>0.40627745915966701</v>
      </c>
      <c r="AE327" s="41">
        <f t="shared" si="57"/>
        <v>0.53000049302371444</v>
      </c>
      <c r="AF327">
        <f t="shared" si="58"/>
        <v>1.2932133333333333</v>
      </c>
      <c r="AG327">
        <f t="shared" si="59"/>
        <v>0.16471333333333338</v>
      </c>
      <c r="AH327">
        <f t="shared" si="60"/>
        <v>1.47</v>
      </c>
      <c r="AI327">
        <f>HLOOKUP(HLOOKUP(G327,'THP2'!$B$4:$J$8,5,FALSE),'Fuel &amp; Resister'!$B$3:$G$6,4,FALSE)</f>
        <v>2.7360666666666664</v>
      </c>
      <c r="AJ327" s="41">
        <f>HLOOKUP(HLOOKUP(G327,'THP2'!$B$4:$J$8,5,FALSE),'Fuel &amp; Resister'!$B$3:$G$6,3,FALSE)</f>
        <v>13.019</v>
      </c>
      <c r="AO327" s="1">
        <v>1</v>
      </c>
      <c r="AP327" s="1">
        <v>1</v>
      </c>
    </row>
    <row r="328" spans="1:42" x14ac:dyDescent="0.15">
      <c r="A328"/>
      <c r="B328" s="43" t="s">
        <v>604</v>
      </c>
      <c r="C328" s="61">
        <f>VLOOKUP(B328,[1]SYS!$F$5:$G$359,2,FALSE)</f>
        <v>226</v>
      </c>
      <c r="D328" s="1" t="s">
        <v>50</v>
      </c>
      <c r="E328" s="65" t="s">
        <v>249</v>
      </c>
      <c r="F328" s="42"/>
      <c r="G328" s="1">
        <v>3</v>
      </c>
      <c r="H328" s="1">
        <f t="shared" si="52"/>
        <v>0.4</v>
      </c>
      <c r="I328" s="1">
        <f t="shared" si="53"/>
        <v>0.5</v>
      </c>
      <c r="J328" s="1">
        <f t="shared" si="51"/>
        <v>0</v>
      </c>
      <c r="K328" s="1">
        <f t="shared" si="54"/>
        <v>2.1167800000000003</v>
      </c>
      <c r="L328" s="1">
        <f t="shared" si="55"/>
        <v>1.6226400000000001</v>
      </c>
      <c r="M328" s="49">
        <f t="shared" si="62"/>
        <v>1.4936379388647358</v>
      </c>
      <c r="N328" s="49">
        <v>1.47</v>
      </c>
      <c r="O328" s="1">
        <v>1014</v>
      </c>
      <c r="P328" s="51">
        <v>0.05</v>
      </c>
      <c r="Q328" s="51">
        <v>11</v>
      </c>
      <c r="R328" s="51">
        <v>1</v>
      </c>
      <c r="S328" s="1">
        <v>1</v>
      </c>
      <c r="T328" s="1">
        <v>0</v>
      </c>
      <c r="U328" s="47">
        <v>1</v>
      </c>
      <c r="V328" s="47">
        <v>272</v>
      </c>
      <c r="W328" s="41">
        <v>200</v>
      </c>
      <c r="X328">
        <v>500</v>
      </c>
      <c r="Y328">
        <v>1</v>
      </c>
      <c r="Z328">
        <v>2116.7800000000002</v>
      </c>
      <c r="AA328">
        <v>1622.64</v>
      </c>
      <c r="AB328">
        <v>147</v>
      </c>
      <c r="AC328">
        <v>36</v>
      </c>
      <c r="AD328" s="41">
        <f t="shared" si="56"/>
        <v>0.40627745915966701</v>
      </c>
      <c r="AE328" s="41">
        <f t="shared" si="57"/>
        <v>0.53000049302371444</v>
      </c>
      <c r="AF328">
        <f t="shared" si="58"/>
        <v>1.2932133333333333</v>
      </c>
      <c r="AG328">
        <f t="shared" si="59"/>
        <v>0.16471333333333338</v>
      </c>
      <c r="AH328">
        <f t="shared" si="60"/>
        <v>1.47</v>
      </c>
      <c r="AI328">
        <f>HLOOKUP(HLOOKUP(G328,'THP2'!$B$4:$J$8,5,FALSE),'Fuel &amp; Resister'!$B$3:$G$6,4,FALSE)</f>
        <v>2.7360666666666664</v>
      </c>
      <c r="AJ328" s="41">
        <f>HLOOKUP(HLOOKUP(G328,'THP2'!$B$4:$J$8,5,FALSE),'Fuel &amp; Resister'!$B$3:$G$6,3,FALSE)</f>
        <v>13.019</v>
      </c>
      <c r="AO328" s="1">
        <v>1</v>
      </c>
      <c r="AP328" s="1">
        <v>1</v>
      </c>
    </row>
    <row r="329" spans="1:42" x14ac:dyDescent="0.15">
      <c r="A329"/>
      <c r="B329" s="43" t="s">
        <v>604</v>
      </c>
      <c r="C329" s="61">
        <f>VLOOKUP(B329,[1]SYS!$F$5:$G$359,2,FALSE)</f>
        <v>226</v>
      </c>
      <c r="D329" s="1" t="s">
        <v>50</v>
      </c>
      <c r="E329" s="65" t="s">
        <v>250</v>
      </c>
      <c r="F329" s="42"/>
      <c r="G329" s="1">
        <v>3</v>
      </c>
      <c r="H329" s="1">
        <f t="shared" si="52"/>
        <v>0.4</v>
      </c>
      <c r="I329" s="1">
        <f t="shared" si="53"/>
        <v>0.4</v>
      </c>
      <c r="J329" s="1">
        <f t="shared" si="51"/>
        <v>0</v>
      </c>
      <c r="K329" s="1">
        <f t="shared" si="54"/>
        <v>2.1167800000000003</v>
      </c>
      <c r="L329" s="1">
        <f t="shared" si="55"/>
        <v>1.6226400000000001</v>
      </c>
      <c r="M329" s="49">
        <f t="shared" si="62"/>
        <v>1.1949103510917889</v>
      </c>
      <c r="N329" s="49">
        <v>1.3619999999999999</v>
      </c>
      <c r="O329" s="6">
        <v>314</v>
      </c>
      <c r="P329" s="51">
        <v>0.05</v>
      </c>
      <c r="Q329" s="51">
        <v>11</v>
      </c>
      <c r="R329" s="51">
        <v>1</v>
      </c>
      <c r="S329" s="1">
        <v>1</v>
      </c>
      <c r="T329" s="1">
        <v>0</v>
      </c>
      <c r="U329" s="47">
        <v>1</v>
      </c>
      <c r="V329" s="47">
        <v>273</v>
      </c>
      <c r="W329" s="41">
        <v>160</v>
      </c>
      <c r="X329">
        <v>400</v>
      </c>
      <c r="Y329">
        <v>1</v>
      </c>
      <c r="Z329">
        <v>2116.7800000000002</v>
      </c>
      <c r="AA329">
        <v>1622.64</v>
      </c>
      <c r="AB329">
        <v>136.19999999999999</v>
      </c>
      <c r="AC329">
        <v>36</v>
      </c>
      <c r="AD329" s="41">
        <f t="shared" si="56"/>
        <v>0.40627745915966701</v>
      </c>
      <c r="AE329" s="41">
        <f t="shared" si="57"/>
        <v>0.53000049302371444</v>
      </c>
      <c r="AF329">
        <f t="shared" si="58"/>
        <v>1.2932133333333333</v>
      </c>
      <c r="AG329">
        <f t="shared" si="59"/>
        <v>0.1317706666666667</v>
      </c>
      <c r="AH329">
        <f t="shared" si="60"/>
        <v>1.3619999999999999</v>
      </c>
      <c r="AI329">
        <f>HLOOKUP(HLOOKUP(G329,'THP2'!$B$4:$J$8,5,FALSE),'Fuel &amp; Resister'!$B$3:$G$6,4,FALSE)</f>
        <v>2.7360666666666664</v>
      </c>
      <c r="AJ329" s="41">
        <f>HLOOKUP(HLOOKUP(G329,'THP2'!$B$4:$J$8,5,FALSE),'Fuel &amp; Resister'!$B$3:$G$6,3,FALSE)</f>
        <v>13.019</v>
      </c>
      <c r="AO329" s="1">
        <v>1</v>
      </c>
      <c r="AP329" s="1">
        <v>1</v>
      </c>
    </row>
    <row r="330" spans="1:42" x14ac:dyDescent="0.15">
      <c r="A330"/>
      <c r="B330" s="43" t="s">
        <v>604</v>
      </c>
      <c r="C330" s="61">
        <f>VLOOKUP(B330,[1]SYS!$F$5:$G$359,2,FALSE)</f>
        <v>226</v>
      </c>
      <c r="D330" s="1" t="s">
        <v>50</v>
      </c>
      <c r="E330" s="65" t="s">
        <v>251</v>
      </c>
      <c r="F330" s="42"/>
      <c r="G330" s="1">
        <v>3</v>
      </c>
      <c r="H330" s="1">
        <f t="shared" si="52"/>
        <v>0.4</v>
      </c>
      <c r="I330" s="1">
        <f t="shared" si="53"/>
        <v>0.4</v>
      </c>
      <c r="J330" s="1">
        <f t="shared" si="51"/>
        <v>0</v>
      </c>
      <c r="K330" s="1">
        <f t="shared" si="54"/>
        <v>2.1167800000000003</v>
      </c>
      <c r="L330" s="1">
        <f t="shared" si="55"/>
        <v>1.6226400000000001</v>
      </c>
      <c r="M330" s="49">
        <f t="shared" si="62"/>
        <v>1.1949103510917889</v>
      </c>
      <c r="N330" s="49">
        <v>1.3619999999999999</v>
      </c>
      <c r="O330" s="1">
        <v>1014</v>
      </c>
      <c r="P330" s="51">
        <v>0.05</v>
      </c>
      <c r="Q330" s="51">
        <v>11</v>
      </c>
      <c r="R330" s="51">
        <v>1</v>
      </c>
      <c r="S330" s="1">
        <v>1</v>
      </c>
      <c r="T330" s="1">
        <v>0</v>
      </c>
      <c r="U330" s="47">
        <v>1</v>
      </c>
      <c r="V330" s="47">
        <v>274</v>
      </c>
      <c r="W330" s="41">
        <v>160</v>
      </c>
      <c r="X330">
        <v>400</v>
      </c>
      <c r="Y330">
        <v>1</v>
      </c>
      <c r="Z330">
        <v>2116.7800000000002</v>
      </c>
      <c r="AA330">
        <v>1622.64</v>
      </c>
      <c r="AB330">
        <v>136.19999999999999</v>
      </c>
      <c r="AC330">
        <v>36</v>
      </c>
      <c r="AD330" s="41">
        <f t="shared" si="56"/>
        <v>0.40627745915966701</v>
      </c>
      <c r="AE330" s="41">
        <f t="shared" si="57"/>
        <v>0.53000049302371444</v>
      </c>
      <c r="AF330">
        <f t="shared" si="58"/>
        <v>1.2932133333333333</v>
      </c>
      <c r="AG330">
        <f t="shared" si="59"/>
        <v>0.1317706666666667</v>
      </c>
      <c r="AH330">
        <f t="shared" si="60"/>
        <v>1.3619999999999999</v>
      </c>
      <c r="AI330">
        <f>HLOOKUP(HLOOKUP(G330,'THP2'!$B$4:$J$8,5,FALSE),'Fuel &amp; Resister'!$B$3:$G$6,4,FALSE)</f>
        <v>2.7360666666666664</v>
      </c>
      <c r="AJ330" s="41">
        <f>HLOOKUP(HLOOKUP(G330,'THP2'!$B$4:$J$8,5,FALSE),'Fuel &amp; Resister'!$B$3:$G$6,3,FALSE)</f>
        <v>13.019</v>
      </c>
      <c r="AO330" s="1">
        <v>1</v>
      </c>
      <c r="AP330" s="1">
        <v>1</v>
      </c>
    </row>
    <row r="331" spans="1:42" x14ac:dyDescent="0.15">
      <c r="A331"/>
      <c r="B331" s="43" t="s">
        <v>635</v>
      </c>
      <c r="C331" s="61">
        <f>VLOOKUP(B331,[1]SYS!$F$5:$G$359,2,FALSE)</f>
        <v>247</v>
      </c>
      <c r="D331" s="1" t="s">
        <v>50</v>
      </c>
      <c r="E331" s="65" t="s">
        <v>252</v>
      </c>
      <c r="F331" s="63" t="s">
        <v>463</v>
      </c>
      <c r="G331" s="1">
        <v>3</v>
      </c>
      <c r="H331" s="1">
        <f t="shared" si="52"/>
        <v>0.4</v>
      </c>
      <c r="I331" s="1">
        <f t="shared" si="53"/>
        <v>0.4</v>
      </c>
      <c r="J331" s="1">
        <f t="shared" si="51"/>
        <v>2.0000000000000018E-2</v>
      </c>
      <c r="K331" s="1">
        <f t="shared" si="54"/>
        <v>2.1492199999999997</v>
      </c>
      <c r="L331" s="1">
        <f t="shared" si="55"/>
        <v>1.64751</v>
      </c>
      <c r="M331" s="49">
        <f t="shared" si="62"/>
        <v>1.2132245923477993</v>
      </c>
      <c r="N331" s="49">
        <v>1.3619999999999999</v>
      </c>
      <c r="O331" s="1">
        <v>1009</v>
      </c>
      <c r="P331" s="51">
        <v>0.05</v>
      </c>
      <c r="Q331" s="51">
        <v>11</v>
      </c>
      <c r="R331" s="51">
        <v>1</v>
      </c>
      <c r="S331" s="1">
        <v>1</v>
      </c>
      <c r="T331" s="1">
        <v>0</v>
      </c>
      <c r="U331" s="47">
        <v>1</v>
      </c>
      <c r="V331" s="47">
        <v>275</v>
      </c>
      <c r="W331" s="41">
        <v>160</v>
      </c>
      <c r="X331">
        <v>400</v>
      </c>
      <c r="Y331">
        <v>0.98</v>
      </c>
      <c r="Z331">
        <v>2149.2199999999998</v>
      </c>
      <c r="AA331">
        <v>1647.51</v>
      </c>
      <c r="AB331">
        <v>136.19999999999999</v>
      </c>
      <c r="AC331">
        <v>46</v>
      </c>
      <c r="AD331" s="41">
        <f t="shared" si="56"/>
        <v>0.40014516894501267</v>
      </c>
      <c r="AE331" s="41">
        <f t="shared" si="57"/>
        <v>0.52199986646515051</v>
      </c>
      <c r="AF331">
        <f t="shared" si="58"/>
        <v>1.3130366666666669</v>
      </c>
      <c r="AG331">
        <f t="shared" si="59"/>
        <v>0.13378933333333329</v>
      </c>
      <c r="AH331">
        <f t="shared" si="60"/>
        <v>1.3619999999999999</v>
      </c>
      <c r="AI331">
        <f>HLOOKUP(HLOOKUP(G331,'THP2'!$B$4:$J$8,5,FALSE),'Fuel &amp; Resister'!$B$3:$G$6,4,FALSE)</f>
        <v>2.7360666666666664</v>
      </c>
      <c r="AJ331" s="41">
        <f>HLOOKUP(HLOOKUP(G331,'THP2'!$B$4:$J$8,5,FALSE),'Fuel &amp; Resister'!$B$3:$G$6,3,FALSE)</f>
        <v>13.019</v>
      </c>
      <c r="AO331" s="1">
        <v>1</v>
      </c>
      <c r="AP331" s="1">
        <v>1</v>
      </c>
    </row>
    <row r="332" spans="1:42" x14ac:dyDescent="0.15">
      <c r="A332"/>
      <c r="B332" s="43" t="s">
        <v>635</v>
      </c>
      <c r="C332" s="61">
        <f>VLOOKUP(B332,[1]SYS!$F$5:$G$359,2,FALSE)</f>
        <v>247</v>
      </c>
      <c r="D332" s="1" t="s">
        <v>50</v>
      </c>
      <c r="E332" s="65" t="s">
        <v>253</v>
      </c>
      <c r="F332" s="63" t="s">
        <v>463</v>
      </c>
      <c r="G332" s="1">
        <v>3</v>
      </c>
      <c r="H332" s="1">
        <f t="shared" si="52"/>
        <v>0.4</v>
      </c>
      <c r="I332" s="1">
        <f t="shared" si="53"/>
        <v>0.4</v>
      </c>
      <c r="J332" s="1">
        <f t="shared" si="51"/>
        <v>2.0000000000000018E-2</v>
      </c>
      <c r="K332" s="1">
        <f t="shared" si="54"/>
        <v>2.1492199999999997</v>
      </c>
      <c r="L332" s="1">
        <f t="shared" si="55"/>
        <v>1.64751</v>
      </c>
      <c r="M332" s="49">
        <f t="shared" si="62"/>
        <v>1.2132245923477993</v>
      </c>
      <c r="N332" s="49">
        <v>1.3619999999999999</v>
      </c>
      <c r="O332" s="1">
        <v>1009</v>
      </c>
      <c r="P332" s="51">
        <v>0.05</v>
      </c>
      <c r="Q332" s="51">
        <v>11</v>
      </c>
      <c r="R332" s="51">
        <v>1</v>
      </c>
      <c r="S332" s="1">
        <v>1</v>
      </c>
      <c r="T332" s="1">
        <v>0</v>
      </c>
      <c r="U332" s="47">
        <v>1</v>
      </c>
      <c r="V332" s="47">
        <v>276</v>
      </c>
      <c r="W332" s="41">
        <v>160</v>
      </c>
      <c r="X332">
        <v>400</v>
      </c>
      <c r="Y332">
        <v>0.98</v>
      </c>
      <c r="Z332">
        <v>2149.2199999999998</v>
      </c>
      <c r="AA332">
        <v>1647.51</v>
      </c>
      <c r="AB332">
        <v>136.19999999999999</v>
      </c>
      <c r="AC332">
        <v>46</v>
      </c>
      <c r="AD332" s="41">
        <f t="shared" si="56"/>
        <v>0.40014516894501267</v>
      </c>
      <c r="AE332" s="41">
        <f t="shared" si="57"/>
        <v>0.52199986646515051</v>
      </c>
      <c r="AF332">
        <f t="shared" si="58"/>
        <v>1.3130366666666669</v>
      </c>
      <c r="AG332">
        <f t="shared" si="59"/>
        <v>0.13378933333333329</v>
      </c>
      <c r="AH332">
        <f t="shared" si="60"/>
        <v>1.3619999999999999</v>
      </c>
      <c r="AI332">
        <f>HLOOKUP(HLOOKUP(G332,'THP2'!$B$4:$J$8,5,FALSE),'Fuel &amp; Resister'!$B$3:$G$6,4,FALSE)</f>
        <v>2.7360666666666664</v>
      </c>
      <c r="AJ332" s="41">
        <f>HLOOKUP(HLOOKUP(G332,'THP2'!$B$4:$J$8,5,FALSE),'Fuel &amp; Resister'!$B$3:$G$6,3,FALSE)</f>
        <v>13.019</v>
      </c>
      <c r="AO332" s="1">
        <v>1</v>
      </c>
      <c r="AP332" s="1">
        <v>1</v>
      </c>
    </row>
    <row r="333" spans="1:42" x14ac:dyDescent="0.15">
      <c r="A333"/>
      <c r="B333" s="43" t="s">
        <v>635</v>
      </c>
      <c r="C333" s="61">
        <f>VLOOKUP(B333,[1]SYS!$F$5:$G$359,2,FALSE)</f>
        <v>247</v>
      </c>
      <c r="D333" s="1" t="s">
        <v>50</v>
      </c>
      <c r="E333" s="65" t="s">
        <v>254</v>
      </c>
      <c r="F333" s="63" t="s">
        <v>463</v>
      </c>
      <c r="G333" s="1">
        <v>3</v>
      </c>
      <c r="H333" s="1">
        <f t="shared" si="52"/>
        <v>0.4</v>
      </c>
      <c r="I333" s="1">
        <f t="shared" si="53"/>
        <v>0.4</v>
      </c>
      <c r="J333" s="1">
        <f t="shared" si="51"/>
        <v>2.0000000000000018E-2</v>
      </c>
      <c r="K333" s="1">
        <f t="shared" si="54"/>
        <v>2.1492199999999997</v>
      </c>
      <c r="L333" s="1">
        <f t="shared" si="55"/>
        <v>1.64751</v>
      </c>
      <c r="M333" s="49">
        <f t="shared" si="62"/>
        <v>1.2132245923477993</v>
      </c>
      <c r="N333" s="49">
        <v>1.3619999999999999</v>
      </c>
      <c r="O333" s="1">
        <v>1009</v>
      </c>
      <c r="P333" s="51">
        <v>0.05</v>
      </c>
      <c r="Q333" s="51">
        <v>11</v>
      </c>
      <c r="R333" s="51">
        <v>1</v>
      </c>
      <c r="S333" s="1">
        <v>1</v>
      </c>
      <c r="T333" s="1">
        <v>0</v>
      </c>
      <c r="U333" s="47">
        <v>1</v>
      </c>
      <c r="V333" s="47">
        <v>277</v>
      </c>
      <c r="W333" s="41">
        <v>160</v>
      </c>
      <c r="X333">
        <v>400</v>
      </c>
      <c r="Y333">
        <v>0.98</v>
      </c>
      <c r="Z333">
        <v>2149.2199999999998</v>
      </c>
      <c r="AA333">
        <v>1647.51</v>
      </c>
      <c r="AB333">
        <v>136.19999999999999</v>
      </c>
      <c r="AC333">
        <v>46</v>
      </c>
      <c r="AD333" s="41">
        <f t="shared" si="56"/>
        <v>0.40014516894501267</v>
      </c>
      <c r="AE333" s="41">
        <f t="shared" si="57"/>
        <v>0.52199986646515051</v>
      </c>
      <c r="AF333">
        <f t="shared" si="58"/>
        <v>1.3130366666666669</v>
      </c>
      <c r="AG333">
        <f t="shared" si="59"/>
        <v>0.13378933333333329</v>
      </c>
      <c r="AH333">
        <f t="shared" si="60"/>
        <v>1.3619999999999999</v>
      </c>
      <c r="AI333">
        <f>HLOOKUP(HLOOKUP(G333,'THP2'!$B$4:$J$8,5,FALSE),'Fuel &amp; Resister'!$B$3:$G$6,4,FALSE)</f>
        <v>2.7360666666666664</v>
      </c>
      <c r="AJ333" s="41">
        <f>HLOOKUP(HLOOKUP(G333,'THP2'!$B$4:$J$8,5,FALSE),'Fuel &amp; Resister'!$B$3:$G$6,3,FALSE)</f>
        <v>13.019</v>
      </c>
      <c r="AO333" s="1">
        <v>1</v>
      </c>
      <c r="AP333" s="1">
        <v>1</v>
      </c>
    </row>
    <row r="334" spans="1:42" x14ac:dyDescent="0.15">
      <c r="A334"/>
      <c r="B334" s="43" t="s">
        <v>635</v>
      </c>
      <c r="C334" s="61">
        <f>VLOOKUP(B334,[1]SYS!$F$5:$G$359,2,FALSE)</f>
        <v>247</v>
      </c>
      <c r="D334" s="1" t="s">
        <v>50</v>
      </c>
      <c r="E334" s="65" t="s">
        <v>255</v>
      </c>
      <c r="F334" s="63" t="s">
        <v>463</v>
      </c>
      <c r="G334" s="1">
        <v>3</v>
      </c>
      <c r="H334" s="1">
        <f t="shared" si="52"/>
        <v>0.4</v>
      </c>
      <c r="I334" s="1">
        <f t="shared" si="53"/>
        <v>0.4</v>
      </c>
      <c r="J334" s="1">
        <f t="shared" si="51"/>
        <v>2.0000000000000018E-2</v>
      </c>
      <c r="K334" s="1">
        <f t="shared" si="54"/>
        <v>2.1492199999999997</v>
      </c>
      <c r="L334" s="1">
        <f t="shared" si="55"/>
        <v>1.64751</v>
      </c>
      <c r="M334" s="49">
        <f t="shared" si="62"/>
        <v>1.2132245923477993</v>
      </c>
      <c r="N334" s="49">
        <v>1.3619999999999999</v>
      </c>
      <c r="O334" s="1">
        <v>1009</v>
      </c>
      <c r="P334" s="51">
        <v>0.05</v>
      </c>
      <c r="Q334" s="51">
        <v>11</v>
      </c>
      <c r="R334" s="51">
        <v>1</v>
      </c>
      <c r="S334" s="1">
        <v>1</v>
      </c>
      <c r="T334" s="1">
        <v>0</v>
      </c>
      <c r="U334" s="47">
        <v>1</v>
      </c>
      <c r="V334" s="47">
        <v>278</v>
      </c>
      <c r="W334" s="41">
        <v>160</v>
      </c>
      <c r="X334">
        <v>400</v>
      </c>
      <c r="Y334">
        <v>0.98</v>
      </c>
      <c r="Z334">
        <v>2149.2199999999998</v>
      </c>
      <c r="AA334">
        <v>1647.51</v>
      </c>
      <c r="AB334">
        <v>136.19999999999999</v>
      </c>
      <c r="AC334">
        <v>46</v>
      </c>
      <c r="AD334" s="41">
        <f t="shared" si="56"/>
        <v>0.40014516894501267</v>
      </c>
      <c r="AE334" s="41">
        <f t="shared" si="57"/>
        <v>0.52199986646515051</v>
      </c>
      <c r="AF334">
        <f t="shared" si="58"/>
        <v>1.3130366666666669</v>
      </c>
      <c r="AG334">
        <f t="shared" si="59"/>
        <v>0.13378933333333329</v>
      </c>
      <c r="AH334">
        <f t="shared" si="60"/>
        <v>1.3619999999999999</v>
      </c>
      <c r="AI334">
        <f>HLOOKUP(HLOOKUP(G334,'THP2'!$B$4:$J$8,5,FALSE),'Fuel &amp; Resister'!$B$3:$G$6,4,FALSE)</f>
        <v>2.7360666666666664</v>
      </c>
      <c r="AJ334" s="41">
        <f>HLOOKUP(HLOOKUP(G334,'THP2'!$B$4:$J$8,5,FALSE),'Fuel &amp; Resister'!$B$3:$G$6,3,FALSE)</f>
        <v>13.019</v>
      </c>
      <c r="AO334" s="1">
        <v>1</v>
      </c>
      <c r="AP334" s="1">
        <v>1</v>
      </c>
    </row>
    <row r="335" spans="1:42" x14ac:dyDescent="0.15">
      <c r="A335"/>
      <c r="B335" s="43" t="s">
        <v>635</v>
      </c>
      <c r="C335" s="61">
        <f>VLOOKUP(B335,[1]SYS!$F$5:$G$359,2,FALSE)</f>
        <v>247</v>
      </c>
      <c r="D335" s="1" t="s">
        <v>50</v>
      </c>
      <c r="E335" s="65" t="s">
        <v>256</v>
      </c>
      <c r="F335" s="63" t="s">
        <v>463</v>
      </c>
      <c r="G335" s="1">
        <v>3</v>
      </c>
      <c r="H335" s="1">
        <f t="shared" si="52"/>
        <v>0.4</v>
      </c>
      <c r="I335" s="1">
        <f t="shared" si="53"/>
        <v>0.4</v>
      </c>
      <c r="J335" s="1">
        <f t="shared" si="51"/>
        <v>2.0000000000000018E-2</v>
      </c>
      <c r="K335" s="1">
        <f t="shared" si="54"/>
        <v>2.1492199999999997</v>
      </c>
      <c r="L335" s="1">
        <f t="shared" si="55"/>
        <v>1.64751</v>
      </c>
      <c r="M335" s="49">
        <f t="shared" si="62"/>
        <v>1.2132245923477993</v>
      </c>
      <c r="N335" s="49">
        <v>1.3619999999999999</v>
      </c>
      <c r="O335" s="1">
        <v>1009</v>
      </c>
      <c r="P335" s="51">
        <v>0.05</v>
      </c>
      <c r="Q335" s="51">
        <v>11</v>
      </c>
      <c r="R335" s="51">
        <v>1</v>
      </c>
      <c r="S335" s="1">
        <v>1</v>
      </c>
      <c r="T335" s="1">
        <v>0</v>
      </c>
      <c r="U335" s="47">
        <v>1</v>
      </c>
      <c r="V335" s="47">
        <v>279</v>
      </c>
      <c r="W335" s="41">
        <v>160</v>
      </c>
      <c r="X335">
        <v>400</v>
      </c>
      <c r="Y335">
        <v>0.98</v>
      </c>
      <c r="Z335">
        <v>2149.2199999999998</v>
      </c>
      <c r="AA335">
        <v>1647.51</v>
      </c>
      <c r="AB335">
        <v>136.19999999999999</v>
      </c>
      <c r="AC335">
        <v>46</v>
      </c>
      <c r="AD335" s="41">
        <f t="shared" si="56"/>
        <v>0.40014516894501267</v>
      </c>
      <c r="AE335" s="41">
        <f t="shared" si="57"/>
        <v>0.52199986646515051</v>
      </c>
      <c r="AF335">
        <f t="shared" si="58"/>
        <v>1.3130366666666669</v>
      </c>
      <c r="AG335">
        <f t="shared" si="59"/>
        <v>0.13378933333333329</v>
      </c>
      <c r="AH335">
        <f t="shared" si="60"/>
        <v>1.3619999999999999</v>
      </c>
      <c r="AI335">
        <f>HLOOKUP(HLOOKUP(G335,'THP2'!$B$4:$J$8,5,FALSE),'Fuel &amp; Resister'!$B$3:$G$6,4,FALSE)</f>
        <v>2.7360666666666664</v>
      </c>
      <c r="AJ335" s="41">
        <f>HLOOKUP(HLOOKUP(G335,'THP2'!$B$4:$J$8,5,FALSE),'Fuel &amp; Resister'!$B$3:$G$6,3,FALSE)</f>
        <v>13.019</v>
      </c>
      <c r="AO335" s="1">
        <v>1</v>
      </c>
      <c r="AP335" s="1">
        <v>1</v>
      </c>
    </row>
    <row r="336" spans="1:42" x14ac:dyDescent="0.15">
      <c r="A336"/>
      <c r="B336" s="43" t="s">
        <v>636</v>
      </c>
      <c r="C336" s="61">
        <f>VLOOKUP(B336,[1]SYS!$F$5:$G$359,2,FALSE)</f>
        <v>225</v>
      </c>
      <c r="D336" s="1" t="s">
        <v>50</v>
      </c>
      <c r="E336" s="65" t="s">
        <v>257</v>
      </c>
      <c r="F336" s="63" t="s">
        <v>458</v>
      </c>
      <c r="G336" s="1">
        <v>3</v>
      </c>
      <c r="H336" s="1">
        <f t="shared" si="52"/>
        <v>0.39928057553956836</v>
      </c>
      <c r="I336" s="1">
        <f t="shared" si="53"/>
        <v>0.27800000000000002</v>
      </c>
      <c r="J336" s="1">
        <f t="shared" si="51"/>
        <v>3.0000000000000027E-2</v>
      </c>
      <c r="K336" s="1">
        <f t="shared" si="54"/>
        <v>2.1826699999999999</v>
      </c>
      <c r="L336" s="1">
        <f t="shared" si="55"/>
        <v>1.6731500000000001</v>
      </c>
      <c r="M336" s="49">
        <f t="shared" si="62"/>
        <v>0.85631357323917334</v>
      </c>
      <c r="N336" s="49">
        <v>1.2302</v>
      </c>
      <c r="O336" s="1">
        <v>1113</v>
      </c>
      <c r="P336" s="51">
        <v>0.05</v>
      </c>
      <c r="Q336" s="51">
        <v>11</v>
      </c>
      <c r="R336" s="51">
        <v>1</v>
      </c>
      <c r="S336" s="1">
        <v>1</v>
      </c>
      <c r="T336" s="1">
        <v>0</v>
      </c>
      <c r="U336" s="47">
        <v>1</v>
      </c>
      <c r="V336" s="47">
        <v>280</v>
      </c>
      <c r="W336" s="41">
        <v>111</v>
      </c>
      <c r="X336">
        <v>278</v>
      </c>
      <c r="Y336">
        <v>0.97</v>
      </c>
      <c r="Z336">
        <v>2182.67</v>
      </c>
      <c r="AA336">
        <v>1673.15</v>
      </c>
      <c r="AB336">
        <v>123.02</v>
      </c>
      <c r="AC336">
        <v>36</v>
      </c>
      <c r="AD336" s="41">
        <f t="shared" si="56"/>
        <v>0.39401283748803073</v>
      </c>
      <c r="AE336" s="41">
        <f t="shared" si="57"/>
        <v>0.51400053790753963</v>
      </c>
      <c r="AF336">
        <f t="shared" si="58"/>
        <v>1.3344870059880243</v>
      </c>
      <c r="AG336">
        <f t="shared" si="59"/>
        <v>9.4148312335329304E-2</v>
      </c>
      <c r="AH336">
        <f t="shared" si="60"/>
        <v>1.2302</v>
      </c>
      <c r="AI336">
        <f>HLOOKUP(HLOOKUP(G336,'THP2'!$B$4:$J$8,5,FALSE),'Fuel &amp; Resister'!$B$3:$G$6,4,FALSE)</f>
        <v>2.7360666666666664</v>
      </c>
      <c r="AJ336" s="41">
        <f>HLOOKUP(HLOOKUP(G336,'THP2'!$B$4:$J$8,5,FALSE),'Fuel &amp; Resister'!$B$3:$G$6,3,FALSE)</f>
        <v>13.019</v>
      </c>
      <c r="AO336" s="1">
        <v>1</v>
      </c>
      <c r="AP336" s="1">
        <v>1</v>
      </c>
    </row>
    <row r="337" spans="1:42" x14ac:dyDescent="0.15">
      <c r="A337"/>
      <c r="B337" s="43" t="s">
        <v>636</v>
      </c>
      <c r="C337" s="61">
        <f>VLOOKUP(B337,[1]SYS!$F$5:$G$359,2,FALSE)</f>
        <v>225</v>
      </c>
      <c r="D337" s="1" t="s">
        <v>50</v>
      </c>
      <c r="E337" s="65" t="s">
        <v>258</v>
      </c>
      <c r="F337" s="63" t="s">
        <v>458</v>
      </c>
      <c r="G337" s="1">
        <v>3</v>
      </c>
      <c r="H337" s="1">
        <f t="shared" si="52"/>
        <v>0.39928057553956836</v>
      </c>
      <c r="I337" s="1">
        <f t="shared" si="53"/>
        <v>0.27800000000000002</v>
      </c>
      <c r="J337" s="1">
        <f t="shared" si="51"/>
        <v>3.0000000000000027E-2</v>
      </c>
      <c r="K337" s="1">
        <f t="shared" si="54"/>
        <v>2.1826699999999999</v>
      </c>
      <c r="L337" s="1">
        <f t="shared" si="55"/>
        <v>1.6731500000000001</v>
      </c>
      <c r="M337" s="49">
        <f t="shared" si="62"/>
        <v>0.85631357323917334</v>
      </c>
      <c r="N337" s="49">
        <v>1.2302</v>
      </c>
      <c r="O337" s="1">
        <v>514</v>
      </c>
      <c r="P337" s="51">
        <v>0.05</v>
      </c>
      <c r="Q337" s="51">
        <v>11</v>
      </c>
      <c r="R337" s="51">
        <v>1</v>
      </c>
      <c r="S337" s="1">
        <v>1</v>
      </c>
      <c r="T337" s="1">
        <v>0</v>
      </c>
      <c r="U337" s="47">
        <v>1</v>
      </c>
      <c r="V337" s="47">
        <v>281</v>
      </c>
      <c r="W337" s="41">
        <v>111</v>
      </c>
      <c r="X337">
        <v>278</v>
      </c>
      <c r="Y337">
        <v>0.97</v>
      </c>
      <c r="Z337">
        <v>2182.67</v>
      </c>
      <c r="AA337">
        <v>1673.15</v>
      </c>
      <c r="AB337">
        <v>123.02</v>
      </c>
      <c r="AC337">
        <v>36</v>
      </c>
      <c r="AD337" s="41">
        <f t="shared" si="56"/>
        <v>0.39401283748803073</v>
      </c>
      <c r="AE337" s="41">
        <f t="shared" si="57"/>
        <v>0.51400053790753963</v>
      </c>
      <c r="AF337">
        <f t="shared" si="58"/>
        <v>1.3344870059880243</v>
      </c>
      <c r="AG337">
        <f t="shared" si="59"/>
        <v>9.4148312335329304E-2</v>
      </c>
      <c r="AH337">
        <f t="shared" si="60"/>
        <v>1.2302</v>
      </c>
      <c r="AI337">
        <f>HLOOKUP(HLOOKUP(G337,'THP2'!$B$4:$J$8,5,FALSE),'Fuel &amp; Resister'!$B$3:$G$6,4,FALSE)</f>
        <v>2.7360666666666664</v>
      </c>
      <c r="AJ337" s="41">
        <f>HLOOKUP(HLOOKUP(G337,'THP2'!$B$4:$J$8,5,FALSE),'Fuel &amp; Resister'!$B$3:$G$6,3,FALSE)</f>
        <v>13.019</v>
      </c>
      <c r="AO337" s="1">
        <v>1</v>
      </c>
      <c r="AP337" s="1">
        <v>1</v>
      </c>
    </row>
    <row r="338" spans="1:42" x14ac:dyDescent="0.15">
      <c r="A338"/>
      <c r="B338" s="43" t="s">
        <v>636</v>
      </c>
      <c r="C338" s="61">
        <f>VLOOKUP(B338,[1]SYS!$F$5:$G$359,2,FALSE)</f>
        <v>225</v>
      </c>
      <c r="D338" s="1" t="s">
        <v>50</v>
      </c>
      <c r="E338" s="65" t="s">
        <v>259</v>
      </c>
      <c r="F338" s="63" t="s">
        <v>458</v>
      </c>
      <c r="G338" s="1">
        <v>3</v>
      </c>
      <c r="H338" s="1">
        <f t="shared" si="52"/>
        <v>0.4007220216606498</v>
      </c>
      <c r="I338" s="1">
        <f t="shared" si="53"/>
        <v>0.27700000000000002</v>
      </c>
      <c r="J338" s="1">
        <f t="shared" si="51"/>
        <v>3.0000000000000027E-2</v>
      </c>
      <c r="K338" s="1">
        <f t="shared" si="54"/>
        <v>2.1954799999999999</v>
      </c>
      <c r="L338" s="1">
        <f t="shared" si="55"/>
        <v>1.6829700000000001</v>
      </c>
      <c r="M338" s="49">
        <f t="shared" si="62"/>
        <v>0.858241079014468</v>
      </c>
      <c r="N338" s="49">
        <v>1.2292000000000001</v>
      </c>
      <c r="O338" s="1">
        <v>1101</v>
      </c>
      <c r="P338" s="51">
        <v>0.05</v>
      </c>
      <c r="Q338" s="51">
        <v>11</v>
      </c>
      <c r="R338" s="51">
        <v>1</v>
      </c>
      <c r="S338" s="1">
        <v>1</v>
      </c>
      <c r="T338" s="1">
        <v>0</v>
      </c>
      <c r="U338" s="47">
        <v>1</v>
      </c>
      <c r="V338" s="47">
        <v>282</v>
      </c>
      <c r="W338" s="41">
        <v>111</v>
      </c>
      <c r="X338">
        <v>277</v>
      </c>
      <c r="Y338">
        <v>0.97</v>
      </c>
      <c r="Z338">
        <v>2195.48</v>
      </c>
      <c r="AA338">
        <v>1682.97</v>
      </c>
      <c r="AB338">
        <v>122.92</v>
      </c>
      <c r="AC338">
        <v>36</v>
      </c>
      <c r="AD338" s="41">
        <f t="shared" si="56"/>
        <v>0.39171388489077558</v>
      </c>
      <c r="AE338" s="41">
        <f t="shared" si="57"/>
        <v>0.5110013844572393</v>
      </c>
      <c r="AF338">
        <f t="shared" si="58"/>
        <v>1.3402675301204821</v>
      </c>
      <c r="AG338">
        <f t="shared" si="59"/>
        <v>9.49285841566265E-2</v>
      </c>
      <c r="AH338">
        <f t="shared" si="60"/>
        <v>1.2292000000000001</v>
      </c>
      <c r="AI338">
        <f>HLOOKUP(HLOOKUP(G338,'THP2'!$B$4:$J$8,5,FALSE),'Fuel &amp; Resister'!$B$3:$G$6,4,FALSE)</f>
        <v>2.7360666666666664</v>
      </c>
      <c r="AJ338" s="41">
        <f>HLOOKUP(HLOOKUP(G338,'THP2'!$B$4:$J$8,5,FALSE),'Fuel &amp; Resister'!$B$3:$G$6,3,FALSE)</f>
        <v>13.019</v>
      </c>
      <c r="AO338" s="1">
        <v>1</v>
      </c>
      <c r="AP338" s="1">
        <v>1</v>
      </c>
    </row>
    <row r="339" spans="1:42" x14ac:dyDescent="0.15">
      <c r="A339"/>
      <c r="B339" s="43" t="s">
        <v>636</v>
      </c>
      <c r="C339" s="61">
        <f>VLOOKUP(B339,[1]SYS!$F$5:$G$359,2,FALSE)</f>
        <v>225</v>
      </c>
      <c r="D339" s="1" t="s">
        <v>50</v>
      </c>
      <c r="E339" s="65" t="s">
        <v>260</v>
      </c>
      <c r="F339" s="63" t="s">
        <v>458</v>
      </c>
      <c r="G339" s="1">
        <v>3</v>
      </c>
      <c r="H339" s="1">
        <f t="shared" si="52"/>
        <v>0.4007220216606498</v>
      </c>
      <c r="I339" s="1">
        <f t="shared" si="53"/>
        <v>0.27700000000000002</v>
      </c>
      <c r="J339" s="1">
        <f t="shared" si="51"/>
        <v>3.0000000000000027E-2</v>
      </c>
      <c r="K339" s="1">
        <f t="shared" si="54"/>
        <v>2.1954799999999999</v>
      </c>
      <c r="L339" s="1">
        <f t="shared" si="55"/>
        <v>1.6829700000000001</v>
      </c>
      <c r="M339" s="49">
        <f t="shared" si="62"/>
        <v>0.858241079014468</v>
      </c>
      <c r="N339" s="49">
        <v>1.2292000000000001</v>
      </c>
      <c r="O339" s="1">
        <v>913</v>
      </c>
      <c r="P339" s="51">
        <v>0.05</v>
      </c>
      <c r="Q339" s="51">
        <v>11</v>
      </c>
      <c r="R339" s="51">
        <v>1</v>
      </c>
      <c r="S339" s="1">
        <v>1</v>
      </c>
      <c r="T339" s="1">
        <v>0</v>
      </c>
      <c r="U339" s="47">
        <v>1</v>
      </c>
      <c r="V339" s="47">
        <v>283</v>
      </c>
      <c r="W339" s="41">
        <v>111</v>
      </c>
      <c r="X339">
        <v>277</v>
      </c>
      <c r="Y339">
        <v>0.97</v>
      </c>
      <c r="Z339">
        <v>2195.48</v>
      </c>
      <c r="AA339">
        <v>1682.97</v>
      </c>
      <c r="AB339">
        <v>122.92</v>
      </c>
      <c r="AC339">
        <v>36</v>
      </c>
      <c r="AD339" s="41">
        <f t="shared" si="56"/>
        <v>0.39171388489077558</v>
      </c>
      <c r="AE339" s="41">
        <f t="shared" si="57"/>
        <v>0.5110013844572393</v>
      </c>
      <c r="AF339">
        <f t="shared" si="58"/>
        <v>1.3402675301204821</v>
      </c>
      <c r="AG339">
        <f t="shared" si="59"/>
        <v>9.49285841566265E-2</v>
      </c>
      <c r="AH339">
        <f t="shared" si="60"/>
        <v>1.2292000000000001</v>
      </c>
      <c r="AI339">
        <f>HLOOKUP(HLOOKUP(G339,'THP2'!$B$4:$J$8,5,FALSE),'Fuel &amp; Resister'!$B$3:$G$6,4,FALSE)</f>
        <v>2.7360666666666664</v>
      </c>
      <c r="AJ339" s="41">
        <f>HLOOKUP(HLOOKUP(G339,'THP2'!$B$4:$J$8,5,FALSE),'Fuel &amp; Resister'!$B$3:$G$6,3,FALSE)</f>
        <v>13.019</v>
      </c>
      <c r="AO339" s="1">
        <v>1</v>
      </c>
      <c r="AP339" s="1">
        <v>1</v>
      </c>
    </row>
    <row r="340" spans="1:42" x14ac:dyDescent="0.15">
      <c r="A340"/>
      <c r="B340" s="43" t="s">
        <v>604</v>
      </c>
      <c r="C340" s="61">
        <f>VLOOKUP(B340,[1]SYS!$F$5:$G$359,2,FALSE)</f>
        <v>226</v>
      </c>
      <c r="D340" s="1" t="s">
        <v>50</v>
      </c>
      <c r="E340" s="42" t="s">
        <v>261</v>
      </c>
      <c r="F340" s="63" t="s">
        <v>460</v>
      </c>
      <c r="G340" s="1">
        <v>3</v>
      </c>
      <c r="H340" s="1">
        <f t="shared" si="52"/>
        <v>0.39915966386554624</v>
      </c>
      <c r="I340" s="1">
        <f t="shared" si="53"/>
        <v>0.23799999999999999</v>
      </c>
      <c r="J340" s="1">
        <f t="shared" si="51"/>
        <v>2.2800000000000042E-2</v>
      </c>
      <c r="K340" s="1">
        <f t="shared" si="54"/>
        <v>2.3799899999999998</v>
      </c>
      <c r="L340" s="1">
        <f t="shared" si="55"/>
        <v>1.8244100000000001</v>
      </c>
      <c r="M340" s="49">
        <f t="shared" si="62"/>
        <v>0.79937866946029046</v>
      </c>
      <c r="N340" s="49">
        <v>1.1872</v>
      </c>
      <c r="O340" s="1">
        <v>514</v>
      </c>
      <c r="P340" s="51">
        <v>0.05</v>
      </c>
      <c r="Q340" s="51">
        <v>11</v>
      </c>
      <c r="R340" s="51">
        <v>1</v>
      </c>
      <c r="S340" s="1">
        <v>1</v>
      </c>
      <c r="T340" s="1">
        <v>0</v>
      </c>
      <c r="U340" s="47">
        <v>0</v>
      </c>
      <c r="V340" s="47">
        <v>284</v>
      </c>
      <c r="W340" s="41">
        <v>95</v>
      </c>
      <c r="X340">
        <v>238</v>
      </c>
      <c r="Y340">
        <v>0.97719999999999996</v>
      </c>
      <c r="Z340">
        <v>2379.9899999999998</v>
      </c>
      <c r="AA340">
        <v>1824.41</v>
      </c>
      <c r="AB340">
        <v>118.72</v>
      </c>
      <c r="AC340">
        <v>36</v>
      </c>
      <c r="AD340" s="41">
        <f t="shared" si="56"/>
        <v>0.3613460560758659</v>
      </c>
      <c r="AE340" s="41">
        <f t="shared" si="57"/>
        <v>0.47138526975844242</v>
      </c>
      <c r="AF340">
        <f t="shared" si="58"/>
        <v>1.4553183916083918</v>
      </c>
      <c r="AG340">
        <f t="shared" si="59"/>
        <v>8.7843802797202761E-2</v>
      </c>
      <c r="AH340">
        <f t="shared" si="60"/>
        <v>1.1872</v>
      </c>
      <c r="AI340">
        <f>HLOOKUP(HLOOKUP(G340,'THP2'!$B$4:$J$8,5,FALSE),'Fuel &amp; Resister'!$B$3:$G$6,4,FALSE)</f>
        <v>2.7360666666666664</v>
      </c>
      <c r="AJ340" s="41">
        <f>HLOOKUP(HLOOKUP(G340,'THP2'!$B$4:$J$8,5,FALSE),'Fuel &amp; Resister'!$B$3:$G$6,3,FALSE)</f>
        <v>13.019</v>
      </c>
      <c r="AO340" s="62">
        <v>0</v>
      </c>
      <c r="AP340" s="62">
        <v>0</v>
      </c>
    </row>
    <row r="341" spans="1:42" x14ac:dyDescent="0.15">
      <c r="A341"/>
      <c r="B341" s="43" t="s">
        <v>604</v>
      </c>
      <c r="C341" s="61">
        <f>VLOOKUP(B341,[1]SYS!$F$5:$G$359,2,FALSE)</f>
        <v>226</v>
      </c>
      <c r="D341" s="1" t="s">
        <v>50</v>
      </c>
      <c r="E341" s="42" t="s">
        <v>262</v>
      </c>
      <c r="F341" s="63" t="s">
        <v>460</v>
      </c>
      <c r="G341" s="1">
        <v>3</v>
      </c>
      <c r="H341" s="1">
        <f t="shared" si="52"/>
        <v>0.39915966386554624</v>
      </c>
      <c r="I341" s="1">
        <f t="shared" si="53"/>
        <v>0.23799999999999999</v>
      </c>
      <c r="J341" s="1">
        <f t="shared" si="51"/>
        <v>2.2800000000000042E-2</v>
      </c>
      <c r="K341" s="1">
        <f t="shared" si="54"/>
        <v>2.3799899999999998</v>
      </c>
      <c r="L341" s="1">
        <f t="shared" si="55"/>
        <v>1.8244100000000001</v>
      </c>
      <c r="M341" s="49">
        <f t="shared" si="62"/>
        <v>0.79937866946029046</v>
      </c>
      <c r="N341" s="49">
        <v>1.1872</v>
      </c>
      <c r="O341" s="6">
        <v>314</v>
      </c>
      <c r="P341" s="51">
        <v>0.05</v>
      </c>
      <c r="Q341" s="51">
        <v>11</v>
      </c>
      <c r="R341" s="51">
        <v>1</v>
      </c>
      <c r="S341" s="1">
        <v>1</v>
      </c>
      <c r="T341" s="1">
        <v>0</v>
      </c>
      <c r="U341" s="47">
        <v>0</v>
      </c>
      <c r="V341" s="47">
        <v>285</v>
      </c>
      <c r="W341" s="41">
        <v>95</v>
      </c>
      <c r="X341">
        <v>238</v>
      </c>
      <c r="Y341">
        <v>0.97719999999999996</v>
      </c>
      <c r="Z341">
        <v>2379.9899999999998</v>
      </c>
      <c r="AA341">
        <v>1824.41</v>
      </c>
      <c r="AB341">
        <v>118.72</v>
      </c>
      <c r="AC341">
        <v>36</v>
      </c>
      <c r="AD341" s="41">
        <f t="shared" si="56"/>
        <v>0.3613460560758659</v>
      </c>
      <c r="AE341" s="41">
        <f t="shared" si="57"/>
        <v>0.47138526975844242</v>
      </c>
      <c r="AF341">
        <f t="shared" si="58"/>
        <v>1.4553183916083918</v>
      </c>
      <c r="AG341">
        <f t="shared" si="59"/>
        <v>8.7843802797202761E-2</v>
      </c>
      <c r="AH341">
        <f t="shared" si="60"/>
        <v>1.1872</v>
      </c>
      <c r="AI341">
        <f>HLOOKUP(HLOOKUP(G341,'THP2'!$B$4:$J$8,5,FALSE),'Fuel &amp; Resister'!$B$3:$G$6,4,FALSE)</f>
        <v>2.7360666666666664</v>
      </c>
      <c r="AJ341" s="41">
        <f>HLOOKUP(HLOOKUP(G341,'THP2'!$B$4:$J$8,5,FALSE),'Fuel &amp; Resister'!$B$3:$G$6,3,FALSE)</f>
        <v>13.019</v>
      </c>
      <c r="AO341" s="62">
        <v>0</v>
      </c>
      <c r="AP341" s="62">
        <v>0</v>
      </c>
    </row>
    <row r="342" spans="1:42" x14ac:dyDescent="0.15">
      <c r="A342"/>
      <c r="B342" s="43" t="s">
        <v>604</v>
      </c>
      <c r="C342" s="61">
        <f>VLOOKUP(B342,[1]SYS!$F$5:$G$359,2,FALSE)</f>
        <v>226</v>
      </c>
      <c r="D342" s="1" t="s">
        <v>50</v>
      </c>
      <c r="E342" s="42" t="s">
        <v>263</v>
      </c>
      <c r="F342" s="63" t="s">
        <v>460</v>
      </c>
      <c r="G342" s="1">
        <v>3</v>
      </c>
      <c r="H342" s="1">
        <f t="shared" si="52"/>
        <v>0.40084388185654007</v>
      </c>
      <c r="I342" s="1">
        <f t="shared" si="53"/>
        <v>0.23699999999999999</v>
      </c>
      <c r="J342" s="1">
        <f t="shared" si="51"/>
        <v>2.2800000000000042E-2</v>
      </c>
      <c r="K342" s="1">
        <f t="shared" si="54"/>
        <v>2.3799899999999998</v>
      </c>
      <c r="L342" s="1">
        <f t="shared" si="55"/>
        <v>1.8244100000000001</v>
      </c>
      <c r="M342" s="49">
        <f t="shared" si="62"/>
        <v>0.79601993555499495</v>
      </c>
      <c r="N342" s="49">
        <v>1.1860999999999999</v>
      </c>
      <c r="O342" s="1">
        <v>1125</v>
      </c>
      <c r="P342" s="51">
        <v>0.05</v>
      </c>
      <c r="Q342" s="51">
        <v>11</v>
      </c>
      <c r="R342" s="51">
        <v>1</v>
      </c>
      <c r="S342" s="1">
        <v>1</v>
      </c>
      <c r="T342" s="1">
        <v>0</v>
      </c>
      <c r="U342" s="47">
        <v>0</v>
      </c>
      <c r="V342" s="47">
        <v>286</v>
      </c>
      <c r="W342" s="41">
        <v>95</v>
      </c>
      <c r="X342">
        <v>237</v>
      </c>
      <c r="Y342">
        <v>0.97719999999999996</v>
      </c>
      <c r="Z342">
        <v>2379.9899999999998</v>
      </c>
      <c r="AA342">
        <v>1824.41</v>
      </c>
      <c r="AB342">
        <v>118.61</v>
      </c>
      <c r="AC342">
        <v>36</v>
      </c>
      <c r="AD342" s="41">
        <f t="shared" si="56"/>
        <v>0.3613460560758659</v>
      </c>
      <c r="AE342" s="41">
        <f t="shared" si="57"/>
        <v>0.47138526975844242</v>
      </c>
      <c r="AF342">
        <f t="shared" si="58"/>
        <v>1.4527191549295779</v>
      </c>
      <c r="AG342">
        <f t="shared" si="59"/>
        <v>8.8090730281690052E-2</v>
      </c>
      <c r="AH342">
        <f t="shared" si="60"/>
        <v>1.1860999999999999</v>
      </c>
      <c r="AI342">
        <f>HLOOKUP(HLOOKUP(G342,'THP2'!$B$4:$J$8,5,FALSE),'Fuel &amp; Resister'!$B$3:$G$6,4,FALSE)</f>
        <v>2.7360666666666664</v>
      </c>
      <c r="AJ342" s="41">
        <f>HLOOKUP(HLOOKUP(G342,'THP2'!$B$4:$J$8,5,FALSE),'Fuel &amp; Resister'!$B$3:$G$6,3,FALSE)</f>
        <v>13.019</v>
      </c>
      <c r="AO342" s="62">
        <v>0</v>
      </c>
      <c r="AP342" s="62">
        <v>0</v>
      </c>
    </row>
    <row r="343" spans="1:42" x14ac:dyDescent="0.15">
      <c r="A343"/>
      <c r="B343" s="43" t="s">
        <v>604</v>
      </c>
      <c r="C343" s="61">
        <f>VLOOKUP(B343,[1]SYS!$F$5:$G$359,2,FALSE)</f>
        <v>226</v>
      </c>
      <c r="D343" s="1" t="s">
        <v>50</v>
      </c>
      <c r="E343" s="42" t="s">
        <v>264</v>
      </c>
      <c r="F343" s="63" t="s">
        <v>460</v>
      </c>
      <c r="G343" s="1">
        <v>3</v>
      </c>
      <c r="H343" s="1">
        <f t="shared" si="52"/>
        <v>0.3991769547325103</v>
      </c>
      <c r="I343" s="1">
        <f t="shared" si="53"/>
        <v>0.24299999999999999</v>
      </c>
      <c r="J343" s="1">
        <f t="shared" si="51"/>
        <v>2.3199999999999998E-2</v>
      </c>
      <c r="K343" s="1">
        <f t="shared" si="54"/>
        <v>2.4052199999999999</v>
      </c>
      <c r="L343" s="1">
        <f t="shared" si="55"/>
        <v>1.84375</v>
      </c>
      <c r="M343" s="49">
        <f t="shared" si="62"/>
        <v>0.82482432677240947</v>
      </c>
      <c r="N343" s="49">
        <v>1.1924999999999999</v>
      </c>
      <c r="O343" s="1">
        <v>1125</v>
      </c>
      <c r="P343" s="51">
        <v>0.05</v>
      </c>
      <c r="Q343" s="51">
        <v>11</v>
      </c>
      <c r="R343" s="51">
        <v>1</v>
      </c>
      <c r="S343" s="1">
        <v>1</v>
      </c>
      <c r="T343" s="1">
        <v>0</v>
      </c>
      <c r="U343" s="47">
        <v>0</v>
      </c>
      <c r="V343" s="47">
        <v>287</v>
      </c>
      <c r="W343" s="41">
        <v>97</v>
      </c>
      <c r="X343">
        <v>243</v>
      </c>
      <c r="Y343">
        <v>0.9768</v>
      </c>
      <c r="Z343">
        <v>2405.2199999999998</v>
      </c>
      <c r="AA343">
        <v>1843.75</v>
      </c>
      <c r="AB343">
        <v>119.25</v>
      </c>
      <c r="AC343">
        <v>36</v>
      </c>
      <c r="AD343" s="41">
        <f t="shared" si="56"/>
        <v>0.35755564979502918</v>
      </c>
      <c r="AE343" s="41">
        <f t="shared" si="57"/>
        <v>0.46644067796610167</v>
      </c>
      <c r="AF343">
        <f t="shared" si="58"/>
        <v>1.4707185616438359</v>
      </c>
      <c r="AG343">
        <f t="shared" si="59"/>
        <v>9.0646639520547884E-2</v>
      </c>
      <c r="AH343">
        <f t="shared" si="60"/>
        <v>1.1924999999999999</v>
      </c>
      <c r="AI343">
        <f>HLOOKUP(HLOOKUP(G343,'THP2'!$B$4:$J$8,5,FALSE),'Fuel &amp; Resister'!$B$3:$G$6,4,FALSE)</f>
        <v>2.7360666666666664</v>
      </c>
      <c r="AJ343" s="41">
        <f>HLOOKUP(HLOOKUP(G343,'THP2'!$B$4:$J$8,5,FALSE),'Fuel &amp; Resister'!$B$3:$G$6,3,FALSE)</f>
        <v>13.019</v>
      </c>
      <c r="AO343" s="62">
        <v>0</v>
      </c>
      <c r="AP343" s="62">
        <v>0</v>
      </c>
    </row>
    <row r="344" spans="1:42" x14ac:dyDescent="0.15">
      <c r="A344"/>
      <c r="B344" s="43" t="s">
        <v>604</v>
      </c>
      <c r="C344" s="61">
        <f>VLOOKUP(B344,[1]SYS!$F$5:$G$359,2,FALSE)</f>
        <v>226</v>
      </c>
      <c r="D344" s="1" t="s">
        <v>50</v>
      </c>
      <c r="E344" s="42" t="s">
        <v>265</v>
      </c>
      <c r="F344" s="63" t="s">
        <v>460</v>
      </c>
      <c r="G344" s="1">
        <v>3</v>
      </c>
      <c r="H344" s="1">
        <f t="shared" si="52"/>
        <v>0.3991769547325103</v>
      </c>
      <c r="I344" s="1">
        <f t="shared" si="53"/>
        <v>0.24299999999999999</v>
      </c>
      <c r="J344" s="1">
        <f t="shared" si="51"/>
        <v>2.3199999999999998E-2</v>
      </c>
      <c r="K344" s="1">
        <f t="shared" si="54"/>
        <v>2.4052199999999999</v>
      </c>
      <c r="L344" s="1">
        <f t="shared" si="55"/>
        <v>1.84375</v>
      </c>
      <c r="M344" s="49">
        <f t="shared" si="62"/>
        <v>0.82482432677240947</v>
      </c>
      <c r="N344" s="49">
        <v>1.1924999999999999</v>
      </c>
      <c r="O344" s="6">
        <v>314</v>
      </c>
      <c r="P344" s="51">
        <v>0.05</v>
      </c>
      <c r="Q344" s="51">
        <v>11</v>
      </c>
      <c r="R344" s="51">
        <v>1</v>
      </c>
      <c r="S344" s="1">
        <v>1</v>
      </c>
      <c r="T344" s="1">
        <v>0</v>
      </c>
      <c r="U344" s="47">
        <v>0</v>
      </c>
      <c r="V344" s="47">
        <v>288</v>
      </c>
      <c r="W344" s="41">
        <v>97</v>
      </c>
      <c r="X344">
        <v>243</v>
      </c>
      <c r="Y344">
        <v>0.9768</v>
      </c>
      <c r="Z344">
        <v>2405.2199999999998</v>
      </c>
      <c r="AA344">
        <v>1843.75</v>
      </c>
      <c r="AB344">
        <v>119.25</v>
      </c>
      <c r="AC344">
        <v>36</v>
      </c>
      <c r="AD344" s="41">
        <f t="shared" si="56"/>
        <v>0.35755564979502918</v>
      </c>
      <c r="AE344" s="41">
        <f t="shared" si="57"/>
        <v>0.46644067796610167</v>
      </c>
      <c r="AF344">
        <f t="shared" si="58"/>
        <v>1.4707185616438359</v>
      </c>
      <c r="AG344">
        <f t="shared" si="59"/>
        <v>9.0646639520547884E-2</v>
      </c>
      <c r="AH344">
        <f t="shared" si="60"/>
        <v>1.1924999999999999</v>
      </c>
      <c r="AI344">
        <f>HLOOKUP(HLOOKUP(G344,'THP2'!$B$4:$J$8,5,FALSE),'Fuel &amp; Resister'!$B$3:$G$6,4,FALSE)</f>
        <v>2.7360666666666664</v>
      </c>
      <c r="AJ344" s="41">
        <f>HLOOKUP(HLOOKUP(G344,'THP2'!$B$4:$J$8,5,FALSE),'Fuel &amp; Resister'!$B$3:$G$6,3,FALSE)</f>
        <v>13.019</v>
      </c>
      <c r="AO344" s="62">
        <v>0</v>
      </c>
      <c r="AP344" s="62">
        <v>0</v>
      </c>
    </row>
    <row r="345" spans="1:42" x14ac:dyDescent="0.15">
      <c r="B345" s="43" t="s">
        <v>604</v>
      </c>
      <c r="C345" s="61">
        <f>VLOOKUP(B345,[1]SYS!$F$5:$G$359,2,FALSE)</f>
        <v>226</v>
      </c>
      <c r="D345" s="1" t="s">
        <v>50</v>
      </c>
      <c r="E345" s="42" t="s">
        <v>266</v>
      </c>
      <c r="F345" s="63" t="s">
        <v>460</v>
      </c>
      <c r="G345" s="1">
        <v>3</v>
      </c>
      <c r="H345" s="1">
        <f t="shared" si="52"/>
        <v>0.3991769547325103</v>
      </c>
      <c r="I345" s="1">
        <f t="shared" si="53"/>
        <v>0.24299999999999999</v>
      </c>
      <c r="J345" s="1">
        <f t="shared" si="51"/>
        <v>2.3199999999999998E-2</v>
      </c>
      <c r="K345" s="1">
        <f t="shared" si="54"/>
        <v>2.4052199999999999</v>
      </c>
      <c r="L345" s="1">
        <f t="shared" si="55"/>
        <v>1.84375</v>
      </c>
      <c r="M345" s="49">
        <f t="shared" si="62"/>
        <v>0.82482432677240947</v>
      </c>
      <c r="N345" s="49">
        <v>1.1924999999999999</v>
      </c>
      <c r="O345" s="1">
        <v>925</v>
      </c>
      <c r="P345" s="51">
        <v>0.05</v>
      </c>
      <c r="Q345" s="51">
        <v>11</v>
      </c>
      <c r="R345" s="51">
        <v>1</v>
      </c>
      <c r="S345" s="1">
        <v>1</v>
      </c>
      <c r="T345" s="1">
        <v>0</v>
      </c>
      <c r="U345" s="47">
        <v>0</v>
      </c>
      <c r="V345" s="47">
        <v>289</v>
      </c>
      <c r="W345" s="41">
        <v>97</v>
      </c>
      <c r="X345">
        <v>243</v>
      </c>
      <c r="Y345">
        <v>0.9768</v>
      </c>
      <c r="Z345">
        <v>2405.2199999999998</v>
      </c>
      <c r="AA345">
        <v>1843.75</v>
      </c>
      <c r="AB345">
        <v>119.25</v>
      </c>
      <c r="AC345">
        <v>36</v>
      </c>
      <c r="AD345" s="41">
        <f t="shared" si="56"/>
        <v>0.35755564979502918</v>
      </c>
      <c r="AE345" s="41">
        <f t="shared" si="57"/>
        <v>0.46644067796610167</v>
      </c>
      <c r="AF345">
        <f t="shared" si="58"/>
        <v>1.4707185616438359</v>
      </c>
      <c r="AG345">
        <f t="shared" si="59"/>
        <v>9.0646639520547884E-2</v>
      </c>
      <c r="AH345">
        <f t="shared" si="60"/>
        <v>1.1924999999999999</v>
      </c>
      <c r="AI345">
        <f>HLOOKUP(HLOOKUP(G345,'THP2'!$B$4:$J$8,5,FALSE),'Fuel &amp; Resister'!$B$3:$G$6,4,FALSE)</f>
        <v>2.7360666666666664</v>
      </c>
      <c r="AJ345" s="41">
        <f>HLOOKUP(HLOOKUP(G345,'THP2'!$B$4:$J$8,5,FALSE),'Fuel &amp; Resister'!$B$3:$G$6,3,FALSE)</f>
        <v>13.019</v>
      </c>
      <c r="AO345" s="62">
        <v>0</v>
      </c>
      <c r="AP345" s="62">
        <v>0</v>
      </c>
    </row>
    <row r="346" spans="1:42" x14ac:dyDescent="0.15">
      <c r="B346" s="43" t="s">
        <v>636</v>
      </c>
      <c r="C346" s="61">
        <f>VLOOKUP(B346,[1]SYS!$F$5:$G$359,2,FALSE)</f>
        <v>225</v>
      </c>
      <c r="D346" s="1" t="s">
        <v>50</v>
      </c>
      <c r="E346" s="42" t="s">
        <v>267</v>
      </c>
      <c r="F346" s="42"/>
      <c r="G346" s="1">
        <v>3</v>
      </c>
      <c r="H346" s="1">
        <f t="shared" si="52"/>
        <v>0.39705882352941174</v>
      </c>
      <c r="I346" s="1">
        <f t="shared" si="53"/>
        <v>0.13600000000000001</v>
      </c>
      <c r="J346" s="1">
        <f t="shared" si="51"/>
        <v>0</v>
      </c>
      <c r="K346" s="1">
        <f t="shared" si="54"/>
        <v>2.5701999999999998</v>
      </c>
      <c r="L346" s="1">
        <f t="shared" si="55"/>
        <v>1.9702200000000001</v>
      </c>
      <c r="M346" s="49">
        <f t="shared" si="62"/>
        <v>0.49329508236918956</v>
      </c>
      <c r="N346" s="49">
        <v>0.44880000000000003</v>
      </c>
      <c r="O346" s="1">
        <v>913</v>
      </c>
      <c r="P346" s="51">
        <v>0.05</v>
      </c>
      <c r="Q346" s="51">
        <v>11</v>
      </c>
      <c r="R346" s="51">
        <v>1</v>
      </c>
      <c r="S346" s="1">
        <v>1</v>
      </c>
      <c r="T346" s="1">
        <v>0</v>
      </c>
      <c r="U346" s="47">
        <v>0</v>
      </c>
      <c r="V346" s="47">
        <v>290</v>
      </c>
      <c r="W346" s="41">
        <v>54</v>
      </c>
      <c r="X346">
        <v>136</v>
      </c>
      <c r="Y346">
        <v>1</v>
      </c>
      <c r="Z346">
        <v>2570.1999999999998</v>
      </c>
      <c r="AA346">
        <v>1970.22</v>
      </c>
      <c r="AB346">
        <v>44.88</v>
      </c>
      <c r="AC346">
        <v>36</v>
      </c>
      <c r="AD346" s="41">
        <f t="shared" si="56"/>
        <v>0.3346043109485643</v>
      </c>
      <c r="AE346" s="41">
        <f t="shared" si="57"/>
        <v>0.43649947721574245</v>
      </c>
      <c r="AF346">
        <f t="shared" si="58"/>
        <v>1.5751112195121955</v>
      </c>
      <c r="AG346">
        <f t="shared" si="59"/>
        <v>5.3734794146341434E-2</v>
      </c>
      <c r="AH346">
        <f t="shared" si="60"/>
        <v>0.44880000000000003</v>
      </c>
      <c r="AI346">
        <f>HLOOKUP(HLOOKUP(G346,'THP2'!$B$4:$J$8,5,FALSE),'Fuel &amp; Resister'!$B$3:$G$6,4,FALSE)</f>
        <v>2.7360666666666664</v>
      </c>
      <c r="AJ346" s="41">
        <f>HLOOKUP(HLOOKUP(G346,'THP2'!$B$4:$J$8,5,FALSE),'Fuel &amp; Resister'!$B$3:$G$6,3,FALSE)</f>
        <v>13.019</v>
      </c>
      <c r="AO346" s="62">
        <v>0</v>
      </c>
      <c r="AP346" s="62">
        <v>0</v>
      </c>
    </row>
    <row r="347" spans="1:42" x14ac:dyDescent="0.15">
      <c r="B347" s="43" t="s">
        <v>636</v>
      </c>
      <c r="C347" s="61">
        <f>VLOOKUP(B347,[1]SYS!$F$5:$G$359,2,FALSE)</f>
        <v>225</v>
      </c>
      <c r="D347" s="1" t="s">
        <v>50</v>
      </c>
      <c r="E347" s="65" t="s">
        <v>268</v>
      </c>
      <c r="F347" s="63" t="s">
        <v>459</v>
      </c>
      <c r="G347" s="1">
        <v>3</v>
      </c>
      <c r="H347" s="1">
        <f t="shared" si="52"/>
        <v>0.39726027397260272</v>
      </c>
      <c r="I347" s="1">
        <f t="shared" si="53"/>
        <v>0.14599999999999999</v>
      </c>
      <c r="J347" s="1">
        <f t="shared" si="51"/>
        <v>0</v>
      </c>
      <c r="K347" s="1">
        <f t="shared" si="54"/>
        <v>2.5701999999999998</v>
      </c>
      <c r="L347" s="1">
        <f t="shared" si="55"/>
        <v>1.9702200000000001</v>
      </c>
      <c r="M347" s="49">
        <f t="shared" si="62"/>
        <v>0.52956677960221821</v>
      </c>
      <c r="N347" s="49">
        <v>0.48180000000000001</v>
      </c>
      <c r="O347" s="1">
        <v>1202</v>
      </c>
      <c r="P347" s="51">
        <v>0.05</v>
      </c>
      <c r="Q347" s="51">
        <v>11</v>
      </c>
      <c r="R347" s="51">
        <v>1</v>
      </c>
      <c r="S347" s="1">
        <v>1</v>
      </c>
      <c r="T347" s="1">
        <v>0</v>
      </c>
      <c r="U347" s="47">
        <v>1</v>
      </c>
      <c r="V347" s="47">
        <v>291</v>
      </c>
      <c r="W347" s="41">
        <v>58</v>
      </c>
      <c r="X347">
        <v>146</v>
      </c>
      <c r="Y347">
        <v>1</v>
      </c>
      <c r="Z347">
        <v>2570.1999999999998</v>
      </c>
      <c r="AA347">
        <v>1970.22</v>
      </c>
      <c r="AB347">
        <v>48.18</v>
      </c>
      <c r="AC347">
        <v>36</v>
      </c>
      <c r="AD347" s="41">
        <f t="shared" si="56"/>
        <v>0.3346043109485643</v>
      </c>
      <c r="AE347" s="41">
        <f t="shared" si="57"/>
        <v>0.43649947721574245</v>
      </c>
      <c r="AF347">
        <f t="shared" si="58"/>
        <v>1.5747786363636369</v>
      </c>
      <c r="AG347">
        <f t="shared" si="59"/>
        <v>5.7734439090909022E-2</v>
      </c>
      <c r="AH347">
        <f t="shared" si="60"/>
        <v>0.48180000000000001</v>
      </c>
      <c r="AI347">
        <f>HLOOKUP(HLOOKUP(G347,'THP2'!$B$4:$J$8,5,FALSE),'Fuel &amp; Resister'!$B$3:$G$6,4,FALSE)</f>
        <v>2.7360666666666664</v>
      </c>
      <c r="AJ347" s="41">
        <f>HLOOKUP(HLOOKUP(G347,'THP2'!$B$4:$J$8,5,FALSE),'Fuel &amp; Resister'!$B$3:$G$6,3,FALSE)</f>
        <v>13.019</v>
      </c>
      <c r="AO347" s="1">
        <v>1</v>
      </c>
      <c r="AP347" s="1">
        <v>1</v>
      </c>
    </row>
    <row r="348" spans="1:42" x14ac:dyDescent="0.15">
      <c r="B348" s="43" t="s">
        <v>636</v>
      </c>
      <c r="C348" s="61">
        <f>VLOOKUP(B348,[1]SYS!$F$5:$G$359,2,FALSE)</f>
        <v>225</v>
      </c>
      <c r="D348" s="1" t="s">
        <v>50</v>
      </c>
      <c r="E348" s="65" t="s">
        <v>269</v>
      </c>
      <c r="F348" s="42"/>
      <c r="G348" s="1">
        <v>3</v>
      </c>
      <c r="H348" s="1">
        <f t="shared" si="52"/>
        <v>0.3125</v>
      </c>
      <c r="I348" s="1">
        <f t="shared" si="53"/>
        <v>1.6E-2</v>
      </c>
      <c r="J348" s="1">
        <f t="shared" si="51"/>
        <v>4.0000000000000036E-2</v>
      </c>
      <c r="K348" s="1">
        <f t="shared" si="54"/>
        <v>2.5767800000000003</v>
      </c>
      <c r="L348" s="1">
        <f t="shared" si="55"/>
        <v>2.15</v>
      </c>
      <c r="M348" s="49">
        <f t="shared" si="62"/>
        <v>6.3330307519778778E-2</v>
      </c>
      <c r="N348" s="49">
        <v>5.28E-2</v>
      </c>
      <c r="O348" s="1">
        <v>913</v>
      </c>
      <c r="P348" s="51">
        <v>0.05</v>
      </c>
      <c r="Q348" s="51">
        <v>11</v>
      </c>
      <c r="R348" s="51">
        <v>1</v>
      </c>
      <c r="S348" s="1">
        <v>1</v>
      </c>
      <c r="T348" s="1">
        <v>0</v>
      </c>
      <c r="U348" s="47">
        <v>1</v>
      </c>
      <c r="V348" s="47">
        <v>292</v>
      </c>
      <c r="W348" s="41">
        <v>5</v>
      </c>
      <c r="X348">
        <v>16</v>
      </c>
      <c r="Y348">
        <v>0.96</v>
      </c>
      <c r="Z348">
        <v>2576.7800000000002</v>
      </c>
      <c r="AA348">
        <v>2150</v>
      </c>
      <c r="AB348">
        <v>5.28</v>
      </c>
      <c r="AC348">
        <v>36</v>
      </c>
      <c r="AD348" s="41">
        <f t="shared" si="56"/>
        <v>0.33374987387359417</v>
      </c>
      <c r="AE348" s="41">
        <f t="shared" si="57"/>
        <v>0.4</v>
      </c>
      <c r="AF348">
        <f t="shared" si="58"/>
        <v>1.9560090909090908</v>
      </c>
      <c r="AG348">
        <f t="shared" si="59"/>
        <v>3.1038545454545458E-3</v>
      </c>
      <c r="AH348">
        <f t="shared" si="60"/>
        <v>5.28E-2</v>
      </c>
      <c r="AI348">
        <f>HLOOKUP(HLOOKUP(G348,'THP2'!$B$4:$J$8,5,FALSE),'Fuel &amp; Resister'!$B$3:$G$6,4,FALSE)</f>
        <v>2.7360666666666664</v>
      </c>
      <c r="AJ348" s="41">
        <f>HLOOKUP(HLOOKUP(G348,'THP2'!$B$4:$J$8,5,FALSE),'Fuel &amp; Resister'!$B$3:$G$6,3,FALSE)</f>
        <v>13.019</v>
      </c>
      <c r="AO348" s="1">
        <v>1</v>
      </c>
      <c r="AP348" s="1">
        <v>1</v>
      </c>
    </row>
    <row r="349" spans="1:42" x14ac:dyDescent="0.15">
      <c r="B349" s="43" t="s">
        <v>636</v>
      </c>
      <c r="C349" s="61">
        <f>VLOOKUP(B349,[1]SYS!$F$5:$G$359,2,FALSE)</f>
        <v>225</v>
      </c>
      <c r="D349" s="1" t="s">
        <v>50</v>
      </c>
      <c r="E349" s="65" t="s">
        <v>270</v>
      </c>
      <c r="F349" s="63" t="s">
        <v>508</v>
      </c>
      <c r="G349" s="1">
        <v>3</v>
      </c>
      <c r="H349" s="1">
        <f t="shared" si="52"/>
        <v>0.39864864864864863</v>
      </c>
      <c r="I349" s="1">
        <f t="shared" si="53"/>
        <v>0.14799999999999999</v>
      </c>
      <c r="J349" s="1">
        <f t="shared" si="51"/>
        <v>7.020000000000004E-2</v>
      </c>
      <c r="K349" s="1">
        <f t="shared" si="54"/>
        <v>2.6807500000000002</v>
      </c>
      <c r="L349" s="1">
        <f t="shared" si="55"/>
        <v>2.0549599999999999</v>
      </c>
      <c r="M349" s="49">
        <f t="shared" si="62"/>
        <v>0.559910023652471</v>
      </c>
      <c r="N349" s="49">
        <v>1.0911999999999999</v>
      </c>
      <c r="O349" s="1">
        <v>516</v>
      </c>
      <c r="P349" s="51">
        <v>0.05</v>
      </c>
      <c r="Q349" s="51">
        <v>11</v>
      </c>
      <c r="R349" s="51">
        <v>1</v>
      </c>
      <c r="S349" s="1">
        <v>1</v>
      </c>
      <c r="T349" s="1">
        <v>0</v>
      </c>
      <c r="U349" s="47">
        <v>1</v>
      </c>
      <c r="V349" s="47">
        <v>293</v>
      </c>
      <c r="W349" s="41">
        <v>59</v>
      </c>
      <c r="X349">
        <v>148</v>
      </c>
      <c r="Y349">
        <v>0.92979999999999996</v>
      </c>
      <c r="Z349">
        <v>2680.75</v>
      </c>
      <c r="AA349">
        <v>2054.96</v>
      </c>
      <c r="AB349">
        <v>109.12</v>
      </c>
      <c r="AC349">
        <v>46</v>
      </c>
      <c r="AD349" s="41">
        <f t="shared" si="56"/>
        <v>0.32080574466100903</v>
      </c>
      <c r="AE349" s="41">
        <f t="shared" si="57"/>
        <v>0.41849963016311753</v>
      </c>
      <c r="AF349">
        <f t="shared" si="58"/>
        <v>1.6401104494382022</v>
      </c>
      <c r="AG349">
        <f t="shared" si="59"/>
        <v>6.1397733483146061E-2</v>
      </c>
      <c r="AH349">
        <f t="shared" si="60"/>
        <v>1.0911999999999999</v>
      </c>
      <c r="AI349">
        <f>HLOOKUP(HLOOKUP(G349,'THP2'!$B$4:$J$8,5,FALSE),'Fuel &amp; Resister'!$B$3:$G$6,4,FALSE)</f>
        <v>2.7360666666666664</v>
      </c>
      <c r="AJ349" s="41">
        <f>HLOOKUP(HLOOKUP(G349,'THP2'!$B$4:$J$8,5,FALSE),'Fuel &amp; Resister'!$B$3:$G$6,3,FALSE)</f>
        <v>13.019</v>
      </c>
      <c r="AO349" s="1">
        <v>1</v>
      </c>
      <c r="AP349" s="1">
        <v>1</v>
      </c>
    </row>
    <row r="350" spans="1:42" x14ac:dyDescent="0.15">
      <c r="B350" s="43" t="s">
        <v>636</v>
      </c>
      <c r="C350" s="61">
        <f>VLOOKUP(B350,[1]SYS!$F$5:$G$359,2,FALSE)</f>
        <v>225</v>
      </c>
      <c r="D350" s="1" t="s">
        <v>50</v>
      </c>
      <c r="E350" s="42" t="s">
        <v>271</v>
      </c>
      <c r="F350" s="63" t="s">
        <v>507</v>
      </c>
      <c r="G350" s="1">
        <v>3</v>
      </c>
      <c r="H350" s="1">
        <f t="shared" si="52"/>
        <v>0.3</v>
      </c>
      <c r="I350" s="1">
        <f t="shared" si="53"/>
        <v>0.6</v>
      </c>
      <c r="J350" s="1">
        <f t="shared" si="51"/>
        <v>3.069999999999995E-2</v>
      </c>
      <c r="K350" s="1">
        <f t="shared" si="54"/>
        <v>2.6778200000000001</v>
      </c>
      <c r="L350" s="1">
        <f t="shared" si="55"/>
        <v>2.2343000000000002</v>
      </c>
      <c r="M350" s="49">
        <f t="shared" si="62"/>
        <v>2.4680041760135176</v>
      </c>
      <c r="N350" s="49">
        <v>2.83</v>
      </c>
      <c r="O350" s="1">
        <v>1009</v>
      </c>
      <c r="P350" s="51">
        <v>0.05</v>
      </c>
      <c r="Q350" s="51">
        <v>11</v>
      </c>
      <c r="R350" s="51">
        <v>1</v>
      </c>
      <c r="S350" s="1">
        <v>1</v>
      </c>
      <c r="T350" s="1">
        <v>0</v>
      </c>
      <c r="U350" s="47">
        <v>0</v>
      </c>
      <c r="V350" s="47">
        <v>294</v>
      </c>
      <c r="W350" s="41">
        <v>180</v>
      </c>
      <c r="X350">
        <v>600</v>
      </c>
      <c r="Y350">
        <v>0.96930000000000005</v>
      </c>
      <c r="Z350">
        <v>2677.82</v>
      </c>
      <c r="AA350">
        <v>2234.3000000000002</v>
      </c>
      <c r="AB350">
        <v>283</v>
      </c>
      <c r="AC350">
        <v>46</v>
      </c>
      <c r="AD350" s="41">
        <f t="shared" si="56"/>
        <v>0.32115676184358916</v>
      </c>
      <c r="AE350" s="41">
        <f t="shared" si="57"/>
        <v>0.38490802488475134</v>
      </c>
      <c r="AF350">
        <f t="shared" si="58"/>
        <v>2.0442200000000006</v>
      </c>
      <c r="AG350">
        <f t="shared" si="59"/>
        <v>0.11404799999999975</v>
      </c>
      <c r="AH350">
        <f t="shared" si="60"/>
        <v>2.83</v>
      </c>
      <c r="AI350">
        <f>HLOOKUP(HLOOKUP(G350,'THP2'!$B$4:$J$8,5,FALSE),'Fuel &amp; Resister'!$B$3:$G$6,4,FALSE)</f>
        <v>2.7360666666666664</v>
      </c>
      <c r="AJ350" s="41">
        <f>HLOOKUP(HLOOKUP(G350,'THP2'!$B$4:$J$8,5,FALSE),'Fuel &amp; Resister'!$B$3:$G$6,3,FALSE)</f>
        <v>13.019</v>
      </c>
      <c r="AO350" s="62">
        <v>0</v>
      </c>
      <c r="AP350" s="62">
        <v>0</v>
      </c>
    </row>
    <row r="351" spans="1:42" x14ac:dyDescent="0.15">
      <c r="B351" s="43" t="s">
        <v>604</v>
      </c>
      <c r="C351" s="61">
        <f>VLOOKUP(B351,[1]SYS!$F$5:$G$359,2,FALSE)</f>
        <v>226</v>
      </c>
      <c r="D351" s="1" t="s">
        <v>339</v>
      </c>
      <c r="E351" s="65" t="s">
        <v>272</v>
      </c>
      <c r="F351" s="42"/>
      <c r="G351" s="1">
        <v>2</v>
      </c>
      <c r="H351" s="1">
        <f t="shared" si="52"/>
        <v>0.30303030303030304</v>
      </c>
      <c r="I351" s="1">
        <f t="shared" si="53"/>
        <v>3.3000000000000002E-2</v>
      </c>
      <c r="J351" s="1">
        <f t="shared" si="51"/>
        <v>5.3000000000000047E-2</v>
      </c>
      <c r="K351" s="1">
        <f t="shared" si="54"/>
        <v>3.0049899999999998</v>
      </c>
      <c r="L351" s="1">
        <f t="shared" si="55"/>
        <v>2.5072899999999998</v>
      </c>
      <c r="M351" s="49">
        <f t="shared" si="62"/>
        <v>0.15232516693202855</v>
      </c>
      <c r="N351" s="49">
        <v>0.10890000000000001</v>
      </c>
      <c r="O351" s="1">
        <v>1101</v>
      </c>
      <c r="P351" s="51">
        <v>0.05</v>
      </c>
      <c r="Q351" s="51">
        <v>8</v>
      </c>
      <c r="R351" s="51">
        <v>1</v>
      </c>
      <c r="S351" s="1">
        <v>1</v>
      </c>
      <c r="T351" s="1">
        <v>0</v>
      </c>
      <c r="U351" s="47">
        <v>1</v>
      </c>
      <c r="V351" s="47">
        <v>295</v>
      </c>
      <c r="W351" s="41">
        <v>10</v>
      </c>
      <c r="X351">
        <v>33</v>
      </c>
      <c r="Y351">
        <v>0.94699999999999995</v>
      </c>
      <c r="Z351">
        <v>3004.99</v>
      </c>
      <c r="AA351">
        <v>2507.29</v>
      </c>
      <c r="AB351">
        <v>10.89</v>
      </c>
      <c r="AC351">
        <v>46</v>
      </c>
      <c r="AD351" s="41">
        <f t="shared" si="56"/>
        <v>0.28619063624171798</v>
      </c>
      <c r="AE351" s="41">
        <f t="shared" si="57"/>
        <v>0.34299981254661405</v>
      </c>
      <c r="AF351">
        <f t="shared" si="58"/>
        <v>2.2908986956521735</v>
      </c>
      <c r="AG351">
        <f t="shared" si="59"/>
        <v>7.1409130434782675E-3</v>
      </c>
      <c r="AH351">
        <f t="shared" si="60"/>
        <v>0.10890000000000001</v>
      </c>
      <c r="AI351">
        <f>HLOOKUP(HLOOKUP(G351,'THP2'!$B$4:$J$8,5,FALSE),'Fuel &amp; Resister'!$B$3:$G$6,4,FALSE)</f>
        <v>2.7360666666666664</v>
      </c>
      <c r="AJ351" s="41">
        <f>HLOOKUP(HLOOKUP(G351,'THP2'!$B$4:$J$8,5,FALSE),'Fuel &amp; Resister'!$B$3:$G$6,3,FALSE)</f>
        <v>13.019</v>
      </c>
      <c r="AO351" s="1">
        <v>1</v>
      </c>
      <c r="AP351" s="1">
        <v>1</v>
      </c>
    </row>
    <row r="352" spans="1:42" x14ac:dyDescent="0.15">
      <c r="B352" s="43" t="s">
        <v>604</v>
      </c>
      <c r="C352" s="61">
        <f>VLOOKUP(B352,[1]SYS!$F$5:$G$359,2,FALSE)</f>
        <v>226</v>
      </c>
      <c r="D352" s="1" t="s">
        <v>339</v>
      </c>
      <c r="E352" s="65" t="s">
        <v>273</v>
      </c>
      <c r="F352" s="42"/>
      <c r="G352" s="1">
        <v>2</v>
      </c>
      <c r="H352" s="1">
        <f t="shared" si="52"/>
        <v>0.30303030303030304</v>
      </c>
      <c r="I352" s="1">
        <f t="shared" si="53"/>
        <v>3.3000000000000002E-2</v>
      </c>
      <c r="J352" s="1">
        <f t="shared" si="51"/>
        <v>5.3000000000000047E-2</v>
      </c>
      <c r="K352" s="1">
        <f t="shared" si="54"/>
        <v>3.0049899999999998</v>
      </c>
      <c r="L352" s="1">
        <f t="shared" si="55"/>
        <v>2.5072899999999998</v>
      </c>
      <c r="M352" s="49">
        <f t="shared" si="62"/>
        <v>0.15232516693202855</v>
      </c>
      <c r="N352" s="49">
        <v>0.10890000000000001</v>
      </c>
      <c r="O352" s="1">
        <v>509</v>
      </c>
      <c r="P352" s="51">
        <v>0.05</v>
      </c>
      <c r="Q352" s="51">
        <v>8</v>
      </c>
      <c r="R352" s="51">
        <v>1</v>
      </c>
      <c r="S352" s="1">
        <v>1</v>
      </c>
      <c r="T352" s="1">
        <v>0</v>
      </c>
      <c r="U352" s="47">
        <v>1</v>
      </c>
      <c r="V352" s="47">
        <v>296</v>
      </c>
      <c r="W352" s="41">
        <v>10</v>
      </c>
      <c r="X352">
        <v>33</v>
      </c>
      <c r="Y352">
        <v>0.94699999999999995</v>
      </c>
      <c r="Z352">
        <v>3004.99</v>
      </c>
      <c r="AA352">
        <v>2507.29</v>
      </c>
      <c r="AB352">
        <v>10.89</v>
      </c>
      <c r="AC352">
        <v>46</v>
      </c>
      <c r="AD352" s="41">
        <f t="shared" si="56"/>
        <v>0.28619063624171798</v>
      </c>
      <c r="AE352" s="41">
        <f t="shared" si="57"/>
        <v>0.34299981254661405</v>
      </c>
      <c r="AF352">
        <f t="shared" si="58"/>
        <v>2.2908986956521735</v>
      </c>
      <c r="AG352">
        <f t="shared" si="59"/>
        <v>7.1409130434782675E-3</v>
      </c>
      <c r="AH352">
        <f t="shared" si="60"/>
        <v>0.10890000000000001</v>
      </c>
      <c r="AI352">
        <f>HLOOKUP(HLOOKUP(G352,'THP2'!$B$4:$J$8,5,FALSE),'Fuel &amp; Resister'!$B$3:$G$6,4,FALSE)</f>
        <v>2.7360666666666664</v>
      </c>
      <c r="AJ352" s="41">
        <f>HLOOKUP(HLOOKUP(G352,'THP2'!$B$4:$J$8,5,FALSE),'Fuel &amp; Resister'!$B$3:$G$6,3,FALSE)</f>
        <v>13.019</v>
      </c>
      <c r="AO352" s="1">
        <v>1</v>
      </c>
      <c r="AP352" s="1">
        <v>1</v>
      </c>
    </row>
    <row r="353" spans="2:42" x14ac:dyDescent="0.15">
      <c r="B353" s="43" t="s">
        <v>656</v>
      </c>
      <c r="C353" s="61">
        <f>VLOOKUP(B353,[1]SYS!$F$5:$G$359,2,FALSE)</f>
        <v>219</v>
      </c>
      <c r="D353" s="1" t="s">
        <v>50</v>
      </c>
      <c r="E353" s="65" t="s">
        <v>540</v>
      </c>
      <c r="F353" s="63" t="s">
        <v>547</v>
      </c>
      <c r="G353" s="1">
        <v>3</v>
      </c>
      <c r="H353" s="1">
        <f t="shared" si="52"/>
        <v>0.40041067761806981</v>
      </c>
      <c r="I353" s="1">
        <f t="shared" si="53"/>
        <v>0.48699999999999999</v>
      </c>
      <c r="J353" s="1">
        <f t="shared" si="51"/>
        <v>1.749999999999996E-2</v>
      </c>
      <c r="K353" s="1">
        <f t="shared" si="54"/>
        <v>2.0775799999999998</v>
      </c>
      <c r="L353" s="1">
        <f t="shared" si="55"/>
        <v>1.59259</v>
      </c>
      <c r="M353" s="49">
        <f t="shared" si="62"/>
        <v>1.4278615534469248</v>
      </c>
      <c r="N353" s="49">
        <v>0.10890000000000001</v>
      </c>
      <c r="O353" s="1">
        <v>1004</v>
      </c>
      <c r="P353" s="51">
        <v>0.05</v>
      </c>
      <c r="Q353" s="51">
        <v>11</v>
      </c>
      <c r="R353" s="51">
        <v>1</v>
      </c>
      <c r="S353" s="1">
        <v>1</v>
      </c>
      <c r="T353" s="1">
        <v>0</v>
      </c>
      <c r="U353" s="47">
        <v>0</v>
      </c>
      <c r="V353" s="47"/>
      <c r="W353" s="41">
        <v>195</v>
      </c>
      <c r="X353">
        <v>487</v>
      </c>
      <c r="Y353">
        <v>0.98250000000000004</v>
      </c>
      <c r="Z353">
        <v>2077.58</v>
      </c>
      <c r="AA353">
        <v>1592.59</v>
      </c>
      <c r="AB353">
        <v>145.6</v>
      </c>
      <c r="AC353">
        <v>36</v>
      </c>
      <c r="AD353" s="41">
        <f t="shared" si="56"/>
        <v>0.41394314539030991</v>
      </c>
      <c r="AE353" s="41">
        <f t="shared" si="57"/>
        <v>0.54000087907119854</v>
      </c>
      <c r="AF353">
        <f t="shared" si="58"/>
        <v>1.268709691780822</v>
      </c>
      <c r="AG353">
        <f t="shared" si="59"/>
        <v>0.15772971010273965</v>
      </c>
      <c r="AH353">
        <f t="shared" si="60"/>
        <v>1.456</v>
      </c>
      <c r="AI353">
        <f>HLOOKUP(HLOOKUP(G353,'THP2'!$B$4:$J$8,5,FALSE),'Fuel &amp; Resister'!$B$3:$G$6,4,FALSE)</f>
        <v>2.7360666666666664</v>
      </c>
      <c r="AJ353" s="41">
        <f>HLOOKUP(HLOOKUP(G353,'THP2'!$B$4:$J$8,5,FALSE),'Fuel &amp; Resister'!$B$3:$G$6,3,FALSE)</f>
        <v>13.019</v>
      </c>
      <c r="AO353" s="1">
        <v>1</v>
      </c>
      <c r="AP353" s="62">
        <v>0</v>
      </c>
    </row>
    <row r="354" spans="2:42" x14ac:dyDescent="0.15">
      <c r="B354" s="43" t="s">
        <v>656</v>
      </c>
      <c r="C354" s="61">
        <f>VLOOKUP(B354,[1]SYS!$F$5:$G$359,2,FALSE)</f>
        <v>219</v>
      </c>
      <c r="D354" s="1" t="s">
        <v>50</v>
      </c>
      <c r="E354" s="65" t="s">
        <v>540</v>
      </c>
      <c r="F354" s="63" t="s">
        <v>547</v>
      </c>
      <c r="G354" s="1">
        <v>3</v>
      </c>
      <c r="H354" s="1">
        <f t="shared" si="52"/>
        <v>0.40041067761806981</v>
      </c>
      <c r="I354" s="1">
        <f t="shared" si="53"/>
        <v>0.48699999999999999</v>
      </c>
      <c r="J354" s="1">
        <f t="shared" si="51"/>
        <v>1.749999999999996E-2</v>
      </c>
      <c r="K354" s="1">
        <f t="shared" si="54"/>
        <v>2.0775799999999998</v>
      </c>
      <c r="L354" s="1">
        <f t="shared" si="55"/>
        <v>1.59259</v>
      </c>
      <c r="M354" s="49">
        <f t="shared" si="62"/>
        <v>1.4278615534469248</v>
      </c>
      <c r="N354" s="49">
        <v>0.10890000000000001</v>
      </c>
      <c r="O354" s="1">
        <v>1109</v>
      </c>
      <c r="P354" s="51">
        <v>0.05</v>
      </c>
      <c r="Q354" s="51">
        <v>11</v>
      </c>
      <c r="R354" s="51">
        <v>1</v>
      </c>
      <c r="S354" s="1">
        <v>1</v>
      </c>
      <c r="T354" s="1">
        <v>0</v>
      </c>
      <c r="U354" s="47">
        <v>0</v>
      </c>
      <c r="V354" s="47"/>
      <c r="W354" s="41">
        <v>195</v>
      </c>
      <c r="X354">
        <v>487</v>
      </c>
      <c r="Y354">
        <v>0.98250000000000004</v>
      </c>
      <c r="Z354">
        <v>2077.58</v>
      </c>
      <c r="AA354">
        <v>1592.59</v>
      </c>
      <c r="AB354">
        <v>145.6</v>
      </c>
      <c r="AC354">
        <v>36</v>
      </c>
      <c r="AD354" s="41">
        <f t="shared" si="56"/>
        <v>0.41394314539030991</v>
      </c>
      <c r="AE354" s="41">
        <f t="shared" si="57"/>
        <v>0.54000087907119854</v>
      </c>
      <c r="AF354">
        <f t="shared" si="58"/>
        <v>1.268709691780822</v>
      </c>
      <c r="AG354">
        <f t="shared" si="59"/>
        <v>0.15772971010273965</v>
      </c>
      <c r="AH354">
        <f t="shared" si="60"/>
        <v>1.456</v>
      </c>
      <c r="AI354">
        <f>HLOOKUP(HLOOKUP(G354,'THP2'!$B$4:$J$8,5,FALSE),'Fuel &amp; Resister'!$B$3:$G$6,4,FALSE)</f>
        <v>2.7360666666666664</v>
      </c>
      <c r="AJ354" s="41">
        <f>HLOOKUP(HLOOKUP(G354,'THP2'!$B$4:$J$8,5,FALSE),'Fuel &amp; Resister'!$B$3:$G$6,3,FALSE)</f>
        <v>13.019</v>
      </c>
      <c r="AO354" s="1">
        <v>1</v>
      </c>
      <c r="AP354" s="62">
        <v>0</v>
      </c>
    </row>
    <row r="355" spans="2:42" x14ac:dyDescent="0.15">
      <c r="B355" s="43" t="s">
        <v>656</v>
      </c>
      <c r="C355" s="61">
        <f>VLOOKUP(B355,[1]SYS!$F$5:$G$359,2,FALSE)</f>
        <v>219</v>
      </c>
      <c r="D355" s="1" t="s">
        <v>50</v>
      </c>
      <c r="E355" s="65" t="s">
        <v>540</v>
      </c>
      <c r="F355" s="63" t="s">
        <v>547</v>
      </c>
      <c r="G355" s="1">
        <v>3</v>
      </c>
      <c r="H355" s="1">
        <f t="shared" si="52"/>
        <v>0.40041067761806981</v>
      </c>
      <c r="I355" s="1">
        <f t="shared" si="53"/>
        <v>0.48699999999999999</v>
      </c>
      <c r="J355" s="1">
        <f t="shared" si="51"/>
        <v>1.749999999999996E-2</v>
      </c>
      <c r="K355" s="1">
        <f t="shared" si="54"/>
        <v>2.0775799999999998</v>
      </c>
      <c r="L355" s="1">
        <f t="shared" si="55"/>
        <v>1.59259</v>
      </c>
      <c r="M355" s="49">
        <f t="shared" si="62"/>
        <v>1.4278615534469248</v>
      </c>
      <c r="N355" s="49">
        <v>0.10890000000000001</v>
      </c>
      <c r="O355" s="1">
        <v>403</v>
      </c>
      <c r="P355" s="51">
        <v>0.05</v>
      </c>
      <c r="Q355" s="51">
        <v>11</v>
      </c>
      <c r="R355" s="51">
        <v>1</v>
      </c>
      <c r="S355" s="1">
        <v>1</v>
      </c>
      <c r="T355" s="1">
        <v>0</v>
      </c>
      <c r="U355" s="47">
        <v>0</v>
      </c>
      <c r="V355" s="47"/>
      <c r="W355" s="41">
        <v>195</v>
      </c>
      <c r="X355">
        <v>487</v>
      </c>
      <c r="Y355">
        <v>0.98250000000000004</v>
      </c>
      <c r="Z355">
        <v>2077.58</v>
      </c>
      <c r="AA355">
        <v>1592.59</v>
      </c>
      <c r="AB355">
        <v>145.6</v>
      </c>
      <c r="AC355">
        <v>36</v>
      </c>
      <c r="AD355" s="41">
        <f t="shared" si="56"/>
        <v>0.41394314539030991</v>
      </c>
      <c r="AE355" s="41">
        <f t="shared" si="57"/>
        <v>0.54000087907119854</v>
      </c>
      <c r="AF355">
        <f t="shared" si="58"/>
        <v>1.268709691780822</v>
      </c>
      <c r="AG355">
        <f t="shared" si="59"/>
        <v>0.15772971010273965</v>
      </c>
      <c r="AH355">
        <f t="shared" si="60"/>
        <v>1.456</v>
      </c>
      <c r="AI355">
        <f>HLOOKUP(HLOOKUP(G355,'THP2'!$B$4:$J$8,5,FALSE),'Fuel &amp; Resister'!$B$3:$G$6,4,FALSE)</f>
        <v>2.7360666666666664</v>
      </c>
      <c r="AJ355" s="41">
        <f>HLOOKUP(HLOOKUP(G355,'THP2'!$B$4:$J$8,5,FALSE),'Fuel &amp; Resister'!$B$3:$G$6,3,FALSE)</f>
        <v>13.019</v>
      </c>
      <c r="AO355" s="1">
        <v>1</v>
      </c>
      <c r="AP355" s="62">
        <v>0</v>
      </c>
    </row>
    <row r="356" spans="2:42" x14ac:dyDescent="0.15">
      <c r="B356" s="43" t="s">
        <v>656</v>
      </c>
      <c r="C356" s="61">
        <f>VLOOKUP(B356,[1]SYS!$F$5:$G$359,2,FALSE)</f>
        <v>219</v>
      </c>
      <c r="D356" s="1" t="s">
        <v>50</v>
      </c>
      <c r="E356" s="65" t="s">
        <v>540</v>
      </c>
      <c r="F356" s="63" t="s">
        <v>547</v>
      </c>
      <c r="G356" s="1">
        <v>3</v>
      </c>
      <c r="H356" s="1">
        <f t="shared" si="52"/>
        <v>0.40041067761806981</v>
      </c>
      <c r="I356" s="1">
        <f t="shared" si="53"/>
        <v>0.48699999999999999</v>
      </c>
      <c r="J356" s="1">
        <f t="shared" si="51"/>
        <v>1.749999999999996E-2</v>
      </c>
      <c r="K356" s="1">
        <f t="shared" si="54"/>
        <v>2.0775799999999998</v>
      </c>
      <c r="L356" s="1">
        <f t="shared" si="55"/>
        <v>1.59259</v>
      </c>
      <c r="M356" s="49">
        <f t="shared" si="62"/>
        <v>1.4278615534469248</v>
      </c>
      <c r="N356" s="49">
        <v>0.10890000000000001</v>
      </c>
      <c r="O356" s="1">
        <v>509</v>
      </c>
      <c r="P356" s="51">
        <v>0.05</v>
      </c>
      <c r="Q356" s="51">
        <v>11</v>
      </c>
      <c r="R356" s="51">
        <v>1</v>
      </c>
      <c r="S356" s="1">
        <v>1</v>
      </c>
      <c r="T356" s="1">
        <v>0</v>
      </c>
      <c r="U356" s="47">
        <v>0</v>
      </c>
      <c r="V356" s="47"/>
      <c r="W356" s="41">
        <v>195</v>
      </c>
      <c r="X356">
        <v>487</v>
      </c>
      <c r="Y356">
        <v>0.98250000000000004</v>
      </c>
      <c r="Z356">
        <v>2077.58</v>
      </c>
      <c r="AA356">
        <v>1592.59</v>
      </c>
      <c r="AB356">
        <v>145.6</v>
      </c>
      <c r="AC356">
        <v>36</v>
      </c>
      <c r="AD356" s="41">
        <f t="shared" si="56"/>
        <v>0.41394314539030991</v>
      </c>
      <c r="AE356" s="41">
        <f t="shared" si="57"/>
        <v>0.54000087907119854</v>
      </c>
      <c r="AF356">
        <f t="shared" si="58"/>
        <v>1.268709691780822</v>
      </c>
      <c r="AG356">
        <f t="shared" si="59"/>
        <v>0.15772971010273965</v>
      </c>
      <c r="AH356">
        <f t="shared" si="60"/>
        <v>1.456</v>
      </c>
      <c r="AI356">
        <f>HLOOKUP(HLOOKUP(G356,'THP2'!$B$4:$J$8,5,FALSE),'Fuel &amp; Resister'!$B$3:$G$6,4,FALSE)</f>
        <v>2.7360666666666664</v>
      </c>
      <c r="AJ356" s="41">
        <f>HLOOKUP(HLOOKUP(G356,'THP2'!$B$4:$J$8,5,FALSE),'Fuel &amp; Resister'!$B$3:$G$6,3,FALSE)</f>
        <v>13.019</v>
      </c>
      <c r="AO356" s="1">
        <v>1</v>
      </c>
      <c r="AP356" s="62">
        <v>0</v>
      </c>
    </row>
    <row r="357" spans="2:42" x14ac:dyDescent="0.15">
      <c r="B357" s="43" t="s">
        <v>656</v>
      </c>
      <c r="C357" s="61">
        <f>VLOOKUP(B357,[1]SYS!$F$5:$G$359,2,FALSE)</f>
        <v>219</v>
      </c>
      <c r="D357" s="1" t="s">
        <v>50</v>
      </c>
      <c r="E357" s="65" t="s">
        <v>540</v>
      </c>
      <c r="F357" s="63" t="s">
        <v>547</v>
      </c>
      <c r="G357" s="1">
        <v>3</v>
      </c>
      <c r="H357" s="1">
        <f t="shared" si="52"/>
        <v>0.40041067761806981</v>
      </c>
      <c r="I357" s="1">
        <f t="shared" si="53"/>
        <v>0.48699999999999999</v>
      </c>
      <c r="J357" s="1">
        <f t="shared" si="51"/>
        <v>1.749999999999996E-2</v>
      </c>
      <c r="K357" s="1">
        <f t="shared" si="54"/>
        <v>2.0775799999999998</v>
      </c>
      <c r="L357" s="1">
        <f t="shared" si="55"/>
        <v>1.59259</v>
      </c>
      <c r="M357" s="49">
        <f t="shared" si="62"/>
        <v>1.4278615534469248</v>
      </c>
      <c r="N357" s="49">
        <v>0.10890000000000001</v>
      </c>
      <c r="O357" s="1">
        <v>1004</v>
      </c>
      <c r="P357" s="51">
        <v>0.05</v>
      </c>
      <c r="Q357" s="51">
        <v>11</v>
      </c>
      <c r="R357" s="51">
        <v>1</v>
      </c>
      <c r="S357" s="1">
        <v>1</v>
      </c>
      <c r="T357" s="1">
        <v>0</v>
      </c>
      <c r="U357" s="47">
        <v>0</v>
      </c>
      <c r="V357" s="47"/>
      <c r="W357" s="41">
        <v>195</v>
      </c>
      <c r="X357">
        <v>487</v>
      </c>
      <c r="Y357">
        <v>0.98250000000000004</v>
      </c>
      <c r="Z357">
        <v>2077.58</v>
      </c>
      <c r="AA357">
        <v>1592.59</v>
      </c>
      <c r="AB357">
        <v>145.6</v>
      </c>
      <c r="AC357">
        <v>36</v>
      </c>
      <c r="AD357" s="41">
        <f t="shared" si="56"/>
        <v>0.41394314539030991</v>
      </c>
      <c r="AE357" s="41">
        <f t="shared" si="57"/>
        <v>0.54000087907119854</v>
      </c>
      <c r="AF357">
        <f t="shared" si="58"/>
        <v>1.268709691780822</v>
      </c>
      <c r="AG357">
        <f t="shared" si="59"/>
        <v>0.15772971010273965</v>
      </c>
      <c r="AH357">
        <f t="shared" si="60"/>
        <v>1.456</v>
      </c>
      <c r="AI357">
        <f>HLOOKUP(HLOOKUP(G357,'THP2'!$B$4:$J$8,5,FALSE),'Fuel &amp; Resister'!$B$3:$G$6,4,FALSE)</f>
        <v>2.7360666666666664</v>
      </c>
      <c r="AJ357" s="41">
        <f>HLOOKUP(HLOOKUP(G357,'THP2'!$B$4:$J$8,5,FALSE),'Fuel &amp; Resister'!$B$3:$G$6,3,FALSE)</f>
        <v>13.019</v>
      </c>
      <c r="AO357" s="1">
        <v>1</v>
      </c>
      <c r="AP357" s="62">
        <v>0</v>
      </c>
    </row>
    <row r="358" spans="2:42" x14ac:dyDescent="0.15">
      <c r="B358" s="43" t="s">
        <v>656</v>
      </c>
      <c r="C358" s="61">
        <f>VLOOKUP(B358,[1]SYS!$F$5:$G$359,2,FALSE)</f>
        <v>219</v>
      </c>
      <c r="D358" s="1" t="s">
        <v>50</v>
      </c>
      <c r="E358" s="65" t="s">
        <v>540</v>
      </c>
      <c r="F358" s="63" t="s">
        <v>547</v>
      </c>
      <c r="G358" s="1">
        <v>3</v>
      </c>
      <c r="H358" s="1">
        <f t="shared" si="52"/>
        <v>0.40041067761806981</v>
      </c>
      <c r="I358" s="1">
        <f t="shared" si="53"/>
        <v>0.48699999999999999</v>
      </c>
      <c r="J358" s="1">
        <f t="shared" si="51"/>
        <v>1.749999999999996E-2</v>
      </c>
      <c r="K358" s="1">
        <f t="shared" si="54"/>
        <v>2.0775799999999998</v>
      </c>
      <c r="L358" s="1">
        <f t="shared" si="55"/>
        <v>1.59259</v>
      </c>
      <c r="M358" s="49">
        <f t="shared" si="62"/>
        <v>1.4278615534469248</v>
      </c>
      <c r="N358" s="49">
        <v>0.10890000000000001</v>
      </c>
      <c r="O358" s="1">
        <v>1109</v>
      </c>
      <c r="P358" s="51">
        <v>0.05</v>
      </c>
      <c r="Q358" s="51">
        <v>11</v>
      </c>
      <c r="R358" s="51">
        <v>1</v>
      </c>
      <c r="S358" s="1">
        <v>1</v>
      </c>
      <c r="T358" s="1">
        <v>0</v>
      </c>
      <c r="U358" s="47">
        <v>0</v>
      </c>
      <c r="V358" s="47"/>
      <c r="W358" s="41">
        <v>195</v>
      </c>
      <c r="X358">
        <v>487</v>
      </c>
      <c r="Y358">
        <v>0.98250000000000004</v>
      </c>
      <c r="Z358">
        <v>2077.58</v>
      </c>
      <c r="AA358">
        <v>1592.59</v>
      </c>
      <c r="AB358">
        <v>145.6</v>
      </c>
      <c r="AC358">
        <v>36</v>
      </c>
      <c r="AD358" s="41">
        <f t="shared" si="56"/>
        <v>0.41394314539030991</v>
      </c>
      <c r="AE358" s="41">
        <f t="shared" si="57"/>
        <v>0.54000087907119854</v>
      </c>
      <c r="AF358">
        <f t="shared" si="58"/>
        <v>1.268709691780822</v>
      </c>
      <c r="AG358">
        <f t="shared" si="59"/>
        <v>0.15772971010273965</v>
      </c>
      <c r="AH358">
        <f t="shared" si="60"/>
        <v>1.456</v>
      </c>
      <c r="AI358">
        <f>HLOOKUP(HLOOKUP(G358,'THP2'!$B$4:$J$8,5,FALSE),'Fuel &amp; Resister'!$B$3:$G$6,4,FALSE)</f>
        <v>2.7360666666666664</v>
      </c>
      <c r="AJ358" s="41">
        <f>HLOOKUP(HLOOKUP(G358,'THP2'!$B$4:$J$8,5,FALSE),'Fuel &amp; Resister'!$B$3:$G$6,3,FALSE)</f>
        <v>13.019</v>
      </c>
      <c r="AO358" s="1">
        <v>1</v>
      </c>
      <c r="AP358" s="62">
        <v>0</v>
      </c>
    </row>
    <row r="359" spans="2:42" x14ac:dyDescent="0.15">
      <c r="B359" s="43" t="s">
        <v>656</v>
      </c>
      <c r="C359" s="61">
        <f>VLOOKUP(B359,[1]SYS!$F$5:$G$359,2,FALSE)</f>
        <v>219</v>
      </c>
      <c r="D359" s="1" t="s">
        <v>50</v>
      </c>
      <c r="E359" s="65" t="s">
        <v>540</v>
      </c>
      <c r="F359" s="63" t="s">
        <v>547</v>
      </c>
      <c r="G359" s="1">
        <v>3</v>
      </c>
      <c r="H359" s="1">
        <f t="shared" si="52"/>
        <v>0.40041067761806981</v>
      </c>
      <c r="I359" s="1">
        <f t="shared" si="53"/>
        <v>0.48699999999999999</v>
      </c>
      <c r="J359" s="1">
        <f t="shared" si="51"/>
        <v>1.749999999999996E-2</v>
      </c>
      <c r="K359" s="1">
        <f t="shared" si="54"/>
        <v>2.0775799999999998</v>
      </c>
      <c r="L359" s="1">
        <f t="shared" si="55"/>
        <v>1.59259</v>
      </c>
      <c r="M359" s="49">
        <f t="shared" si="62"/>
        <v>1.4278615534469248</v>
      </c>
      <c r="N359" s="49">
        <v>0.10890000000000001</v>
      </c>
      <c r="O359" s="1">
        <v>504</v>
      </c>
      <c r="P359" s="51">
        <v>0.05</v>
      </c>
      <c r="Q359" s="51">
        <v>11</v>
      </c>
      <c r="R359" s="51">
        <v>1</v>
      </c>
      <c r="S359" s="1">
        <v>1</v>
      </c>
      <c r="T359" s="1">
        <v>0</v>
      </c>
      <c r="U359" s="47">
        <v>0</v>
      </c>
      <c r="V359" s="47"/>
      <c r="W359" s="41">
        <v>195</v>
      </c>
      <c r="X359">
        <v>487</v>
      </c>
      <c r="Y359">
        <v>0.98250000000000004</v>
      </c>
      <c r="Z359">
        <v>2077.58</v>
      </c>
      <c r="AA359">
        <v>1592.59</v>
      </c>
      <c r="AB359">
        <v>145.6</v>
      </c>
      <c r="AC359">
        <v>36</v>
      </c>
      <c r="AD359" s="41">
        <f t="shared" si="56"/>
        <v>0.41394314539030991</v>
      </c>
      <c r="AE359" s="41">
        <f t="shared" si="57"/>
        <v>0.54000087907119854</v>
      </c>
      <c r="AF359">
        <f t="shared" si="58"/>
        <v>1.268709691780822</v>
      </c>
      <c r="AG359">
        <f t="shared" si="59"/>
        <v>0.15772971010273965</v>
      </c>
      <c r="AH359">
        <f t="shared" si="60"/>
        <v>1.456</v>
      </c>
      <c r="AI359">
        <f>HLOOKUP(HLOOKUP(G359,'THP2'!$B$4:$J$8,5,FALSE),'Fuel &amp; Resister'!$B$3:$G$6,4,FALSE)</f>
        <v>2.7360666666666664</v>
      </c>
      <c r="AJ359" s="41">
        <f>HLOOKUP(HLOOKUP(G359,'THP2'!$B$4:$J$8,5,FALSE),'Fuel &amp; Resister'!$B$3:$G$6,3,FALSE)</f>
        <v>13.019</v>
      </c>
      <c r="AO359" s="1">
        <v>1</v>
      </c>
      <c r="AP359" s="62">
        <v>0</v>
      </c>
    </row>
    <row r="360" spans="2:42" x14ac:dyDescent="0.15">
      <c r="B360" s="43" t="s">
        <v>601</v>
      </c>
      <c r="C360" s="61">
        <f>VLOOKUP(B360,[1]SYS!$F$5:$G$359,2,FALSE)</f>
        <v>220</v>
      </c>
      <c r="D360" s="1" t="s">
        <v>50</v>
      </c>
      <c r="E360" s="65" t="s">
        <v>540</v>
      </c>
      <c r="F360" s="63" t="s">
        <v>546</v>
      </c>
      <c r="G360" s="1">
        <v>3</v>
      </c>
      <c r="H360" s="1">
        <f t="shared" si="52"/>
        <v>0.40041067761806981</v>
      </c>
      <c r="I360" s="1">
        <f t="shared" si="53"/>
        <v>0.48699999999999999</v>
      </c>
      <c r="J360" s="1">
        <f t="shared" si="51"/>
        <v>1.749999999999996E-2</v>
      </c>
      <c r="K360" s="1">
        <f t="shared" si="54"/>
        <v>2.0775799999999998</v>
      </c>
      <c r="L360" s="1">
        <f t="shared" si="55"/>
        <v>1.59259</v>
      </c>
      <c r="M360" s="49">
        <f t="shared" si="62"/>
        <v>1.4278615534469248</v>
      </c>
      <c r="N360" s="49">
        <v>0.10890000000000001</v>
      </c>
      <c r="O360" s="1">
        <v>609</v>
      </c>
      <c r="P360" s="51">
        <v>0.05</v>
      </c>
      <c r="Q360" s="51">
        <v>11</v>
      </c>
      <c r="R360" s="51">
        <v>1</v>
      </c>
      <c r="S360" s="1">
        <v>1</v>
      </c>
      <c r="T360" s="1">
        <v>0</v>
      </c>
      <c r="U360" s="47">
        <v>0</v>
      </c>
      <c r="V360" s="47"/>
      <c r="W360" s="41">
        <v>195</v>
      </c>
      <c r="X360">
        <v>487</v>
      </c>
      <c r="Y360">
        <v>0.98250000000000004</v>
      </c>
      <c r="Z360">
        <v>2077.58</v>
      </c>
      <c r="AA360">
        <v>1592.59</v>
      </c>
      <c r="AB360">
        <v>145.6</v>
      </c>
      <c r="AC360">
        <v>36</v>
      </c>
      <c r="AD360" s="41">
        <f t="shared" si="56"/>
        <v>0.41394314539030991</v>
      </c>
      <c r="AE360" s="41">
        <f t="shared" si="57"/>
        <v>0.54000087907119854</v>
      </c>
      <c r="AF360">
        <f t="shared" si="58"/>
        <v>1.268709691780822</v>
      </c>
      <c r="AG360">
        <f t="shared" si="59"/>
        <v>0.15772971010273965</v>
      </c>
      <c r="AH360">
        <f t="shared" si="60"/>
        <v>1.456</v>
      </c>
      <c r="AI360">
        <f>HLOOKUP(HLOOKUP(G360,'THP2'!$B$4:$J$8,5,FALSE),'Fuel &amp; Resister'!$B$3:$G$6,4,FALSE)</f>
        <v>2.7360666666666664</v>
      </c>
      <c r="AJ360" s="41">
        <f>HLOOKUP(HLOOKUP(G360,'THP2'!$B$4:$J$8,5,FALSE),'Fuel &amp; Resister'!$B$3:$G$6,3,FALSE)</f>
        <v>13.019</v>
      </c>
      <c r="AO360" s="1">
        <v>1</v>
      </c>
      <c r="AP360" s="62">
        <v>0</v>
      </c>
    </row>
    <row r="361" spans="2:42" x14ac:dyDescent="0.15">
      <c r="B361" s="43" t="s">
        <v>601</v>
      </c>
      <c r="C361" s="61">
        <f>VLOOKUP(B361,[1]SYS!$F$5:$G$359,2,FALSE)</f>
        <v>220</v>
      </c>
      <c r="D361" s="1" t="s">
        <v>50</v>
      </c>
      <c r="E361" s="65" t="s">
        <v>540</v>
      </c>
      <c r="F361" s="63" t="s">
        <v>546</v>
      </c>
      <c r="G361" s="1">
        <v>3</v>
      </c>
      <c r="H361" s="1">
        <f t="shared" si="52"/>
        <v>0.40041067761806981</v>
      </c>
      <c r="I361" s="1">
        <f t="shared" si="53"/>
        <v>0.48699999999999999</v>
      </c>
      <c r="J361" s="1">
        <f t="shared" si="51"/>
        <v>1.749999999999996E-2</v>
      </c>
      <c r="K361" s="1">
        <f t="shared" si="54"/>
        <v>2.0775799999999998</v>
      </c>
      <c r="L361" s="1">
        <f t="shared" si="55"/>
        <v>1.59259</v>
      </c>
      <c r="M361" s="49">
        <f t="shared" si="62"/>
        <v>1.4278615534469248</v>
      </c>
      <c r="N361" s="49">
        <v>0.10890000000000001</v>
      </c>
      <c r="O361" s="1">
        <v>403</v>
      </c>
      <c r="P361" s="51">
        <v>0.05</v>
      </c>
      <c r="Q361" s="51">
        <v>11</v>
      </c>
      <c r="R361" s="51">
        <v>1</v>
      </c>
      <c r="S361" s="1">
        <v>1</v>
      </c>
      <c r="T361" s="1">
        <v>0</v>
      </c>
      <c r="U361" s="47">
        <v>0</v>
      </c>
      <c r="V361" s="47"/>
      <c r="W361" s="41">
        <v>195</v>
      </c>
      <c r="X361">
        <v>487</v>
      </c>
      <c r="Y361">
        <v>0.98250000000000004</v>
      </c>
      <c r="Z361">
        <v>2077.58</v>
      </c>
      <c r="AA361">
        <v>1592.59</v>
      </c>
      <c r="AB361">
        <v>145.6</v>
      </c>
      <c r="AC361">
        <v>36</v>
      </c>
      <c r="AD361" s="41">
        <f t="shared" si="56"/>
        <v>0.41394314539030991</v>
      </c>
      <c r="AE361" s="41">
        <f t="shared" si="57"/>
        <v>0.54000087907119854</v>
      </c>
      <c r="AF361">
        <f t="shared" si="58"/>
        <v>1.268709691780822</v>
      </c>
      <c r="AG361">
        <f t="shared" si="59"/>
        <v>0.15772971010273965</v>
      </c>
      <c r="AH361">
        <f t="shared" si="60"/>
        <v>1.456</v>
      </c>
      <c r="AI361">
        <f>HLOOKUP(HLOOKUP(G361,'THP2'!$B$4:$J$8,5,FALSE),'Fuel &amp; Resister'!$B$3:$G$6,4,FALSE)</f>
        <v>2.7360666666666664</v>
      </c>
      <c r="AJ361" s="41">
        <f>HLOOKUP(HLOOKUP(G361,'THP2'!$B$4:$J$8,5,FALSE),'Fuel &amp; Resister'!$B$3:$G$6,3,FALSE)</f>
        <v>13.019</v>
      </c>
      <c r="AO361" s="1">
        <v>1</v>
      </c>
      <c r="AP361" s="62">
        <v>0</v>
      </c>
    </row>
    <row r="362" spans="2:42" x14ac:dyDescent="0.15">
      <c r="B362" s="43" t="s">
        <v>601</v>
      </c>
      <c r="C362" s="61">
        <f>VLOOKUP(B362,[1]SYS!$F$5:$G$359,2,FALSE)</f>
        <v>220</v>
      </c>
      <c r="D362" s="1" t="s">
        <v>50</v>
      </c>
      <c r="E362" s="65" t="s">
        <v>540</v>
      </c>
      <c r="F362" s="63" t="s">
        <v>546</v>
      </c>
      <c r="G362" s="1">
        <v>3</v>
      </c>
      <c r="H362" s="1">
        <f t="shared" si="52"/>
        <v>0.40041067761806981</v>
      </c>
      <c r="I362" s="1">
        <f t="shared" si="53"/>
        <v>0.48699999999999999</v>
      </c>
      <c r="J362" s="1">
        <f t="shared" si="51"/>
        <v>1.749999999999996E-2</v>
      </c>
      <c r="K362" s="1">
        <f t="shared" si="54"/>
        <v>2.0775799999999998</v>
      </c>
      <c r="L362" s="1">
        <f t="shared" si="55"/>
        <v>1.59259</v>
      </c>
      <c r="M362" s="49">
        <f t="shared" si="62"/>
        <v>1.4278615534469248</v>
      </c>
      <c r="N362" s="49">
        <v>0.10890000000000001</v>
      </c>
      <c r="O362" s="1">
        <v>509</v>
      </c>
      <c r="P362" s="51">
        <v>0.05</v>
      </c>
      <c r="Q362" s="51">
        <v>11</v>
      </c>
      <c r="R362" s="51">
        <v>1</v>
      </c>
      <c r="S362" s="1">
        <v>1</v>
      </c>
      <c r="T362" s="1">
        <v>0</v>
      </c>
      <c r="U362" s="47">
        <v>0</v>
      </c>
      <c r="V362" s="47"/>
      <c r="W362" s="41">
        <v>195</v>
      </c>
      <c r="X362">
        <v>487</v>
      </c>
      <c r="Y362">
        <v>0.98250000000000004</v>
      </c>
      <c r="Z362">
        <v>2077.58</v>
      </c>
      <c r="AA362">
        <v>1592.59</v>
      </c>
      <c r="AB362">
        <v>145.6</v>
      </c>
      <c r="AC362">
        <v>36</v>
      </c>
      <c r="AD362" s="41">
        <f t="shared" si="56"/>
        <v>0.41394314539030991</v>
      </c>
      <c r="AE362" s="41">
        <f t="shared" si="57"/>
        <v>0.54000087907119854</v>
      </c>
      <c r="AF362">
        <f t="shared" si="58"/>
        <v>1.268709691780822</v>
      </c>
      <c r="AG362">
        <f t="shared" si="59"/>
        <v>0.15772971010273965</v>
      </c>
      <c r="AH362">
        <f t="shared" si="60"/>
        <v>1.456</v>
      </c>
      <c r="AI362">
        <f>HLOOKUP(HLOOKUP(G362,'THP2'!$B$4:$J$8,5,FALSE),'Fuel &amp; Resister'!$B$3:$G$6,4,FALSE)</f>
        <v>2.7360666666666664</v>
      </c>
      <c r="AJ362" s="41">
        <f>HLOOKUP(HLOOKUP(G362,'THP2'!$B$4:$J$8,5,FALSE),'Fuel &amp; Resister'!$B$3:$G$6,3,FALSE)</f>
        <v>13.019</v>
      </c>
      <c r="AO362" s="1">
        <v>1</v>
      </c>
      <c r="AP362" s="62">
        <v>0</v>
      </c>
    </row>
    <row r="363" spans="2:42" x14ac:dyDescent="0.15">
      <c r="B363" s="43" t="s">
        <v>601</v>
      </c>
      <c r="C363" s="61">
        <f>VLOOKUP(B363,[1]SYS!$F$5:$G$359,2,FALSE)</f>
        <v>220</v>
      </c>
      <c r="D363" s="1" t="s">
        <v>50</v>
      </c>
      <c r="E363" s="65" t="s">
        <v>540</v>
      </c>
      <c r="F363" s="63" t="s">
        <v>546</v>
      </c>
      <c r="G363" s="1">
        <v>3</v>
      </c>
      <c r="H363" s="1">
        <f t="shared" si="52"/>
        <v>0.40041067761806981</v>
      </c>
      <c r="I363" s="1">
        <f t="shared" si="53"/>
        <v>0.48699999999999999</v>
      </c>
      <c r="J363" s="1">
        <f t="shared" si="51"/>
        <v>1.749999999999996E-2</v>
      </c>
      <c r="K363" s="1">
        <f t="shared" si="54"/>
        <v>2.0775799999999998</v>
      </c>
      <c r="L363" s="1">
        <f t="shared" si="55"/>
        <v>1.59259</v>
      </c>
      <c r="M363" s="49">
        <f t="shared" si="62"/>
        <v>1.4278615534469248</v>
      </c>
      <c r="N363" s="49">
        <v>0.10890000000000001</v>
      </c>
      <c r="O363" s="1">
        <v>504</v>
      </c>
      <c r="P363" s="51">
        <v>0.05</v>
      </c>
      <c r="Q363" s="51">
        <v>11</v>
      </c>
      <c r="R363" s="51">
        <v>1</v>
      </c>
      <c r="S363" s="1">
        <v>1</v>
      </c>
      <c r="T363" s="1">
        <v>0</v>
      </c>
      <c r="U363" s="47">
        <v>0</v>
      </c>
      <c r="V363" s="47"/>
      <c r="W363" s="41">
        <v>195</v>
      </c>
      <c r="X363">
        <v>487</v>
      </c>
      <c r="Y363">
        <v>0.98250000000000004</v>
      </c>
      <c r="Z363">
        <v>2077.58</v>
      </c>
      <c r="AA363">
        <v>1592.59</v>
      </c>
      <c r="AB363">
        <v>145.6</v>
      </c>
      <c r="AC363">
        <v>36</v>
      </c>
      <c r="AD363" s="41">
        <f t="shared" si="56"/>
        <v>0.41394314539030991</v>
      </c>
      <c r="AE363" s="41">
        <f t="shared" si="57"/>
        <v>0.54000087907119854</v>
      </c>
      <c r="AF363">
        <f t="shared" si="58"/>
        <v>1.268709691780822</v>
      </c>
      <c r="AG363">
        <f t="shared" si="59"/>
        <v>0.15772971010273965</v>
      </c>
      <c r="AH363">
        <f t="shared" si="60"/>
        <v>1.456</v>
      </c>
      <c r="AI363">
        <f>HLOOKUP(HLOOKUP(G363,'THP2'!$B$4:$J$8,5,FALSE),'Fuel &amp; Resister'!$B$3:$G$6,4,FALSE)</f>
        <v>2.7360666666666664</v>
      </c>
      <c r="AJ363" s="41">
        <f>HLOOKUP(HLOOKUP(G363,'THP2'!$B$4:$J$8,5,FALSE),'Fuel &amp; Resister'!$B$3:$G$6,3,FALSE)</f>
        <v>13.019</v>
      </c>
      <c r="AO363" s="1">
        <v>1</v>
      </c>
      <c r="AP363" s="62">
        <v>0</v>
      </c>
    </row>
    <row r="364" spans="2:42" x14ac:dyDescent="0.15">
      <c r="B364" s="43" t="s">
        <v>601</v>
      </c>
      <c r="C364" s="61">
        <f>VLOOKUP(B364,[1]SYS!$F$5:$G$359,2,FALSE)</f>
        <v>220</v>
      </c>
      <c r="D364" s="1" t="s">
        <v>50</v>
      </c>
      <c r="E364" s="65" t="s">
        <v>540</v>
      </c>
      <c r="F364" s="63" t="s">
        <v>546</v>
      </c>
      <c r="G364" s="1">
        <v>3</v>
      </c>
      <c r="H364" s="1">
        <f t="shared" si="52"/>
        <v>0.40041067761806981</v>
      </c>
      <c r="I364" s="1">
        <f t="shared" si="53"/>
        <v>0.48699999999999999</v>
      </c>
      <c r="J364" s="1">
        <f t="shared" si="51"/>
        <v>1.749999999999996E-2</v>
      </c>
      <c r="K364" s="1">
        <f t="shared" si="54"/>
        <v>2.0775799999999998</v>
      </c>
      <c r="L364" s="1">
        <f t="shared" si="55"/>
        <v>1.59259</v>
      </c>
      <c r="M364" s="49">
        <f t="shared" si="62"/>
        <v>1.4278615534469248</v>
      </c>
      <c r="N364" s="49">
        <v>0.10890000000000001</v>
      </c>
      <c r="O364" s="1">
        <v>609</v>
      </c>
      <c r="P364" s="51">
        <v>0.05</v>
      </c>
      <c r="Q364" s="51">
        <v>11</v>
      </c>
      <c r="R364" s="51">
        <v>1</v>
      </c>
      <c r="S364" s="1">
        <v>1</v>
      </c>
      <c r="T364" s="1">
        <v>0</v>
      </c>
      <c r="U364" s="47">
        <v>0</v>
      </c>
      <c r="V364" s="47"/>
      <c r="W364" s="41">
        <v>195</v>
      </c>
      <c r="X364">
        <v>487</v>
      </c>
      <c r="Y364">
        <v>0.98250000000000004</v>
      </c>
      <c r="Z364">
        <v>2077.58</v>
      </c>
      <c r="AA364">
        <v>1592.59</v>
      </c>
      <c r="AB364">
        <v>145.6</v>
      </c>
      <c r="AC364">
        <v>36</v>
      </c>
      <c r="AD364" s="41">
        <f t="shared" si="56"/>
        <v>0.41394314539030991</v>
      </c>
      <c r="AE364" s="41">
        <f t="shared" si="57"/>
        <v>0.54000087907119854</v>
      </c>
      <c r="AF364">
        <f t="shared" si="58"/>
        <v>1.268709691780822</v>
      </c>
      <c r="AG364">
        <f t="shared" si="59"/>
        <v>0.15772971010273965</v>
      </c>
      <c r="AH364">
        <f t="shared" si="60"/>
        <v>1.456</v>
      </c>
      <c r="AI364">
        <f>HLOOKUP(HLOOKUP(G364,'THP2'!$B$4:$J$8,5,FALSE),'Fuel &amp; Resister'!$B$3:$G$6,4,FALSE)</f>
        <v>2.7360666666666664</v>
      </c>
      <c r="AJ364" s="41">
        <f>HLOOKUP(HLOOKUP(G364,'THP2'!$B$4:$J$8,5,FALSE),'Fuel &amp; Resister'!$B$3:$G$6,3,FALSE)</f>
        <v>13.019</v>
      </c>
      <c r="AO364" s="1">
        <v>1</v>
      </c>
      <c r="AP364" s="62">
        <v>0</v>
      </c>
    </row>
    <row r="365" spans="2:42" x14ac:dyDescent="0.15">
      <c r="B365" s="43" t="s">
        <v>601</v>
      </c>
      <c r="C365" s="61">
        <f>VLOOKUP(B365,[1]SYS!$F$5:$G$359,2,FALSE)</f>
        <v>220</v>
      </c>
      <c r="D365" s="1" t="s">
        <v>50</v>
      </c>
      <c r="E365" s="65" t="s">
        <v>540</v>
      </c>
      <c r="F365" s="63" t="s">
        <v>546</v>
      </c>
      <c r="G365" s="1">
        <v>3</v>
      </c>
      <c r="H365" s="1">
        <f t="shared" si="52"/>
        <v>0.40041067761806981</v>
      </c>
      <c r="I365" s="1">
        <f t="shared" si="53"/>
        <v>0.48699999999999999</v>
      </c>
      <c r="J365" s="1">
        <f t="shared" si="51"/>
        <v>1.749999999999996E-2</v>
      </c>
      <c r="K365" s="1">
        <f t="shared" si="54"/>
        <v>2.0775799999999998</v>
      </c>
      <c r="L365" s="1">
        <f t="shared" si="55"/>
        <v>1.59259</v>
      </c>
      <c r="M365" s="49">
        <f t="shared" si="62"/>
        <v>1.4278615534469248</v>
      </c>
      <c r="N365" s="49">
        <v>0.10890000000000001</v>
      </c>
      <c r="O365" s="1">
        <v>403</v>
      </c>
      <c r="P365" s="51">
        <v>0.05</v>
      </c>
      <c r="Q365" s="51">
        <v>11</v>
      </c>
      <c r="R365" s="51">
        <v>1</v>
      </c>
      <c r="S365" s="1">
        <v>1</v>
      </c>
      <c r="T365" s="1">
        <v>0</v>
      </c>
      <c r="U365" s="47">
        <v>0</v>
      </c>
      <c r="V365" s="47"/>
      <c r="W365" s="41">
        <v>195</v>
      </c>
      <c r="X365">
        <v>487</v>
      </c>
      <c r="Y365">
        <v>0.98250000000000004</v>
      </c>
      <c r="Z365">
        <v>2077.58</v>
      </c>
      <c r="AA365">
        <v>1592.59</v>
      </c>
      <c r="AB365">
        <v>145.6</v>
      </c>
      <c r="AC365">
        <v>36</v>
      </c>
      <c r="AD365" s="41">
        <f t="shared" si="56"/>
        <v>0.41394314539030991</v>
      </c>
      <c r="AE365" s="41">
        <f t="shared" si="57"/>
        <v>0.54000087907119854</v>
      </c>
      <c r="AF365">
        <f t="shared" si="58"/>
        <v>1.268709691780822</v>
      </c>
      <c r="AG365">
        <f t="shared" si="59"/>
        <v>0.15772971010273965</v>
      </c>
      <c r="AH365">
        <f t="shared" si="60"/>
        <v>1.456</v>
      </c>
      <c r="AI365">
        <f>HLOOKUP(HLOOKUP(G365,'THP2'!$B$4:$J$8,5,FALSE),'Fuel &amp; Resister'!$B$3:$G$6,4,FALSE)</f>
        <v>2.7360666666666664</v>
      </c>
      <c r="AJ365" s="41">
        <f>HLOOKUP(HLOOKUP(G365,'THP2'!$B$4:$J$8,5,FALSE),'Fuel &amp; Resister'!$B$3:$G$6,3,FALSE)</f>
        <v>13.019</v>
      </c>
      <c r="AO365" s="1">
        <v>1</v>
      </c>
      <c r="AP365" s="62">
        <v>0</v>
      </c>
    </row>
    <row r="366" spans="2:42" x14ac:dyDescent="0.15">
      <c r="B366" s="43" t="s">
        <v>601</v>
      </c>
      <c r="C366" s="61">
        <f>VLOOKUP(B366,[1]SYS!$F$5:$G$359,2,FALSE)</f>
        <v>220</v>
      </c>
      <c r="D366" s="1" t="s">
        <v>50</v>
      </c>
      <c r="E366" s="65" t="s">
        <v>540</v>
      </c>
      <c r="F366" s="63" t="s">
        <v>546</v>
      </c>
      <c r="G366" s="1">
        <v>3</v>
      </c>
      <c r="H366" s="1">
        <f t="shared" si="52"/>
        <v>0.40041067761806981</v>
      </c>
      <c r="I366" s="1">
        <f t="shared" si="53"/>
        <v>0.48699999999999999</v>
      </c>
      <c r="J366" s="1">
        <f t="shared" si="51"/>
        <v>1.749999999999996E-2</v>
      </c>
      <c r="K366" s="1">
        <f t="shared" si="54"/>
        <v>2.0775799999999998</v>
      </c>
      <c r="L366" s="1">
        <f t="shared" si="55"/>
        <v>1.59259</v>
      </c>
      <c r="M366" s="49">
        <f t="shared" si="62"/>
        <v>1.4278615534469248</v>
      </c>
      <c r="N366" s="49">
        <v>0.10890000000000001</v>
      </c>
      <c r="O366" s="1">
        <v>509</v>
      </c>
      <c r="P366" s="51">
        <v>0.05</v>
      </c>
      <c r="Q366" s="51">
        <v>11</v>
      </c>
      <c r="R366" s="51">
        <v>1</v>
      </c>
      <c r="S366" s="1">
        <v>1</v>
      </c>
      <c r="T366" s="1">
        <v>0</v>
      </c>
      <c r="U366" s="47">
        <v>0</v>
      </c>
      <c r="V366" s="47"/>
      <c r="W366" s="41">
        <v>195</v>
      </c>
      <c r="X366">
        <v>487</v>
      </c>
      <c r="Y366">
        <v>0.98250000000000004</v>
      </c>
      <c r="Z366">
        <v>2077.58</v>
      </c>
      <c r="AA366">
        <v>1592.59</v>
      </c>
      <c r="AB366">
        <v>145.6</v>
      </c>
      <c r="AC366">
        <v>36</v>
      </c>
      <c r="AD366" s="41">
        <f t="shared" si="56"/>
        <v>0.41394314539030991</v>
      </c>
      <c r="AE366" s="41">
        <f t="shared" si="57"/>
        <v>0.54000087907119854</v>
      </c>
      <c r="AF366">
        <f t="shared" si="58"/>
        <v>1.268709691780822</v>
      </c>
      <c r="AG366">
        <f t="shared" si="59"/>
        <v>0.15772971010273965</v>
      </c>
      <c r="AH366">
        <f t="shared" si="60"/>
        <v>1.456</v>
      </c>
      <c r="AI366">
        <f>HLOOKUP(HLOOKUP(G366,'THP2'!$B$4:$J$8,5,FALSE),'Fuel &amp; Resister'!$B$3:$G$6,4,FALSE)</f>
        <v>2.7360666666666664</v>
      </c>
      <c r="AJ366" s="41">
        <f>HLOOKUP(HLOOKUP(G366,'THP2'!$B$4:$J$8,5,FALSE),'Fuel &amp; Resister'!$B$3:$G$6,3,FALSE)</f>
        <v>13.019</v>
      </c>
      <c r="AO366" s="1">
        <v>1</v>
      </c>
      <c r="AP366" s="62">
        <v>0</v>
      </c>
    </row>
    <row r="367" spans="2:42" x14ac:dyDescent="0.15">
      <c r="B367" s="43" t="s">
        <v>601</v>
      </c>
      <c r="C367" s="61">
        <f>VLOOKUP(B367,[1]SYS!$F$5:$G$359,2,FALSE)</f>
        <v>220</v>
      </c>
      <c r="D367" s="1" t="s">
        <v>50</v>
      </c>
      <c r="E367" s="65" t="s">
        <v>540</v>
      </c>
      <c r="F367" s="63" t="s">
        <v>546</v>
      </c>
      <c r="G367" s="1">
        <v>3</v>
      </c>
      <c r="H367" s="1">
        <f t="shared" si="52"/>
        <v>0.40041067761806981</v>
      </c>
      <c r="I367" s="1">
        <f t="shared" si="53"/>
        <v>0.48699999999999999</v>
      </c>
      <c r="J367" s="1">
        <f t="shared" si="51"/>
        <v>1.749999999999996E-2</v>
      </c>
      <c r="K367" s="1">
        <f t="shared" si="54"/>
        <v>2.0775799999999998</v>
      </c>
      <c r="L367" s="1">
        <f t="shared" si="55"/>
        <v>1.59259</v>
      </c>
      <c r="M367" s="49">
        <f t="shared" si="62"/>
        <v>1.4278615534469248</v>
      </c>
      <c r="N367" s="49">
        <v>0.10890000000000001</v>
      </c>
      <c r="O367" s="1">
        <v>1202</v>
      </c>
      <c r="P367" s="51">
        <v>0.05</v>
      </c>
      <c r="Q367" s="51">
        <v>11</v>
      </c>
      <c r="R367" s="51">
        <v>1</v>
      </c>
      <c r="S367" s="1">
        <v>1</v>
      </c>
      <c r="T367" s="1">
        <v>0</v>
      </c>
      <c r="U367" s="47">
        <v>0</v>
      </c>
      <c r="V367" s="47"/>
      <c r="W367" s="41">
        <v>195</v>
      </c>
      <c r="X367">
        <v>487</v>
      </c>
      <c r="Y367">
        <v>0.98250000000000004</v>
      </c>
      <c r="Z367">
        <v>2077.58</v>
      </c>
      <c r="AA367">
        <v>1592.59</v>
      </c>
      <c r="AB367">
        <v>145.6</v>
      </c>
      <c r="AC367">
        <v>36</v>
      </c>
      <c r="AD367" s="41">
        <f t="shared" si="56"/>
        <v>0.41394314539030991</v>
      </c>
      <c r="AE367" s="41">
        <f t="shared" si="57"/>
        <v>0.54000087907119854</v>
      </c>
      <c r="AF367">
        <f t="shared" si="58"/>
        <v>1.268709691780822</v>
      </c>
      <c r="AG367">
        <f t="shared" si="59"/>
        <v>0.15772971010273965</v>
      </c>
      <c r="AH367">
        <f t="shared" si="60"/>
        <v>1.456</v>
      </c>
      <c r="AI367">
        <f>HLOOKUP(HLOOKUP(G367,'THP2'!$B$4:$J$8,5,FALSE),'Fuel &amp; Resister'!$B$3:$G$6,4,FALSE)</f>
        <v>2.7360666666666664</v>
      </c>
      <c r="AJ367" s="41">
        <f>HLOOKUP(HLOOKUP(G367,'THP2'!$B$4:$J$8,5,FALSE),'Fuel &amp; Resister'!$B$3:$G$6,3,FALSE)</f>
        <v>13.019</v>
      </c>
      <c r="AO367" s="1">
        <v>1</v>
      </c>
      <c r="AP367" s="62">
        <v>0</v>
      </c>
    </row>
    <row r="368" spans="2:42" x14ac:dyDescent="0.15">
      <c r="B368" s="43" t="s">
        <v>601</v>
      </c>
      <c r="C368" s="61">
        <f>VLOOKUP(B368,[1]SYS!$F$5:$G$359,2,FALSE)</f>
        <v>220</v>
      </c>
      <c r="D368" s="1" t="s">
        <v>50</v>
      </c>
      <c r="E368" s="65" t="s">
        <v>540</v>
      </c>
      <c r="F368" s="63" t="s">
        <v>546</v>
      </c>
      <c r="G368" s="1">
        <v>3</v>
      </c>
      <c r="H368" s="1">
        <f t="shared" si="52"/>
        <v>0.40041067761806981</v>
      </c>
      <c r="I368" s="1">
        <f t="shared" si="53"/>
        <v>0.48699999999999999</v>
      </c>
      <c r="J368" s="1">
        <f t="shared" si="51"/>
        <v>1.749999999999996E-2</v>
      </c>
      <c r="K368" s="1">
        <f t="shared" si="54"/>
        <v>2.0775799999999998</v>
      </c>
      <c r="L368" s="1">
        <f t="shared" si="55"/>
        <v>1.59259</v>
      </c>
      <c r="M368" s="49">
        <f t="shared" si="62"/>
        <v>1.4278615534469248</v>
      </c>
      <c r="N368" s="49">
        <v>0.10890000000000001</v>
      </c>
      <c r="O368" s="1">
        <v>107</v>
      </c>
      <c r="P368" s="51">
        <v>0.05</v>
      </c>
      <c r="Q368" s="51">
        <v>11</v>
      </c>
      <c r="R368" s="51">
        <v>1</v>
      </c>
      <c r="S368" s="1">
        <v>1</v>
      </c>
      <c r="T368" s="1">
        <v>0</v>
      </c>
      <c r="U368" s="47">
        <v>0</v>
      </c>
      <c r="V368" s="47"/>
      <c r="W368" s="41">
        <v>195</v>
      </c>
      <c r="X368">
        <v>487</v>
      </c>
      <c r="Y368">
        <v>0.98250000000000004</v>
      </c>
      <c r="Z368">
        <v>2077.58</v>
      </c>
      <c r="AA368">
        <v>1592.59</v>
      </c>
      <c r="AB368">
        <v>145.6</v>
      </c>
      <c r="AC368">
        <v>36</v>
      </c>
      <c r="AD368" s="41">
        <f t="shared" si="56"/>
        <v>0.41394314539030991</v>
      </c>
      <c r="AE368" s="41">
        <f t="shared" si="57"/>
        <v>0.54000087907119854</v>
      </c>
      <c r="AF368">
        <f t="shared" si="58"/>
        <v>1.268709691780822</v>
      </c>
      <c r="AG368">
        <f t="shared" si="59"/>
        <v>0.15772971010273965</v>
      </c>
      <c r="AH368">
        <f t="shared" si="60"/>
        <v>1.456</v>
      </c>
      <c r="AI368">
        <f>HLOOKUP(HLOOKUP(G368,'THP2'!$B$4:$J$8,5,FALSE),'Fuel &amp; Resister'!$B$3:$G$6,4,FALSE)</f>
        <v>2.7360666666666664</v>
      </c>
      <c r="AJ368" s="41">
        <f>HLOOKUP(HLOOKUP(G368,'THP2'!$B$4:$J$8,5,FALSE),'Fuel &amp; Resister'!$B$3:$G$6,3,FALSE)</f>
        <v>13.019</v>
      </c>
      <c r="AO368" s="1">
        <v>1</v>
      </c>
      <c r="AP368" s="62">
        <v>0</v>
      </c>
    </row>
    <row r="369" spans="2:42" x14ac:dyDescent="0.15">
      <c r="B369" s="43" t="s">
        <v>601</v>
      </c>
      <c r="C369" s="61">
        <f>VLOOKUP(B369,[1]SYS!$F$5:$G$359,2,FALSE)</f>
        <v>220</v>
      </c>
      <c r="D369" s="1" t="s">
        <v>50</v>
      </c>
      <c r="E369" s="65" t="s">
        <v>540</v>
      </c>
      <c r="F369" s="63" t="s">
        <v>546</v>
      </c>
      <c r="G369" s="1">
        <v>3</v>
      </c>
      <c r="H369" s="1">
        <f t="shared" si="52"/>
        <v>0.40041067761806981</v>
      </c>
      <c r="I369" s="1">
        <f t="shared" si="53"/>
        <v>0.48699999999999999</v>
      </c>
      <c r="J369" s="1">
        <f t="shared" si="51"/>
        <v>1.749999999999996E-2</v>
      </c>
      <c r="K369" s="1">
        <f t="shared" si="54"/>
        <v>2.0775799999999998</v>
      </c>
      <c r="L369" s="1">
        <f t="shared" si="55"/>
        <v>1.59259</v>
      </c>
      <c r="M369" s="49">
        <f t="shared" si="62"/>
        <v>1.4278615534469248</v>
      </c>
      <c r="N369" s="49">
        <v>0.10890000000000001</v>
      </c>
      <c r="O369" s="1">
        <v>804</v>
      </c>
      <c r="P369" s="51">
        <v>0.05</v>
      </c>
      <c r="Q369" s="51">
        <v>11</v>
      </c>
      <c r="R369" s="51">
        <v>1</v>
      </c>
      <c r="S369" s="1">
        <v>1</v>
      </c>
      <c r="T369" s="1">
        <v>0</v>
      </c>
      <c r="U369" s="47">
        <v>0</v>
      </c>
      <c r="V369" s="47"/>
      <c r="W369" s="41">
        <v>195</v>
      </c>
      <c r="X369">
        <v>487</v>
      </c>
      <c r="Y369">
        <v>0.98250000000000004</v>
      </c>
      <c r="Z369">
        <v>2077.58</v>
      </c>
      <c r="AA369">
        <v>1592.59</v>
      </c>
      <c r="AB369">
        <v>145.6</v>
      </c>
      <c r="AC369">
        <v>36</v>
      </c>
      <c r="AD369" s="41">
        <f t="shared" si="56"/>
        <v>0.41394314539030991</v>
      </c>
      <c r="AE369" s="41">
        <f t="shared" si="57"/>
        <v>0.54000087907119854</v>
      </c>
      <c r="AF369">
        <f t="shared" si="58"/>
        <v>1.268709691780822</v>
      </c>
      <c r="AG369">
        <f t="shared" si="59"/>
        <v>0.15772971010273965</v>
      </c>
      <c r="AH369">
        <f t="shared" si="60"/>
        <v>1.456</v>
      </c>
      <c r="AI369">
        <f>HLOOKUP(HLOOKUP(G369,'THP2'!$B$4:$J$8,5,FALSE),'Fuel &amp; Resister'!$B$3:$G$6,4,FALSE)</f>
        <v>2.7360666666666664</v>
      </c>
      <c r="AJ369" s="41">
        <f>HLOOKUP(HLOOKUP(G369,'THP2'!$B$4:$J$8,5,FALSE),'Fuel &amp; Resister'!$B$3:$G$6,3,FALSE)</f>
        <v>13.019</v>
      </c>
      <c r="AO369" s="1">
        <v>1</v>
      </c>
      <c r="AP369" s="62">
        <v>0</v>
      </c>
    </row>
    <row r="370" spans="2:42" x14ac:dyDescent="0.15">
      <c r="B370" s="43" t="s">
        <v>601</v>
      </c>
      <c r="C370" s="61">
        <f>VLOOKUP(B370,[1]SYS!$F$5:$G$359,2,FALSE)</f>
        <v>220</v>
      </c>
      <c r="D370" s="1" t="s">
        <v>50</v>
      </c>
      <c r="E370" s="65" t="s">
        <v>540</v>
      </c>
      <c r="F370" s="63" t="s">
        <v>546</v>
      </c>
      <c r="G370" s="1">
        <v>3</v>
      </c>
      <c r="H370" s="1">
        <f t="shared" si="52"/>
        <v>0.40041067761806981</v>
      </c>
      <c r="I370" s="1">
        <f t="shared" si="53"/>
        <v>0.48699999999999999</v>
      </c>
      <c r="J370" s="1">
        <f t="shared" si="51"/>
        <v>1.749999999999996E-2</v>
      </c>
      <c r="K370" s="1">
        <f t="shared" si="54"/>
        <v>2.0775799999999998</v>
      </c>
      <c r="L370" s="1">
        <f t="shared" si="55"/>
        <v>1.59259</v>
      </c>
      <c r="M370" s="49">
        <f t="shared" si="62"/>
        <v>1.4278615534469248</v>
      </c>
      <c r="N370" s="49">
        <v>0.10890000000000001</v>
      </c>
      <c r="O370" s="1">
        <v>909</v>
      </c>
      <c r="P370" s="51">
        <v>0.05</v>
      </c>
      <c r="Q370" s="51">
        <v>11</v>
      </c>
      <c r="R370" s="51">
        <v>1</v>
      </c>
      <c r="S370" s="1">
        <v>1</v>
      </c>
      <c r="T370" s="1">
        <v>0</v>
      </c>
      <c r="U370" s="47">
        <v>0</v>
      </c>
      <c r="V370" s="47"/>
      <c r="W370" s="41">
        <v>195</v>
      </c>
      <c r="X370">
        <v>487</v>
      </c>
      <c r="Y370">
        <v>0.98250000000000004</v>
      </c>
      <c r="Z370">
        <v>2077.58</v>
      </c>
      <c r="AA370">
        <v>1592.59</v>
      </c>
      <c r="AB370">
        <v>145.6</v>
      </c>
      <c r="AC370">
        <v>36</v>
      </c>
      <c r="AD370" s="41">
        <f t="shared" si="56"/>
        <v>0.41394314539030991</v>
      </c>
      <c r="AE370" s="41">
        <f t="shared" si="57"/>
        <v>0.54000087907119854</v>
      </c>
      <c r="AF370">
        <f t="shared" si="58"/>
        <v>1.268709691780822</v>
      </c>
      <c r="AG370">
        <f t="shared" si="59"/>
        <v>0.15772971010273965</v>
      </c>
      <c r="AH370">
        <f t="shared" si="60"/>
        <v>1.456</v>
      </c>
      <c r="AI370">
        <f>HLOOKUP(HLOOKUP(G370,'THP2'!$B$4:$J$8,5,FALSE),'Fuel &amp; Resister'!$B$3:$G$6,4,FALSE)</f>
        <v>2.7360666666666664</v>
      </c>
      <c r="AJ370" s="41">
        <f>HLOOKUP(HLOOKUP(G370,'THP2'!$B$4:$J$8,5,FALSE),'Fuel &amp; Resister'!$B$3:$G$6,3,FALSE)</f>
        <v>13.019</v>
      </c>
      <c r="AO370" s="1">
        <v>1</v>
      </c>
      <c r="AP370" s="62">
        <v>0</v>
      </c>
    </row>
    <row r="371" spans="2:42" x14ac:dyDescent="0.15">
      <c r="B371" s="43" t="s">
        <v>601</v>
      </c>
      <c r="C371" s="61">
        <f>VLOOKUP(B371,[1]SYS!$F$5:$G$359,2,FALSE)</f>
        <v>220</v>
      </c>
      <c r="D371" s="1" t="s">
        <v>50</v>
      </c>
      <c r="E371" s="65" t="s">
        <v>540</v>
      </c>
      <c r="F371" s="63" t="s">
        <v>546</v>
      </c>
      <c r="G371" s="1">
        <v>3</v>
      </c>
      <c r="H371" s="1">
        <f t="shared" si="52"/>
        <v>0.40041067761806981</v>
      </c>
      <c r="I371" s="1">
        <f t="shared" si="53"/>
        <v>0.48699999999999999</v>
      </c>
      <c r="J371" s="1">
        <f t="shared" si="51"/>
        <v>1.749999999999996E-2</v>
      </c>
      <c r="K371" s="1">
        <f t="shared" si="54"/>
        <v>2.0775799999999998</v>
      </c>
      <c r="L371" s="1">
        <f t="shared" si="55"/>
        <v>1.59259</v>
      </c>
      <c r="M371" s="49">
        <f t="shared" si="62"/>
        <v>1.4278615534469248</v>
      </c>
      <c r="N371" s="49">
        <v>0.10890000000000001</v>
      </c>
      <c r="O371" s="1">
        <v>603</v>
      </c>
      <c r="P371" s="51">
        <v>0.05</v>
      </c>
      <c r="Q371" s="51">
        <v>11</v>
      </c>
      <c r="R371" s="51">
        <v>1</v>
      </c>
      <c r="S371" s="1">
        <v>1</v>
      </c>
      <c r="T371" s="1">
        <v>0</v>
      </c>
      <c r="U371" s="47">
        <v>0</v>
      </c>
      <c r="V371" s="47"/>
      <c r="W371" s="41">
        <v>195</v>
      </c>
      <c r="X371">
        <v>487</v>
      </c>
      <c r="Y371">
        <v>0.98250000000000004</v>
      </c>
      <c r="Z371">
        <v>2077.58</v>
      </c>
      <c r="AA371">
        <v>1592.59</v>
      </c>
      <c r="AB371">
        <v>145.6</v>
      </c>
      <c r="AC371">
        <v>36</v>
      </c>
      <c r="AD371" s="41">
        <f t="shared" si="56"/>
        <v>0.41394314539030991</v>
      </c>
      <c r="AE371" s="41">
        <f t="shared" si="57"/>
        <v>0.54000087907119854</v>
      </c>
      <c r="AF371">
        <f t="shared" si="58"/>
        <v>1.268709691780822</v>
      </c>
      <c r="AG371">
        <f t="shared" si="59"/>
        <v>0.15772971010273965</v>
      </c>
      <c r="AH371">
        <f t="shared" si="60"/>
        <v>1.456</v>
      </c>
      <c r="AI371">
        <f>HLOOKUP(HLOOKUP(G371,'THP2'!$B$4:$J$8,5,FALSE),'Fuel &amp; Resister'!$B$3:$G$6,4,FALSE)</f>
        <v>2.7360666666666664</v>
      </c>
      <c r="AJ371" s="41">
        <f>HLOOKUP(HLOOKUP(G371,'THP2'!$B$4:$J$8,5,FALSE),'Fuel &amp; Resister'!$B$3:$G$6,3,FALSE)</f>
        <v>13.019</v>
      </c>
      <c r="AO371" s="1">
        <v>1</v>
      </c>
      <c r="AP371" s="62">
        <v>0</v>
      </c>
    </row>
    <row r="372" spans="2:42" x14ac:dyDescent="0.15">
      <c r="B372" s="43" t="s">
        <v>601</v>
      </c>
      <c r="C372" s="61">
        <f>VLOOKUP(B372,[1]SYS!$F$5:$G$359,2,FALSE)</f>
        <v>220</v>
      </c>
      <c r="D372" s="1" t="s">
        <v>50</v>
      </c>
      <c r="E372" s="65" t="s">
        <v>540</v>
      </c>
      <c r="F372" s="63" t="s">
        <v>546</v>
      </c>
      <c r="G372" s="1">
        <v>3</v>
      </c>
      <c r="H372" s="1">
        <f t="shared" si="52"/>
        <v>0.40041067761806981</v>
      </c>
      <c r="I372" s="1">
        <f t="shared" si="53"/>
        <v>0.48699999999999999</v>
      </c>
      <c r="J372" s="1">
        <f t="shared" si="51"/>
        <v>1.749999999999996E-2</v>
      </c>
      <c r="K372" s="1">
        <f t="shared" si="54"/>
        <v>2.0775799999999998</v>
      </c>
      <c r="L372" s="1">
        <f t="shared" si="55"/>
        <v>1.59259</v>
      </c>
      <c r="M372" s="49">
        <f t="shared" si="62"/>
        <v>1.4278615534469248</v>
      </c>
      <c r="N372" s="49">
        <v>0.10890000000000001</v>
      </c>
      <c r="O372" s="1">
        <v>709</v>
      </c>
      <c r="P372" s="51">
        <v>0.05</v>
      </c>
      <c r="Q372" s="51">
        <v>11</v>
      </c>
      <c r="R372" s="51">
        <v>1</v>
      </c>
      <c r="S372" s="1">
        <v>1</v>
      </c>
      <c r="T372" s="1">
        <v>0</v>
      </c>
      <c r="U372" s="47">
        <v>0</v>
      </c>
      <c r="V372" s="47"/>
      <c r="W372" s="41">
        <v>195</v>
      </c>
      <c r="X372">
        <v>487</v>
      </c>
      <c r="Y372">
        <v>0.98250000000000004</v>
      </c>
      <c r="Z372">
        <v>2077.58</v>
      </c>
      <c r="AA372">
        <v>1592.59</v>
      </c>
      <c r="AB372">
        <v>145.6</v>
      </c>
      <c r="AC372">
        <v>36</v>
      </c>
      <c r="AD372" s="41">
        <f t="shared" si="56"/>
        <v>0.41394314539030991</v>
      </c>
      <c r="AE372" s="41">
        <f t="shared" si="57"/>
        <v>0.54000087907119854</v>
      </c>
      <c r="AF372">
        <f t="shared" si="58"/>
        <v>1.268709691780822</v>
      </c>
      <c r="AG372">
        <f t="shared" si="59"/>
        <v>0.15772971010273965</v>
      </c>
      <c r="AH372">
        <f t="shared" si="60"/>
        <v>1.456</v>
      </c>
      <c r="AI372">
        <f>HLOOKUP(HLOOKUP(G372,'THP2'!$B$4:$J$8,5,FALSE),'Fuel &amp; Resister'!$B$3:$G$6,4,FALSE)</f>
        <v>2.7360666666666664</v>
      </c>
      <c r="AJ372" s="41">
        <f>HLOOKUP(HLOOKUP(G372,'THP2'!$B$4:$J$8,5,FALSE),'Fuel &amp; Resister'!$B$3:$G$6,3,FALSE)</f>
        <v>13.019</v>
      </c>
      <c r="AO372" s="1">
        <v>1</v>
      </c>
      <c r="AP372" s="62">
        <v>0</v>
      </c>
    </row>
    <row r="373" spans="2:42" x14ac:dyDescent="0.15">
      <c r="B373" s="43" t="s">
        <v>601</v>
      </c>
      <c r="C373" s="61">
        <f>VLOOKUP(B373,[1]SYS!$F$5:$G$359,2,FALSE)</f>
        <v>220</v>
      </c>
      <c r="D373" s="1" t="s">
        <v>50</v>
      </c>
      <c r="E373" s="65" t="s">
        <v>540</v>
      </c>
      <c r="F373" s="63" t="s">
        <v>546</v>
      </c>
      <c r="G373" s="1">
        <v>3</v>
      </c>
      <c r="H373" s="1">
        <f t="shared" si="52"/>
        <v>0.40041067761806981</v>
      </c>
      <c r="I373" s="1">
        <f t="shared" si="53"/>
        <v>0.48699999999999999</v>
      </c>
      <c r="J373" s="1">
        <f t="shared" si="51"/>
        <v>1.749999999999996E-2</v>
      </c>
      <c r="K373" s="1">
        <f t="shared" si="54"/>
        <v>2.0775799999999998</v>
      </c>
      <c r="L373" s="1">
        <f t="shared" si="55"/>
        <v>1.59259</v>
      </c>
      <c r="M373" s="49">
        <f t="shared" si="62"/>
        <v>1.4278615534469248</v>
      </c>
      <c r="N373" s="49">
        <v>0.10890000000000001</v>
      </c>
      <c r="O373" s="1">
        <v>204</v>
      </c>
      <c r="P373" s="51">
        <v>0.05</v>
      </c>
      <c r="Q373" s="51">
        <v>11</v>
      </c>
      <c r="R373" s="51">
        <v>1</v>
      </c>
      <c r="S373" s="1">
        <v>1</v>
      </c>
      <c r="T373" s="1">
        <v>0</v>
      </c>
      <c r="U373" s="47">
        <v>0</v>
      </c>
      <c r="V373" s="47"/>
      <c r="W373" s="41">
        <v>195</v>
      </c>
      <c r="X373">
        <v>487</v>
      </c>
      <c r="Y373">
        <v>0.98250000000000004</v>
      </c>
      <c r="Z373">
        <v>2077.58</v>
      </c>
      <c r="AA373">
        <v>1592.59</v>
      </c>
      <c r="AB373">
        <v>145.6</v>
      </c>
      <c r="AC373">
        <v>36</v>
      </c>
      <c r="AD373" s="41">
        <f t="shared" si="56"/>
        <v>0.41394314539030991</v>
      </c>
      <c r="AE373" s="41">
        <f t="shared" si="57"/>
        <v>0.54000087907119854</v>
      </c>
      <c r="AF373">
        <f t="shared" si="58"/>
        <v>1.268709691780822</v>
      </c>
      <c r="AG373">
        <f t="shared" si="59"/>
        <v>0.15772971010273965</v>
      </c>
      <c r="AH373">
        <f t="shared" si="60"/>
        <v>1.456</v>
      </c>
      <c r="AI373">
        <f>HLOOKUP(HLOOKUP(G373,'THP2'!$B$4:$J$8,5,FALSE),'Fuel &amp; Resister'!$B$3:$G$6,4,FALSE)</f>
        <v>2.7360666666666664</v>
      </c>
      <c r="AJ373" s="41">
        <f>HLOOKUP(HLOOKUP(G373,'THP2'!$B$4:$J$8,5,FALSE),'Fuel &amp; Resister'!$B$3:$G$6,3,FALSE)</f>
        <v>13.019</v>
      </c>
      <c r="AO373" s="1">
        <v>1</v>
      </c>
      <c r="AP373" s="62">
        <v>0</v>
      </c>
    </row>
    <row r="374" spans="2:42" x14ac:dyDescent="0.15">
      <c r="B374" s="43" t="s">
        <v>601</v>
      </c>
      <c r="C374" s="61">
        <f>VLOOKUP(B374,[1]SYS!$F$5:$G$359,2,FALSE)</f>
        <v>220</v>
      </c>
      <c r="D374" s="1" t="s">
        <v>50</v>
      </c>
      <c r="E374" s="65" t="s">
        <v>540</v>
      </c>
      <c r="F374" s="63" t="s">
        <v>546</v>
      </c>
      <c r="G374" s="1">
        <v>3</v>
      </c>
      <c r="H374" s="1">
        <f t="shared" si="52"/>
        <v>0.40041067761806981</v>
      </c>
      <c r="I374" s="1">
        <f t="shared" si="53"/>
        <v>0.48699999999999999</v>
      </c>
      <c r="J374" s="1">
        <f t="shared" si="51"/>
        <v>1.749999999999996E-2</v>
      </c>
      <c r="K374" s="1">
        <f t="shared" si="54"/>
        <v>2.0775799999999998</v>
      </c>
      <c r="L374" s="1">
        <f t="shared" si="55"/>
        <v>1.59259</v>
      </c>
      <c r="M374" s="49">
        <f t="shared" si="62"/>
        <v>1.4278615534469248</v>
      </c>
      <c r="N374" s="49">
        <v>0.10890000000000001</v>
      </c>
      <c r="O374" s="1">
        <v>1004</v>
      </c>
      <c r="P374" s="51">
        <v>0.05</v>
      </c>
      <c r="Q374" s="51">
        <v>11</v>
      </c>
      <c r="R374" s="51">
        <v>1</v>
      </c>
      <c r="S374" s="1">
        <v>1</v>
      </c>
      <c r="T374" s="1">
        <v>0</v>
      </c>
      <c r="U374" s="47">
        <v>0</v>
      </c>
      <c r="V374" s="47"/>
      <c r="W374" s="41">
        <v>195</v>
      </c>
      <c r="X374">
        <v>487</v>
      </c>
      <c r="Y374">
        <v>0.98250000000000004</v>
      </c>
      <c r="Z374">
        <v>2077.58</v>
      </c>
      <c r="AA374">
        <v>1592.59</v>
      </c>
      <c r="AB374">
        <v>145.6</v>
      </c>
      <c r="AC374">
        <v>36</v>
      </c>
      <c r="AD374" s="41">
        <f t="shared" si="56"/>
        <v>0.41394314539030991</v>
      </c>
      <c r="AE374" s="41">
        <f t="shared" si="57"/>
        <v>0.54000087907119854</v>
      </c>
      <c r="AF374">
        <f t="shared" si="58"/>
        <v>1.268709691780822</v>
      </c>
      <c r="AG374">
        <f t="shared" si="59"/>
        <v>0.15772971010273965</v>
      </c>
      <c r="AH374">
        <f t="shared" si="60"/>
        <v>1.456</v>
      </c>
      <c r="AI374">
        <f>HLOOKUP(HLOOKUP(G374,'THP2'!$B$4:$J$8,5,FALSE),'Fuel &amp; Resister'!$B$3:$G$6,4,FALSE)</f>
        <v>2.7360666666666664</v>
      </c>
      <c r="AJ374" s="41">
        <f>HLOOKUP(HLOOKUP(G374,'THP2'!$B$4:$J$8,5,FALSE),'Fuel &amp; Resister'!$B$3:$G$6,3,FALSE)</f>
        <v>13.019</v>
      </c>
      <c r="AO374" s="1">
        <v>1</v>
      </c>
      <c r="AP374" s="62">
        <v>0</v>
      </c>
    </row>
    <row r="375" spans="2:42" x14ac:dyDescent="0.15">
      <c r="B375" s="43" t="s">
        <v>604</v>
      </c>
      <c r="C375" s="61">
        <f>VLOOKUP(B375,[1]SYS!$F$5:$G$359,2,FALSE)</f>
        <v>226</v>
      </c>
      <c r="D375" s="1" t="s">
        <v>50</v>
      </c>
      <c r="E375" s="65" t="s">
        <v>540</v>
      </c>
      <c r="F375" s="63" t="s">
        <v>546</v>
      </c>
      <c r="G375" s="1">
        <v>3</v>
      </c>
      <c r="H375" s="1">
        <f t="shared" si="52"/>
        <v>0.40041067761806981</v>
      </c>
      <c r="I375" s="1">
        <f t="shared" si="53"/>
        <v>0.48699999999999999</v>
      </c>
      <c r="J375" s="1">
        <f t="shared" si="51"/>
        <v>1.749999999999996E-2</v>
      </c>
      <c r="K375" s="1">
        <f t="shared" si="54"/>
        <v>2.0775799999999998</v>
      </c>
      <c r="L375" s="1">
        <f t="shared" si="55"/>
        <v>1.59259</v>
      </c>
      <c r="M375" s="49">
        <f t="shared" si="62"/>
        <v>1.4278615534469248</v>
      </c>
      <c r="N375" s="49">
        <v>0.10890000000000001</v>
      </c>
      <c r="O375" s="1">
        <v>1109</v>
      </c>
      <c r="P375" s="51">
        <v>0.05</v>
      </c>
      <c r="Q375" s="51">
        <v>11</v>
      </c>
      <c r="R375" s="51">
        <v>1</v>
      </c>
      <c r="S375" s="1">
        <v>1</v>
      </c>
      <c r="T375" s="1">
        <v>0</v>
      </c>
      <c r="U375" s="47">
        <v>0</v>
      </c>
      <c r="V375" s="47"/>
      <c r="W375" s="41">
        <v>195</v>
      </c>
      <c r="X375">
        <v>487</v>
      </c>
      <c r="Y375">
        <v>0.98250000000000004</v>
      </c>
      <c r="Z375">
        <v>2077.58</v>
      </c>
      <c r="AA375">
        <v>1592.59</v>
      </c>
      <c r="AB375">
        <v>145.6</v>
      </c>
      <c r="AC375">
        <v>36</v>
      </c>
      <c r="AD375" s="41">
        <f t="shared" si="56"/>
        <v>0.41394314539030991</v>
      </c>
      <c r="AE375" s="41">
        <f t="shared" si="57"/>
        <v>0.54000087907119854</v>
      </c>
      <c r="AF375">
        <f t="shared" si="58"/>
        <v>1.268709691780822</v>
      </c>
      <c r="AG375">
        <f t="shared" si="59"/>
        <v>0.15772971010273965</v>
      </c>
      <c r="AH375">
        <f t="shared" si="60"/>
        <v>1.456</v>
      </c>
      <c r="AI375">
        <f>HLOOKUP(HLOOKUP(G375,'THP2'!$B$4:$J$8,5,FALSE),'Fuel &amp; Resister'!$B$3:$G$6,4,FALSE)</f>
        <v>2.7360666666666664</v>
      </c>
      <c r="AJ375" s="41">
        <f>HLOOKUP(HLOOKUP(G375,'THP2'!$B$4:$J$8,5,FALSE),'Fuel &amp; Resister'!$B$3:$G$6,3,FALSE)</f>
        <v>13.019</v>
      </c>
      <c r="AO375" s="1">
        <v>1</v>
      </c>
      <c r="AP375" s="62">
        <v>0</v>
      </c>
    </row>
    <row r="376" spans="2:42" x14ac:dyDescent="0.15">
      <c r="B376" s="43" t="s">
        <v>604</v>
      </c>
      <c r="C376" s="61">
        <f>VLOOKUP(B376,[1]SYS!$F$5:$G$359,2,FALSE)</f>
        <v>226</v>
      </c>
      <c r="D376" s="1" t="s">
        <v>50</v>
      </c>
      <c r="E376" s="65" t="s">
        <v>540</v>
      </c>
      <c r="F376" s="63" t="s">
        <v>546</v>
      </c>
      <c r="G376" s="1">
        <v>3</v>
      </c>
      <c r="H376" s="1">
        <f t="shared" si="52"/>
        <v>0.40041067761806981</v>
      </c>
      <c r="I376" s="1">
        <f t="shared" si="53"/>
        <v>0.48699999999999999</v>
      </c>
      <c r="J376" s="1">
        <f t="shared" si="51"/>
        <v>1.749999999999996E-2</v>
      </c>
      <c r="K376" s="1">
        <f t="shared" si="54"/>
        <v>2.0775799999999998</v>
      </c>
      <c r="L376" s="1">
        <f t="shared" si="55"/>
        <v>1.59259</v>
      </c>
      <c r="M376" s="49">
        <f t="shared" si="62"/>
        <v>1.4278615534469248</v>
      </c>
      <c r="N376" s="49">
        <v>0.10890000000000001</v>
      </c>
      <c r="O376" s="1">
        <v>401</v>
      </c>
      <c r="P376" s="51">
        <v>0.05</v>
      </c>
      <c r="Q376" s="51">
        <v>11</v>
      </c>
      <c r="R376" s="51">
        <v>1</v>
      </c>
      <c r="S376" s="1">
        <v>1</v>
      </c>
      <c r="T376" s="1">
        <v>0</v>
      </c>
      <c r="U376" s="47">
        <v>0</v>
      </c>
      <c r="V376" s="47"/>
      <c r="W376" s="41">
        <v>195</v>
      </c>
      <c r="X376">
        <v>487</v>
      </c>
      <c r="Y376">
        <v>0.98250000000000004</v>
      </c>
      <c r="Z376">
        <v>2077.58</v>
      </c>
      <c r="AA376">
        <v>1592.59</v>
      </c>
      <c r="AB376">
        <v>145.6</v>
      </c>
      <c r="AC376">
        <v>36</v>
      </c>
      <c r="AD376" s="41">
        <f t="shared" si="56"/>
        <v>0.41394314539030991</v>
      </c>
      <c r="AE376" s="41">
        <f t="shared" si="57"/>
        <v>0.54000087907119854</v>
      </c>
      <c r="AF376">
        <f t="shared" si="58"/>
        <v>1.268709691780822</v>
      </c>
      <c r="AG376">
        <f t="shared" si="59"/>
        <v>0.15772971010273965</v>
      </c>
      <c r="AH376">
        <f t="shared" si="60"/>
        <v>1.456</v>
      </c>
      <c r="AI376">
        <f>HLOOKUP(HLOOKUP(G376,'THP2'!$B$4:$J$8,5,FALSE),'Fuel &amp; Resister'!$B$3:$G$6,4,FALSE)</f>
        <v>2.7360666666666664</v>
      </c>
      <c r="AJ376" s="41">
        <f>HLOOKUP(HLOOKUP(G376,'THP2'!$B$4:$J$8,5,FALSE),'Fuel &amp; Resister'!$B$3:$G$6,3,FALSE)</f>
        <v>13.019</v>
      </c>
      <c r="AO376" s="1">
        <v>1</v>
      </c>
      <c r="AP376" s="62">
        <v>0</v>
      </c>
    </row>
    <row r="377" spans="2:42" x14ac:dyDescent="0.15">
      <c r="B377" s="43" t="s">
        <v>604</v>
      </c>
      <c r="C377" s="61">
        <f>VLOOKUP(B377,[1]SYS!$F$5:$G$359,2,FALSE)</f>
        <v>226</v>
      </c>
      <c r="D377" s="1" t="s">
        <v>50</v>
      </c>
      <c r="E377" s="65" t="s">
        <v>540</v>
      </c>
      <c r="F377" s="63" t="s">
        <v>546</v>
      </c>
      <c r="G377" s="1">
        <v>3</v>
      </c>
      <c r="H377" s="1">
        <f t="shared" si="52"/>
        <v>0.40041067761806981</v>
      </c>
      <c r="I377" s="1">
        <f t="shared" si="53"/>
        <v>0.48699999999999999</v>
      </c>
      <c r="J377" s="1">
        <f t="shared" si="51"/>
        <v>1.749999999999996E-2</v>
      </c>
      <c r="K377" s="1">
        <f t="shared" si="54"/>
        <v>2.0775799999999998</v>
      </c>
      <c r="L377" s="1">
        <f t="shared" si="55"/>
        <v>1.59259</v>
      </c>
      <c r="M377" s="49">
        <f t="shared" si="62"/>
        <v>1.4278615534469248</v>
      </c>
      <c r="N377" s="49">
        <v>0.10890000000000001</v>
      </c>
      <c r="O377" s="1">
        <v>507</v>
      </c>
      <c r="P377" s="51">
        <v>0.05</v>
      </c>
      <c r="Q377" s="51">
        <v>11</v>
      </c>
      <c r="R377" s="51">
        <v>1</v>
      </c>
      <c r="S377" s="1">
        <v>1</v>
      </c>
      <c r="T377" s="1">
        <v>0</v>
      </c>
      <c r="U377" s="47">
        <v>0</v>
      </c>
      <c r="V377" s="47"/>
      <c r="W377" s="41">
        <v>195</v>
      </c>
      <c r="X377">
        <v>487</v>
      </c>
      <c r="Y377">
        <v>0.98250000000000004</v>
      </c>
      <c r="Z377">
        <v>2077.58</v>
      </c>
      <c r="AA377">
        <v>1592.59</v>
      </c>
      <c r="AB377">
        <v>145.6</v>
      </c>
      <c r="AC377">
        <v>36</v>
      </c>
      <c r="AD377" s="41">
        <f t="shared" si="56"/>
        <v>0.41394314539030991</v>
      </c>
      <c r="AE377" s="41">
        <f t="shared" si="57"/>
        <v>0.54000087907119854</v>
      </c>
      <c r="AF377">
        <f t="shared" si="58"/>
        <v>1.268709691780822</v>
      </c>
      <c r="AG377">
        <f t="shared" si="59"/>
        <v>0.15772971010273965</v>
      </c>
      <c r="AH377">
        <f t="shared" si="60"/>
        <v>1.456</v>
      </c>
      <c r="AI377">
        <f>HLOOKUP(HLOOKUP(G377,'THP2'!$B$4:$J$8,5,FALSE),'Fuel &amp; Resister'!$B$3:$G$6,4,FALSE)</f>
        <v>2.7360666666666664</v>
      </c>
      <c r="AJ377" s="41">
        <f>HLOOKUP(HLOOKUP(G377,'THP2'!$B$4:$J$8,5,FALSE),'Fuel &amp; Resister'!$B$3:$G$6,3,FALSE)</f>
        <v>13.019</v>
      </c>
      <c r="AO377" s="1">
        <v>1</v>
      </c>
      <c r="AP377" s="62">
        <v>0</v>
      </c>
    </row>
    <row r="378" spans="2:42" x14ac:dyDescent="0.15">
      <c r="B378" s="43" t="s">
        <v>637</v>
      </c>
      <c r="C378" s="61">
        <f>VLOOKUP(B378,[1]SYS!$F$5:$G$359,2,FALSE)</f>
        <v>258</v>
      </c>
      <c r="D378" s="1" t="s">
        <v>50</v>
      </c>
      <c r="E378" s="65" t="s">
        <v>274</v>
      </c>
      <c r="F378" s="63" t="s">
        <v>495</v>
      </c>
      <c r="G378" s="1">
        <v>3</v>
      </c>
      <c r="H378" s="1">
        <f t="shared" si="52"/>
        <v>0.48442906574394462</v>
      </c>
      <c r="I378" s="1">
        <f t="shared" si="53"/>
        <v>0.28899999999999998</v>
      </c>
      <c r="J378" s="1">
        <f t="shared" si="51"/>
        <v>2.0000000000000018E-2</v>
      </c>
      <c r="K378" s="1">
        <f t="shared" si="54"/>
        <v>1.7941500000000001</v>
      </c>
      <c r="L378" s="1">
        <f t="shared" si="55"/>
        <v>1.6764100000000002</v>
      </c>
      <c r="M378" s="49">
        <f t="shared" si="62"/>
        <v>0.89193096161767882</v>
      </c>
      <c r="N378" s="49">
        <v>1.2421</v>
      </c>
      <c r="O378" s="1">
        <v>125</v>
      </c>
      <c r="P378" s="51">
        <v>0.05</v>
      </c>
      <c r="Q378" s="51">
        <v>11</v>
      </c>
      <c r="R378" s="51">
        <v>1</v>
      </c>
      <c r="S378" s="1">
        <v>1</v>
      </c>
      <c r="T378" s="1">
        <v>0</v>
      </c>
      <c r="U378" s="47">
        <v>1</v>
      </c>
      <c r="V378" s="47">
        <v>297</v>
      </c>
      <c r="W378" s="41">
        <v>140</v>
      </c>
      <c r="X378">
        <v>289</v>
      </c>
      <c r="Y378">
        <v>0.98</v>
      </c>
      <c r="Z378">
        <v>1794.15</v>
      </c>
      <c r="AA378">
        <v>1676.41</v>
      </c>
      <c r="AB378">
        <v>124.21</v>
      </c>
      <c r="AC378">
        <v>36</v>
      </c>
      <c r="AD378" s="41">
        <f t="shared" si="56"/>
        <v>0.47933561853802636</v>
      </c>
      <c r="AE378" s="41">
        <f t="shared" si="57"/>
        <v>0.51300099617635297</v>
      </c>
      <c r="AF378">
        <f t="shared" si="58"/>
        <v>1.5657818120805371</v>
      </c>
      <c r="AG378">
        <f t="shared" si="59"/>
        <v>3.197154630872482E-2</v>
      </c>
      <c r="AH378">
        <f t="shared" si="60"/>
        <v>1.2421</v>
      </c>
      <c r="AI378">
        <f>HLOOKUP(HLOOKUP(G378,'THP2'!$B$4:$J$8,5,FALSE),'Fuel &amp; Resister'!$B$3:$G$6,4,FALSE)</f>
        <v>2.7360666666666664</v>
      </c>
      <c r="AJ378" s="41">
        <f>HLOOKUP(HLOOKUP(G378,'THP2'!$B$4:$J$8,5,FALSE),'Fuel &amp; Resister'!$B$3:$G$6,3,FALSE)</f>
        <v>13.019</v>
      </c>
      <c r="AO378" s="1">
        <v>1</v>
      </c>
      <c r="AP378" s="1">
        <v>1</v>
      </c>
    </row>
    <row r="379" spans="2:42" x14ac:dyDescent="0.15">
      <c r="B379" s="43" t="s">
        <v>638</v>
      </c>
      <c r="C379" s="61">
        <f>VLOOKUP(B379,[1]SYS!$F$5:$G$359,2,FALSE)</f>
        <v>272</v>
      </c>
      <c r="D379" s="1" t="s">
        <v>50</v>
      </c>
      <c r="E379" s="65" t="s">
        <v>275</v>
      </c>
      <c r="F379" s="63" t="s">
        <v>495</v>
      </c>
      <c r="G379" s="1">
        <v>3</v>
      </c>
      <c r="H379" s="1">
        <f t="shared" si="52"/>
        <v>0.30405405405405406</v>
      </c>
      <c r="I379" s="1">
        <f t="shared" si="53"/>
        <v>0.29599999999999999</v>
      </c>
      <c r="J379" s="1">
        <f t="shared" si="51"/>
        <v>2.0000000000000018E-2</v>
      </c>
      <c r="K379" s="1">
        <f t="shared" si="54"/>
        <v>2.0613000000000001</v>
      </c>
      <c r="L379" s="1">
        <f t="shared" si="55"/>
        <v>1.7199</v>
      </c>
      <c r="M379" s="49">
        <f t="shared" si="62"/>
        <v>0.93723405777230195</v>
      </c>
      <c r="N379" s="49">
        <v>1.2497</v>
      </c>
      <c r="O379" s="6">
        <v>314</v>
      </c>
      <c r="P379" s="51">
        <v>0.05</v>
      </c>
      <c r="Q379" s="51">
        <v>11</v>
      </c>
      <c r="R379" s="51">
        <v>1</v>
      </c>
      <c r="S379" s="1">
        <v>1</v>
      </c>
      <c r="T379" s="1">
        <v>0</v>
      </c>
      <c r="U379" s="47">
        <v>1</v>
      </c>
      <c r="V379" s="47">
        <v>298</v>
      </c>
      <c r="W379" s="41">
        <v>90</v>
      </c>
      <c r="X379">
        <v>296</v>
      </c>
      <c r="Y379">
        <v>0.98</v>
      </c>
      <c r="Z379">
        <v>2061.3000000000002</v>
      </c>
      <c r="AA379">
        <v>1719.9</v>
      </c>
      <c r="AB379">
        <v>124.97</v>
      </c>
      <c r="AC379">
        <v>36</v>
      </c>
      <c r="AD379" s="41">
        <f t="shared" si="56"/>
        <v>0.41721243875224373</v>
      </c>
      <c r="AE379" s="41">
        <f t="shared" si="57"/>
        <v>0.50002907145764286</v>
      </c>
      <c r="AF379">
        <f t="shared" si="58"/>
        <v>1.5707446601941748</v>
      </c>
      <c r="AG379">
        <f t="shared" si="59"/>
        <v>4.4149980582524249E-2</v>
      </c>
      <c r="AH379">
        <f t="shared" si="60"/>
        <v>1.2497</v>
      </c>
      <c r="AI379">
        <f>HLOOKUP(HLOOKUP(G379,'THP2'!$B$4:$J$8,5,FALSE),'Fuel &amp; Resister'!$B$3:$G$6,4,FALSE)</f>
        <v>2.7360666666666664</v>
      </c>
      <c r="AJ379" s="41">
        <f>HLOOKUP(HLOOKUP(G379,'THP2'!$B$4:$J$8,5,FALSE),'Fuel &amp; Resister'!$B$3:$G$6,3,FALSE)</f>
        <v>13.019</v>
      </c>
      <c r="AO379" s="1">
        <v>1</v>
      </c>
      <c r="AP379" s="1">
        <v>1</v>
      </c>
    </row>
    <row r="380" spans="2:42" x14ac:dyDescent="0.15">
      <c r="B380" s="43" t="s">
        <v>639</v>
      </c>
      <c r="C380" s="61">
        <f>VLOOKUP(B380,[1]SYS!$F$5:$G$359,2,FALSE)</f>
        <v>256</v>
      </c>
      <c r="D380" s="1" t="s">
        <v>50</v>
      </c>
      <c r="E380" s="65" t="s">
        <v>276</v>
      </c>
      <c r="F380" s="63" t="s">
        <v>526</v>
      </c>
      <c r="G380" s="1">
        <v>3</v>
      </c>
      <c r="H380" s="1">
        <f t="shared" si="52"/>
        <v>0.4</v>
      </c>
      <c r="I380" s="1">
        <f t="shared" si="53"/>
        <v>0.15</v>
      </c>
      <c r="J380" s="1">
        <f t="shared" si="51"/>
        <v>2.0000000000000018E-2</v>
      </c>
      <c r="K380" s="1">
        <f t="shared" si="54"/>
        <v>2.49309</v>
      </c>
      <c r="L380" s="1">
        <f t="shared" si="55"/>
        <v>1.9111099999999999</v>
      </c>
      <c r="M380" s="49">
        <f t="shared" si="62"/>
        <v>0.52775225583193786</v>
      </c>
      <c r="N380" s="49">
        <v>0.495</v>
      </c>
      <c r="O380" s="1">
        <v>613</v>
      </c>
      <c r="P380" s="51">
        <v>0.05</v>
      </c>
      <c r="Q380" s="51">
        <v>11</v>
      </c>
      <c r="R380" s="51">
        <v>1</v>
      </c>
      <c r="S380" s="1">
        <v>1</v>
      </c>
      <c r="T380" s="1">
        <v>0</v>
      </c>
      <c r="U380" s="47">
        <v>1</v>
      </c>
      <c r="V380" s="47">
        <v>299</v>
      </c>
      <c r="W380" s="41">
        <v>60</v>
      </c>
      <c r="X380">
        <v>150</v>
      </c>
      <c r="Y380">
        <v>0.98</v>
      </c>
      <c r="Z380">
        <v>2493.09</v>
      </c>
      <c r="AA380">
        <v>1911.11</v>
      </c>
      <c r="AB380">
        <v>49.5</v>
      </c>
      <c r="AC380">
        <v>36</v>
      </c>
      <c r="AD380" s="41">
        <f t="shared" si="56"/>
        <v>0.34495345133950234</v>
      </c>
      <c r="AE380" s="41">
        <f t="shared" si="57"/>
        <v>0.45000026162805912</v>
      </c>
      <c r="AF380">
        <f t="shared" si="58"/>
        <v>1.5231233333333332</v>
      </c>
      <c r="AG380">
        <f t="shared" si="59"/>
        <v>5.8198E-2</v>
      </c>
      <c r="AH380">
        <f t="shared" si="60"/>
        <v>0.495</v>
      </c>
      <c r="AI380">
        <f>HLOOKUP(HLOOKUP(G380,'THP2'!$B$4:$J$8,5,FALSE),'Fuel &amp; Resister'!$B$3:$G$6,4,FALSE)</f>
        <v>2.7360666666666664</v>
      </c>
      <c r="AJ380" s="41">
        <f>HLOOKUP(HLOOKUP(G380,'THP2'!$B$4:$J$8,5,FALSE),'Fuel &amp; Resister'!$B$3:$G$6,3,FALSE)</f>
        <v>13.019</v>
      </c>
      <c r="AO380" s="1">
        <v>1</v>
      </c>
      <c r="AP380" s="1">
        <v>1</v>
      </c>
    </row>
    <row r="381" spans="2:42" x14ac:dyDescent="0.15">
      <c r="B381" s="43" t="s">
        <v>606</v>
      </c>
      <c r="C381" s="61">
        <f>VLOOKUP(B381,[1]SYS!$F$5:$G$359,2,FALSE)</f>
        <v>260</v>
      </c>
      <c r="D381" s="1" t="s">
        <v>50</v>
      </c>
      <c r="E381" s="65" t="s">
        <v>538</v>
      </c>
      <c r="F381" s="63" t="s">
        <v>548</v>
      </c>
      <c r="G381" s="1">
        <v>3</v>
      </c>
      <c r="H381" s="1">
        <f t="shared" si="52"/>
        <v>0.48442906574394462</v>
      </c>
      <c r="I381" s="1">
        <f t="shared" si="53"/>
        <v>0.28899999999999998</v>
      </c>
      <c r="J381" s="1">
        <f t="shared" si="51"/>
        <v>2.0000000000000018E-2</v>
      </c>
      <c r="K381" s="1">
        <f t="shared" si="54"/>
        <v>1.7941500000000001</v>
      </c>
      <c r="L381" s="1">
        <f t="shared" si="55"/>
        <v>1.6764100000000002</v>
      </c>
      <c r="M381" s="49">
        <f t="shared" si="62"/>
        <v>0.89193096161767882</v>
      </c>
      <c r="N381" s="49">
        <f>AB381/100</f>
        <v>1.2421</v>
      </c>
      <c r="O381" s="1">
        <v>413</v>
      </c>
      <c r="P381" s="51">
        <v>0.05</v>
      </c>
      <c r="Q381" s="51">
        <v>11</v>
      </c>
      <c r="R381" s="51">
        <v>1</v>
      </c>
      <c r="S381" s="1">
        <v>1</v>
      </c>
      <c r="T381" s="1">
        <v>0</v>
      </c>
      <c r="U381" s="47">
        <v>0</v>
      </c>
      <c r="V381" s="47"/>
      <c r="W381">
        <v>140</v>
      </c>
      <c r="X381">
        <v>289</v>
      </c>
      <c r="Y381">
        <v>0.98</v>
      </c>
      <c r="Z381">
        <v>1794.15</v>
      </c>
      <c r="AA381" s="41">
        <v>1676.41</v>
      </c>
      <c r="AB381" s="41">
        <v>124.21</v>
      </c>
      <c r="AC381">
        <v>36</v>
      </c>
      <c r="AD381" s="41">
        <f t="shared" si="56"/>
        <v>0.47933561853802636</v>
      </c>
      <c r="AE381" s="41">
        <f t="shared" si="57"/>
        <v>0.51300099617635297</v>
      </c>
      <c r="AF381">
        <f t="shared" si="58"/>
        <v>1.5657818120805371</v>
      </c>
      <c r="AG381">
        <f t="shared" si="59"/>
        <v>3.197154630872482E-2</v>
      </c>
      <c r="AH381">
        <f t="shared" si="60"/>
        <v>1.2421</v>
      </c>
      <c r="AI381">
        <f>HLOOKUP(HLOOKUP(G381,'THP2'!$B$4:$J$8,5,FALSE),'Fuel &amp; Resister'!$B$3:$G$6,4,FALSE)</f>
        <v>2.7360666666666664</v>
      </c>
      <c r="AJ381" s="41">
        <f>HLOOKUP(HLOOKUP(G381,'THP2'!$B$4:$J$8,5,FALSE),'Fuel &amp; Resister'!$B$3:$G$6,3,FALSE)</f>
        <v>13.019</v>
      </c>
      <c r="AO381" s="1">
        <v>1</v>
      </c>
      <c r="AP381" s="62">
        <v>0</v>
      </c>
    </row>
    <row r="382" spans="2:42" x14ac:dyDescent="0.15">
      <c r="B382" s="43" t="s">
        <v>606</v>
      </c>
      <c r="C382" s="61">
        <f>VLOOKUP(B382,[1]SYS!$F$5:$G$359,2,FALSE)</f>
        <v>260</v>
      </c>
      <c r="D382" s="1" t="s">
        <v>50</v>
      </c>
      <c r="E382" s="65" t="s">
        <v>538</v>
      </c>
      <c r="F382" s="63" t="s">
        <v>548</v>
      </c>
      <c r="G382" s="1">
        <v>3</v>
      </c>
      <c r="H382" s="1">
        <f t="shared" si="52"/>
        <v>0.48442906574394462</v>
      </c>
      <c r="I382" s="1">
        <f t="shared" si="53"/>
        <v>0.28899999999999998</v>
      </c>
      <c r="J382" s="1">
        <f t="shared" si="51"/>
        <v>2.0000000000000018E-2</v>
      </c>
      <c r="K382" s="1">
        <f t="shared" si="54"/>
        <v>1.7941500000000001</v>
      </c>
      <c r="L382" s="1">
        <f t="shared" si="55"/>
        <v>1.6764100000000002</v>
      </c>
      <c r="M382" s="49">
        <f t="shared" si="62"/>
        <v>0.89193096161767882</v>
      </c>
      <c r="N382" s="49">
        <f t="shared" ref="N382:N387" si="63">AB382/100</f>
        <v>1.2421</v>
      </c>
      <c r="O382" s="1">
        <v>613</v>
      </c>
      <c r="P382" s="51">
        <v>0.05</v>
      </c>
      <c r="Q382" s="51">
        <v>11</v>
      </c>
      <c r="R382" s="51">
        <v>1</v>
      </c>
      <c r="S382" s="1">
        <v>1</v>
      </c>
      <c r="T382" s="1">
        <v>0</v>
      </c>
      <c r="U382" s="47">
        <v>0</v>
      </c>
      <c r="V382" s="47"/>
      <c r="W382">
        <v>140</v>
      </c>
      <c r="X382">
        <v>289</v>
      </c>
      <c r="Y382">
        <v>0.98</v>
      </c>
      <c r="Z382">
        <v>1794.15</v>
      </c>
      <c r="AA382" s="41">
        <v>1676.41</v>
      </c>
      <c r="AB382" s="41">
        <v>124.21</v>
      </c>
      <c r="AC382">
        <v>36</v>
      </c>
      <c r="AD382" s="41">
        <f t="shared" si="56"/>
        <v>0.47933561853802636</v>
      </c>
      <c r="AE382" s="41">
        <f t="shared" si="57"/>
        <v>0.51300099617635297</v>
      </c>
      <c r="AF382">
        <f t="shared" si="58"/>
        <v>1.5657818120805371</v>
      </c>
      <c r="AG382">
        <f t="shared" si="59"/>
        <v>3.197154630872482E-2</v>
      </c>
      <c r="AH382">
        <f t="shared" si="60"/>
        <v>1.2421</v>
      </c>
      <c r="AI382">
        <f>HLOOKUP(HLOOKUP(G382,'THP2'!$B$4:$J$8,5,FALSE),'Fuel &amp; Resister'!$B$3:$G$6,4,FALSE)</f>
        <v>2.7360666666666664</v>
      </c>
      <c r="AJ382" s="41">
        <f>HLOOKUP(HLOOKUP(G382,'THP2'!$B$4:$J$8,5,FALSE),'Fuel &amp; Resister'!$B$3:$G$6,3,FALSE)</f>
        <v>13.019</v>
      </c>
      <c r="AO382" s="1">
        <v>1</v>
      </c>
      <c r="AP382" s="62">
        <v>0</v>
      </c>
    </row>
    <row r="383" spans="2:42" x14ac:dyDescent="0.15">
      <c r="B383" s="43" t="s">
        <v>606</v>
      </c>
      <c r="C383" s="61">
        <f>VLOOKUP(B383,[1]SYS!$F$5:$G$359,2,FALSE)</f>
        <v>260</v>
      </c>
      <c r="D383" s="1" t="s">
        <v>50</v>
      </c>
      <c r="E383" s="65" t="s">
        <v>538</v>
      </c>
      <c r="F383" s="63" t="s">
        <v>548</v>
      </c>
      <c r="G383" s="1">
        <v>3</v>
      </c>
      <c r="H383" s="1">
        <f t="shared" si="52"/>
        <v>0.48442906574394462</v>
      </c>
      <c r="I383" s="1">
        <f t="shared" si="53"/>
        <v>0.28899999999999998</v>
      </c>
      <c r="J383" s="1">
        <f t="shared" si="51"/>
        <v>2.0000000000000018E-2</v>
      </c>
      <c r="K383" s="1">
        <f t="shared" si="54"/>
        <v>1.7941500000000001</v>
      </c>
      <c r="L383" s="1">
        <f t="shared" si="55"/>
        <v>1.6764100000000002</v>
      </c>
      <c r="M383" s="49">
        <f t="shared" si="62"/>
        <v>0.89193096161767882</v>
      </c>
      <c r="N383" s="49">
        <f t="shared" si="63"/>
        <v>1.2421</v>
      </c>
      <c r="O383" s="1">
        <v>1113</v>
      </c>
      <c r="P383" s="51">
        <v>0.05</v>
      </c>
      <c r="Q383" s="51">
        <v>11</v>
      </c>
      <c r="R383" s="51">
        <v>1</v>
      </c>
      <c r="S383" s="1">
        <v>1</v>
      </c>
      <c r="T383" s="1">
        <v>0</v>
      </c>
      <c r="U383" s="47">
        <v>0</v>
      </c>
      <c r="V383" s="47"/>
      <c r="W383">
        <v>140</v>
      </c>
      <c r="X383">
        <v>289</v>
      </c>
      <c r="Y383">
        <v>0.98</v>
      </c>
      <c r="Z383">
        <v>1794.15</v>
      </c>
      <c r="AA383" s="41">
        <v>1676.41</v>
      </c>
      <c r="AB383" s="41">
        <v>124.21</v>
      </c>
      <c r="AC383">
        <v>36</v>
      </c>
      <c r="AD383" s="41">
        <f t="shared" si="56"/>
        <v>0.47933561853802636</v>
      </c>
      <c r="AE383" s="41">
        <f t="shared" si="57"/>
        <v>0.51300099617635297</v>
      </c>
      <c r="AF383">
        <f t="shared" si="58"/>
        <v>1.5657818120805371</v>
      </c>
      <c r="AG383">
        <f t="shared" si="59"/>
        <v>3.197154630872482E-2</v>
      </c>
      <c r="AH383">
        <f t="shared" si="60"/>
        <v>1.2421</v>
      </c>
      <c r="AI383">
        <f>HLOOKUP(HLOOKUP(G383,'THP2'!$B$4:$J$8,5,FALSE),'Fuel &amp; Resister'!$B$3:$G$6,4,FALSE)</f>
        <v>2.7360666666666664</v>
      </c>
      <c r="AJ383" s="41">
        <f>HLOOKUP(HLOOKUP(G383,'THP2'!$B$4:$J$8,5,FALSE),'Fuel &amp; Resister'!$B$3:$G$6,3,FALSE)</f>
        <v>13.019</v>
      </c>
      <c r="AO383" s="1">
        <v>1</v>
      </c>
      <c r="AP383" s="62">
        <v>0</v>
      </c>
    </row>
    <row r="384" spans="2:42" x14ac:dyDescent="0.15">
      <c r="B384" s="43" t="s">
        <v>606</v>
      </c>
      <c r="C384" s="61">
        <f>VLOOKUP(B384,[1]SYS!$F$5:$G$359,2,FALSE)</f>
        <v>260</v>
      </c>
      <c r="D384" s="1" t="s">
        <v>50</v>
      </c>
      <c r="E384" s="65" t="s">
        <v>538</v>
      </c>
      <c r="F384" s="63" t="s">
        <v>548</v>
      </c>
      <c r="G384" s="1">
        <v>3</v>
      </c>
      <c r="H384" s="1">
        <f t="shared" si="52"/>
        <v>0.48442906574394462</v>
      </c>
      <c r="I384" s="1">
        <f t="shared" si="53"/>
        <v>0.28899999999999998</v>
      </c>
      <c r="J384" s="1">
        <f t="shared" si="51"/>
        <v>2.0000000000000018E-2</v>
      </c>
      <c r="K384" s="1">
        <f t="shared" si="54"/>
        <v>1.7941500000000001</v>
      </c>
      <c r="L384" s="1">
        <f t="shared" si="55"/>
        <v>1.6764100000000002</v>
      </c>
      <c r="M384" s="49">
        <f t="shared" si="62"/>
        <v>0.89193096161767882</v>
      </c>
      <c r="N384" s="49">
        <f t="shared" si="63"/>
        <v>1.2421</v>
      </c>
      <c r="O384" s="1">
        <v>403</v>
      </c>
      <c r="P384" s="51">
        <v>0.05</v>
      </c>
      <c r="Q384" s="51">
        <v>11</v>
      </c>
      <c r="R384" s="51">
        <v>1</v>
      </c>
      <c r="S384" s="1">
        <v>1</v>
      </c>
      <c r="T384" s="1">
        <v>0</v>
      </c>
      <c r="U384" s="47">
        <v>0</v>
      </c>
      <c r="V384" s="47"/>
      <c r="W384">
        <v>140</v>
      </c>
      <c r="X384">
        <v>289</v>
      </c>
      <c r="Y384">
        <v>0.98</v>
      </c>
      <c r="Z384">
        <v>1794.15</v>
      </c>
      <c r="AA384" s="41">
        <v>1676.41</v>
      </c>
      <c r="AB384" s="41">
        <v>124.21</v>
      </c>
      <c r="AC384">
        <v>36</v>
      </c>
      <c r="AD384" s="41">
        <f t="shared" si="56"/>
        <v>0.47933561853802636</v>
      </c>
      <c r="AE384" s="41">
        <f t="shared" si="57"/>
        <v>0.51300099617635297</v>
      </c>
      <c r="AF384">
        <f t="shared" si="58"/>
        <v>1.5657818120805371</v>
      </c>
      <c r="AG384">
        <f t="shared" si="59"/>
        <v>3.197154630872482E-2</v>
      </c>
      <c r="AH384">
        <f t="shared" si="60"/>
        <v>1.2421</v>
      </c>
      <c r="AI384">
        <f>HLOOKUP(HLOOKUP(G384,'THP2'!$B$4:$J$8,5,FALSE),'Fuel &amp; Resister'!$B$3:$G$6,4,FALSE)</f>
        <v>2.7360666666666664</v>
      </c>
      <c r="AJ384" s="41">
        <f>HLOOKUP(HLOOKUP(G384,'THP2'!$B$4:$J$8,5,FALSE),'Fuel &amp; Resister'!$B$3:$G$6,3,FALSE)</f>
        <v>13.019</v>
      </c>
      <c r="AO384" s="1">
        <v>1</v>
      </c>
      <c r="AP384" s="62">
        <v>0</v>
      </c>
    </row>
    <row r="385" spans="2:42" x14ac:dyDescent="0.15">
      <c r="B385" s="43" t="s">
        <v>606</v>
      </c>
      <c r="C385" s="61">
        <f>VLOOKUP(B385,[1]SYS!$F$5:$G$359,2,FALSE)</f>
        <v>260</v>
      </c>
      <c r="D385" s="1" t="s">
        <v>50</v>
      </c>
      <c r="E385" s="65" t="s">
        <v>538</v>
      </c>
      <c r="F385" s="63" t="s">
        <v>548</v>
      </c>
      <c r="G385" s="1">
        <v>3</v>
      </c>
      <c r="H385" s="1">
        <f t="shared" si="52"/>
        <v>0.48442906574394462</v>
      </c>
      <c r="I385" s="1">
        <f t="shared" si="53"/>
        <v>0.28899999999999998</v>
      </c>
      <c r="J385" s="1">
        <f t="shared" si="51"/>
        <v>2.0000000000000018E-2</v>
      </c>
      <c r="K385" s="1">
        <f t="shared" si="54"/>
        <v>1.7941500000000001</v>
      </c>
      <c r="L385" s="1">
        <f t="shared" si="55"/>
        <v>1.6764100000000002</v>
      </c>
      <c r="M385" s="49">
        <f t="shared" si="62"/>
        <v>0.89193096161767882</v>
      </c>
      <c r="N385" s="49">
        <f t="shared" si="63"/>
        <v>1.2421</v>
      </c>
      <c r="O385" s="1">
        <v>509</v>
      </c>
      <c r="P385" s="51">
        <v>0.05</v>
      </c>
      <c r="Q385" s="51">
        <v>11</v>
      </c>
      <c r="R385" s="51">
        <v>1</v>
      </c>
      <c r="S385" s="1">
        <v>1</v>
      </c>
      <c r="T385" s="1">
        <v>0</v>
      </c>
      <c r="U385" s="47">
        <v>0</v>
      </c>
      <c r="V385" s="47"/>
      <c r="W385">
        <v>140</v>
      </c>
      <c r="X385">
        <v>289</v>
      </c>
      <c r="Y385">
        <v>0.98</v>
      </c>
      <c r="Z385">
        <v>1794.15</v>
      </c>
      <c r="AA385" s="41">
        <v>1676.41</v>
      </c>
      <c r="AB385" s="41">
        <v>124.21</v>
      </c>
      <c r="AC385">
        <v>36</v>
      </c>
      <c r="AD385" s="41">
        <f t="shared" si="56"/>
        <v>0.47933561853802636</v>
      </c>
      <c r="AE385" s="41">
        <f t="shared" si="57"/>
        <v>0.51300099617635297</v>
      </c>
      <c r="AF385">
        <f t="shared" si="58"/>
        <v>1.5657818120805371</v>
      </c>
      <c r="AG385">
        <f t="shared" si="59"/>
        <v>3.197154630872482E-2</v>
      </c>
      <c r="AH385">
        <f t="shared" si="60"/>
        <v>1.2421</v>
      </c>
      <c r="AI385">
        <f>HLOOKUP(HLOOKUP(G385,'THP2'!$B$4:$J$8,5,FALSE),'Fuel &amp; Resister'!$B$3:$G$6,4,FALSE)</f>
        <v>2.7360666666666664</v>
      </c>
      <c r="AJ385" s="41">
        <f>HLOOKUP(HLOOKUP(G385,'THP2'!$B$4:$J$8,5,FALSE),'Fuel &amp; Resister'!$B$3:$G$6,3,FALSE)</f>
        <v>13.019</v>
      </c>
      <c r="AO385" s="1">
        <v>1</v>
      </c>
      <c r="AP385" s="62">
        <v>0</v>
      </c>
    </row>
    <row r="386" spans="2:42" x14ac:dyDescent="0.15">
      <c r="B386" s="43" t="s">
        <v>606</v>
      </c>
      <c r="C386" s="61">
        <f>VLOOKUP(B386,[1]SYS!$F$5:$G$359,2,FALSE)</f>
        <v>260</v>
      </c>
      <c r="D386" s="1" t="s">
        <v>50</v>
      </c>
      <c r="E386" s="65" t="s">
        <v>538</v>
      </c>
      <c r="F386" s="63" t="s">
        <v>548</v>
      </c>
      <c r="G386" s="1">
        <v>3</v>
      </c>
      <c r="H386" s="1">
        <f t="shared" si="52"/>
        <v>0.48442906574394462</v>
      </c>
      <c r="I386" s="1">
        <f t="shared" si="53"/>
        <v>0.28899999999999998</v>
      </c>
      <c r="J386" s="1">
        <f t="shared" si="51"/>
        <v>2.0000000000000018E-2</v>
      </c>
      <c r="K386" s="1">
        <f t="shared" si="54"/>
        <v>1.7941500000000001</v>
      </c>
      <c r="L386" s="1">
        <f t="shared" si="55"/>
        <v>1.6764100000000002</v>
      </c>
      <c r="M386" s="49">
        <f t="shared" si="62"/>
        <v>0.89193096161767882</v>
      </c>
      <c r="N386" s="49">
        <f t="shared" si="63"/>
        <v>1.2421</v>
      </c>
      <c r="O386" s="1">
        <v>827</v>
      </c>
      <c r="P386" s="51">
        <v>0.05</v>
      </c>
      <c r="Q386" s="51">
        <v>11</v>
      </c>
      <c r="R386" s="51">
        <v>1</v>
      </c>
      <c r="S386" s="1">
        <v>1</v>
      </c>
      <c r="T386" s="1">
        <v>0</v>
      </c>
      <c r="U386" s="47">
        <v>0</v>
      </c>
      <c r="V386" s="47"/>
      <c r="W386">
        <v>140</v>
      </c>
      <c r="X386">
        <v>289</v>
      </c>
      <c r="Y386">
        <v>0.98</v>
      </c>
      <c r="Z386">
        <v>1794.15</v>
      </c>
      <c r="AA386" s="41">
        <v>1676.41</v>
      </c>
      <c r="AB386" s="41">
        <v>124.21</v>
      </c>
      <c r="AC386">
        <v>36</v>
      </c>
      <c r="AD386" s="41">
        <f t="shared" si="56"/>
        <v>0.47933561853802636</v>
      </c>
      <c r="AE386" s="41">
        <f t="shared" si="57"/>
        <v>0.51300099617635297</v>
      </c>
      <c r="AF386">
        <f t="shared" si="58"/>
        <v>1.5657818120805371</v>
      </c>
      <c r="AG386">
        <f t="shared" si="59"/>
        <v>3.197154630872482E-2</v>
      </c>
      <c r="AH386">
        <f t="shared" si="60"/>
        <v>1.2421</v>
      </c>
      <c r="AI386">
        <f>HLOOKUP(HLOOKUP(G386,'THP2'!$B$4:$J$8,5,FALSE),'Fuel &amp; Resister'!$B$3:$G$6,4,FALSE)</f>
        <v>2.7360666666666664</v>
      </c>
      <c r="AJ386" s="41">
        <f>HLOOKUP(HLOOKUP(G386,'THP2'!$B$4:$J$8,5,FALSE),'Fuel &amp; Resister'!$B$3:$G$6,3,FALSE)</f>
        <v>13.019</v>
      </c>
      <c r="AO386" s="1">
        <v>1</v>
      </c>
      <c r="AP386" s="62">
        <v>0</v>
      </c>
    </row>
    <row r="387" spans="2:42" x14ac:dyDescent="0.15">
      <c r="B387" s="43" t="s">
        <v>606</v>
      </c>
      <c r="C387" s="61">
        <f>VLOOKUP(B387,[1]SYS!$F$5:$G$359,2,FALSE)</f>
        <v>260</v>
      </c>
      <c r="D387" s="1" t="s">
        <v>50</v>
      </c>
      <c r="E387" s="65" t="s">
        <v>538</v>
      </c>
      <c r="F387" s="63" t="s">
        <v>548</v>
      </c>
      <c r="G387" s="1">
        <v>3</v>
      </c>
      <c r="H387" s="1">
        <f t="shared" si="52"/>
        <v>0.48442906574394462</v>
      </c>
      <c r="I387" s="1">
        <f t="shared" si="53"/>
        <v>0.28899999999999998</v>
      </c>
      <c r="J387" s="1">
        <f t="shared" si="51"/>
        <v>2.0000000000000018E-2</v>
      </c>
      <c r="K387" s="1">
        <f t="shared" si="54"/>
        <v>1.7941500000000001</v>
      </c>
      <c r="L387" s="1">
        <f t="shared" si="55"/>
        <v>1.6764100000000002</v>
      </c>
      <c r="M387" s="49">
        <f t="shared" ref="M387:M450" si="64">(I387*10^6*L387/AJ387*AI387/10^6)*24*365/1000</f>
        <v>0.89193096161767882</v>
      </c>
      <c r="N387" s="49">
        <f t="shared" si="63"/>
        <v>1.2421</v>
      </c>
      <c r="O387" s="1">
        <v>401</v>
      </c>
      <c r="P387" s="51">
        <v>0.05</v>
      </c>
      <c r="Q387" s="51">
        <v>11</v>
      </c>
      <c r="R387" s="51">
        <v>1</v>
      </c>
      <c r="S387" s="1">
        <v>1</v>
      </c>
      <c r="T387" s="1">
        <v>0</v>
      </c>
      <c r="U387" s="47">
        <v>0</v>
      </c>
      <c r="V387" s="47"/>
      <c r="W387">
        <v>140</v>
      </c>
      <c r="X387">
        <v>289</v>
      </c>
      <c r="Y387">
        <v>0.98</v>
      </c>
      <c r="Z387">
        <v>1794.15</v>
      </c>
      <c r="AA387" s="41">
        <v>1676.41</v>
      </c>
      <c r="AB387" s="41">
        <v>124.21</v>
      </c>
      <c r="AC387">
        <v>36</v>
      </c>
      <c r="AD387" s="41">
        <f t="shared" si="56"/>
        <v>0.47933561853802636</v>
      </c>
      <c r="AE387" s="41">
        <f t="shared" si="57"/>
        <v>0.51300099617635297</v>
      </c>
      <c r="AF387">
        <f t="shared" si="58"/>
        <v>1.5657818120805371</v>
      </c>
      <c r="AG387">
        <f t="shared" si="59"/>
        <v>3.197154630872482E-2</v>
      </c>
      <c r="AH387">
        <f t="shared" si="60"/>
        <v>1.2421</v>
      </c>
      <c r="AI387">
        <f>HLOOKUP(HLOOKUP(G387,'THP2'!$B$4:$J$8,5,FALSE),'Fuel &amp; Resister'!$B$3:$G$6,4,FALSE)</f>
        <v>2.7360666666666664</v>
      </c>
      <c r="AJ387" s="41">
        <f>HLOOKUP(HLOOKUP(G387,'THP2'!$B$4:$J$8,5,FALSE),'Fuel &amp; Resister'!$B$3:$G$6,3,FALSE)</f>
        <v>13.019</v>
      </c>
      <c r="AO387" s="1">
        <v>1</v>
      </c>
      <c r="AP387" s="62">
        <v>0</v>
      </c>
    </row>
    <row r="388" spans="2:42" x14ac:dyDescent="0.15">
      <c r="B388" s="43" t="s">
        <v>640</v>
      </c>
      <c r="C388" s="61">
        <f>VLOOKUP(B388,[1]SYS!$F$5:$G$359,2,FALSE)</f>
        <v>297</v>
      </c>
      <c r="D388" s="1" t="s">
        <v>50</v>
      </c>
      <c r="E388" s="65" t="s">
        <v>277</v>
      </c>
      <c r="F388" s="63" t="s">
        <v>451</v>
      </c>
      <c r="G388" s="1">
        <v>3</v>
      </c>
      <c r="H388" s="1">
        <f t="shared" si="52"/>
        <v>0.49122807017543857</v>
      </c>
      <c r="I388" s="1">
        <f t="shared" si="53"/>
        <v>0.28499999999999998</v>
      </c>
      <c r="J388" s="1">
        <f t="shared" si="51"/>
        <v>2.0000000000000018E-2</v>
      </c>
      <c r="K388" s="1">
        <f t="shared" si="54"/>
        <v>1.9819800000000001</v>
      </c>
      <c r="L388" s="1">
        <f t="shared" si="55"/>
        <v>1.72</v>
      </c>
      <c r="M388" s="49">
        <f t="shared" si="64"/>
        <v>0.90245688215684761</v>
      </c>
      <c r="N388" s="49">
        <v>1.2378</v>
      </c>
      <c r="O388" s="1">
        <v>613</v>
      </c>
      <c r="P388" s="51">
        <v>0.05</v>
      </c>
      <c r="Q388" s="51">
        <v>11</v>
      </c>
      <c r="R388" s="51">
        <v>1</v>
      </c>
      <c r="S388" s="1">
        <v>1</v>
      </c>
      <c r="T388" s="1">
        <v>0</v>
      </c>
      <c r="U388" s="47">
        <v>1</v>
      </c>
      <c r="V388" s="47">
        <v>300</v>
      </c>
      <c r="W388" s="41">
        <v>140</v>
      </c>
      <c r="X388">
        <v>285</v>
      </c>
      <c r="Y388">
        <v>0.98</v>
      </c>
      <c r="Z388">
        <v>1981.98</v>
      </c>
      <c r="AA388">
        <v>1720</v>
      </c>
      <c r="AB388">
        <v>123.78</v>
      </c>
      <c r="AC388">
        <v>36</v>
      </c>
      <c r="AD388" s="41">
        <f t="shared" si="56"/>
        <v>0.43390952481861572</v>
      </c>
      <c r="AE388" s="41">
        <f t="shared" si="57"/>
        <v>0.5</v>
      </c>
      <c r="AF388">
        <f t="shared" si="58"/>
        <v>1.4670537931034482</v>
      </c>
      <c r="AG388">
        <f t="shared" si="59"/>
        <v>7.2089668965517259E-2</v>
      </c>
      <c r="AH388">
        <f t="shared" si="60"/>
        <v>1.2378</v>
      </c>
      <c r="AI388">
        <f>HLOOKUP(HLOOKUP(G388,'THP2'!$B$4:$J$8,5,FALSE),'Fuel &amp; Resister'!$B$3:$G$6,4,FALSE)</f>
        <v>2.7360666666666664</v>
      </c>
      <c r="AJ388" s="41">
        <f>HLOOKUP(HLOOKUP(G388,'THP2'!$B$4:$J$8,5,FALSE),'Fuel &amp; Resister'!$B$3:$G$6,3,FALSE)</f>
        <v>13.019</v>
      </c>
      <c r="AO388" s="1">
        <v>1</v>
      </c>
      <c r="AP388" s="1">
        <v>1</v>
      </c>
    </row>
    <row r="389" spans="2:42" x14ac:dyDescent="0.15">
      <c r="B389" s="43" t="s">
        <v>641</v>
      </c>
      <c r="C389" s="61">
        <f>VLOOKUP(B389,[1]SYS!$F$5:$G$359,2,FALSE)</f>
        <v>295</v>
      </c>
      <c r="D389" s="1" t="s">
        <v>50</v>
      </c>
      <c r="E389" s="65" t="s">
        <v>278</v>
      </c>
      <c r="F389" s="63" t="s">
        <v>452</v>
      </c>
      <c r="G389" s="1">
        <v>3</v>
      </c>
      <c r="H389" s="1">
        <f t="shared" si="52"/>
        <v>0.4</v>
      </c>
      <c r="I389" s="1">
        <f t="shared" si="53"/>
        <v>0.23</v>
      </c>
      <c r="J389" s="1">
        <f t="shared" si="51"/>
        <v>2.0000000000000018E-2</v>
      </c>
      <c r="K389" s="1">
        <f t="shared" si="54"/>
        <v>2.2903099999999998</v>
      </c>
      <c r="L389" s="1">
        <f t="shared" si="55"/>
        <v>1.75566</v>
      </c>
      <c r="M389" s="49">
        <f t="shared" si="64"/>
        <v>0.74339802822791312</v>
      </c>
      <c r="N389" s="49">
        <v>1.1787000000000001</v>
      </c>
      <c r="O389" s="1">
        <v>401</v>
      </c>
      <c r="P389" s="51">
        <v>0.05</v>
      </c>
      <c r="Q389" s="51">
        <v>11</v>
      </c>
      <c r="R389" s="51">
        <v>1</v>
      </c>
      <c r="S389" s="1">
        <v>1</v>
      </c>
      <c r="T389" s="1">
        <v>0</v>
      </c>
      <c r="U389" s="47">
        <v>1</v>
      </c>
      <c r="V389" s="47">
        <v>301</v>
      </c>
      <c r="W389" s="41">
        <v>92</v>
      </c>
      <c r="X389">
        <v>230</v>
      </c>
      <c r="Y389">
        <v>0.98</v>
      </c>
      <c r="Z389">
        <v>2290.31</v>
      </c>
      <c r="AA389">
        <v>1755.66</v>
      </c>
      <c r="AB389">
        <v>117.87</v>
      </c>
      <c r="AC389">
        <v>36</v>
      </c>
      <c r="AD389" s="41">
        <f t="shared" si="56"/>
        <v>0.37549502032475951</v>
      </c>
      <c r="AE389" s="41">
        <f t="shared" si="57"/>
        <v>0.4898442750874315</v>
      </c>
      <c r="AF389">
        <f t="shared" si="58"/>
        <v>1.3992266666666668</v>
      </c>
      <c r="AG389">
        <f t="shared" si="59"/>
        <v>8.1979666666666631E-2</v>
      </c>
      <c r="AH389">
        <f t="shared" si="60"/>
        <v>1.1787000000000001</v>
      </c>
      <c r="AI389">
        <f>HLOOKUP(HLOOKUP(G389,'THP2'!$B$4:$J$8,5,FALSE),'Fuel &amp; Resister'!$B$3:$G$6,4,FALSE)</f>
        <v>2.7360666666666664</v>
      </c>
      <c r="AJ389" s="41">
        <f>HLOOKUP(HLOOKUP(G389,'THP2'!$B$4:$J$8,5,FALSE),'Fuel &amp; Resister'!$B$3:$G$6,3,FALSE)</f>
        <v>13.019</v>
      </c>
      <c r="AO389" s="1">
        <v>1</v>
      </c>
      <c r="AP389" s="1">
        <v>1</v>
      </c>
    </row>
    <row r="390" spans="2:42" x14ac:dyDescent="0.15">
      <c r="B390" s="43" t="s">
        <v>642</v>
      </c>
      <c r="C390" s="61">
        <f>VLOOKUP(B390,[1]SYS!$F$5:$G$359,2,FALSE)</f>
        <v>278</v>
      </c>
      <c r="D390" s="1" t="s">
        <v>50</v>
      </c>
      <c r="E390" s="42" t="s">
        <v>279</v>
      </c>
      <c r="F390" s="63" t="s">
        <v>449</v>
      </c>
      <c r="G390" s="1">
        <v>3</v>
      </c>
      <c r="H390" s="1">
        <f t="shared" si="52"/>
        <v>0.44444444444444442</v>
      </c>
      <c r="I390" s="1">
        <f t="shared" si="53"/>
        <v>0.18</v>
      </c>
      <c r="J390" s="1">
        <f t="shared" si="51"/>
        <v>2.2700000000000053E-2</v>
      </c>
      <c r="K390" s="1">
        <f t="shared" si="54"/>
        <v>2.3353299999999999</v>
      </c>
      <c r="L390" s="1">
        <f t="shared" si="55"/>
        <v>1.9084100000000002</v>
      </c>
      <c r="M390" s="49">
        <f t="shared" si="64"/>
        <v>0.63240798230487738</v>
      </c>
      <c r="N390" s="49">
        <v>1.1253</v>
      </c>
      <c r="O390" s="1">
        <v>211</v>
      </c>
      <c r="P390" s="51">
        <v>0.05</v>
      </c>
      <c r="Q390" s="51">
        <v>11</v>
      </c>
      <c r="R390" s="51">
        <v>1</v>
      </c>
      <c r="S390" s="1">
        <v>1</v>
      </c>
      <c r="T390" s="1">
        <v>0</v>
      </c>
      <c r="U390" s="47">
        <v>0</v>
      </c>
      <c r="V390" s="47">
        <v>302</v>
      </c>
      <c r="W390" s="41">
        <v>80</v>
      </c>
      <c r="X390">
        <v>180</v>
      </c>
      <c r="Y390">
        <v>0.97729999999999995</v>
      </c>
      <c r="Z390">
        <v>2335.33</v>
      </c>
      <c r="AA390">
        <v>1908.41</v>
      </c>
      <c r="AB390">
        <v>112.53</v>
      </c>
      <c r="AC390">
        <v>36</v>
      </c>
      <c r="AD390" s="41">
        <f t="shared" si="56"/>
        <v>0.36825630638924695</v>
      </c>
      <c r="AE390" s="41">
        <f t="shared" si="57"/>
        <v>0.45063691764348329</v>
      </c>
      <c r="AF390">
        <f t="shared" si="58"/>
        <v>1.5668740000000003</v>
      </c>
      <c r="AG390">
        <f t="shared" si="59"/>
        <v>6.1476479999999972E-2</v>
      </c>
      <c r="AH390">
        <f t="shared" si="60"/>
        <v>1.1253</v>
      </c>
      <c r="AI390">
        <f>HLOOKUP(HLOOKUP(G390,'THP2'!$B$4:$J$8,5,FALSE),'Fuel &amp; Resister'!$B$3:$G$6,4,FALSE)</f>
        <v>2.7360666666666664</v>
      </c>
      <c r="AJ390" s="41">
        <f>HLOOKUP(HLOOKUP(G390,'THP2'!$B$4:$J$8,5,FALSE),'Fuel &amp; Resister'!$B$3:$G$6,3,FALSE)</f>
        <v>13.019</v>
      </c>
      <c r="AO390" s="62">
        <v>0</v>
      </c>
      <c r="AP390" s="62">
        <v>0</v>
      </c>
    </row>
    <row r="391" spans="2:42" x14ac:dyDescent="0.15">
      <c r="B391" s="43" t="s">
        <v>642</v>
      </c>
      <c r="C391" s="61">
        <f>VLOOKUP(B391,[1]SYS!$F$5:$G$359,2,FALSE)</f>
        <v>278</v>
      </c>
      <c r="D391" s="1" t="s">
        <v>50</v>
      </c>
      <c r="E391" s="42" t="s">
        <v>280</v>
      </c>
      <c r="F391" s="63" t="s">
        <v>449</v>
      </c>
      <c r="G391" s="1">
        <v>3</v>
      </c>
      <c r="H391" s="1">
        <f t="shared" si="52"/>
        <v>0.44444444444444442</v>
      </c>
      <c r="I391" s="1">
        <f t="shared" si="53"/>
        <v>0.18</v>
      </c>
      <c r="J391" s="1">
        <f t="shared" si="51"/>
        <v>2.2700000000000053E-2</v>
      </c>
      <c r="K391" s="1">
        <f t="shared" si="54"/>
        <v>2.3353299999999999</v>
      </c>
      <c r="L391" s="1">
        <f t="shared" si="55"/>
        <v>1.9084100000000002</v>
      </c>
      <c r="M391" s="49">
        <f t="shared" si="64"/>
        <v>0.63240798230487738</v>
      </c>
      <c r="N391" s="49">
        <v>1.1253</v>
      </c>
      <c r="O391" s="1">
        <v>913</v>
      </c>
      <c r="P391" s="51">
        <v>0.05</v>
      </c>
      <c r="Q391" s="51">
        <v>11</v>
      </c>
      <c r="R391" s="51">
        <v>1</v>
      </c>
      <c r="S391" s="1">
        <v>1</v>
      </c>
      <c r="T391" s="1">
        <v>0</v>
      </c>
      <c r="U391" s="47">
        <v>0</v>
      </c>
      <c r="V391" s="47">
        <v>303</v>
      </c>
      <c r="W391" s="41">
        <v>80</v>
      </c>
      <c r="X391">
        <v>180</v>
      </c>
      <c r="Y391">
        <v>0.97729999999999995</v>
      </c>
      <c r="Z391">
        <v>2335.33</v>
      </c>
      <c r="AA391">
        <v>1908.41</v>
      </c>
      <c r="AB391">
        <v>112.53</v>
      </c>
      <c r="AC391">
        <v>36</v>
      </c>
      <c r="AD391" s="41">
        <f t="shared" si="56"/>
        <v>0.36825630638924695</v>
      </c>
      <c r="AE391" s="41">
        <f t="shared" si="57"/>
        <v>0.45063691764348329</v>
      </c>
      <c r="AF391">
        <f t="shared" si="58"/>
        <v>1.5668740000000003</v>
      </c>
      <c r="AG391">
        <f t="shared" si="59"/>
        <v>6.1476479999999972E-2</v>
      </c>
      <c r="AH391">
        <f t="shared" si="60"/>
        <v>1.1253</v>
      </c>
      <c r="AI391">
        <f>HLOOKUP(HLOOKUP(G391,'THP2'!$B$4:$J$8,5,FALSE),'Fuel &amp; Resister'!$B$3:$G$6,4,FALSE)</f>
        <v>2.7360666666666664</v>
      </c>
      <c r="AJ391" s="41">
        <f>HLOOKUP(HLOOKUP(G391,'THP2'!$B$4:$J$8,5,FALSE),'Fuel &amp; Resister'!$B$3:$G$6,3,FALSE)</f>
        <v>13.019</v>
      </c>
      <c r="AO391" s="62">
        <v>0</v>
      </c>
      <c r="AP391" s="62">
        <v>0</v>
      </c>
    </row>
    <row r="392" spans="2:42" x14ac:dyDescent="0.15">
      <c r="B392" s="43" t="s">
        <v>642</v>
      </c>
      <c r="C392" s="61">
        <f>VLOOKUP(B392,[1]SYS!$F$5:$G$359,2,FALSE)</f>
        <v>278</v>
      </c>
      <c r="D392" s="1" t="s">
        <v>50</v>
      </c>
      <c r="E392" s="42" t="s">
        <v>281</v>
      </c>
      <c r="F392" s="63" t="s">
        <v>449</v>
      </c>
      <c r="G392" s="1">
        <v>3</v>
      </c>
      <c r="H392" s="1">
        <f t="shared" si="52"/>
        <v>0.44444444444444442</v>
      </c>
      <c r="I392" s="1">
        <f t="shared" si="53"/>
        <v>0.18</v>
      </c>
      <c r="J392" s="1">
        <f t="shared" si="51"/>
        <v>2.3599999999999954E-2</v>
      </c>
      <c r="K392" s="1">
        <f t="shared" si="54"/>
        <v>2.3826700000000001</v>
      </c>
      <c r="L392" s="1">
        <f t="shared" si="55"/>
        <v>1.9470999999999998</v>
      </c>
      <c r="M392" s="49">
        <f t="shared" si="64"/>
        <v>0.64522905578247147</v>
      </c>
      <c r="N392" s="49">
        <v>1.1253</v>
      </c>
      <c r="O392" s="1">
        <v>401</v>
      </c>
      <c r="P392" s="51">
        <v>0.05</v>
      </c>
      <c r="Q392" s="51">
        <v>11</v>
      </c>
      <c r="R392" s="51">
        <v>1</v>
      </c>
      <c r="S392" s="1">
        <v>1</v>
      </c>
      <c r="T392" s="1">
        <v>0</v>
      </c>
      <c r="U392" s="47">
        <v>0</v>
      </c>
      <c r="V392" s="47">
        <v>304</v>
      </c>
      <c r="W392" s="41">
        <v>80</v>
      </c>
      <c r="X392">
        <v>180</v>
      </c>
      <c r="Y392">
        <v>0.97640000000000005</v>
      </c>
      <c r="Z392">
        <v>2382.67</v>
      </c>
      <c r="AA392">
        <v>1947.1</v>
      </c>
      <c r="AB392">
        <v>112.53</v>
      </c>
      <c r="AC392">
        <v>36</v>
      </c>
      <c r="AD392" s="41">
        <f t="shared" si="56"/>
        <v>0.36093961815945974</v>
      </c>
      <c r="AE392" s="41">
        <f t="shared" si="57"/>
        <v>0.44168250218273336</v>
      </c>
      <c r="AF392">
        <f t="shared" si="58"/>
        <v>1.5986439999999997</v>
      </c>
      <c r="AG392">
        <f t="shared" si="59"/>
        <v>6.2722080000000013E-2</v>
      </c>
      <c r="AH392">
        <f t="shared" si="60"/>
        <v>1.1253</v>
      </c>
      <c r="AI392">
        <f>HLOOKUP(HLOOKUP(G392,'THP2'!$B$4:$J$8,5,FALSE),'Fuel &amp; Resister'!$B$3:$G$6,4,FALSE)</f>
        <v>2.7360666666666664</v>
      </c>
      <c r="AJ392" s="41">
        <f>HLOOKUP(HLOOKUP(G392,'THP2'!$B$4:$J$8,5,FALSE),'Fuel &amp; Resister'!$B$3:$G$6,3,FALSE)</f>
        <v>13.019</v>
      </c>
      <c r="AO392" s="62">
        <v>0</v>
      </c>
      <c r="AP392" s="62">
        <v>0</v>
      </c>
    </row>
    <row r="393" spans="2:42" x14ac:dyDescent="0.15">
      <c r="B393" s="43" t="s">
        <v>642</v>
      </c>
      <c r="C393" s="61">
        <f>VLOOKUP(B393,[1]SYS!$F$5:$G$359,2,FALSE)</f>
        <v>278</v>
      </c>
      <c r="D393" s="1" t="s">
        <v>50</v>
      </c>
      <c r="E393" s="42" t="s">
        <v>282</v>
      </c>
      <c r="F393" s="63" t="s">
        <v>449</v>
      </c>
      <c r="G393" s="1">
        <v>3</v>
      </c>
      <c r="H393" s="1">
        <f t="shared" si="52"/>
        <v>0.44444444444444442</v>
      </c>
      <c r="I393" s="1">
        <f t="shared" si="53"/>
        <v>0.18</v>
      </c>
      <c r="J393" s="1">
        <f t="shared" si="51"/>
        <v>2.3599999999999954E-2</v>
      </c>
      <c r="K393" s="1">
        <f t="shared" si="54"/>
        <v>2.3826700000000001</v>
      </c>
      <c r="L393" s="1">
        <f t="shared" si="55"/>
        <v>1.9470999999999998</v>
      </c>
      <c r="M393" s="49">
        <f t="shared" si="64"/>
        <v>0.64522905578247147</v>
      </c>
      <c r="N393" s="49">
        <v>1.1253</v>
      </c>
      <c r="O393" s="1">
        <v>613</v>
      </c>
      <c r="P393" s="51">
        <v>0.05</v>
      </c>
      <c r="Q393" s="51">
        <v>11</v>
      </c>
      <c r="R393" s="51">
        <v>1</v>
      </c>
      <c r="S393" s="1">
        <v>1</v>
      </c>
      <c r="T393" s="1">
        <v>0</v>
      </c>
      <c r="U393" s="47">
        <v>0</v>
      </c>
      <c r="V393" s="47">
        <v>305</v>
      </c>
      <c r="W393" s="41">
        <v>80</v>
      </c>
      <c r="X393">
        <v>180</v>
      </c>
      <c r="Y393">
        <v>0.97640000000000005</v>
      </c>
      <c r="Z393">
        <v>2382.67</v>
      </c>
      <c r="AA393">
        <v>1947.1</v>
      </c>
      <c r="AB393">
        <v>112.53</v>
      </c>
      <c r="AC393">
        <v>36</v>
      </c>
      <c r="AD393" s="41">
        <f t="shared" si="56"/>
        <v>0.36093961815945974</v>
      </c>
      <c r="AE393" s="41">
        <f t="shared" si="57"/>
        <v>0.44168250218273336</v>
      </c>
      <c r="AF393">
        <f t="shared" si="58"/>
        <v>1.5986439999999997</v>
      </c>
      <c r="AG393">
        <f t="shared" si="59"/>
        <v>6.2722080000000013E-2</v>
      </c>
      <c r="AH393">
        <f t="shared" si="60"/>
        <v>1.1253</v>
      </c>
      <c r="AI393">
        <f>HLOOKUP(HLOOKUP(G393,'THP2'!$B$4:$J$8,5,FALSE),'Fuel &amp; Resister'!$B$3:$G$6,4,FALSE)</f>
        <v>2.7360666666666664</v>
      </c>
      <c r="AJ393" s="41">
        <f>HLOOKUP(HLOOKUP(G393,'THP2'!$B$4:$J$8,5,FALSE),'Fuel &amp; Resister'!$B$3:$G$6,3,FALSE)</f>
        <v>13.019</v>
      </c>
      <c r="AO393" s="62">
        <v>0</v>
      </c>
      <c r="AP393" s="62">
        <v>0</v>
      </c>
    </row>
    <row r="394" spans="2:42" x14ac:dyDescent="0.15">
      <c r="B394" s="43" t="s">
        <v>642</v>
      </c>
      <c r="C394" s="61">
        <f>VLOOKUP(B394,[1]SYS!$F$5:$G$359,2,FALSE)</f>
        <v>278</v>
      </c>
      <c r="D394" s="1" t="s">
        <v>50</v>
      </c>
      <c r="E394" s="42" t="s">
        <v>283</v>
      </c>
      <c r="F394" s="63" t="s">
        <v>449</v>
      </c>
      <c r="G394" s="1">
        <v>3</v>
      </c>
      <c r="H394" s="1">
        <f t="shared" si="52"/>
        <v>0.35087719298245612</v>
      </c>
      <c r="I394" s="1">
        <f t="shared" si="53"/>
        <v>0.114</v>
      </c>
      <c r="J394" s="1">
        <f t="shared" si="51"/>
        <v>2.410000000000001E-2</v>
      </c>
      <c r="K394" s="1">
        <f t="shared" si="54"/>
        <v>2.74668</v>
      </c>
      <c r="L394" s="1">
        <f t="shared" si="55"/>
        <v>1.96644</v>
      </c>
      <c r="M394" s="49">
        <f t="shared" si="64"/>
        <v>0.41270402589500271</v>
      </c>
      <c r="N394" s="49">
        <v>1.0548999999999999</v>
      </c>
      <c r="O394" s="1">
        <v>901</v>
      </c>
      <c r="P394" s="51">
        <v>0.05</v>
      </c>
      <c r="Q394" s="51">
        <v>11</v>
      </c>
      <c r="R394" s="51">
        <v>1</v>
      </c>
      <c r="S394" s="1">
        <v>1</v>
      </c>
      <c r="T394" s="1">
        <v>0</v>
      </c>
      <c r="U394" s="47">
        <v>0</v>
      </c>
      <c r="V394" s="47">
        <v>306</v>
      </c>
      <c r="W394" s="41">
        <v>40</v>
      </c>
      <c r="X394">
        <v>114</v>
      </c>
      <c r="Y394">
        <v>0.97589999999999999</v>
      </c>
      <c r="Z394">
        <v>2746.68</v>
      </c>
      <c r="AA394">
        <v>1966.44</v>
      </c>
      <c r="AB394">
        <v>105.49</v>
      </c>
      <c r="AC394">
        <v>36</v>
      </c>
      <c r="AD394" s="41">
        <f t="shared" si="56"/>
        <v>0.31310527618797973</v>
      </c>
      <c r="AE394" s="41">
        <f t="shared" si="57"/>
        <v>0.43733854071316697</v>
      </c>
      <c r="AF394">
        <f t="shared" si="58"/>
        <v>1.5446886486486489</v>
      </c>
      <c r="AG394">
        <f t="shared" si="59"/>
        <v>4.8079654054054032E-2</v>
      </c>
      <c r="AH394">
        <f t="shared" si="60"/>
        <v>1.0548999999999999</v>
      </c>
      <c r="AI394">
        <f>HLOOKUP(HLOOKUP(G394,'THP2'!$B$4:$J$8,5,FALSE),'Fuel &amp; Resister'!$B$3:$G$6,4,FALSE)</f>
        <v>2.7360666666666664</v>
      </c>
      <c r="AJ394" s="41">
        <f>HLOOKUP(HLOOKUP(G394,'THP2'!$B$4:$J$8,5,FALSE),'Fuel &amp; Resister'!$B$3:$G$6,3,FALSE)</f>
        <v>13.019</v>
      </c>
      <c r="AO394" s="62">
        <v>0</v>
      </c>
      <c r="AP394" s="62">
        <v>0</v>
      </c>
    </row>
    <row r="395" spans="2:42" x14ac:dyDescent="0.15">
      <c r="B395" s="43" t="s">
        <v>642</v>
      </c>
      <c r="C395" s="61">
        <f>VLOOKUP(B395,[1]SYS!$F$5:$G$359,2,FALSE)</f>
        <v>278</v>
      </c>
      <c r="D395" s="1" t="s">
        <v>50</v>
      </c>
      <c r="E395" s="42" t="s">
        <v>284</v>
      </c>
      <c r="F395" s="63" t="s">
        <v>449</v>
      </c>
      <c r="G395" s="1">
        <v>3</v>
      </c>
      <c r="H395" s="1">
        <f t="shared" si="52"/>
        <v>0.35087719298245612</v>
      </c>
      <c r="I395" s="1">
        <f t="shared" si="53"/>
        <v>0.114</v>
      </c>
      <c r="J395" s="1">
        <f t="shared" si="51"/>
        <v>2.410000000000001E-2</v>
      </c>
      <c r="K395" s="1">
        <f t="shared" si="54"/>
        <v>2.74668</v>
      </c>
      <c r="L395" s="1">
        <f t="shared" si="55"/>
        <v>1.96644</v>
      </c>
      <c r="M395" s="49">
        <f t="shared" si="64"/>
        <v>0.41270402589500271</v>
      </c>
      <c r="N395" s="49">
        <v>1.0548999999999999</v>
      </c>
      <c r="O395" s="1">
        <v>1014</v>
      </c>
      <c r="P395" s="51">
        <v>0.05</v>
      </c>
      <c r="Q395" s="51">
        <v>11</v>
      </c>
      <c r="R395" s="51">
        <v>1</v>
      </c>
      <c r="S395" s="1">
        <v>1</v>
      </c>
      <c r="T395" s="1">
        <v>0</v>
      </c>
      <c r="U395" s="47">
        <v>0</v>
      </c>
      <c r="V395" s="47">
        <v>307</v>
      </c>
      <c r="W395" s="41">
        <v>40</v>
      </c>
      <c r="X395">
        <v>114</v>
      </c>
      <c r="Y395">
        <v>0.97589999999999999</v>
      </c>
      <c r="Z395">
        <v>2746.68</v>
      </c>
      <c r="AA395">
        <v>1966.44</v>
      </c>
      <c r="AB395">
        <v>105.49</v>
      </c>
      <c r="AC395">
        <v>36</v>
      </c>
      <c r="AD395" s="41">
        <f t="shared" si="56"/>
        <v>0.31310527618797973</v>
      </c>
      <c r="AE395" s="41">
        <f t="shared" si="57"/>
        <v>0.43733854071316697</v>
      </c>
      <c r="AF395">
        <f t="shared" si="58"/>
        <v>1.5446886486486489</v>
      </c>
      <c r="AG395">
        <f t="shared" si="59"/>
        <v>4.8079654054054032E-2</v>
      </c>
      <c r="AH395">
        <f t="shared" si="60"/>
        <v>1.0548999999999999</v>
      </c>
      <c r="AI395">
        <f>HLOOKUP(HLOOKUP(G395,'THP2'!$B$4:$J$8,5,FALSE),'Fuel &amp; Resister'!$B$3:$G$6,4,FALSE)</f>
        <v>2.7360666666666664</v>
      </c>
      <c r="AJ395" s="41">
        <f>HLOOKUP(HLOOKUP(G395,'THP2'!$B$4:$J$8,5,FALSE),'Fuel &amp; Resister'!$B$3:$G$6,3,FALSE)</f>
        <v>13.019</v>
      </c>
      <c r="AO395" s="62">
        <v>0</v>
      </c>
      <c r="AP395" s="62">
        <v>0</v>
      </c>
    </row>
    <row r="396" spans="2:42" x14ac:dyDescent="0.15">
      <c r="B396" s="43" t="s">
        <v>642</v>
      </c>
      <c r="C396" s="61">
        <f>VLOOKUP(B396,[1]SYS!$F$5:$G$359,2,FALSE)</f>
        <v>278</v>
      </c>
      <c r="D396" s="1" t="s">
        <v>50</v>
      </c>
      <c r="E396" s="42" t="s">
        <v>285</v>
      </c>
      <c r="F396" s="63" t="s">
        <v>449</v>
      </c>
      <c r="G396" s="1">
        <v>3</v>
      </c>
      <c r="H396" s="1">
        <f t="shared" si="52"/>
        <v>0.35398230088495575</v>
      </c>
      <c r="I396" s="1">
        <f t="shared" si="53"/>
        <v>0.113</v>
      </c>
      <c r="J396" s="1">
        <f t="shared" si="51"/>
        <v>2.410000000000001E-2</v>
      </c>
      <c r="K396" s="1">
        <f t="shared" si="54"/>
        <v>2.74668</v>
      </c>
      <c r="L396" s="1">
        <f t="shared" si="55"/>
        <v>1.96644</v>
      </c>
      <c r="M396" s="49">
        <f t="shared" si="64"/>
        <v>0.40908381514153769</v>
      </c>
      <c r="N396" s="49">
        <v>1.0539000000000001</v>
      </c>
      <c r="O396" s="6">
        <v>326</v>
      </c>
      <c r="P396" s="51">
        <v>0.05</v>
      </c>
      <c r="Q396" s="51">
        <v>11</v>
      </c>
      <c r="R396" s="51">
        <v>1</v>
      </c>
      <c r="S396" s="1">
        <v>1</v>
      </c>
      <c r="T396" s="1">
        <v>0</v>
      </c>
      <c r="U396" s="47">
        <v>0</v>
      </c>
      <c r="V396" s="47">
        <v>308</v>
      </c>
      <c r="W396" s="41">
        <v>40</v>
      </c>
      <c r="X396">
        <v>113</v>
      </c>
      <c r="Y396">
        <v>0.97589999999999999</v>
      </c>
      <c r="Z396">
        <v>2746.68</v>
      </c>
      <c r="AA396">
        <v>1966.44</v>
      </c>
      <c r="AB396">
        <v>105.39</v>
      </c>
      <c r="AC396">
        <v>36</v>
      </c>
      <c r="AD396" s="41">
        <f t="shared" si="56"/>
        <v>0.31310527618797973</v>
      </c>
      <c r="AE396" s="41">
        <f t="shared" si="57"/>
        <v>0.43733854071316697</v>
      </c>
      <c r="AF396">
        <f t="shared" si="58"/>
        <v>1.5389112328767123</v>
      </c>
      <c r="AG396">
        <f t="shared" si="59"/>
        <v>4.8310750684931507E-2</v>
      </c>
      <c r="AH396">
        <f t="shared" si="60"/>
        <v>1.0539000000000001</v>
      </c>
      <c r="AI396">
        <f>HLOOKUP(HLOOKUP(G396,'THP2'!$B$4:$J$8,5,FALSE),'Fuel &amp; Resister'!$B$3:$G$6,4,FALSE)</f>
        <v>2.7360666666666664</v>
      </c>
      <c r="AJ396" s="41">
        <f>HLOOKUP(HLOOKUP(G396,'THP2'!$B$4:$J$8,5,FALSE),'Fuel &amp; Resister'!$B$3:$G$6,3,FALSE)</f>
        <v>13.019</v>
      </c>
      <c r="AO396" s="62">
        <v>0</v>
      </c>
      <c r="AP396" s="62">
        <v>0</v>
      </c>
    </row>
    <row r="397" spans="2:42" x14ac:dyDescent="0.15">
      <c r="B397" s="43" t="s">
        <v>642</v>
      </c>
      <c r="C397" s="61">
        <f>VLOOKUP(B397,[1]SYS!$F$5:$G$359,2,FALSE)</f>
        <v>278</v>
      </c>
      <c r="D397" s="1" t="s">
        <v>50</v>
      </c>
      <c r="E397" s="42" t="s">
        <v>286</v>
      </c>
      <c r="F397" s="63" t="s">
        <v>449</v>
      </c>
      <c r="G397" s="1">
        <v>3</v>
      </c>
      <c r="H397" s="1">
        <f t="shared" si="52"/>
        <v>0.35398230088495575</v>
      </c>
      <c r="I397" s="1">
        <f t="shared" si="53"/>
        <v>0.113</v>
      </c>
      <c r="J397" s="1">
        <f t="shared" si="51"/>
        <v>2.5000000000000022E-2</v>
      </c>
      <c r="K397" s="1">
        <f t="shared" si="54"/>
        <v>2.8007199999999997</v>
      </c>
      <c r="L397" s="1">
        <f t="shared" si="55"/>
        <v>2.0051300000000003</v>
      </c>
      <c r="M397" s="49">
        <f t="shared" si="64"/>
        <v>0.4171326001580275</v>
      </c>
      <c r="N397" s="49">
        <v>1.0539000000000001</v>
      </c>
      <c r="O397" s="1">
        <v>1113</v>
      </c>
      <c r="P397" s="51">
        <v>0.05</v>
      </c>
      <c r="Q397" s="51">
        <v>11</v>
      </c>
      <c r="R397" s="51">
        <v>1</v>
      </c>
      <c r="S397" s="1">
        <v>1</v>
      </c>
      <c r="T397" s="1">
        <v>0</v>
      </c>
      <c r="U397" s="47">
        <v>0</v>
      </c>
      <c r="V397" s="47">
        <v>309</v>
      </c>
      <c r="W397" s="41">
        <v>40</v>
      </c>
      <c r="X397">
        <v>113</v>
      </c>
      <c r="Y397">
        <v>0.97499999999999998</v>
      </c>
      <c r="Z397">
        <v>2800.72</v>
      </c>
      <c r="AA397">
        <v>2005.13</v>
      </c>
      <c r="AB397">
        <v>105.39</v>
      </c>
      <c r="AC397">
        <v>36</v>
      </c>
      <c r="AD397" s="41">
        <f t="shared" si="56"/>
        <v>0.30706389785483734</v>
      </c>
      <c r="AE397" s="41">
        <f t="shared" si="57"/>
        <v>0.42889987182875922</v>
      </c>
      <c r="AF397">
        <f t="shared" si="58"/>
        <v>1.5691902739726036</v>
      </c>
      <c r="AG397">
        <f t="shared" si="59"/>
        <v>4.9261189041095832E-2</v>
      </c>
      <c r="AH397">
        <f t="shared" si="60"/>
        <v>1.0539000000000001</v>
      </c>
      <c r="AI397">
        <f>HLOOKUP(HLOOKUP(G397,'THP2'!$B$4:$J$8,5,FALSE),'Fuel &amp; Resister'!$B$3:$G$6,4,FALSE)</f>
        <v>2.7360666666666664</v>
      </c>
      <c r="AJ397" s="41">
        <f>HLOOKUP(HLOOKUP(G397,'THP2'!$B$4:$J$8,5,FALSE),'Fuel &amp; Resister'!$B$3:$G$6,3,FALSE)</f>
        <v>13.019</v>
      </c>
      <c r="AO397" s="62">
        <v>0</v>
      </c>
      <c r="AP397" s="62">
        <v>0</v>
      </c>
    </row>
    <row r="398" spans="2:42" x14ac:dyDescent="0.15">
      <c r="B398" s="43" t="s">
        <v>642</v>
      </c>
      <c r="C398" s="61">
        <f>VLOOKUP(B398,[1]SYS!$F$5:$G$359,2,FALSE)</f>
        <v>278</v>
      </c>
      <c r="D398" s="1" t="s">
        <v>50</v>
      </c>
      <c r="E398" s="42" t="s">
        <v>287</v>
      </c>
      <c r="F398" s="63" t="s">
        <v>449</v>
      </c>
      <c r="G398" s="1">
        <v>3</v>
      </c>
      <c r="H398" s="1">
        <f t="shared" si="52"/>
        <v>0.35398230088495575</v>
      </c>
      <c r="I398" s="1">
        <f t="shared" si="53"/>
        <v>0.113</v>
      </c>
      <c r="J398" s="1">
        <f t="shared" si="51"/>
        <v>2.5000000000000022E-2</v>
      </c>
      <c r="K398" s="1">
        <f t="shared" si="54"/>
        <v>2.8007199999999997</v>
      </c>
      <c r="L398" s="1">
        <f t="shared" si="55"/>
        <v>2.0051300000000003</v>
      </c>
      <c r="M398" s="49">
        <f t="shared" si="64"/>
        <v>0.4171326001580275</v>
      </c>
      <c r="N398" s="49">
        <v>1.0539000000000001</v>
      </c>
      <c r="O398" s="1">
        <v>702</v>
      </c>
      <c r="P398" s="51">
        <v>0.05</v>
      </c>
      <c r="Q398" s="51">
        <v>11</v>
      </c>
      <c r="R398" s="51">
        <v>1</v>
      </c>
      <c r="S398" s="1">
        <v>1</v>
      </c>
      <c r="T398" s="1">
        <v>0</v>
      </c>
      <c r="U398" s="47">
        <v>0</v>
      </c>
      <c r="V398" s="47">
        <v>310</v>
      </c>
      <c r="W398" s="41">
        <v>40</v>
      </c>
      <c r="X398">
        <v>113</v>
      </c>
      <c r="Y398">
        <v>0.97499999999999998</v>
      </c>
      <c r="Z398">
        <v>2800.72</v>
      </c>
      <c r="AA398">
        <v>2005.13</v>
      </c>
      <c r="AB398">
        <v>105.39</v>
      </c>
      <c r="AC398">
        <v>36</v>
      </c>
      <c r="AD398" s="41">
        <f t="shared" si="56"/>
        <v>0.30706389785483734</v>
      </c>
      <c r="AE398" s="41">
        <f t="shared" si="57"/>
        <v>0.42889987182875922</v>
      </c>
      <c r="AF398">
        <f t="shared" si="58"/>
        <v>1.5691902739726036</v>
      </c>
      <c r="AG398">
        <f t="shared" si="59"/>
        <v>4.9261189041095832E-2</v>
      </c>
      <c r="AH398">
        <f t="shared" si="60"/>
        <v>1.0539000000000001</v>
      </c>
      <c r="AI398">
        <f>HLOOKUP(HLOOKUP(G398,'THP2'!$B$4:$J$8,5,FALSE),'Fuel &amp; Resister'!$B$3:$G$6,4,FALSE)</f>
        <v>2.7360666666666664</v>
      </c>
      <c r="AJ398" s="41">
        <f>HLOOKUP(HLOOKUP(G398,'THP2'!$B$4:$J$8,5,FALSE),'Fuel &amp; Resister'!$B$3:$G$6,3,FALSE)</f>
        <v>13.019</v>
      </c>
      <c r="AO398" s="62">
        <v>0</v>
      </c>
      <c r="AP398" s="62">
        <v>0</v>
      </c>
    </row>
    <row r="399" spans="2:42" x14ac:dyDescent="0.15">
      <c r="B399" s="43" t="s">
        <v>642</v>
      </c>
      <c r="C399" s="61">
        <f>VLOOKUP(B399,[1]SYS!$F$5:$G$359,2,FALSE)</f>
        <v>278</v>
      </c>
      <c r="D399" s="1" t="s">
        <v>50</v>
      </c>
      <c r="E399" s="42" t="s">
        <v>288</v>
      </c>
      <c r="F399" s="63" t="s">
        <v>449</v>
      </c>
      <c r="G399" s="1">
        <v>3</v>
      </c>
      <c r="H399" s="1">
        <f t="shared" si="52"/>
        <v>0.35398230088495575</v>
      </c>
      <c r="I399" s="1">
        <f t="shared" si="53"/>
        <v>0.113</v>
      </c>
      <c r="J399" s="1">
        <f t="shared" si="51"/>
        <v>2.5000000000000022E-2</v>
      </c>
      <c r="K399" s="1">
        <f t="shared" si="54"/>
        <v>2.8007199999999997</v>
      </c>
      <c r="L399" s="1">
        <f t="shared" si="55"/>
        <v>2.0051300000000003</v>
      </c>
      <c r="M399" s="49">
        <f t="shared" si="64"/>
        <v>0.4171326001580275</v>
      </c>
      <c r="N399" s="49">
        <v>1.0539000000000001</v>
      </c>
      <c r="O399" s="1">
        <v>625</v>
      </c>
      <c r="P399" s="51">
        <v>0.05</v>
      </c>
      <c r="Q399" s="51">
        <v>11</v>
      </c>
      <c r="R399" s="51">
        <v>1</v>
      </c>
      <c r="S399" s="1">
        <v>1</v>
      </c>
      <c r="T399" s="1">
        <v>0</v>
      </c>
      <c r="U399" s="47">
        <v>0</v>
      </c>
      <c r="V399" s="47">
        <v>311</v>
      </c>
      <c r="W399" s="41">
        <v>40</v>
      </c>
      <c r="X399">
        <v>113</v>
      </c>
      <c r="Y399">
        <v>0.97499999999999998</v>
      </c>
      <c r="Z399">
        <v>2800.72</v>
      </c>
      <c r="AA399">
        <v>2005.13</v>
      </c>
      <c r="AB399">
        <v>105.39</v>
      </c>
      <c r="AC399">
        <v>36</v>
      </c>
      <c r="AD399" s="41">
        <f t="shared" si="56"/>
        <v>0.30706389785483734</v>
      </c>
      <c r="AE399" s="41">
        <f t="shared" si="57"/>
        <v>0.42889987182875922</v>
      </c>
      <c r="AF399">
        <f t="shared" si="58"/>
        <v>1.5691902739726036</v>
      </c>
      <c r="AG399">
        <f t="shared" si="59"/>
        <v>4.9261189041095832E-2</v>
      </c>
      <c r="AH399">
        <f t="shared" si="60"/>
        <v>1.0539000000000001</v>
      </c>
      <c r="AI399">
        <f>HLOOKUP(HLOOKUP(G399,'THP2'!$B$4:$J$8,5,FALSE),'Fuel &amp; Resister'!$B$3:$G$6,4,FALSE)</f>
        <v>2.7360666666666664</v>
      </c>
      <c r="AJ399" s="41">
        <f>HLOOKUP(HLOOKUP(G399,'THP2'!$B$4:$J$8,5,FALSE),'Fuel &amp; Resister'!$B$3:$G$6,3,FALSE)</f>
        <v>13.019</v>
      </c>
      <c r="AO399" s="62">
        <v>0</v>
      </c>
      <c r="AP399" s="62">
        <v>0</v>
      </c>
    </row>
    <row r="400" spans="2:42" x14ac:dyDescent="0.15">
      <c r="B400" s="43" t="s">
        <v>642</v>
      </c>
      <c r="C400" s="61">
        <f>VLOOKUP(B400,[1]SYS!$F$5:$G$359,2,FALSE)</f>
        <v>278</v>
      </c>
      <c r="D400" s="1" t="s">
        <v>50</v>
      </c>
      <c r="E400" s="65" t="s">
        <v>539</v>
      </c>
      <c r="F400" s="63" t="s">
        <v>549</v>
      </c>
      <c r="G400" s="1">
        <v>3</v>
      </c>
      <c r="H400" s="1">
        <f t="shared" si="52"/>
        <v>0.49122807017543857</v>
      </c>
      <c r="I400" s="1">
        <f t="shared" si="53"/>
        <v>0.28499999999999998</v>
      </c>
      <c r="J400" s="1">
        <f t="shared" si="51"/>
        <v>2.0000000000000018E-2</v>
      </c>
      <c r="K400" s="1">
        <f t="shared" si="54"/>
        <v>1.9819800000000001</v>
      </c>
      <c r="L400" s="1">
        <f t="shared" si="55"/>
        <v>1.72</v>
      </c>
      <c r="M400" s="49">
        <f t="shared" si="64"/>
        <v>0.90245688215684761</v>
      </c>
      <c r="N400" s="49">
        <f>AB400/100</f>
        <v>1.2378</v>
      </c>
      <c r="O400" s="1">
        <v>314</v>
      </c>
      <c r="P400" s="51">
        <v>0.05</v>
      </c>
      <c r="Q400" s="51">
        <v>11</v>
      </c>
      <c r="R400" s="51">
        <v>1</v>
      </c>
      <c r="S400" s="1">
        <v>1</v>
      </c>
      <c r="T400" s="1">
        <v>0</v>
      </c>
      <c r="U400" s="47">
        <v>0</v>
      </c>
      <c r="V400" s="47"/>
      <c r="W400" s="41">
        <v>140</v>
      </c>
      <c r="X400">
        <v>285</v>
      </c>
      <c r="Y400">
        <v>0.98</v>
      </c>
      <c r="Z400">
        <v>1981.98</v>
      </c>
      <c r="AA400">
        <v>1720</v>
      </c>
      <c r="AB400">
        <v>123.78</v>
      </c>
      <c r="AC400">
        <v>36</v>
      </c>
      <c r="AD400" s="41">
        <f t="shared" si="56"/>
        <v>0.43390952481861572</v>
      </c>
      <c r="AE400" s="41">
        <f t="shared" si="57"/>
        <v>0.5</v>
      </c>
      <c r="AF400">
        <f t="shared" ref="AF400:AF412" si="65">(L400-H400*K400)/(1-H400)</f>
        <v>1.4670537931034482</v>
      </c>
      <c r="AG400">
        <f t="shared" ref="AG400:AG412" si="66">I400*(L400-AF400)</f>
        <v>7.2089668965517259E-2</v>
      </c>
      <c r="AH400">
        <f t="shared" ref="AH400:AH412" si="67">AB400/100</f>
        <v>1.2378</v>
      </c>
      <c r="AI400">
        <f>HLOOKUP(HLOOKUP(G400,'THP2'!$B$4:$J$8,5,FALSE),'Fuel &amp; Resister'!$B$3:$G$6,4,FALSE)</f>
        <v>2.7360666666666664</v>
      </c>
      <c r="AJ400" s="41">
        <f>HLOOKUP(HLOOKUP(G400,'THP2'!$B$4:$J$8,5,FALSE),'Fuel &amp; Resister'!$B$3:$G$6,3,FALSE)</f>
        <v>13.019</v>
      </c>
      <c r="AO400" s="1">
        <v>1</v>
      </c>
      <c r="AP400" s="62">
        <v>0</v>
      </c>
    </row>
    <row r="401" spans="2:42" x14ac:dyDescent="0.15">
      <c r="B401" s="43" t="s">
        <v>642</v>
      </c>
      <c r="C401" s="61">
        <f>VLOOKUP(B401,[1]SYS!$F$5:$G$359,2,FALSE)</f>
        <v>278</v>
      </c>
      <c r="D401" s="1" t="s">
        <v>50</v>
      </c>
      <c r="E401" s="65" t="s">
        <v>539</v>
      </c>
      <c r="F401" s="63" t="s">
        <v>549</v>
      </c>
      <c r="G401" s="1">
        <v>3</v>
      </c>
      <c r="H401" s="1">
        <f t="shared" si="52"/>
        <v>0.49122807017543857</v>
      </c>
      <c r="I401" s="1">
        <f t="shared" si="53"/>
        <v>0.28499999999999998</v>
      </c>
      <c r="J401" s="1">
        <f t="shared" si="51"/>
        <v>2.0000000000000018E-2</v>
      </c>
      <c r="K401" s="1">
        <f t="shared" si="54"/>
        <v>1.9819800000000001</v>
      </c>
      <c r="L401" s="1">
        <f t="shared" si="55"/>
        <v>1.72</v>
      </c>
      <c r="M401" s="49">
        <f t="shared" si="64"/>
        <v>0.90245688215684761</v>
      </c>
      <c r="N401" s="49">
        <f t="shared" ref="N401:N412" si="68">AB401/100</f>
        <v>1.2378</v>
      </c>
      <c r="O401" s="1">
        <v>1113</v>
      </c>
      <c r="P401" s="51">
        <v>0.05</v>
      </c>
      <c r="Q401" s="51">
        <v>11</v>
      </c>
      <c r="R401" s="51">
        <v>1</v>
      </c>
      <c r="S401" s="1">
        <v>1</v>
      </c>
      <c r="T401" s="1">
        <v>0</v>
      </c>
      <c r="U401" s="47">
        <v>0</v>
      </c>
      <c r="V401" s="47"/>
      <c r="W401" s="41">
        <v>140</v>
      </c>
      <c r="X401">
        <v>285</v>
      </c>
      <c r="Y401">
        <v>0.98</v>
      </c>
      <c r="Z401">
        <v>1981.98</v>
      </c>
      <c r="AA401">
        <v>1720</v>
      </c>
      <c r="AB401">
        <v>123.78</v>
      </c>
      <c r="AC401">
        <v>36</v>
      </c>
      <c r="AD401" s="41">
        <f t="shared" si="56"/>
        <v>0.43390952481861572</v>
      </c>
      <c r="AE401" s="41">
        <f t="shared" si="57"/>
        <v>0.5</v>
      </c>
      <c r="AF401">
        <f t="shared" si="65"/>
        <v>1.4670537931034482</v>
      </c>
      <c r="AG401">
        <f t="shared" si="66"/>
        <v>7.2089668965517259E-2</v>
      </c>
      <c r="AH401">
        <f t="shared" si="67"/>
        <v>1.2378</v>
      </c>
      <c r="AI401">
        <f>HLOOKUP(HLOOKUP(G401,'THP2'!$B$4:$J$8,5,FALSE),'Fuel &amp; Resister'!$B$3:$G$6,4,FALSE)</f>
        <v>2.7360666666666664</v>
      </c>
      <c r="AJ401" s="41">
        <f>HLOOKUP(HLOOKUP(G401,'THP2'!$B$4:$J$8,5,FALSE),'Fuel &amp; Resister'!$B$3:$G$6,3,FALSE)</f>
        <v>13.019</v>
      </c>
      <c r="AO401" s="1">
        <v>1</v>
      </c>
      <c r="AP401" s="62">
        <v>0</v>
      </c>
    </row>
    <row r="402" spans="2:42" x14ac:dyDescent="0.15">
      <c r="B402" s="43" t="s">
        <v>642</v>
      </c>
      <c r="C402" s="61">
        <f>VLOOKUP(B402,[1]SYS!$F$5:$G$359,2,FALSE)</f>
        <v>278</v>
      </c>
      <c r="D402" s="1" t="s">
        <v>50</v>
      </c>
      <c r="E402" s="65" t="s">
        <v>539</v>
      </c>
      <c r="F402" s="63" t="s">
        <v>549</v>
      </c>
      <c r="G402" s="1">
        <v>3</v>
      </c>
      <c r="H402" s="1">
        <f t="shared" si="52"/>
        <v>0.49122807017543857</v>
      </c>
      <c r="I402" s="1">
        <f t="shared" si="53"/>
        <v>0.28499999999999998</v>
      </c>
      <c r="J402" s="1">
        <f t="shared" si="51"/>
        <v>2.0000000000000018E-2</v>
      </c>
      <c r="K402" s="1">
        <f t="shared" si="54"/>
        <v>1.9819800000000001</v>
      </c>
      <c r="L402" s="1">
        <f t="shared" si="55"/>
        <v>1.72</v>
      </c>
      <c r="M402" s="49">
        <f t="shared" si="64"/>
        <v>0.90245688215684761</v>
      </c>
      <c r="N402" s="49">
        <f t="shared" si="68"/>
        <v>1.2378</v>
      </c>
      <c r="O402" s="1">
        <v>903</v>
      </c>
      <c r="P402" s="51">
        <v>0.05</v>
      </c>
      <c r="Q402" s="51">
        <v>11</v>
      </c>
      <c r="R402" s="51">
        <v>1</v>
      </c>
      <c r="S402" s="1">
        <v>1</v>
      </c>
      <c r="T402" s="1">
        <v>0</v>
      </c>
      <c r="U402" s="47">
        <v>0</v>
      </c>
      <c r="V402" s="47"/>
      <c r="W402" s="41">
        <v>140</v>
      </c>
      <c r="X402">
        <v>285</v>
      </c>
      <c r="Y402">
        <v>0.98</v>
      </c>
      <c r="Z402">
        <v>1981.98</v>
      </c>
      <c r="AA402">
        <v>1720</v>
      </c>
      <c r="AB402">
        <v>123.78</v>
      </c>
      <c r="AC402">
        <v>36</v>
      </c>
      <c r="AD402" s="41">
        <f t="shared" si="56"/>
        <v>0.43390952481861572</v>
      </c>
      <c r="AE402" s="41">
        <f t="shared" si="57"/>
        <v>0.5</v>
      </c>
      <c r="AF402">
        <f t="shared" si="65"/>
        <v>1.4670537931034482</v>
      </c>
      <c r="AG402">
        <f t="shared" si="66"/>
        <v>7.2089668965517259E-2</v>
      </c>
      <c r="AH402">
        <f t="shared" si="67"/>
        <v>1.2378</v>
      </c>
      <c r="AI402">
        <f>HLOOKUP(HLOOKUP(G402,'THP2'!$B$4:$J$8,5,FALSE),'Fuel &amp; Resister'!$B$3:$G$6,4,FALSE)</f>
        <v>2.7360666666666664</v>
      </c>
      <c r="AJ402" s="41">
        <f>HLOOKUP(HLOOKUP(G402,'THP2'!$B$4:$J$8,5,FALSE),'Fuel &amp; Resister'!$B$3:$G$6,3,FALSE)</f>
        <v>13.019</v>
      </c>
      <c r="AO402" s="1">
        <v>1</v>
      </c>
      <c r="AP402" s="62">
        <v>0</v>
      </c>
    </row>
    <row r="403" spans="2:42" x14ac:dyDescent="0.15">
      <c r="B403" s="43" t="s">
        <v>642</v>
      </c>
      <c r="C403" s="61">
        <f>VLOOKUP(B403,[1]SYS!$F$5:$G$359,2,FALSE)</f>
        <v>278</v>
      </c>
      <c r="D403" s="1" t="s">
        <v>50</v>
      </c>
      <c r="E403" s="65" t="s">
        <v>539</v>
      </c>
      <c r="F403" s="63" t="s">
        <v>549</v>
      </c>
      <c r="G403" s="1">
        <v>3</v>
      </c>
      <c r="H403" s="1">
        <f t="shared" si="52"/>
        <v>0.49122807017543857</v>
      </c>
      <c r="I403" s="1">
        <f t="shared" si="53"/>
        <v>0.28499999999999998</v>
      </c>
      <c r="J403" s="1">
        <f t="shared" si="51"/>
        <v>2.0000000000000018E-2</v>
      </c>
      <c r="K403" s="1">
        <f t="shared" si="54"/>
        <v>1.9819800000000001</v>
      </c>
      <c r="L403" s="1">
        <f t="shared" si="55"/>
        <v>1.72</v>
      </c>
      <c r="M403" s="49">
        <f t="shared" si="64"/>
        <v>0.90245688215684761</v>
      </c>
      <c r="N403" s="49">
        <f t="shared" si="68"/>
        <v>1.2378</v>
      </c>
      <c r="O403" s="1">
        <v>1009</v>
      </c>
      <c r="P403" s="51">
        <v>0.05</v>
      </c>
      <c r="Q403" s="51">
        <v>11</v>
      </c>
      <c r="R403" s="51">
        <v>1</v>
      </c>
      <c r="S403" s="1">
        <v>1</v>
      </c>
      <c r="T403" s="1">
        <v>0</v>
      </c>
      <c r="U403" s="47">
        <v>0</v>
      </c>
      <c r="V403" s="47"/>
      <c r="W403" s="41">
        <v>140</v>
      </c>
      <c r="X403">
        <v>285</v>
      </c>
      <c r="Y403">
        <v>0.98</v>
      </c>
      <c r="Z403">
        <v>1981.98</v>
      </c>
      <c r="AA403">
        <v>1720</v>
      </c>
      <c r="AB403">
        <v>123.78</v>
      </c>
      <c r="AC403">
        <v>36</v>
      </c>
      <c r="AD403" s="41">
        <f t="shared" si="56"/>
        <v>0.43390952481861572</v>
      </c>
      <c r="AE403" s="41">
        <f t="shared" si="57"/>
        <v>0.5</v>
      </c>
      <c r="AF403">
        <f t="shared" si="65"/>
        <v>1.4670537931034482</v>
      </c>
      <c r="AG403">
        <f t="shared" si="66"/>
        <v>7.2089668965517259E-2</v>
      </c>
      <c r="AH403">
        <f t="shared" si="67"/>
        <v>1.2378</v>
      </c>
      <c r="AI403">
        <f>HLOOKUP(HLOOKUP(G403,'THP2'!$B$4:$J$8,5,FALSE),'Fuel &amp; Resister'!$B$3:$G$6,4,FALSE)</f>
        <v>2.7360666666666664</v>
      </c>
      <c r="AJ403" s="41">
        <f>HLOOKUP(HLOOKUP(G403,'THP2'!$B$4:$J$8,5,FALSE),'Fuel &amp; Resister'!$B$3:$G$6,3,FALSE)</f>
        <v>13.019</v>
      </c>
      <c r="AO403" s="1">
        <v>1</v>
      </c>
      <c r="AP403" s="62">
        <v>0</v>
      </c>
    </row>
    <row r="404" spans="2:42" x14ac:dyDescent="0.15">
      <c r="B404" s="43" t="s">
        <v>642</v>
      </c>
      <c r="C404" s="61">
        <f>VLOOKUP(B404,[1]SYS!$F$5:$G$359,2,FALSE)</f>
        <v>278</v>
      </c>
      <c r="D404" s="1" t="s">
        <v>50</v>
      </c>
      <c r="E404" s="65" t="s">
        <v>539</v>
      </c>
      <c r="F404" s="63" t="s">
        <v>549</v>
      </c>
      <c r="G404" s="1">
        <v>3</v>
      </c>
      <c r="H404" s="1">
        <f t="shared" si="52"/>
        <v>0.49122807017543857</v>
      </c>
      <c r="I404" s="1">
        <f t="shared" si="53"/>
        <v>0.28499999999999998</v>
      </c>
      <c r="J404" s="1">
        <f t="shared" si="51"/>
        <v>2.0000000000000018E-2</v>
      </c>
      <c r="K404" s="1">
        <f t="shared" si="54"/>
        <v>1.9819800000000001</v>
      </c>
      <c r="L404" s="1">
        <f t="shared" si="55"/>
        <v>1.72</v>
      </c>
      <c r="M404" s="49">
        <f t="shared" si="64"/>
        <v>0.90245688215684761</v>
      </c>
      <c r="N404" s="49">
        <f t="shared" si="68"/>
        <v>1.2378</v>
      </c>
      <c r="O404" s="1">
        <v>507</v>
      </c>
      <c r="P404" s="51">
        <v>0.05</v>
      </c>
      <c r="Q404" s="51">
        <v>11</v>
      </c>
      <c r="R404" s="51">
        <v>1</v>
      </c>
      <c r="S404" s="1">
        <v>1</v>
      </c>
      <c r="T404" s="1">
        <v>0</v>
      </c>
      <c r="U404" s="47">
        <v>0</v>
      </c>
      <c r="V404" s="47"/>
      <c r="W404" s="41">
        <v>140</v>
      </c>
      <c r="X404">
        <v>285</v>
      </c>
      <c r="Y404">
        <v>0.98</v>
      </c>
      <c r="Z404">
        <v>1981.98</v>
      </c>
      <c r="AA404">
        <v>1720</v>
      </c>
      <c r="AB404">
        <v>123.78</v>
      </c>
      <c r="AC404">
        <v>36</v>
      </c>
      <c r="AD404" s="41">
        <f t="shared" si="56"/>
        <v>0.43390952481861572</v>
      </c>
      <c r="AE404" s="41">
        <f t="shared" si="57"/>
        <v>0.5</v>
      </c>
      <c r="AF404">
        <f t="shared" si="65"/>
        <v>1.4670537931034482</v>
      </c>
      <c r="AG404">
        <f t="shared" si="66"/>
        <v>7.2089668965517259E-2</v>
      </c>
      <c r="AH404">
        <f t="shared" si="67"/>
        <v>1.2378</v>
      </c>
      <c r="AI404">
        <f>HLOOKUP(HLOOKUP(G404,'THP2'!$B$4:$J$8,5,FALSE),'Fuel &amp; Resister'!$B$3:$G$6,4,FALSE)</f>
        <v>2.7360666666666664</v>
      </c>
      <c r="AJ404" s="41">
        <f>HLOOKUP(HLOOKUP(G404,'THP2'!$B$4:$J$8,5,FALSE),'Fuel &amp; Resister'!$B$3:$G$6,3,FALSE)</f>
        <v>13.019</v>
      </c>
      <c r="AO404" s="1">
        <v>1</v>
      </c>
      <c r="AP404" s="62">
        <v>0</v>
      </c>
    </row>
    <row r="405" spans="2:42" x14ac:dyDescent="0.15">
      <c r="B405" s="43" t="s">
        <v>642</v>
      </c>
      <c r="C405" s="61">
        <f>VLOOKUP(B405,[1]SYS!$F$5:$G$359,2,FALSE)</f>
        <v>278</v>
      </c>
      <c r="D405" s="1" t="s">
        <v>50</v>
      </c>
      <c r="E405" s="65" t="s">
        <v>539</v>
      </c>
      <c r="F405" s="63" t="s">
        <v>549</v>
      </c>
      <c r="G405" s="1">
        <v>3</v>
      </c>
      <c r="H405" s="1">
        <f t="shared" si="52"/>
        <v>0.49122807017543857</v>
      </c>
      <c r="I405" s="1">
        <f t="shared" si="53"/>
        <v>0.28499999999999998</v>
      </c>
      <c r="J405" s="1">
        <f t="shared" si="51"/>
        <v>2.0000000000000018E-2</v>
      </c>
      <c r="K405" s="1">
        <f t="shared" si="54"/>
        <v>1.9819800000000001</v>
      </c>
      <c r="L405" s="1">
        <f t="shared" si="55"/>
        <v>1.72</v>
      </c>
      <c r="M405" s="49">
        <f t="shared" si="64"/>
        <v>0.90245688215684761</v>
      </c>
      <c r="N405" s="49">
        <f t="shared" si="68"/>
        <v>1.2378</v>
      </c>
      <c r="O405" s="1">
        <v>612</v>
      </c>
      <c r="P405" s="51">
        <v>0.05</v>
      </c>
      <c r="Q405" s="51">
        <v>11</v>
      </c>
      <c r="R405" s="51">
        <v>1</v>
      </c>
      <c r="S405" s="1">
        <v>1</v>
      </c>
      <c r="T405" s="1">
        <v>0</v>
      </c>
      <c r="U405" s="47">
        <v>0</v>
      </c>
      <c r="V405" s="47"/>
      <c r="W405" s="41">
        <v>140</v>
      </c>
      <c r="X405">
        <v>285</v>
      </c>
      <c r="Y405">
        <v>0.98</v>
      </c>
      <c r="Z405">
        <v>1981.98</v>
      </c>
      <c r="AA405">
        <v>1720</v>
      </c>
      <c r="AB405">
        <v>123.78</v>
      </c>
      <c r="AC405">
        <v>36</v>
      </c>
      <c r="AD405" s="41">
        <f t="shared" si="56"/>
        <v>0.43390952481861572</v>
      </c>
      <c r="AE405" s="41">
        <f t="shared" si="57"/>
        <v>0.5</v>
      </c>
      <c r="AF405">
        <f t="shared" si="65"/>
        <v>1.4670537931034482</v>
      </c>
      <c r="AG405">
        <f t="shared" si="66"/>
        <v>7.2089668965517259E-2</v>
      </c>
      <c r="AH405">
        <f t="shared" si="67"/>
        <v>1.2378</v>
      </c>
      <c r="AI405">
        <f>HLOOKUP(HLOOKUP(G405,'THP2'!$B$4:$J$8,5,FALSE),'Fuel &amp; Resister'!$B$3:$G$6,4,FALSE)</f>
        <v>2.7360666666666664</v>
      </c>
      <c r="AJ405" s="41">
        <f>HLOOKUP(HLOOKUP(G405,'THP2'!$B$4:$J$8,5,FALSE),'Fuel &amp; Resister'!$B$3:$G$6,3,FALSE)</f>
        <v>13.019</v>
      </c>
      <c r="AO405" s="1">
        <v>1</v>
      </c>
      <c r="AP405" s="62">
        <v>0</v>
      </c>
    </row>
    <row r="406" spans="2:42" x14ac:dyDescent="0.15">
      <c r="B406" s="43" t="s">
        <v>642</v>
      </c>
      <c r="C406" s="61">
        <f>VLOOKUP(B406,[1]SYS!$F$5:$G$359,2,FALSE)</f>
        <v>278</v>
      </c>
      <c r="D406" s="1" t="s">
        <v>50</v>
      </c>
      <c r="E406" s="65" t="s">
        <v>539</v>
      </c>
      <c r="F406" s="63" t="s">
        <v>549</v>
      </c>
      <c r="G406" s="1">
        <v>3</v>
      </c>
      <c r="H406" s="1">
        <f t="shared" si="52"/>
        <v>0.49122807017543857</v>
      </c>
      <c r="I406" s="1">
        <f t="shared" si="53"/>
        <v>0.28499999999999998</v>
      </c>
      <c r="J406" s="1">
        <f t="shared" si="51"/>
        <v>2.0000000000000018E-2</v>
      </c>
      <c r="K406" s="1">
        <f t="shared" si="54"/>
        <v>1.9819800000000001</v>
      </c>
      <c r="L406" s="1">
        <f t="shared" si="55"/>
        <v>1.72</v>
      </c>
      <c r="M406" s="49">
        <f t="shared" si="64"/>
        <v>0.90245688215684761</v>
      </c>
      <c r="N406" s="49">
        <f t="shared" si="68"/>
        <v>1.2378</v>
      </c>
      <c r="O406" s="1">
        <v>401</v>
      </c>
      <c r="P406" s="51">
        <v>0.05</v>
      </c>
      <c r="Q406" s="51">
        <v>11</v>
      </c>
      <c r="R406" s="51">
        <v>1</v>
      </c>
      <c r="S406" s="1">
        <v>1</v>
      </c>
      <c r="T406" s="1">
        <v>0</v>
      </c>
      <c r="U406" s="47">
        <v>0</v>
      </c>
      <c r="V406" s="47"/>
      <c r="W406" s="41">
        <v>140</v>
      </c>
      <c r="X406">
        <v>285</v>
      </c>
      <c r="Y406">
        <v>0.98</v>
      </c>
      <c r="Z406">
        <v>1981.98</v>
      </c>
      <c r="AA406">
        <v>1720</v>
      </c>
      <c r="AB406">
        <v>123.78</v>
      </c>
      <c r="AC406">
        <v>36</v>
      </c>
      <c r="AD406" s="41">
        <f t="shared" si="56"/>
        <v>0.43390952481861572</v>
      </c>
      <c r="AE406" s="41">
        <f t="shared" si="57"/>
        <v>0.5</v>
      </c>
      <c r="AF406">
        <f t="shared" si="65"/>
        <v>1.4670537931034482</v>
      </c>
      <c r="AG406">
        <f t="shared" si="66"/>
        <v>7.2089668965517259E-2</v>
      </c>
      <c r="AH406">
        <f t="shared" si="67"/>
        <v>1.2378</v>
      </c>
      <c r="AI406">
        <f>HLOOKUP(HLOOKUP(G406,'THP2'!$B$4:$J$8,5,FALSE),'Fuel &amp; Resister'!$B$3:$G$6,4,FALSE)</f>
        <v>2.7360666666666664</v>
      </c>
      <c r="AJ406" s="41">
        <f>HLOOKUP(HLOOKUP(G406,'THP2'!$B$4:$J$8,5,FALSE),'Fuel &amp; Resister'!$B$3:$G$6,3,FALSE)</f>
        <v>13.019</v>
      </c>
      <c r="AO406" s="1">
        <v>1</v>
      </c>
      <c r="AP406" s="62">
        <v>0</v>
      </c>
    </row>
    <row r="407" spans="2:42" x14ac:dyDescent="0.15">
      <c r="B407" s="43" t="s">
        <v>642</v>
      </c>
      <c r="C407" s="61">
        <f>VLOOKUP(B407,[1]SYS!$F$5:$G$359,2,FALSE)</f>
        <v>278</v>
      </c>
      <c r="D407" s="1" t="s">
        <v>50</v>
      </c>
      <c r="E407" s="65" t="s">
        <v>539</v>
      </c>
      <c r="F407" s="63" t="s">
        <v>549</v>
      </c>
      <c r="G407" s="1">
        <v>3</v>
      </c>
      <c r="H407" s="1">
        <f t="shared" si="52"/>
        <v>0.49122807017543857</v>
      </c>
      <c r="I407" s="1">
        <f t="shared" si="53"/>
        <v>0.28499999999999998</v>
      </c>
      <c r="J407" s="1">
        <f t="shared" si="51"/>
        <v>2.0000000000000018E-2</v>
      </c>
      <c r="K407" s="1">
        <f t="shared" si="54"/>
        <v>1.9819800000000001</v>
      </c>
      <c r="L407" s="1">
        <f t="shared" si="55"/>
        <v>1.72</v>
      </c>
      <c r="M407" s="49">
        <f t="shared" si="64"/>
        <v>0.90245688215684761</v>
      </c>
      <c r="N407" s="49">
        <f t="shared" si="68"/>
        <v>1.2378</v>
      </c>
      <c r="O407" s="1">
        <v>507</v>
      </c>
      <c r="P407" s="51">
        <v>0.05</v>
      </c>
      <c r="Q407" s="51">
        <v>11</v>
      </c>
      <c r="R407" s="51">
        <v>1</v>
      </c>
      <c r="S407" s="1">
        <v>1</v>
      </c>
      <c r="T407" s="1">
        <v>0</v>
      </c>
      <c r="U407" s="47">
        <v>0</v>
      </c>
      <c r="V407" s="47"/>
      <c r="W407" s="41">
        <v>140</v>
      </c>
      <c r="X407">
        <v>285</v>
      </c>
      <c r="Y407">
        <v>0.98</v>
      </c>
      <c r="Z407">
        <v>1981.98</v>
      </c>
      <c r="AA407">
        <v>1720</v>
      </c>
      <c r="AB407">
        <v>123.78</v>
      </c>
      <c r="AC407">
        <v>36</v>
      </c>
      <c r="AD407" s="41">
        <f t="shared" si="56"/>
        <v>0.43390952481861572</v>
      </c>
      <c r="AE407" s="41">
        <f t="shared" si="57"/>
        <v>0.5</v>
      </c>
      <c r="AF407">
        <f t="shared" si="65"/>
        <v>1.4670537931034482</v>
      </c>
      <c r="AG407">
        <f t="shared" si="66"/>
        <v>7.2089668965517259E-2</v>
      </c>
      <c r="AH407">
        <f t="shared" si="67"/>
        <v>1.2378</v>
      </c>
      <c r="AI407">
        <f>HLOOKUP(HLOOKUP(G407,'THP2'!$B$4:$J$8,5,FALSE),'Fuel &amp; Resister'!$B$3:$G$6,4,FALSE)</f>
        <v>2.7360666666666664</v>
      </c>
      <c r="AJ407" s="41">
        <f>HLOOKUP(HLOOKUP(G407,'THP2'!$B$4:$J$8,5,FALSE),'Fuel &amp; Resister'!$B$3:$G$6,3,FALSE)</f>
        <v>13.019</v>
      </c>
      <c r="AO407" s="1">
        <v>1</v>
      </c>
      <c r="AP407" s="62">
        <v>0</v>
      </c>
    </row>
    <row r="408" spans="2:42" x14ac:dyDescent="0.15">
      <c r="B408" s="43" t="s">
        <v>643</v>
      </c>
      <c r="C408" s="61">
        <f>VLOOKUP(B408,[1]SYS!$F$5:$G$359,2,FALSE)</f>
        <v>289</v>
      </c>
      <c r="D408" s="1" t="s">
        <v>50</v>
      </c>
      <c r="E408" s="65" t="s">
        <v>539</v>
      </c>
      <c r="F408" s="63" t="s">
        <v>566</v>
      </c>
      <c r="G408" s="1">
        <v>3</v>
      </c>
      <c r="H408" s="1">
        <f t="shared" si="52"/>
        <v>0.49122807017543857</v>
      </c>
      <c r="I408" s="1">
        <f t="shared" si="53"/>
        <v>0.28499999999999998</v>
      </c>
      <c r="J408" s="1">
        <f t="shared" si="51"/>
        <v>2.0000000000000018E-2</v>
      </c>
      <c r="K408" s="1">
        <f t="shared" si="54"/>
        <v>1.9819800000000001</v>
      </c>
      <c r="L408" s="1">
        <f t="shared" si="55"/>
        <v>1.72</v>
      </c>
      <c r="M408" s="49">
        <f t="shared" si="64"/>
        <v>0.90245688215684761</v>
      </c>
      <c r="N408" s="49">
        <f t="shared" si="68"/>
        <v>1.2378</v>
      </c>
      <c r="O408" s="1">
        <v>825</v>
      </c>
      <c r="P408" s="51">
        <v>0.05</v>
      </c>
      <c r="Q408" s="51">
        <v>11</v>
      </c>
      <c r="R408" s="51">
        <v>1</v>
      </c>
      <c r="S408" s="1">
        <v>1</v>
      </c>
      <c r="T408" s="1">
        <v>0</v>
      </c>
      <c r="U408" s="47">
        <v>0</v>
      </c>
      <c r="V408" s="47"/>
      <c r="W408" s="41">
        <v>140</v>
      </c>
      <c r="X408">
        <v>285</v>
      </c>
      <c r="Y408">
        <v>0.98</v>
      </c>
      <c r="Z408">
        <v>1981.98</v>
      </c>
      <c r="AA408">
        <v>1720</v>
      </c>
      <c r="AB408">
        <v>123.78</v>
      </c>
      <c r="AC408">
        <v>36</v>
      </c>
      <c r="AD408" s="41">
        <f t="shared" si="56"/>
        <v>0.43390952481861572</v>
      </c>
      <c r="AE408" s="41">
        <f t="shared" si="57"/>
        <v>0.5</v>
      </c>
      <c r="AF408">
        <f t="shared" si="65"/>
        <v>1.4670537931034482</v>
      </c>
      <c r="AG408">
        <f t="shared" si="66"/>
        <v>7.2089668965517259E-2</v>
      </c>
      <c r="AH408">
        <f t="shared" si="67"/>
        <v>1.2378</v>
      </c>
      <c r="AI408">
        <f>HLOOKUP(HLOOKUP(G408,'THP2'!$B$4:$J$8,5,FALSE),'Fuel &amp; Resister'!$B$3:$G$6,4,FALSE)</f>
        <v>2.7360666666666664</v>
      </c>
      <c r="AJ408" s="41">
        <f>HLOOKUP(HLOOKUP(G408,'THP2'!$B$4:$J$8,5,FALSE),'Fuel &amp; Resister'!$B$3:$G$6,3,FALSE)</f>
        <v>13.019</v>
      </c>
      <c r="AO408" s="1">
        <v>1</v>
      </c>
      <c r="AP408" s="62">
        <v>0</v>
      </c>
    </row>
    <row r="409" spans="2:42" x14ac:dyDescent="0.15">
      <c r="B409" s="43" t="s">
        <v>609</v>
      </c>
      <c r="C409" s="61">
        <f>VLOOKUP(B409,[1]SYS!$F$5:$G$359,2,FALSE)</f>
        <v>279</v>
      </c>
      <c r="D409" s="1" t="s">
        <v>50</v>
      </c>
      <c r="E409" s="65" t="s">
        <v>539</v>
      </c>
      <c r="F409" s="63" t="s">
        <v>564</v>
      </c>
      <c r="G409" s="1">
        <v>3</v>
      </c>
      <c r="H409" s="1">
        <f t="shared" si="52"/>
        <v>0.49122807017543857</v>
      </c>
      <c r="I409" s="1">
        <f t="shared" si="53"/>
        <v>0.28499999999999998</v>
      </c>
      <c r="J409" s="1">
        <f t="shared" si="51"/>
        <v>2.0000000000000018E-2</v>
      </c>
      <c r="K409" s="1">
        <f t="shared" si="54"/>
        <v>1.9819800000000001</v>
      </c>
      <c r="L409" s="1">
        <f t="shared" si="55"/>
        <v>1.72</v>
      </c>
      <c r="M409" s="49">
        <f t="shared" si="64"/>
        <v>0.90245688215684761</v>
      </c>
      <c r="N409" s="49">
        <f t="shared" si="68"/>
        <v>1.2378</v>
      </c>
      <c r="O409" s="1">
        <v>827</v>
      </c>
      <c r="P409" s="51">
        <v>0.05</v>
      </c>
      <c r="Q409" s="51">
        <v>11</v>
      </c>
      <c r="R409" s="51">
        <v>1</v>
      </c>
      <c r="S409" s="1">
        <v>1</v>
      </c>
      <c r="T409" s="1">
        <v>0</v>
      </c>
      <c r="U409" s="47">
        <v>0</v>
      </c>
      <c r="V409" s="47"/>
      <c r="W409" s="41">
        <v>140</v>
      </c>
      <c r="X409">
        <v>285</v>
      </c>
      <c r="Y409">
        <v>0.98</v>
      </c>
      <c r="Z409">
        <v>1981.98</v>
      </c>
      <c r="AA409">
        <v>1720</v>
      </c>
      <c r="AB409">
        <v>123.78</v>
      </c>
      <c r="AC409">
        <v>36</v>
      </c>
      <c r="AD409" s="41">
        <f t="shared" si="56"/>
        <v>0.43390952481861572</v>
      </c>
      <c r="AE409" s="41">
        <f t="shared" si="57"/>
        <v>0.5</v>
      </c>
      <c r="AF409">
        <f t="shared" si="65"/>
        <v>1.4670537931034482</v>
      </c>
      <c r="AG409">
        <f t="shared" si="66"/>
        <v>7.2089668965517259E-2</v>
      </c>
      <c r="AH409">
        <f t="shared" si="67"/>
        <v>1.2378</v>
      </c>
      <c r="AI409">
        <f>HLOOKUP(HLOOKUP(G409,'THP2'!$B$4:$J$8,5,FALSE),'Fuel &amp; Resister'!$B$3:$G$6,4,FALSE)</f>
        <v>2.7360666666666664</v>
      </c>
      <c r="AJ409" s="41">
        <f>HLOOKUP(HLOOKUP(G409,'THP2'!$B$4:$J$8,5,FALSE),'Fuel &amp; Resister'!$B$3:$G$6,3,FALSE)</f>
        <v>13.019</v>
      </c>
      <c r="AO409" s="1">
        <v>1</v>
      </c>
      <c r="AP409" s="62">
        <v>0</v>
      </c>
    </row>
    <row r="410" spans="2:42" x14ac:dyDescent="0.15">
      <c r="B410" s="43" t="s">
        <v>609</v>
      </c>
      <c r="C410" s="61">
        <f>VLOOKUP(B410,[1]SYS!$F$5:$G$359,2,FALSE)</f>
        <v>279</v>
      </c>
      <c r="D410" s="1" t="s">
        <v>50</v>
      </c>
      <c r="E410" s="65" t="s">
        <v>539</v>
      </c>
      <c r="F410" s="63" t="s">
        <v>565</v>
      </c>
      <c r="G410" s="1">
        <v>3</v>
      </c>
      <c r="H410" s="1">
        <f t="shared" si="52"/>
        <v>0.49122807017543857</v>
      </c>
      <c r="I410" s="1">
        <f t="shared" si="53"/>
        <v>0.28499999999999998</v>
      </c>
      <c r="J410" s="1">
        <f t="shared" si="51"/>
        <v>2.0000000000000018E-2</v>
      </c>
      <c r="K410" s="1">
        <f t="shared" si="54"/>
        <v>1.9819800000000001</v>
      </c>
      <c r="L410" s="1">
        <f t="shared" si="55"/>
        <v>1.72</v>
      </c>
      <c r="M410" s="49">
        <f t="shared" si="64"/>
        <v>0.90245688215684761</v>
      </c>
      <c r="N410" s="49">
        <f t="shared" si="68"/>
        <v>1.2378</v>
      </c>
      <c r="O410" s="1">
        <v>908</v>
      </c>
      <c r="P410" s="51">
        <v>0.05</v>
      </c>
      <c r="Q410" s="51">
        <v>11</v>
      </c>
      <c r="R410" s="51">
        <v>1</v>
      </c>
      <c r="S410" s="1">
        <v>1</v>
      </c>
      <c r="T410" s="1">
        <v>0</v>
      </c>
      <c r="U410" s="47">
        <v>0</v>
      </c>
      <c r="V410" s="47"/>
      <c r="W410" s="41">
        <v>140</v>
      </c>
      <c r="X410">
        <v>285</v>
      </c>
      <c r="Y410">
        <v>0.98</v>
      </c>
      <c r="Z410">
        <v>1981.98</v>
      </c>
      <c r="AA410">
        <v>1720</v>
      </c>
      <c r="AB410">
        <v>123.78</v>
      </c>
      <c r="AC410">
        <v>36</v>
      </c>
      <c r="AD410" s="41">
        <f t="shared" si="56"/>
        <v>0.43390952481861572</v>
      </c>
      <c r="AE410" s="41">
        <f t="shared" si="57"/>
        <v>0.5</v>
      </c>
      <c r="AF410">
        <f t="shared" si="65"/>
        <v>1.4670537931034482</v>
      </c>
      <c r="AG410">
        <f t="shared" si="66"/>
        <v>7.2089668965517259E-2</v>
      </c>
      <c r="AH410">
        <f t="shared" si="67"/>
        <v>1.2378</v>
      </c>
      <c r="AI410">
        <f>HLOOKUP(HLOOKUP(G410,'THP2'!$B$4:$J$8,5,FALSE),'Fuel &amp; Resister'!$B$3:$G$6,4,FALSE)</f>
        <v>2.7360666666666664</v>
      </c>
      <c r="AJ410" s="41">
        <f>HLOOKUP(HLOOKUP(G410,'THP2'!$B$4:$J$8,5,FALSE),'Fuel &amp; Resister'!$B$3:$G$6,3,FALSE)</f>
        <v>13.019</v>
      </c>
      <c r="AO410" s="1">
        <v>1</v>
      </c>
      <c r="AP410" s="62">
        <v>0</v>
      </c>
    </row>
    <row r="411" spans="2:42" x14ac:dyDescent="0.15">
      <c r="B411" s="43" t="s">
        <v>609</v>
      </c>
      <c r="C411" s="61">
        <f>VLOOKUP(B411,[1]SYS!$F$5:$G$359,2,FALSE)</f>
        <v>279</v>
      </c>
      <c r="D411" s="1" t="s">
        <v>50</v>
      </c>
      <c r="E411" s="65" t="s">
        <v>539</v>
      </c>
      <c r="F411" s="63" t="s">
        <v>564</v>
      </c>
      <c r="G411" s="1">
        <v>3</v>
      </c>
      <c r="H411" s="1">
        <f t="shared" si="52"/>
        <v>0.49122807017543857</v>
      </c>
      <c r="I411" s="1">
        <f t="shared" si="53"/>
        <v>0.28499999999999998</v>
      </c>
      <c r="J411" s="1">
        <f t="shared" si="51"/>
        <v>2.0000000000000018E-2</v>
      </c>
      <c r="K411" s="1">
        <f t="shared" si="54"/>
        <v>1.9819800000000001</v>
      </c>
      <c r="L411" s="1">
        <f t="shared" si="55"/>
        <v>1.72</v>
      </c>
      <c r="M411" s="49">
        <f t="shared" si="64"/>
        <v>0.90245688215684761</v>
      </c>
      <c r="N411" s="49">
        <f t="shared" si="68"/>
        <v>1.2378</v>
      </c>
      <c r="O411" s="1">
        <v>211</v>
      </c>
      <c r="P411" s="51">
        <v>0.05</v>
      </c>
      <c r="Q411" s="51">
        <v>11</v>
      </c>
      <c r="R411" s="51">
        <v>1</v>
      </c>
      <c r="S411" s="1">
        <v>1</v>
      </c>
      <c r="T411" s="1">
        <v>0</v>
      </c>
      <c r="U411" s="47">
        <v>0</v>
      </c>
      <c r="V411" s="47"/>
      <c r="W411" s="41">
        <v>140</v>
      </c>
      <c r="X411">
        <v>285</v>
      </c>
      <c r="Y411">
        <v>0.98</v>
      </c>
      <c r="Z411">
        <v>1981.98</v>
      </c>
      <c r="AA411">
        <v>1720</v>
      </c>
      <c r="AB411">
        <v>123.78</v>
      </c>
      <c r="AC411">
        <v>36</v>
      </c>
      <c r="AD411" s="41">
        <f t="shared" si="56"/>
        <v>0.43390952481861572</v>
      </c>
      <c r="AE411" s="41">
        <f t="shared" si="57"/>
        <v>0.5</v>
      </c>
      <c r="AF411">
        <f t="shared" si="65"/>
        <v>1.4670537931034482</v>
      </c>
      <c r="AG411">
        <f t="shared" si="66"/>
        <v>7.2089668965517259E-2</v>
      </c>
      <c r="AH411">
        <f t="shared" si="67"/>
        <v>1.2378</v>
      </c>
      <c r="AI411">
        <f>HLOOKUP(HLOOKUP(G411,'THP2'!$B$4:$J$8,5,FALSE),'Fuel &amp; Resister'!$B$3:$G$6,4,FALSE)</f>
        <v>2.7360666666666664</v>
      </c>
      <c r="AJ411" s="41">
        <f>HLOOKUP(HLOOKUP(G411,'THP2'!$B$4:$J$8,5,FALSE),'Fuel &amp; Resister'!$B$3:$G$6,3,FALSE)</f>
        <v>13.019</v>
      </c>
      <c r="AO411" s="1">
        <v>1</v>
      </c>
      <c r="AP411" s="62">
        <v>0</v>
      </c>
    </row>
    <row r="412" spans="2:42" x14ac:dyDescent="0.15">
      <c r="B412" s="43" t="s">
        <v>609</v>
      </c>
      <c r="C412" s="61">
        <f>VLOOKUP(B412,[1]SYS!$F$5:$G$359,2,FALSE)</f>
        <v>279</v>
      </c>
      <c r="D412" s="1" t="s">
        <v>50</v>
      </c>
      <c r="E412" s="65" t="s">
        <v>539</v>
      </c>
      <c r="F412" s="63" t="s">
        <v>564</v>
      </c>
      <c r="G412" s="1">
        <v>3</v>
      </c>
      <c r="H412" s="1">
        <f t="shared" si="52"/>
        <v>0.49122807017543857</v>
      </c>
      <c r="I412" s="1">
        <f t="shared" si="53"/>
        <v>0.28499999999999998</v>
      </c>
      <c r="J412" s="1">
        <f t="shared" si="51"/>
        <v>2.0000000000000018E-2</v>
      </c>
      <c r="K412" s="1">
        <f t="shared" si="54"/>
        <v>1.9819800000000001</v>
      </c>
      <c r="L412" s="1">
        <f t="shared" si="55"/>
        <v>1.72</v>
      </c>
      <c r="M412" s="49">
        <f t="shared" si="64"/>
        <v>0.90245688215684761</v>
      </c>
      <c r="N412" s="49">
        <f t="shared" si="68"/>
        <v>1.2378</v>
      </c>
      <c r="O412" s="1">
        <v>1217</v>
      </c>
      <c r="P412" s="51">
        <v>0.05</v>
      </c>
      <c r="Q412" s="51">
        <v>11</v>
      </c>
      <c r="R412" s="51">
        <v>1</v>
      </c>
      <c r="S412" s="1">
        <v>1</v>
      </c>
      <c r="T412" s="1">
        <v>0</v>
      </c>
      <c r="U412" s="47">
        <v>0</v>
      </c>
      <c r="V412" s="47"/>
      <c r="W412" s="41">
        <v>140</v>
      </c>
      <c r="X412">
        <v>285</v>
      </c>
      <c r="Y412">
        <v>0.98</v>
      </c>
      <c r="Z412">
        <v>1981.98</v>
      </c>
      <c r="AA412">
        <v>1720</v>
      </c>
      <c r="AB412">
        <v>123.78</v>
      </c>
      <c r="AC412">
        <v>36</v>
      </c>
      <c r="AD412" s="41">
        <f t="shared" si="56"/>
        <v>0.43390952481861572</v>
      </c>
      <c r="AE412" s="41">
        <f t="shared" si="57"/>
        <v>0.5</v>
      </c>
      <c r="AF412">
        <f t="shared" si="65"/>
        <v>1.4670537931034482</v>
      </c>
      <c r="AG412">
        <f t="shared" si="66"/>
        <v>7.2089668965517259E-2</v>
      </c>
      <c r="AH412">
        <f t="shared" si="67"/>
        <v>1.2378</v>
      </c>
      <c r="AI412">
        <f>HLOOKUP(HLOOKUP(G412,'THP2'!$B$4:$J$8,5,FALSE),'Fuel &amp; Resister'!$B$3:$G$6,4,FALSE)</f>
        <v>2.7360666666666664</v>
      </c>
      <c r="AJ412" s="41">
        <f>HLOOKUP(HLOOKUP(G412,'THP2'!$B$4:$J$8,5,FALSE),'Fuel &amp; Resister'!$B$3:$G$6,3,FALSE)</f>
        <v>13.019</v>
      </c>
      <c r="AO412" s="1">
        <v>1</v>
      </c>
      <c r="AP412" s="62">
        <v>0</v>
      </c>
    </row>
    <row r="413" spans="2:42" x14ac:dyDescent="0.15">
      <c r="B413" s="43" t="s">
        <v>617</v>
      </c>
      <c r="C413" s="61">
        <f>VLOOKUP(B413,[1]SYS!$F$5:$G$359,2,FALSE)</f>
        <v>324</v>
      </c>
      <c r="D413" s="1" t="s">
        <v>50</v>
      </c>
      <c r="E413" s="65" t="s">
        <v>289</v>
      </c>
      <c r="F413" s="63" t="s">
        <v>420</v>
      </c>
      <c r="G413" s="1">
        <v>3</v>
      </c>
      <c r="H413" s="1">
        <f t="shared" si="52"/>
        <v>0.26143790849673204</v>
      </c>
      <c r="I413" s="1">
        <f t="shared" si="53"/>
        <v>0.45900000000000002</v>
      </c>
      <c r="J413" s="1">
        <f t="shared" si="51"/>
        <v>2.0000000000000018E-2</v>
      </c>
      <c r="K413" s="1">
        <f t="shared" si="54"/>
        <v>2.56718</v>
      </c>
      <c r="L413" s="1">
        <f t="shared" si="55"/>
        <v>1.5779799999999999</v>
      </c>
      <c r="M413" s="49">
        <f t="shared" si="64"/>
        <v>1.3334211344467375</v>
      </c>
      <c r="N413" s="49">
        <v>1.4257</v>
      </c>
      <c r="O413" s="1">
        <v>413</v>
      </c>
      <c r="P413" s="51">
        <v>0.05</v>
      </c>
      <c r="Q413" s="51">
        <v>11</v>
      </c>
      <c r="R413" s="51">
        <v>1</v>
      </c>
      <c r="S413" s="1">
        <v>1</v>
      </c>
      <c r="T413" s="1">
        <v>0</v>
      </c>
      <c r="U413" s="47">
        <v>1</v>
      </c>
      <c r="V413" s="47">
        <v>312</v>
      </c>
      <c r="W413" s="41">
        <v>120</v>
      </c>
      <c r="X413">
        <v>459</v>
      </c>
      <c r="Y413">
        <v>0.98</v>
      </c>
      <c r="Z413">
        <v>2567.1799999999998</v>
      </c>
      <c r="AA413">
        <v>1577.98</v>
      </c>
      <c r="AB413">
        <v>142.57</v>
      </c>
      <c r="AC413">
        <v>36</v>
      </c>
      <c r="AD413" s="41">
        <f t="shared" si="56"/>
        <v>0.33499793547783951</v>
      </c>
      <c r="AE413" s="41">
        <f t="shared" si="57"/>
        <v>0.54500057034943405</v>
      </c>
      <c r="AF413">
        <f t="shared" si="58"/>
        <v>1.2278207079646015</v>
      </c>
      <c r="AG413">
        <f t="shared" si="59"/>
        <v>0.16072311504424788</v>
      </c>
      <c r="AH413">
        <f t="shared" si="60"/>
        <v>1.4257</v>
      </c>
      <c r="AI413">
        <f>HLOOKUP(HLOOKUP(G413,'THP2'!$B$4:$J$8,5,FALSE),'Fuel &amp; Resister'!$B$3:$G$6,4,FALSE)</f>
        <v>2.7360666666666664</v>
      </c>
      <c r="AJ413" s="41">
        <f>HLOOKUP(HLOOKUP(G413,'THP2'!$B$4:$J$8,5,FALSE),'Fuel &amp; Resister'!$B$3:$G$6,3,FALSE)</f>
        <v>13.019</v>
      </c>
      <c r="AO413" s="1">
        <v>1</v>
      </c>
      <c r="AP413" s="1">
        <v>1</v>
      </c>
    </row>
    <row r="414" spans="2:42" x14ac:dyDescent="0.15">
      <c r="B414" s="43" t="s">
        <v>618</v>
      </c>
      <c r="C414" s="61">
        <f>VLOOKUP(B414,[1]SYS!$F$5:$G$359,2,FALSE)</f>
        <v>308</v>
      </c>
      <c r="D414" s="1" t="s">
        <v>50</v>
      </c>
      <c r="E414" s="65" t="s">
        <v>290</v>
      </c>
      <c r="F414" s="63" t="s">
        <v>450</v>
      </c>
      <c r="G414" s="1">
        <v>3</v>
      </c>
      <c r="H414" s="1">
        <f t="shared" si="52"/>
        <v>0.4</v>
      </c>
      <c r="I414" s="1">
        <f t="shared" si="53"/>
        <v>0.4</v>
      </c>
      <c r="J414" s="1">
        <f t="shared" si="51"/>
        <v>2.0000000000000018E-2</v>
      </c>
      <c r="K414" s="1">
        <f t="shared" si="54"/>
        <v>2.1574800000000001</v>
      </c>
      <c r="L414" s="1">
        <f t="shared" si="55"/>
        <v>1.6538499999999998</v>
      </c>
      <c r="M414" s="49">
        <f t="shared" si="64"/>
        <v>1.2178933615300711</v>
      </c>
      <c r="N414" s="49">
        <v>1.3619999999999999</v>
      </c>
      <c r="O414" s="1">
        <v>514</v>
      </c>
      <c r="P414" s="51">
        <v>0.05</v>
      </c>
      <c r="Q414" s="51">
        <v>11</v>
      </c>
      <c r="R414" s="51">
        <v>1</v>
      </c>
      <c r="S414" s="1">
        <v>1</v>
      </c>
      <c r="T414" s="1">
        <v>0</v>
      </c>
      <c r="U414" s="47">
        <v>1</v>
      </c>
      <c r="V414" s="47">
        <v>313</v>
      </c>
      <c r="W414" s="41">
        <v>160</v>
      </c>
      <c r="X414">
        <v>400</v>
      </c>
      <c r="Y414">
        <v>0.98</v>
      </c>
      <c r="Z414">
        <v>2157.48</v>
      </c>
      <c r="AA414">
        <v>1653.85</v>
      </c>
      <c r="AB414">
        <v>136.19999999999999</v>
      </c>
      <c r="AC414">
        <v>36</v>
      </c>
      <c r="AD414" s="41">
        <f t="shared" si="56"/>
        <v>0.39861319687783897</v>
      </c>
      <c r="AE414" s="41">
        <f t="shared" si="57"/>
        <v>0.51999879070048671</v>
      </c>
      <c r="AF414">
        <f t="shared" si="58"/>
        <v>1.3180966666666663</v>
      </c>
      <c r="AG414">
        <f t="shared" si="59"/>
        <v>0.13430133333333344</v>
      </c>
      <c r="AH414">
        <f t="shared" si="60"/>
        <v>1.3619999999999999</v>
      </c>
      <c r="AI414">
        <f>HLOOKUP(HLOOKUP(G414,'THP2'!$B$4:$J$8,5,FALSE),'Fuel &amp; Resister'!$B$3:$G$6,4,FALSE)</f>
        <v>2.7360666666666664</v>
      </c>
      <c r="AJ414" s="41">
        <f>HLOOKUP(HLOOKUP(G414,'THP2'!$B$4:$J$8,5,FALSE),'Fuel &amp; Resister'!$B$3:$G$6,3,FALSE)</f>
        <v>13.019</v>
      </c>
      <c r="AO414" s="1">
        <v>1</v>
      </c>
      <c r="AP414" s="1">
        <v>1</v>
      </c>
    </row>
    <row r="415" spans="2:42" x14ac:dyDescent="0.15">
      <c r="B415" s="43" t="s">
        <v>618</v>
      </c>
      <c r="C415" s="61">
        <f>VLOOKUP(B415,[1]SYS!$F$5:$G$359,2,FALSE)</f>
        <v>308</v>
      </c>
      <c r="D415" s="1" t="s">
        <v>50</v>
      </c>
      <c r="E415" s="65" t="s">
        <v>291</v>
      </c>
      <c r="F415" s="63" t="s">
        <v>450</v>
      </c>
      <c r="G415" s="1">
        <v>3</v>
      </c>
      <c r="H415" s="1">
        <f t="shared" si="52"/>
        <v>0.4</v>
      </c>
      <c r="I415" s="1">
        <f t="shared" si="53"/>
        <v>0.4</v>
      </c>
      <c r="J415" s="1">
        <f t="shared" si="51"/>
        <v>2.0000000000000018E-2</v>
      </c>
      <c r="K415" s="1">
        <f t="shared" si="54"/>
        <v>2.1574800000000001</v>
      </c>
      <c r="L415" s="1">
        <f t="shared" si="55"/>
        <v>1.6538499999999998</v>
      </c>
      <c r="M415" s="49">
        <f t="shared" si="64"/>
        <v>1.2178933615300711</v>
      </c>
      <c r="N415" s="49">
        <v>1.3619999999999999</v>
      </c>
      <c r="O415" s="1">
        <v>1113</v>
      </c>
      <c r="P415" s="51">
        <v>0.05</v>
      </c>
      <c r="Q415" s="51">
        <v>11</v>
      </c>
      <c r="R415" s="51">
        <v>1</v>
      </c>
      <c r="S415" s="1">
        <v>1</v>
      </c>
      <c r="T415" s="1">
        <v>0</v>
      </c>
      <c r="U415" s="47">
        <v>1</v>
      </c>
      <c r="V415" s="47">
        <v>314</v>
      </c>
      <c r="W415" s="41">
        <v>160</v>
      </c>
      <c r="X415">
        <v>400</v>
      </c>
      <c r="Y415">
        <v>0.98</v>
      </c>
      <c r="Z415">
        <v>2157.48</v>
      </c>
      <c r="AA415">
        <v>1653.85</v>
      </c>
      <c r="AB415">
        <v>136.19999999999999</v>
      </c>
      <c r="AC415">
        <v>36</v>
      </c>
      <c r="AD415" s="41">
        <f t="shared" si="56"/>
        <v>0.39861319687783897</v>
      </c>
      <c r="AE415" s="41">
        <f t="shared" si="57"/>
        <v>0.51999879070048671</v>
      </c>
      <c r="AF415">
        <f t="shared" si="58"/>
        <v>1.3180966666666663</v>
      </c>
      <c r="AG415">
        <f t="shared" si="59"/>
        <v>0.13430133333333344</v>
      </c>
      <c r="AH415">
        <f t="shared" si="60"/>
        <v>1.3619999999999999</v>
      </c>
      <c r="AI415">
        <f>HLOOKUP(HLOOKUP(G415,'THP2'!$B$4:$J$8,5,FALSE),'Fuel &amp; Resister'!$B$3:$G$6,4,FALSE)</f>
        <v>2.7360666666666664</v>
      </c>
      <c r="AJ415" s="41">
        <f>HLOOKUP(HLOOKUP(G415,'THP2'!$B$4:$J$8,5,FALSE),'Fuel &amp; Resister'!$B$3:$G$6,3,FALSE)</f>
        <v>13.019</v>
      </c>
      <c r="AO415" s="1">
        <v>1</v>
      </c>
      <c r="AP415" s="1">
        <v>1</v>
      </c>
    </row>
    <row r="416" spans="2:42" x14ac:dyDescent="0.15">
      <c r="B416" s="43" t="s">
        <v>618</v>
      </c>
      <c r="C416" s="61">
        <f>VLOOKUP(B416,[1]SYS!$F$5:$G$359,2,FALSE)</f>
        <v>308</v>
      </c>
      <c r="D416" s="1" t="s">
        <v>50</v>
      </c>
      <c r="E416" s="65" t="s">
        <v>292</v>
      </c>
      <c r="F416" s="63" t="s">
        <v>450</v>
      </c>
      <c r="G416" s="1">
        <v>3</v>
      </c>
      <c r="H416" s="1">
        <f t="shared" si="52"/>
        <v>0.4</v>
      </c>
      <c r="I416" s="1">
        <f t="shared" si="53"/>
        <v>0.4</v>
      </c>
      <c r="J416" s="1">
        <f t="shared" si="51"/>
        <v>2.0000000000000018E-2</v>
      </c>
      <c r="K416" s="1">
        <f t="shared" si="54"/>
        <v>2.1574800000000001</v>
      </c>
      <c r="L416" s="1">
        <f t="shared" si="55"/>
        <v>1.6538499999999998</v>
      </c>
      <c r="M416" s="49">
        <f t="shared" si="64"/>
        <v>1.2178933615300711</v>
      </c>
      <c r="N416" s="49">
        <v>1.3619999999999999</v>
      </c>
      <c r="O416" s="6">
        <v>314</v>
      </c>
      <c r="P416" s="51">
        <v>0.05</v>
      </c>
      <c r="Q416" s="51">
        <v>11</v>
      </c>
      <c r="R416" s="51">
        <v>1</v>
      </c>
      <c r="S416" s="1">
        <v>1</v>
      </c>
      <c r="T416" s="1">
        <v>0</v>
      </c>
      <c r="U416" s="47">
        <v>1</v>
      </c>
      <c r="V416" s="47">
        <v>315</v>
      </c>
      <c r="W416" s="41">
        <v>160</v>
      </c>
      <c r="X416">
        <v>400</v>
      </c>
      <c r="Y416">
        <v>0.98</v>
      </c>
      <c r="Z416">
        <v>2157.48</v>
      </c>
      <c r="AA416">
        <v>1653.85</v>
      </c>
      <c r="AB416">
        <v>136.19999999999999</v>
      </c>
      <c r="AC416">
        <v>36</v>
      </c>
      <c r="AD416" s="41">
        <f t="shared" si="56"/>
        <v>0.39861319687783897</v>
      </c>
      <c r="AE416" s="41">
        <f t="shared" si="57"/>
        <v>0.51999879070048671</v>
      </c>
      <c r="AF416">
        <f t="shared" si="58"/>
        <v>1.3180966666666663</v>
      </c>
      <c r="AG416">
        <f t="shared" si="59"/>
        <v>0.13430133333333344</v>
      </c>
      <c r="AH416">
        <f t="shared" si="60"/>
        <v>1.3619999999999999</v>
      </c>
      <c r="AI416">
        <f>HLOOKUP(HLOOKUP(G416,'THP2'!$B$4:$J$8,5,FALSE),'Fuel &amp; Resister'!$B$3:$G$6,4,FALSE)</f>
        <v>2.7360666666666664</v>
      </c>
      <c r="AJ416" s="41">
        <f>HLOOKUP(HLOOKUP(G416,'THP2'!$B$4:$J$8,5,FALSE),'Fuel &amp; Resister'!$B$3:$G$6,3,FALSE)</f>
        <v>13.019</v>
      </c>
      <c r="AO416" s="1">
        <v>1</v>
      </c>
      <c r="AP416" s="1">
        <v>1</v>
      </c>
    </row>
    <row r="417" spans="2:42" x14ac:dyDescent="0.15">
      <c r="B417" s="43" t="s">
        <v>618</v>
      </c>
      <c r="C417" s="61">
        <f>VLOOKUP(B417,[1]SYS!$F$5:$G$359,2,FALSE)</f>
        <v>308</v>
      </c>
      <c r="D417" s="1" t="s">
        <v>50</v>
      </c>
      <c r="E417" s="65" t="s">
        <v>293</v>
      </c>
      <c r="F417" s="63" t="s">
        <v>450</v>
      </c>
      <c r="G417" s="1">
        <v>3</v>
      </c>
      <c r="H417" s="1">
        <f t="shared" si="52"/>
        <v>0.4</v>
      </c>
      <c r="I417" s="1">
        <f t="shared" si="53"/>
        <v>0.4</v>
      </c>
      <c r="J417" s="1">
        <f t="shared" si="51"/>
        <v>2.0000000000000018E-2</v>
      </c>
      <c r="K417" s="1">
        <f t="shared" si="54"/>
        <v>2.1574800000000001</v>
      </c>
      <c r="L417" s="1">
        <f t="shared" si="55"/>
        <v>1.6538499999999998</v>
      </c>
      <c r="M417" s="49">
        <f t="shared" si="64"/>
        <v>1.2178933615300711</v>
      </c>
      <c r="N417" s="49">
        <v>1.3619999999999999</v>
      </c>
      <c r="O417" s="1">
        <v>514</v>
      </c>
      <c r="P417" s="51">
        <v>0.05</v>
      </c>
      <c r="Q417" s="51">
        <v>11</v>
      </c>
      <c r="R417" s="51">
        <v>1</v>
      </c>
      <c r="S417" s="1">
        <v>1</v>
      </c>
      <c r="T417" s="1">
        <v>0</v>
      </c>
      <c r="U417" s="47">
        <v>1</v>
      </c>
      <c r="V417" s="47">
        <v>316</v>
      </c>
      <c r="W417" s="41">
        <v>160</v>
      </c>
      <c r="X417">
        <v>400</v>
      </c>
      <c r="Y417">
        <v>0.98</v>
      </c>
      <c r="Z417">
        <v>2157.48</v>
      </c>
      <c r="AA417">
        <v>1653.85</v>
      </c>
      <c r="AB417">
        <v>136.19999999999999</v>
      </c>
      <c r="AC417">
        <v>36</v>
      </c>
      <c r="AD417" s="41">
        <f t="shared" si="56"/>
        <v>0.39861319687783897</v>
      </c>
      <c r="AE417" s="41">
        <f t="shared" si="57"/>
        <v>0.51999879070048671</v>
      </c>
      <c r="AF417">
        <f t="shared" si="58"/>
        <v>1.3180966666666663</v>
      </c>
      <c r="AG417">
        <f t="shared" si="59"/>
        <v>0.13430133333333344</v>
      </c>
      <c r="AH417">
        <f t="shared" si="60"/>
        <v>1.3619999999999999</v>
      </c>
      <c r="AI417">
        <f>HLOOKUP(HLOOKUP(G417,'THP2'!$B$4:$J$8,5,FALSE),'Fuel &amp; Resister'!$B$3:$G$6,4,FALSE)</f>
        <v>2.7360666666666664</v>
      </c>
      <c r="AJ417" s="41">
        <f>HLOOKUP(HLOOKUP(G417,'THP2'!$B$4:$J$8,5,FALSE),'Fuel &amp; Resister'!$B$3:$G$6,3,FALSE)</f>
        <v>13.019</v>
      </c>
      <c r="AO417" s="1">
        <v>1</v>
      </c>
      <c r="AP417" s="1">
        <v>1</v>
      </c>
    </row>
    <row r="418" spans="2:42" x14ac:dyDescent="0.15">
      <c r="B418" s="43" t="s">
        <v>617</v>
      </c>
      <c r="C418" s="61">
        <f>VLOOKUP(B418,[1]SYS!$F$5:$G$359,2,FALSE)</f>
        <v>324</v>
      </c>
      <c r="D418" s="1" t="s">
        <v>50</v>
      </c>
      <c r="E418" s="42" t="s">
        <v>294</v>
      </c>
      <c r="F418" s="63" t="s">
        <v>420</v>
      </c>
      <c r="G418" s="1">
        <v>3</v>
      </c>
      <c r="H418" s="1">
        <f t="shared" si="52"/>
        <v>0.24897959183673468</v>
      </c>
      <c r="I418" s="1">
        <f t="shared" si="53"/>
        <v>0.245</v>
      </c>
      <c r="J418" s="1">
        <f t="shared" si="51"/>
        <v>2.3399999999999976E-2</v>
      </c>
      <c r="K418" s="1">
        <f t="shared" si="54"/>
        <v>2.9363699999999997</v>
      </c>
      <c r="L418" s="1">
        <f t="shared" si="55"/>
        <v>1.80491</v>
      </c>
      <c r="M418" s="49">
        <f t="shared" si="64"/>
        <v>0.81409444214108606</v>
      </c>
      <c r="N418" s="49">
        <v>1.1947000000000001</v>
      </c>
      <c r="O418" s="6">
        <v>314</v>
      </c>
      <c r="P418" s="51">
        <v>0.05</v>
      </c>
      <c r="Q418" s="51">
        <v>11</v>
      </c>
      <c r="R418" s="51">
        <v>1</v>
      </c>
      <c r="S418" s="1">
        <v>1</v>
      </c>
      <c r="T418" s="1">
        <v>0</v>
      </c>
      <c r="U418" s="47">
        <v>0</v>
      </c>
      <c r="V418" s="47">
        <v>317</v>
      </c>
      <c r="W418" s="41">
        <v>61</v>
      </c>
      <c r="X418">
        <v>245</v>
      </c>
      <c r="Y418">
        <v>0.97660000000000002</v>
      </c>
      <c r="Z418">
        <v>2936.37</v>
      </c>
      <c r="AA418">
        <v>1804.91</v>
      </c>
      <c r="AB418">
        <v>119.47</v>
      </c>
      <c r="AC418">
        <v>36</v>
      </c>
      <c r="AD418" s="41">
        <f t="shared" si="56"/>
        <v>0.29287862224447192</v>
      </c>
      <c r="AE418" s="41">
        <f t="shared" si="57"/>
        <v>0.47647805153719575</v>
      </c>
      <c r="AF418">
        <f t="shared" si="58"/>
        <v>1.4298064130434784</v>
      </c>
      <c r="AG418">
        <f t="shared" si="59"/>
        <v>9.1900378804347788E-2</v>
      </c>
      <c r="AH418">
        <f t="shared" si="60"/>
        <v>1.1947000000000001</v>
      </c>
      <c r="AI418">
        <f>HLOOKUP(HLOOKUP(G418,'THP2'!$B$4:$J$8,5,FALSE),'Fuel &amp; Resister'!$B$3:$G$6,4,FALSE)</f>
        <v>2.7360666666666664</v>
      </c>
      <c r="AJ418" s="41">
        <f>HLOOKUP(HLOOKUP(G418,'THP2'!$B$4:$J$8,5,FALSE),'Fuel &amp; Resister'!$B$3:$G$6,3,FALSE)</f>
        <v>13.019</v>
      </c>
      <c r="AO418" s="62">
        <v>0</v>
      </c>
      <c r="AP418" s="62">
        <v>0</v>
      </c>
    </row>
    <row r="419" spans="2:42" x14ac:dyDescent="0.15">
      <c r="B419" s="43" t="s">
        <v>617</v>
      </c>
      <c r="C419" s="61">
        <f>VLOOKUP(B419,[1]SYS!$F$5:$G$359,2,FALSE)</f>
        <v>324</v>
      </c>
      <c r="D419" s="1" t="s">
        <v>50</v>
      </c>
      <c r="E419" s="42" t="s">
        <v>295</v>
      </c>
      <c r="F419" s="63" t="s">
        <v>420</v>
      </c>
      <c r="G419" s="1">
        <v>3</v>
      </c>
      <c r="H419" s="1">
        <f t="shared" si="52"/>
        <v>0.24897959183673468</v>
      </c>
      <c r="I419" s="1">
        <f t="shared" si="53"/>
        <v>0.245</v>
      </c>
      <c r="J419" s="1">
        <f t="shared" si="51"/>
        <v>2.3399999999999976E-2</v>
      </c>
      <c r="K419" s="1">
        <f t="shared" si="54"/>
        <v>2.9363699999999997</v>
      </c>
      <c r="L419" s="1">
        <f t="shared" si="55"/>
        <v>1.80491</v>
      </c>
      <c r="M419" s="49">
        <f t="shared" si="64"/>
        <v>0.81409444214108606</v>
      </c>
      <c r="N419" s="49">
        <v>1.1947000000000001</v>
      </c>
      <c r="O419" s="1">
        <v>211</v>
      </c>
      <c r="P419" s="51">
        <v>0.05</v>
      </c>
      <c r="Q419" s="51">
        <v>11</v>
      </c>
      <c r="R419" s="51">
        <v>1</v>
      </c>
      <c r="S419" s="1">
        <v>1</v>
      </c>
      <c r="T419" s="1">
        <v>0</v>
      </c>
      <c r="U419" s="47">
        <v>0</v>
      </c>
      <c r="V419" s="47">
        <v>318</v>
      </c>
      <c r="W419" s="41">
        <v>61</v>
      </c>
      <c r="X419">
        <v>245</v>
      </c>
      <c r="Y419">
        <v>0.97660000000000002</v>
      </c>
      <c r="Z419">
        <v>2936.37</v>
      </c>
      <c r="AA419">
        <v>1804.91</v>
      </c>
      <c r="AB419">
        <v>119.47</v>
      </c>
      <c r="AC419">
        <v>36</v>
      </c>
      <c r="AD419" s="41">
        <f t="shared" si="56"/>
        <v>0.29287862224447192</v>
      </c>
      <c r="AE419" s="41">
        <f t="shared" si="57"/>
        <v>0.47647805153719575</v>
      </c>
      <c r="AF419">
        <f t="shared" si="58"/>
        <v>1.4298064130434784</v>
      </c>
      <c r="AG419">
        <f t="shared" si="59"/>
        <v>9.1900378804347788E-2</v>
      </c>
      <c r="AH419">
        <f t="shared" si="60"/>
        <v>1.1947000000000001</v>
      </c>
      <c r="AI419">
        <f>HLOOKUP(HLOOKUP(G419,'THP2'!$B$4:$J$8,5,FALSE),'Fuel &amp; Resister'!$B$3:$G$6,4,FALSE)</f>
        <v>2.7360666666666664</v>
      </c>
      <c r="AJ419" s="41">
        <f>HLOOKUP(HLOOKUP(G419,'THP2'!$B$4:$J$8,5,FALSE),'Fuel &amp; Resister'!$B$3:$G$6,3,FALSE)</f>
        <v>13.019</v>
      </c>
      <c r="AO419" s="62">
        <v>0</v>
      </c>
      <c r="AP419" s="62">
        <v>0</v>
      </c>
    </row>
    <row r="420" spans="2:42" x14ac:dyDescent="0.15">
      <c r="B420" s="43" t="s">
        <v>617</v>
      </c>
      <c r="C420" s="61">
        <f>VLOOKUP(B420,[1]SYS!$F$5:$G$359,2,FALSE)</f>
        <v>324</v>
      </c>
      <c r="D420" s="1" t="s">
        <v>50</v>
      </c>
      <c r="E420" s="42" t="s">
        <v>296</v>
      </c>
      <c r="F420" s="63" t="s">
        <v>420</v>
      </c>
      <c r="G420" s="1">
        <v>3</v>
      </c>
      <c r="H420" s="1">
        <f t="shared" si="52"/>
        <v>0.24897959183673468</v>
      </c>
      <c r="I420" s="1">
        <f t="shared" si="53"/>
        <v>0.245</v>
      </c>
      <c r="J420" s="1">
        <f t="shared" si="51"/>
        <v>2.3399999999999976E-2</v>
      </c>
      <c r="K420" s="1">
        <f t="shared" si="54"/>
        <v>2.9363699999999997</v>
      </c>
      <c r="L420" s="1">
        <f t="shared" si="55"/>
        <v>1.80491</v>
      </c>
      <c r="M420" s="49">
        <f t="shared" si="64"/>
        <v>0.81409444214108606</v>
      </c>
      <c r="N420" s="49">
        <v>1.1947000000000001</v>
      </c>
      <c r="O420" s="1">
        <v>1113</v>
      </c>
      <c r="P420" s="51">
        <v>0.05</v>
      </c>
      <c r="Q420" s="51">
        <v>11</v>
      </c>
      <c r="R420" s="51">
        <v>1</v>
      </c>
      <c r="S420" s="1">
        <v>1</v>
      </c>
      <c r="T420" s="1">
        <v>0</v>
      </c>
      <c r="U420" s="47">
        <v>0</v>
      </c>
      <c r="V420" s="47">
        <v>319</v>
      </c>
      <c r="W420" s="41">
        <v>61</v>
      </c>
      <c r="X420">
        <v>245</v>
      </c>
      <c r="Y420">
        <v>0.97660000000000002</v>
      </c>
      <c r="Z420">
        <v>2936.37</v>
      </c>
      <c r="AA420">
        <v>1804.91</v>
      </c>
      <c r="AB420">
        <v>119.47</v>
      </c>
      <c r="AC420">
        <v>36</v>
      </c>
      <c r="AD420" s="41">
        <f t="shared" si="56"/>
        <v>0.29287862224447192</v>
      </c>
      <c r="AE420" s="41">
        <f t="shared" si="57"/>
        <v>0.47647805153719575</v>
      </c>
      <c r="AF420">
        <f t="shared" si="58"/>
        <v>1.4298064130434784</v>
      </c>
      <c r="AG420">
        <f t="shared" si="59"/>
        <v>9.1900378804347788E-2</v>
      </c>
      <c r="AH420">
        <f t="shared" si="60"/>
        <v>1.1947000000000001</v>
      </c>
      <c r="AI420">
        <f>HLOOKUP(HLOOKUP(G420,'THP2'!$B$4:$J$8,5,FALSE),'Fuel &amp; Resister'!$B$3:$G$6,4,FALSE)</f>
        <v>2.7360666666666664</v>
      </c>
      <c r="AJ420" s="41">
        <f>HLOOKUP(HLOOKUP(G420,'THP2'!$B$4:$J$8,5,FALSE),'Fuel &amp; Resister'!$B$3:$G$6,3,FALSE)</f>
        <v>13.019</v>
      </c>
      <c r="AO420" s="62">
        <v>0</v>
      </c>
      <c r="AP420" s="62">
        <v>0</v>
      </c>
    </row>
    <row r="421" spans="2:42" x14ac:dyDescent="0.15">
      <c r="B421" s="43" t="s">
        <v>617</v>
      </c>
      <c r="C421" s="61">
        <f>VLOOKUP(B421,[1]SYS!$F$5:$G$359,2,FALSE)</f>
        <v>324</v>
      </c>
      <c r="D421" s="1" t="s">
        <v>50</v>
      </c>
      <c r="E421" s="42" t="s">
        <v>297</v>
      </c>
      <c r="F421" s="63" t="s">
        <v>420</v>
      </c>
      <c r="G421" s="1">
        <v>3</v>
      </c>
      <c r="H421" s="1">
        <f t="shared" si="52"/>
        <v>0.23478260869565218</v>
      </c>
      <c r="I421" s="1">
        <f t="shared" si="53"/>
        <v>0.23</v>
      </c>
      <c r="J421" s="1">
        <f t="shared" si="51"/>
        <v>2.4800000000000044E-2</v>
      </c>
      <c r="K421" s="1">
        <f t="shared" si="54"/>
        <v>3.03078</v>
      </c>
      <c r="L421" s="1">
        <f t="shared" si="55"/>
        <v>1.86294</v>
      </c>
      <c r="M421" s="49">
        <f t="shared" si="64"/>
        <v>0.78882353229378588</v>
      </c>
      <c r="N421" s="49">
        <v>1.1787000000000001</v>
      </c>
      <c r="O421" s="1">
        <v>1113</v>
      </c>
      <c r="P421" s="51">
        <v>0.05</v>
      </c>
      <c r="Q421" s="51">
        <v>11</v>
      </c>
      <c r="R421" s="51">
        <v>1</v>
      </c>
      <c r="S421" s="1">
        <v>1</v>
      </c>
      <c r="T421" s="1">
        <v>0</v>
      </c>
      <c r="U421" s="47">
        <v>0</v>
      </c>
      <c r="V421" s="47">
        <v>320</v>
      </c>
      <c r="W421" s="41">
        <v>54</v>
      </c>
      <c r="X421">
        <v>230</v>
      </c>
      <c r="Y421">
        <v>0.97519999999999996</v>
      </c>
      <c r="Z421">
        <v>3030.78</v>
      </c>
      <c r="AA421">
        <v>1862.94</v>
      </c>
      <c r="AB421">
        <v>117.87</v>
      </c>
      <c r="AC421">
        <v>36</v>
      </c>
      <c r="AD421" s="41">
        <f t="shared" si="56"/>
        <v>0.28375533690997035</v>
      </c>
      <c r="AE421" s="41">
        <f t="shared" si="57"/>
        <v>0.4616359088322759</v>
      </c>
      <c r="AF421">
        <f t="shared" si="58"/>
        <v>1.5046254545454545</v>
      </c>
      <c r="AG421">
        <f t="shared" si="59"/>
        <v>8.2412345454545483E-2</v>
      </c>
      <c r="AH421">
        <f t="shared" si="60"/>
        <v>1.1787000000000001</v>
      </c>
      <c r="AI421">
        <f>HLOOKUP(HLOOKUP(G421,'THP2'!$B$4:$J$8,5,FALSE),'Fuel &amp; Resister'!$B$3:$G$6,4,FALSE)</f>
        <v>2.7360666666666664</v>
      </c>
      <c r="AJ421" s="41">
        <f>HLOOKUP(HLOOKUP(G421,'THP2'!$B$4:$J$8,5,FALSE),'Fuel &amp; Resister'!$B$3:$G$6,3,FALSE)</f>
        <v>13.019</v>
      </c>
      <c r="AO421" s="62">
        <v>0</v>
      </c>
      <c r="AP421" s="62">
        <v>0</v>
      </c>
    </row>
    <row r="422" spans="2:42" x14ac:dyDescent="0.15">
      <c r="B422" s="43" t="s">
        <v>617</v>
      </c>
      <c r="C422" s="61">
        <f>VLOOKUP(B422,[1]SYS!$F$5:$G$359,2,FALSE)</f>
        <v>324</v>
      </c>
      <c r="D422" s="1" t="s">
        <v>50</v>
      </c>
      <c r="E422" s="42" t="s">
        <v>298</v>
      </c>
      <c r="F422" s="63" t="s">
        <v>420</v>
      </c>
      <c r="G422" s="1">
        <v>3</v>
      </c>
      <c r="H422" s="1">
        <f t="shared" si="52"/>
        <v>0.23478260869565218</v>
      </c>
      <c r="I422" s="1">
        <f t="shared" si="53"/>
        <v>0.23</v>
      </c>
      <c r="J422" s="1">
        <f t="shared" ref="J422:J503" si="69">1-Y422</f>
        <v>2.4800000000000044E-2</v>
      </c>
      <c r="K422" s="1">
        <f t="shared" si="54"/>
        <v>3.03078</v>
      </c>
      <c r="L422" s="1">
        <f t="shared" si="55"/>
        <v>1.86294</v>
      </c>
      <c r="M422" s="49">
        <f t="shared" si="64"/>
        <v>0.78882353229378588</v>
      </c>
      <c r="N422" s="49">
        <v>1.1787000000000001</v>
      </c>
      <c r="O422" s="1">
        <v>211</v>
      </c>
      <c r="P422" s="51">
        <v>0.05</v>
      </c>
      <c r="Q422" s="51">
        <v>11</v>
      </c>
      <c r="R422" s="51">
        <v>1</v>
      </c>
      <c r="S422" s="1">
        <v>1</v>
      </c>
      <c r="T422" s="1">
        <v>0</v>
      </c>
      <c r="U422" s="47">
        <v>0</v>
      </c>
      <c r="V422" s="47">
        <v>321</v>
      </c>
      <c r="W422" s="41">
        <v>54</v>
      </c>
      <c r="X422">
        <v>230</v>
      </c>
      <c r="Y422">
        <v>0.97519999999999996</v>
      </c>
      <c r="Z422">
        <v>3030.78</v>
      </c>
      <c r="AA422">
        <v>1862.94</v>
      </c>
      <c r="AB422">
        <v>117.87</v>
      </c>
      <c r="AC422">
        <v>36</v>
      </c>
      <c r="AD422" s="41">
        <f t="shared" si="56"/>
        <v>0.28375533690997035</v>
      </c>
      <c r="AE422" s="41">
        <f t="shared" si="57"/>
        <v>0.4616359088322759</v>
      </c>
      <c r="AF422">
        <f t="shared" si="58"/>
        <v>1.5046254545454545</v>
      </c>
      <c r="AG422">
        <f t="shared" si="59"/>
        <v>8.2412345454545483E-2</v>
      </c>
      <c r="AH422">
        <f t="shared" si="60"/>
        <v>1.1787000000000001</v>
      </c>
      <c r="AI422">
        <f>HLOOKUP(HLOOKUP(G422,'THP2'!$B$4:$J$8,5,FALSE),'Fuel &amp; Resister'!$B$3:$G$6,4,FALSE)</f>
        <v>2.7360666666666664</v>
      </c>
      <c r="AJ422" s="41">
        <f>HLOOKUP(HLOOKUP(G422,'THP2'!$B$4:$J$8,5,FALSE),'Fuel &amp; Resister'!$B$3:$G$6,3,FALSE)</f>
        <v>13.019</v>
      </c>
      <c r="AO422" s="62">
        <v>0</v>
      </c>
      <c r="AP422" s="62">
        <v>0</v>
      </c>
    </row>
    <row r="423" spans="2:42" x14ac:dyDescent="0.15">
      <c r="B423" s="43" t="s">
        <v>617</v>
      </c>
      <c r="C423" s="61">
        <f>VLOOKUP(B423,[1]SYS!$F$5:$G$359,2,FALSE)</f>
        <v>324</v>
      </c>
      <c r="D423" s="1" t="s">
        <v>50</v>
      </c>
      <c r="E423" s="42" t="s">
        <v>299</v>
      </c>
      <c r="F423" s="63" t="s">
        <v>420</v>
      </c>
      <c r="G423" s="1">
        <v>3</v>
      </c>
      <c r="H423" s="1">
        <f t="shared" ref="H423:H503" si="70">W423/X423</f>
        <v>0.23478260869565218</v>
      </c>
      <c r="I423" s="1">
        <f t="shared" ref="I423:I503" si="71">X423/1000</f>
        <v>0.23</v>
      </c>
      <c r="J423" s="1">
        <f t="shared" si="69"/>
        <v>2.5299999999999989E-2</v>
      </c>
      <c r="K423" s="1">
        <f t="shared" ref="K423:K503" si="72">Z423/1000</f>
        <v>3.0622600000000002</v>
      </c>
      <c r="L423" s="1">
        <f t="shared" ref="L423:L503" si="73">AA423/1000</f>
        <v>1.88229</v>
      </c>
      <c r="M423" s="49">
        <f t="shared" si="64"/>
        <v>0.79701689082915717</v>
      </c>
      <c r="N423" s="49">
        <v>1.1787000000000001</v>
      </c>
      <c r="O423" s="1">
        <v>613</v>
      </c>
      <c r="P423" s="51">
        <v>0.05</v>
      </c>
      <c r="Q423" s="51">
        <v>11</v>
      </c>
      <c r="R423" s="51">
        <v>1</v>
      </c>
      <c r="S423" s="1">
        <v>1</v>
      </c>
      <c r="T423" s="1">
        <v>0</v>
      </c>
      <c r="U423" s="47">
        <v>0</v>
      </c>
      <c r="V423" s="47">
        <v>322</v>
      </c>
      <c r="W423" s="41">
        <v>54</v>
      </c>
      <c r="X423">
        <v>230</v>
      </c>
      <c r="Y423">
        <v>0.97470000000000001</v>
      </c>
      <c r="Z423">
        <v>3062.26</v>
      </c>
      <c r="AA423">
        <v>1882.29</v>
      </c>
      <c r="AB423">
        <v>117.87</v>
      </c>
      <c r="AC423">
        <v>36</v>
      </c>
      <c r="AD423" s="41">
        <f t="shared" ref="AD423:AD503" si="74">1/Z423*860</f>
        <v>0.2808383350858516</v>
      </c>
      <c r="AE423" s="41">
        <f t="shared" ref="AE423:AE503" si="75">1/AA423*860</f>
        <v>0.45689027726864623</v>
      </c>
      <c r="AF423">
        <f t="shared" ref="AF423:AF503" si="76">(L423-H423*K423)/(1-H423)</f>
        <v>1.52025375</v>
      </c>
      <c r="AG423">
        <f t="shared" ref="AG423:AG503" si="77">I423*(L423-AF423)</f>
        <v>8.3268337500000011E-2</v>
      </c>
      <c r="AH423">
        <f t="shared" ref="AH423:AH503" si="78">AB423/100</f>
        <v>1.1787000000000001</v>
      </c>
      <c r="AI423">
        <f>HLOOKUP(HLOOKUP(G423,'THP2'!$B$4:$J$8,5,FALSE),'Fuel &amp; Resister'!$B$3:$G$6,4,FALSE)</f>
        <v>2.7360666666666664</v>
      </c>
      <c r="AJ423" s="41">
        <f>HLOOKUP(HLOOKUP(G423,'THP2'!$B$4:$J$8,5,FALSE),'Fuel &amp; Resister'!$B$3:$G$6,3,FALSE)</f>
        <v>13.019</v>
      </c>
      <c r="AO423" s="62">
        <v>0</v>
      </c>
      <c r="AP423" s="62">
        <v>0</v>
      </c>
    </row>
    <row r="424" spans="2:42" x14ac:dyDescent="0.15">
      <c r="B424" s="43" t="s">
        <v>617</v>
      </c>
      <c r="C424" s="61">
        <f>VLOOKUP(B424,[1]SYS!$F$5:$G$359,2,FALSE)</f>
        <v>324</v>
      </c>
      <c r="D424" s="1" t="s">
        <v>50</v>
      </c>
      <c r="E424" s="42" t="s">
        <v>300</v>
      </c>
      <c r="F424" s="63" t="s">
        <v>420</v>
      </c>
      <c r="G424" s="1">
        <v>3</v>
      </c>
      <c r="H424" s="1">
        <f t="shared" si="70"/>
        <v>0.23478260869565218</v>
      </c>
      <c r="I424" s="1">
        <f t="shared" si="71"/>
        <v>0.23</v>
      </c>
      <c r="J424" s="1">
        <f t="shared" si="69"/>
        <v>2.5299999999999989E-2</v>
      </c>
      <c r="K424" s="1">
        <f t="shared" si="72"/>
        <v>3.0622600000000002</v>
      </c>
      <c r="L424" s="1">
        <f t="shared" si="73"/>
        <v>1.88229</v>
      </c>
      <c r="M424" s="49">
        <f t="shared" si="64"/>
        <v>0.79701689082915717</v>
      </c>
      <c r="N424" s="49">
        <v>1.1787000000000001</v>
      </c>
      <c r="O424" s="1">
        <v>1113</v>
      </c>
      <c r="P424" s="51">
        <v>0.05</v>
      </c>
      <c r="Q424" s="51">
        <v>11</v>
      </c>
      <c r="R424" s="51">
        <v>1</v>
      </c>
      <c r="S424" s="1">
        <v>1</v>
      </c>
      <c r="T424" s="1">
        <v>0</v>
      </c>
      <c r="U424" s="47">
        <v>0</v>
      </c>
      <c r="V424" s="47">
        <v>323</v>
      </c>
      <c r="W424" s="41">
        <v>54</v>
      </c>
      <c r="X424">
        <v>230</v>
      </c>
      <c r="Y424">
        <v>0.97470000000000001</v>
      </c>
      <c r="Z424">
        <v>3062.26</v>
      </c>
      <c r="AA424">
        <v>1882.29</v>
      </c>
      <c r="AB424">
        <v>117.87</v>
      </c>
      <c r="AC424">
        <v>36</v>
      </c>
      <c r="AD424" s="41">
        <f t="shared" si="74"/>
        <v>0.2808383350858516</v>
      </c>
      <c r="AE424" s="41">
        <f t="shared" si="75"/>
        <v>0.45689027726864623</v>
      </c>
      <c r="AF424">
        <f t="shared" si="76"/>
        <v>1.52025375</v>
      </c>
      <c r="AG424">
        <f t="shared" si="77"/>
        <v>8.3268337500000011E-2</v>
      </c>
      <c r="AH424">
        <f t="shared" si="78"/>
        <v>1.1787000000000001</v>
      </c>
      <c r="AI424">
        <f>HLOOKUP(HLOOKUP(G424,'THP2'!$B$4:$J$8,5,FALSE),'Fuel &amp; Resister'!$B$3:$G$6,4,FALSE)</f>
        <v>2.7360666666666664</v>
      </c>
      <c r="AJ424" s="41">
        <f>HLOOKUP(HLOOKUP(G424,'THP2'!$B$4:$J$8,5,FALSE),'Fuel &amp; Resister'!$B$3:$G$6,3,FALSE)</f>
        <v>13.019</v>
      </c>
      <c r="AO424" s="62">
        <v>0</v>
      </c>
      <c r="AP424" s="62">
        <v>0</v>
      </c>
    </row>
    <row r="425" spans="2:42" x14ac:dyDescent="0.15">
      <c r="B425" s="43" t="s">
        <v>617</v>
      </c>
      <c r="C425" s="61">
        <f>VLOOKUP(B425,[1]SYS!$F$5:$G$359,2,FALSE)</f>
        <v>324</v>
      </c>
      <c r="D425" s="1" t="s">
        <v>50</v>
      </c>
      <c r="E425" s="42" t="s">
        <v>301</v>
      </c>
      <c r="F425" s="63" t="s">
        <v>420</v>
      </c>
      <c r="G425" s="1">
        <v>3</v>
      </c>
      <c r="H425" s="1">
        <f t="shared" si="70"/>
        <v>0.30434782608695654</v>
      </c>
      <c r="I425" s="1">
        <f t="shared" si="71"/>
        <v>0.115</v>
      </c>
      <c r="J425" s="1">
        <f t="shared" si="69"/>
        <v>2.6699999999999946E-2</v>
      </c>
      <c r="K425" s="1">
        <f t="shared" si="72"/>
        <v>2.9164499999999998</v>
      </c>
      <c r="L425" s="1">
        <f t="shared" si="73"/>
        <v>1.94032</v>
      </c>
      <c r="M425" s="49">
        <f t="shared" si="64"/>
        <v>0.41079424892381899</v>
      </c>
      <c r="N425" s="49">
        <v>1.056</v>
      </c>
      <c r="O425" s="1">
        <v>413</v>
      </c>
      <c r="P425" s="51">
        <v>0.05</v>
      </c>
      <c r="Q425" s="51">
        <v>11</v>
      </c>
      <c r="R425" s="51">
        <v>1</v>
      </c>
      <c r="S425" s="1">
        <v>1</v>
      </c>
      <c r="T425" s="1">
        <v>0</v>
      </c>
      <c r="U425" s="47">
        <v>0</v>
      </c>
      <c r="V425" s="47">
        <v>324</v>
      </c>
      <c r="W425" s="41">
        <v>35</v>
      </c>
      <c r="X425">
        <v>115</v>
      </c>
      <c r="Y425">
        <v>0.97330000000000005</v>
      </c>
      <c r="Z425">
        <v>2916.45</v>
      </c>
      <c r="AA425">
        <v>1940.32</v>
      </c>
      <c r="AB425">
        <v>105.6</v>
      </c>
      <c r="AC425">
        <v>36</v>
      </c>
      <c r="AD425" s="41">
        <f t="shared" si="74"/>
        <v>0.2948790481578632</v>
      </c>
      <c r="AE425" s="41">
        <f t="shared" si="75"/>
        <v>0.44322585965201616</v>
      </c>
      <c r="AF425">
        <f t="shared" si="76"/>
        <v>1.5132631250000002</v>
      </c>
      <c r="AG425">
        <f t="shared" si="77"/>
        <v>4.9111540624999991E-2</v>
      </c>
      <c r="AH425">
        <f t="shared" si="78"/>
        <v>1.056</v>
      </c>
      <c r="AI425">
        <f>HLOOKUP(HLOOKUP(G425,'THP2'!$B$4:$J$8,5,FALSE),'Fuel &amp; Resister'!$B$3:$G$6,4,FALSE)</f>
        <v>2.7360666666666664</v>
      </c>
      <c r="AJ425" s="41">
        <f>HLOOKUP(HLOOKUP(G425,'THP2'!$B$4:$J$8,5,FALSE),'Fuel &amp; Resister'!$B$3:$G$6,3,FALSE)</f>
        <v>13.019</v>
      </c>
      <c r="AO425" s="62">
        <v>0</v>
      </c>
      <c r="AP425" s="62">
        <v>0</v>
      </c>
    </row>
    <row r="426" spans="2:42" x14ac:dyDescent="0.15">
      <c r="B426" s="43" t="s">
        <v>617</v>
      </c>
      <c r="C426" s="61">
        <f>VLOOKUP(B426,[1]SYS!$F$5:$G$359,2,FALSE)</f>
        <v>324</v>
      </c>
      <c r="D426" s="1" t="s">
        <v>50</v>
      </c>
      <c r="E426" s="42" t="s">
        <v>302</v>
      </c>
      <c r="F426" s="63" t="s">
        <v>420</v>
      </c>
      <c r="G426" s="1">
        <v>3</v>
      </c>
      <c r="H426" s="1">
        <f t="shared" si="70"/>
        <v>0.30434782608695654</v>
      </c>
      <c r="I426" s="1">
        <f t="shared" si="71"/>
        <v>0.115</v>
      </c>
      <c r="J426" s="1">
        <f t="shared" si="69"/>
        <v>2.6699999999999946E-2</v>
      </c>
      <c r="K426" s="1">
        <f t="shared" si="72"/>
        <v>2.9164499999999998</v>
      </c>
      <c r="L426" s="1">
        <f t="shared" si="73"/>
        <v>1.94032</v>
      </c>
      <c r="M426" s="49">
        <f t="shared" si="64"/>
        <v>0.41079424892381899</v>
      </c>
      <c r="N426" s="49">
        <v>1.056</v>
      </c>
      <c r="O426" s="1">
        <v>413</v>
      </c>
      <c r="P426" s="51">
        <v>0.05</v>
      </c>
      <c r="Q426" s="51">
        <v>11</v>
      </c>
      <c r="R426" s="51">
        <v>1</v>
      </c>
      <c r="S426" s="1">
        <v>1</v>
      </c>
      <c r="T426" s="1">
        <v>0</v>
      </c>
      <c r="U426" s="47">
        <v>0</v>
      </c>
      <c r="V426" s="47">
        <v>325</v>
      </c>
      <c r="W426" s="41">
        <v>35</v>
      </c>
      <c r="X426">
        <v>115</v>
      </c>
      <c r="Y426">
        <v>0.97330000000000005</v>
      </c>
      <c r="Z426">
        <v>2916.45</v>
      </c>
      <c r="AA426">
        <v>1940.32</v>
      </c>
      <c r="AB426">
        <v>105.6</v>
      </c>
      <c r="AC426">
        <v>36</v>
      </c>
      <c r="AD426" s="41">
        <f t="shared" si="74"/>
        <v>0.2948790481578632</v>
      </c>
      <c r="AE426" s="41">
        <f t="shared" si="75"/>
        <v>0.44322585965201616</v>
      </c>
      <c r="AF426">
        <f t="shared" si="76"/>
        <v>1.5132631250000002</v>
      </c>
      <c r="AG426">
        <f t="shared" si="77"/>
        <v>4.9111540624999991E-2</v>
      </c>
      <c r="AH426">
        <f t="shared" si="78"/>
        <v>1.056</v>
      </c>
      <c r="AI426">
        <f>HLOOKUP(HLOOKUP(G426,'THP2'!$B$4:$J$8,5,FALSE),'Fuel &amp; Resister'!$B$3:$G$6,4,FALSE)</f>
        <v>2.7360666666666664</v>
      </c>
      <c r="AJ426" s="41">
        <f>HLOOKUP(HLOOKUP(G426,'THP2'!$B$4:$J$8,5,FALSE),'Fuel &amp; Resister'!$B$3:$G$6,3,FALSE)</f>
        <v>13.019</v>
      </c>
      <c r="AO426" s="62">
        <v>0</v>
      </c>
      <c r="AP426" s="62">
        <v>0</v>
      </c>
    </row>
    <row r="427" spans="2:42" x14ac:dyDescent="0.15">
      <c r="B427" s="43" t="s">
        <v>617</v>
      </c>
      <c r="C427" s="61">
        <f>VLOOKUP(B427,[1]SYS!$F$5:$G$359,2,FALSE)</f>
        <v>324</v>
      </c>
      <c r="D427" s="1" t="s">
        <v>50</v>
      </c>
      <c r="E427" s="42" t="s">
        <v>303</v>
      </c>
      <c r="F427" s="63" t="s">
        <v>420</v>
      </c>
      <c r="G427" s="1">
        <v>3</v>
      </c>
      <c r="H427" s="1">
        <f t="shared" si="70"/>
        <v>0.30434782608695654</v>
      </c>
      <c r="I427" s="1">
        <f t="shared" si="71"/>
        <v>0.115</v>
      </c>
      <c r="J427" s="1">
        <f t="shared" si="69"/>
        <v>2.6699999999999946E-2</v>
      </c>
      <c r="K427" s="1">
        <f t="shared" si="72"/>
        <v>2.9164499999999998</v>
      </c>
      <c r="L427" s="1">
        <f t="shared" si="73"/>
        <v>1.94032</v>
      </c>
      <c r="M427" s="49">
        <f t="shared" si="64"/>
        <v>0.41079424892381899</v>
      </c>
      <c r="N427" s="49">
        <v>1.056</v>
      </c>
      <c r="O427" s="1">
        <v>613</v>
      </c>
      <c r="P427" s="51">
        <v>0.05</v>
      </c>
      <c r="Q427" s="51">
        <v>11</v>
      </c>
      <c r="R427" s="51">
        <v>1</v>
      </c>
      <c r="S427" s="1">
        <v>1</v>
      </c>
      <c r="T427" s="1">
        <v>0</v>
      </c>
      <c r="U427" s="47">
        <v>0</v>
      </c>
      <c r="V427" s="47">
        <v>326</v>
      </c>
      <c r="W427" s="41">
        <v>35</v>
      </c>
      <c r="X427">
        <v>115</v>
      </c>
      <c r="Y427">
        <v>0.97330000000000005</v>
      </c>
      <c r="Z427">
        <v>2916.45</v>
      </c>
      <c r="AA427">
        <v>1940.32</v>
      </c>
      <c r="AB427">
        <v>105.6</v>
      </c>
      <c r="AC427">
        <v>36</v>
      </c>
      <c r="AD427" s="41">
        <f t="shared" si="74"/>
        <v>0.2948790481578632</v>
      </c>
      <c r="AE427" s="41">
        <f t="shared" si="75"/>
        <v>0.44322585965201616</v>
      </c>
      <c r="AF427">
        <f t="shared" si="76"/>
        <v>1.5132631250000002</v>
      </c>
      <c r="AG427">
        <f t="shared" si="77"/>
        <v>4.9111540624999991E-2</v>
      </c>
      <c r="AH427">
        <f t="shared" si="78"/>
        <v>1.056</v>
      </c>
      <c r="AI427">
        <f>HLOOKUP(HLOOKUP(G427,'THP2'!$B$4:$J$8,5,FALSE),'Fuel &amp; Resister'!$B$3:$G$6,4,FALSE)</f>
        <v>2.7360666666666664</v>
      </c>
      <c r="AJ427" s="41">
        <f>HLOOKUP(HLOOKUP(G427,'THP2'!$B$4:$J$8,5,FALSE),'Fuel &amp; Resister'!$B$3:$G$6,3,FALSE)</f>
        <v>13.019</v>
      </c>
      <c r="AO427" s="62">
        <v>0</v>
      </c>
      <c r="AP427" s="62">
        <v>0</v>
      </c>
    </row>
    <row r="428" spans="2:42" x14ac:dyDescent="0.15">
      <c r="B428" s="43" t="s">
        <v>617</v>
      </c>
      <c r="C428" s="61">
        <f>VLOOKUP(B428,[1]SYS!$F$5:$G$359,2,FALSE)</f>
        <v>324</v>
      </c>
      <c r="D428" s="1" t="s">
        <v>50</v>
      </c>
      <c r="E428" s="42" t="s">
        <v>304</v>
      </c>
      <c r="F428" s="63" t="s">
        <v>420</v>
      </c>
      <c r="G428" s="1">
        <v>3</v>
      </c>
      <c r="H428" s="1">
        <f t="shared" si="70"/>
        <v>0.30434782608695654</v>
      </c>
      <c r="I428" s="1">
        <f t="shared" si="71"/>
        <v>0.115</v>
      </c>
      <c r="J428" s="1">
        <f t="shared" si="69"/>
        <v>2.6699999999999946E-2</v>
      </c>
      <c r="K428" s="1">
        <f t="shared" si="72"/>
        <v>2.9164499999999998</v>
      </c>
      <c r="L428" s="1">
        <f t="shared" si="73"/>
        <v>1.94032</v>
      </c>
      <c r="M428" s="49">
        <f t="shared" si="64"/>
        <v>0.41079424892381899</v>
      </c>
      <c r="N428" s="49">
        <v>1.056</v>
      </c>
      <c r="O428" s="1">
        <v>1113</v>
      </c>
      <c r="P428" s="51">
        <v>0.05</v>
      </c>
      <c r="Q428" s="51">
        <v>11</v>
      </c>
      <c r="R428" s="51">
        <v>1</v>
      </c>
      <c r="S428" s="1">
        <v>1</v>
      </c>
      <c r="T428" s="1">
        <v>0</v>
      </c>
      <c r="U428" s="47">
        <v>0</v>
      </c>
      <c r="V428" s="47">
        <v>327</v>
      </c>
      <c r="W428" s="41">
        <v>35</v>
      </c>
      <c r="X428">
        <v>115</v>
      </c>
      <c r="Y428">
        <v>0.97330000000000005</v>
      </c>
      <c r="Z428">
        <v>2916.45</v>
      </c>
      <c r="AA428">
        <v>1940.32</v>
      </c>
      <c r="AB428">
        <v>105.6</v>
      </c>
      <c r="AC428">
        <v>36</v>
      </c>
      <c r="AD428" s="41">
        <f t="shared" si="74"/>
        <v>0.2948790481578632</v>
      </c>
      <c r="AE428" s="41">
        <f t="shared" si="75"/>
        <v>0.44322585965201616</v>
      </c>
      <c r="AF428">
        <f t="shared" si="76"/>
        <v>1.5132631250000002</v>
      </c>
      <c r="AG428">
        <f t="shared" si="77"/>
        <v>4.9111540624999991E-2</v>
      </c>
      <c r="AH428">
        <f t="shared" si="78"/>
        <v>1.056</v>
      </c>
      <c r="AI428">
        <f>HLOOKUP(HLOOKUP(G428,'THP2'!$B$4:$J$8,5,FALSE),'Fuel &amp; Resister'!$B$3:$G$6,4,FALSE)</f>
        <v>2.7360666666666664</v>
      </c>
      <c r="AJ428" s="41">
        <f>HLOOKUP(HLOOKUP(G428,'THP2'!$B$4:$J$8,5,FALSE),'Fuel &amp; Resister'!$B$3:$G$6,3,FALSE)</f>
        <v>13.019</v>
      </c>
      <c r="AO428" s="62">
        <v>0</v>
      </c>
      <c r="AP428" s="62">
        <v>0</v>
      </c>
    </row>
    <row r="429" spans="2:42" x14ac:dyDescent="0.15">
      <c r="B429" s="43" t="s">
        <v>617</v>
      </c>
      <c r="C429" s="61">
        <f>VLOOKUP(B429,[1]SYS!$F$5:$G$359,2,FALSE)</f>
        <v>324</v>
      </c>
      <c r="D429" s="1" t="s">
        <v>50</v>
      </c>
      <c r="E429" s="42" t="s">
        <v>305</v>
      </c>
      <c r="F429" s="63" t="s">
        <v>420</v>
      </c>
      <c r="G429" s="1">
        <v>3</v>
      </c>
      <c r="H429" s="1">
        <f t="shared" si="70"/>
        <v>0.30434782608695654</v>
      </c>
      <c r="I429" s="1">
        <f t="shared" si="71"/>
        <v>0.115</v>
      </c>
      <c r="J429" s="1">
        <f t="shared" si="69"/>
        <v>2.6699999999999946E-2</v>
      </c>
      <c r="K429" s="1">
        <f t="shared" si="72"/>
        <v>2.9164499999999998</v>
      </c>
      <c r="L429" s="1">
        <f t="shared" si="73"/>
        <v>1.94032</v>
      </c>
      <c r="M429" s="49">
        <f t="shared" si="64"/>
        <v>0.41079424892381899</v>
      </c>
      <c r="N429" s="49">
        <v>1.056</v>
      </c>
      <c r="O429" s="1">
        <v>211</v>
      </c>
      <c r="P429" s="51">
        <v>0.05</v>
      </c>
      <c r="Q429" s="51">
        <v>11</v>
      </c>
      <c r="R429" s="51">
        <v>1</v>
      </c>
      <c r="S429" s="1">
        <v>1</v>
      </c>
      <c r="T429" s="1">
        <v>0</v>
      </c>
      <c r="U429" s="47">
        <v>0</v>
      </c>
      <c r="V429" s="47">
        <v>328</v>
      </c>
      <c r="W429" s="41">
        <v>35</v>
      </c>
      <c r="X429">
        <v>115</v>
      </c>
      <c r="Y429">
        <v>0.97330000000000005</v>
      </c>
      <c r="Z429">
        <v>2916.45</v>
      </c>
      <c r="AA429">
        <v>1940.32</v>
      </c>
      <c r="AB429">
        <v>105.6</v>
      </c>
      <c r="AC429">
        <v>36</v>
      </c>
      <c r="AD429" s="41">
        <f t="shared" si="74"/>
        <v>0.2948790481578632</v>
      </c>
      <c r="AE429" s="41">
        <f t="shared" si="75"/>
        <v>0.44322585965201616</v>
      </c>
      <c r="AF429">
        <f t="shared" si="76"/>
        <v>1.5132631250000002</v>
      </c>
      <c r="AG429">
        <f t="shared" si="77"/>
        <v>4.9111540624999991E-2</v>
      </c>
      <c r="AH429">
        <f t="shared" si="78"/>
        <v>1.056</v>
      </c>
      <c r="AI429">
        <f>HLOOKUP(HLOOKUP(G429,'THP2'!$B$4:$J$8,5,FALSE),'Fuel &amp; Resister'!$B$3:$G$6,4,FALSE)</f>
        <v>2.7360666666666664</v>
      </c>
      <c r="AJ429" s="41">
        <f>HLOOKUP(HLOOKUP(G429,'THP2'!$B$4:$J$8,5,FALSE),'Fuel &amp; Resister'!$B$3:$G$6,3,FALSE)</f>
        <v>13.019</v>
      </c>
      <c r="AO429" s="62">
        <v>0</v>
      </c>
      <c r="AP429" s="62">
        <v>0</v>
      </c>
    </row>
    <row r="430" spans="2:42" x14ac:dyDescent="0.15">
      <c r="B430" s="43" t="s">
        <v>617</v>
      </c>
      <c r="C430" s="61">
        <f>VLOOKUP(B430,[1]SYS!$F$5:$G$359,2,FALSE)</f>
        <v>324</v>
      </c>
      <c r="D430" s="1" t="s">
        <v>50</v>
      </c>
      <c r="E430" s="42" t="s">
        <v>306</v>
      </c>
      <c r="F430" s="63" t="s">
        <v>420</v>
      </c>
      <c r="G430" s="1">
        <v>3</v>
      </c>
      <c r="H430" s="1">
        <f t="shared" si="70"/>
        <v>0.30434782608695654</v>
      </c>
      <c r="I430" s="1">
        <f t="shared" si="71"/>
        <v>0.115</v>
      </c>
      <c r="J430" s="1">
        <f t="shared" si="69"/>
        <v>2.6699999999999946E-2</v>
      </c>
      <c r="K430" s="1">
        <f t="shared" si="72"/>
        <v>2.9164499999999998</v>
      </c>
      <c r="L430" s="1">
        <f t="shared" si="73"/>
        <v>1.94032</v>
      </c>
      <c r="M430" s="49">
        <f t="shared" si="64"/>
        <v>0.41079424892381899</v>
      </c>
      <c r="N430" s="49">
        <v>1.056</v>
      </c>
      <c r="O430" s="1">
        <v>901</v>
      </c>
      <c r="P430" s="51">
        <v>0.05</v>
      </c>
      <c r="Q430" s="51">
        <v>11</v>
      </c>
      <c r="R430" s="51">
        <v>1</v>
      </c>
      <c r="S430" s="1">
        <v>1</v>
      </c>
      <c r="T430" s="1">
        <v>0</v>
      </c>
      <c r="U430" s="47">
        <v>0</v>
      </c>
      <c r="V430" s="47">
        <v>329</v>
      </c>
      <c r="W430" s="41">
        <v>35</v>
      </c>
      <c r="X430">
        <v>115</v>
      </c>
      <c r="Y430">
        <v>0.97330000000000005</v>
      </c>
      <c r="Z430">
        <v>2916.45</v>
      </c>
      <c r="AA430">
        <v>1940.32</v>
      </c>
      <c r="AB430">
        <v>105.6</v>
      </c>
      <c r="AC430">
        <v>36</v>
      </c>
      <c r="AD430" s="41">
        <f t="shared" si="74"/>
        <v>0.2948790481578632</v>
      </c>
      <c r="AE430" s="41">
        <f t="shared" si="75"/>
        <v>0.44322585965201616</v>
      </c>
      <c r="AF430">
        <f t="shared" si="76"/>
        <v>1.5132631250000002</v>
      </c>
      <c r="AG430">
        <f t="shared" si="77"/>
        <v>4.9111540624999991E-2</v>
      </c>
      <c r="AH430">
        <f t="shared" si="78"/>
        <v>1.056</v>
      </c>
      <c r="AI430">
        <f>HLOOKUP(HLOOKUP(G430,'THP2'!$B$4:$J$8,5,FALSE),'Fuel &amp; Resister'!$B$3:$G$6,4,FALSE)</f>
        <v>2.7360666666666664</v>
      </c>
      <c r="AJ430" s="41">
        <f>HLOOKUP(HLOOKUP(G430,'THP2'!$B$4:$J$8,5,FALSE),'Fuel &amp; Resister'!$B$3:$G$6,3,FALSE)</f>
        <v>13.019</v>
      </c>
      <c r="AO430" s="62">
        <v>0</v>
      </c>
      <c r="AP430" s="62">
        <v>0</v>
      </c>
    </row>
    <row r="431" spans="2:42" x14ac:dyDescent="0.15">
      <c r="B431" s="43" t="s">
        <v>644</v>
      </c>
      <c r="C431" s="61">
        <f>VLOOKUP(B431,[1]SYS!$F$5:$G$359,2,FALSE)</f>
        <v>312</v>
      </c>
      <c r="D431" s="1" t="s">
        <v>50</v>
      </c>
      <c r="E431" s="65" t="s">
        <v>537</v>
      </c>
      <c r="F431" s="63" t="s">
        <v>558</v>
      </c>
      <c r="G431" s="1">
        <v>3</v>
      </c>
      <c r="H431" s="1">
        <f t="shared" si="70"/>
        <v>0.26143790849673204</v>
      </c>
      <c r="I431" s="1">
        <f t="shared" si="71"/>
        <v>0.45900000000000002</v>
      </c>
      <c r="J431" s="1">
        <f t="shared" si="69"/>
        <v>2.0000000000000018E-2</v>
      </c>
      <c r="K431" s="1">
        <f t="shared" si="72"/>
        <v>2.56718</v>
      </c>
      <c r="L431" s="1">
        <f t="shared" si="73"/>
        <v>1.5779799999999999</v>
      </c>
      <c r="M431" s="49">
        <f t="shared" si="64"/>
        <v>1.3334211344467375</v>
      </c>
      <c r="N431" s="49">
        <f>AB431/100</f>
        <v>1.4257</v>
      </c>
      <c r="O431" s="1">
        <v>603</v>
      </c>
      <c r="P431" s="51">
        <v>0.05</v>
      </c>
      <c r="Q431" s="51">
        <v>11</v>
      </c>
      <c r="R431" s="51">
        <v>1</v>
      </c>
      <c r="S431" s="1">
        <v>1</v>
      </c>
      <c r="T431" s="1">
        <v>0</v>
      </c>
      <c r="U431" s="47">
        <v>0</v>
      </c>
      <c r="V431" s="47"/>
      <c r="W431" s="41">
        <v>120</v>
      </c>
      <c r="X431">
        <v>459</v>
      </c>
      <c r="Y431">
        <v>0.98</v>
      </c>
      <c r="Z431">
        <v>2567.1799999999998</v>
      </c>
      <c r="AA431">
        <v>1577.98</v>
      </c>
      <c r="AB431">
        <v>142.57</v>
      </c>
      <c r="AC431">
        <v>36</v>
      </c>
      <c r="AD431" s="41">
        <f t="shared" ref="AD431:AD446" si="79">1/Z431*860</f>
        <v>0.33499793547783951</v>
      </c>
      <c r="AE431" s="41">
        <f t="shared" ref="AE431:AE446" si="80">1/AA431*860</f>
        <v>0.54500057034943405</v>
      </c>
      <c r="AF431">
        <f t="shared" ref="AF431:AF446" si="81">(L431-H431*K431)/(1-H431)</f>
        <v>1.2278207079646015</v>
      </c>
      <c r="AG431">
        <f t="shared" ref="AG431:AG446" si="82">I431*(L431-AF431)</f>
        <v>0.16072311504424788</v>
      </c>
      <c r="AH431">
        <f t="shared" ref="AH431:AH446" si="83">AB431/100</f>
        <v>1.4257</v>
      </c>
      <c r="AI431">
        <f>HLOOKUP(HLOOKUP(G431,'THP2'!$B$4:$J$8,5,FALSE),'Fuel &amp; Resister'!$B$3:$G$6,4,FALSE)</f>
        <v>2.7360666666666664</v>
      </c>
      <c r="AJ431" s="41">
        <f>HLOOKUP(HLOOKUP(G431,'THP2'!$B$4:$J$8,5,FALSE),'Fuel &amp; Resister'!$B$3:$G$6,3,FALSE)</f>
        <v>13.019</v>
      </c>
      <c r="AO431" s="1">
        <v>1</v>
      </c>
      <c r="AP431" s="62">
        <v>0</v>
      </c>
    </row>
    <row r="432" spans="2:42" x14ac:dyDescent="0.15">
      <c r="B432" s="43" t="s">
        <v>644</v>
      </c>
      <c r="C432" s="61">
        <f>VLOOKUP(B432,[1]SYS!$F$5:$G$359,2,FALSE)</f>
        <v>312</v>
      </c>
      <c r="D432" s="1" t="s">
        <v>50</v>
      </c>
      <c r="E432" s="65" t="s">
        <v>537</v>
      </c>
      <c r="F432" s="63" t="s">
        <v>559</v>
      </c>
      <c r="G432" s="1">
        <v>3</v>
      </c>
      <c r="H432" s="1">
        <f t="shared" si="70"/>
        <v>0.26143790849673204</v>
      </c>
      <c r="I432" s="1">
        <f t="shared" si="71"/>
        <v>0.45900000000000002</v>
      </c>
      <c r="J432" s="1">
        <f t="shared" si="69"/>
        <v>2.0000000000000018E-2</v>
      </c>
      <c r="K432" s="1">
        <f t="shared" si="72"/>
        <v>2.56718</v>
      </c>
      <c r="L432" s="1">
        <f t="shared" si="73"/>
        <v>1.5779799999999999</v>
      </c>
      <c r="M432" s="49">
        <f t="shared" si="64"/>
        <v>1.3334211344467375</v>
      </c>
      <c r="N432" s="49">
        <f t="shared" ref="N432:N446" si="84">AB432/100</f>
        <v>1.4257</v>
      </c>
      <c r="O432" s="1">
        <v>709</v>
      </c>
      <c r="P432" s="51">
        <v>0.05</v>
      </c>
      <c r="Q432" s="51">
        <v>11</v>
      </c>
      <c r="R432" s="51">
        <v>1</v>
      </c>
      <c r="S432" s="1">
        <v>1</v>
      </c>
      <c r="T432" s="1">
        <v>0</v>
      </c>
      <c r="U432" s="47">
        <v>0</v>
      </c>
      <c r="V432" s="47"/>
      <c r="W432" s="41">
        <v>120</v>
      </c>
      <c r="X432">
        <v>459</v>
      </c>
      <c r="Y432">
        <v>0.98</v>
      </c>
      <c r="Z432">
        <v>2567.1799999999998</v>
      </c>
      <c r="AA432">
        <v>1577.98</v>
      </c>
      <c r="AB432">
        <v>142.57</v>
      </c>
      <c r="AC432">
        <v>36</v>
      </c>
      <c r="AD432" s="41">
        <f t="shared" si="79"/>
        <v>0.33499793547783951</v>
      </c>
      <c r="AE432" s="41">
        <f t="shared" si="80"/>
        <v>0.54500057034943405</v>
      </c>
      <c r="AF432">
        <f t="shared" si="81"/>
        <v>1.2278207079646015</v>
      </c>
      <c r="AG432">
        <f t="shared" si="82"/>
        <v>0.16072311504424788</v>
      </c>
      <c r="AH432">
        <f t="shared" si="83"/>
        <v>1.4257</v>
      </c>
      <c r="AI432">
        <f>HLOOKUP(HLOOKUP(G432,'THP2'!$B$4:$J$8,5,FALSE),'Fuel &amp; Resister'!$B$3:$G$6,4,FALSE)</f>
        <v>2.7360666666666664</v>
      </c>
      <c r="AJ432" s="41">
        <f>HLOOKUP(HLOOKUP(G432,'THP2'!$B$4:$J$8,5,FALSE),'Fuel &amp; Resister'!$B$3:$G$6,3,FALSE)</f>
        <v>13.019</v>
      </c>
      <c r="AO432" s="1">
        <v>1</v>
      </c>
      <c r="AP432" s="62">
        <v>0</v>
      </c>
    </row>
    <row r="433" spans="2:42" x14ac:dyDescent="0.15">
      <c r="B433" s="43" t="s">
        <v>644</v>
      </c>
      <c r="C433" s="61">
        <f>VLOOKUP(B433,[1]SYS!$F$5:$G$359,2,FALSE)</f>
        <v>312</v>
      </c>
      <c r="D433" s="1" t="s">
        <v>50</v>
      </c>
      <c r="E433" s="65" t="s">
        <v>537</v>
      </c>
      <c r="F433" s="63" t="s">
        <v>557</v>
      </c>
      <c r="G433" s="1">
        <v>3</v>
      </c>
      <c r="H433" s="1">
        <f t="shared" si="70"/>
        <v>0.26143790849673204</v>
      </c>
      <c r="I433" s="1">
        <f t="shared" si="71"/>
        <v>0.45900000000000002</v>
      </c>
      <c r="J433" s="1">
        <f t="shared" si="69"/>
        <v>2.0000000000000018E-2</v>
      </c>
      <c r="K433" s="1">
        <f t="shared" si="72"/>
        <v>2.56718</v>
      </c>
      <c r="L433" s="1">
        <f t="shared" si="73"/>
        <v>1.5779799999999999</v>
      </c>
      <c r="M433" s="49">
        <f t="shared" si="64"/>
        <v>1.3334211344467375</v>
      </c>
      <c r="N433" s="49">
        <f t="shared" si="84"/>
        <v>1.4257</v>
      </c>
      <c r="O433" s="1">
        <v>403</v>
      </c>
      <c r="P433" s="51">
        <v>0.05</v>
      </c>
      <c r="Q433" s="51">
        <v>11</v>
      </c>
      <c r="R433" s="51">
        <v>1</v>
      </c>
      <c r="S433" s="1">
        <v>1</v>
      </c>
      <c r="T433" s="1">
        <v>0</v>
      </c>
      <c r="U433" s="47">
        <v>0</v>
      </c>
      <c r="V433" s="47"/>
      <c r="W433" s="41">
        <v>120</v>
      </c>
      <c r="X433">
        <v>459</v>
      </c>
      <c r="Y433">
        <v>0.98</v>
      </c>
      <c r="Z433">
        <v>2567.1799999999998</v>
      </c>
      <c r="AA433">
        <v>1577.98</v>
      </c>
      <c r="AB433">
        <v>142.57</v>
      </c>
      <c r="AC433">
        <v>36</v>
      </c>
      <c r="AD433" s="41">
        <f t="shared" si="79"/>
        <v>0.33499793547783951</v>
      </c>
      <c r="AE433" s="41">
        <f t="shared" si="80"/>
        <v>0.54500057034943405</v>
      </c>
      <c r="AF433">
        <f t="shared" si="81"/>
        <v>1.2278207079646015</v>
      </c>
      <c r="AG433">
        <f t="shared" si="82"/>
        <v>0.16072311504424788</v>
      </c>
      <c r="AH433">
        <f t="shared" si="83"/>
        <v>1.4257</v>
      </c>
      <c r="AI433">
        <f>HLOOKUP(HLOOKUP(G433,'THP2'!$B$4:$J$8,5,FALSE),'Fuel &amp; Resister'!$B$3:$G$6,4,FALSE)</f>
        <v>2.7360666666666664</v>
      </c>
      <c r="AJ433" s="41">
        <f>HLOOKUP(HLOOKUP(G433,'THP2'!$B$4:$J$8,5,FALSE),'Fuel &amp; Resister'!$B$3:$G$6,3,FALSE)</f>
        <v>13.019</v>
      </c>
      <c r="AO433" s="1">
        <v>1</v>
      </c>
      <c r="AP433" s="62">
        <v>0</v>
      </c>
    </row>
    <row r="434" spans="2:42" x14ac:dyDescent="0.15">
      <c r="B434" s="43" t="s">
        <v>644</v>
      </c>
      <c r="C434" s="61">
        <f>VLOOKUP(B434,[1]SYS!$F$5:$G$359,2,FALSE)</f>
        <v>312</v>
      </c>
      <c r="D434" s="1" t="s">
        <v>50</v>
      </c>
      <c r="E434" s="65" t="s">
        <v>537</v>
      </c>
      <c r="F434" s="63" t="s">
        <v>557</v>
      </c>
      <c r="G434" s="1">
        <v>3</v>
      </c>
      <c r="H434" s="1">
        <f t="shared" si="70"/>
        <v>0.26143790849673204</v>
      </c>
      <c r="I434" s="1">
        <f t="shared" si="71"/>
        <v>0.45900000000000002</v>
      </c>
      <c r="J434" s="1">
        <f t="shared" si="69"/>
        <v>2.0000000000000018E-2</v>
      </c>
      <c r="K434" s="1">
        <f t="shared" si="72"/>
        <v>2.56718</v>
      </c>
      <c r="L434" s="1">
        <f t="shared" si="73"/>
        <v>1.5779799999999999</v>
      </c>
      <c r="M434" s="49">
        <f t="shared" si="64"/>
        <v>1.3334211344467375</v>
      </c>
      <c r="N434" s="49">
        <f t="shared" si="84"/>
        <v>1.4257</v>
      </c>
      <c r="O434" s="1">
        <v>509</v>
      </c>
      <c r="P434" s="51">
        <v>0.05</v>
      </c>
      <c r="Q434" s="51">
        <v>11</v>
      </c>
      <c r="R434" s="51">
        <v>1</v>
      </c>
      <c r="S434" s="1">
        <v>1</v>
      </c>
      <c r="T434" s="1">
        <v>0</v>
      </c>
      <c r="U434" s="47">
        <v>0</v>
      </c>
      <c r="V434" s="47"/>
      <c r="W434" s="41">
        <v>120</v>
      </c>
      <c r="X434">
        <v>459</v>
      </c>
      <c r="Y434">
        <v>0.98</v>
      </c>
      <c r="Z434">
        <v>2567.1799999999998</v>
      </c>
      <c r="AA434">
        <v>1577.98</v>
      </c>
      <c r="AB434">
        <v>142.57</v>
      </c>
      <c r="AC434">
        <v>36</v>
      </c>
      <c r="AD434" s="41">
        <f t="shared" si="79"/>
        <v>0.33499793547783951</v>
      </c>
      <c r="AE434" s="41">
        <f t="shared" si="80"/>
        <v>0.54500057034943405</v>
      </c>
      <c r="AF434">
        <f t="shared" si="81"/>
        <v>1.2278207079646015</v>
      </c>
      <c r="AG434">
        <f t="shared" si="82"/>
        <v>0.16072311504424788</v>
      </c>
      <c r="AH434">
        <f t="shared" si="83"/>
        <v>1.4257</v>
      </c>
      <c r="AI434">
        <f>HLOOKUP(HLOOKUP(G434,'THP2'!$B$4:$J$8,5,FALSE),'Fuel &amp; Resister'!$B$3:$G$6,4,FALSE)</f>
        <v>2.7360666666666664</v>
      </c>
      <c r="AJ434" s="41">
        <f>HLOOKUP(HLOOKUP(G434,'THP2'!$B$4:$J$8,5,FALSE),'Fuel &amp; Resister'!$B$3:$G$6,3,FALSE)</f>
        <v>13.019</v>
      </c>
      <c r="AO434" s="1">
        <v>1</v>
      </c>
      <c r="AP434" s="62">
        <v>0</v>
      </c>
    </row>
    <row r="435" spans="2:42" x14ac:dyDescent="0.15">
      <c r="B435" s="43" t="s">
        <v>644</v>
      </c>
      <c r="C435" s="61">
        <f>VLOOKUP(B435,[1]SYS!$F$5:$G$359,2,FALSE)</f>
        <v>312</v>
      </c>
      <c r="D435" s="1" t="s">
        <v>50</v>
      </c>
      <c r="E435" s="65" t="s">
        <v>537</v>
      </c>
      <c r="F435" s="63" t="s">
        <v>557</v>
      </c>
      <c r="G435" s="1">
        <v>3</v>
      </c>
      <c r="H435" s="1">
        <f t="shared" si="70"/>
        <v>0.26143790849673204</v>
      </c>
      <c r="I435" s="1">
        <f t="shared" si="71"/>
        <v>0.45900000000000002</v>
      </c>
      <c r="J435" s="1">
        <f t="shared" si="69"/>
        <v>2.0000000000000018E-2</v>
      </c>
      <c r="K435" s="1">
        <f t="shared" si="72"/>
        <v>2.56718</v>
      </c>
      <c r="L435" s="1">
        <f t="shared" si="73"/>
        <v>1.5779799999999999</v>
      </c>
      <c r="M435" s="49">
        <f t="shared" si="64"/>
        <v>1.3334211344467375</v>
      </c>
      <c r="N435" s="49">
        <f t="shared" si="84"/>
        <v>1.4257</v>
      </c>
      <c r="O435" s="1">
        <v>403</v>
      </c>
      <c r="P435" s="51">
        <v>0.05</v>
      </c>
      <c r="Q435" s="51">
        <v>11</v>
      </c>
      <c r="R435" s="51">
        <v>1</v>
      </c>
      <c r="S435" s="1">
        <v>1</v>
      </c>
      <c r="T435" s="1">
        <v>0</v>
      </c>
      <c r="U435" s="47">
        <v>0</v>
      </c>
      <c r="V435" s="47"/>
      <c r="W435" s="41">
        <v>120</v>
      </c>
      <c r="X435">
        <v>459</v>
      </c>
      <c r="Y435">
        <v>0.98</v>
      </c>
      <c r="Z435">
        <v>2567.1799999999998</v>
      </c>
      <c r="AA435">
        <v>1577.98</v>
      </c>
      <c r="AB435">
        <v>142.57</v>
      </c>
      <c r="AC435">
        <v>36</v>
      </c>
      <c r="AD435" s="41">
        <f t="shared" si="79"/>
        <v>0.33499793547783951</v>
      </c>
      <c r="AE435" s="41">
        <f t="shared" si="80"/>
        <v>0.54500057034943405</v>
      </c>
      <c r="AF435">
        <f t="shared" si="81"/>
        <v>1.2278207079646015</v>
      </c>
      <c r="AG435">
        <f t="shared" si="82"/>
        <v>0.16072311504424788</v>
      </c>
      <c r="AH435">
        <f t="shared" si="83"/>
        <v>1.4257</v>
      </c>
      <c r="AI435">
        <f>HLOOKUP(HLOOKUP(G435,'THP2'!$B$4:$J$8,5,FALSE),'Fuel &amp; Resister'!$B$3:$G$6,4,FALSE)</f>
        <v>2.7360666666666664</v>
      </c>
      <c r="AJ435" s="41">
        <f>HLOOKUP(HLOOKUP(G435,'THP2'!$B$4:$J$8,5,FALSE),'Fuel &amp; Resister'!$B$3:$G$6,3,FALSE)</f>
        <v>13.019</v>
      </c>
      <c r="AO435" s="1">
        <v>1</v>
      </c>
      <c r="AP435" s="62">
        <v>0</v>
      </c>
    </row>
    <row r="436" spans="2:42" x14ac:dyDescent="0.15">
      <c r="B436" s="43" t="s">
        <v>644</v>
      </c>
      <c r="C436" s="61">
        <f>VLOOKUP(B436,[1]SYS!$F$5:$G$359,2,FALSE)</f>
        <v>312</v>
      </c>
      <c r="D436" s="1" t="s">
        <v>50</v>
      </c>
      <c r="E436" s="65" t="s">
        <v>537</v>
      </c>
      <c r="F436" s="63" t="s">
        <v>557</v>
      </c>
      <c r="G436" s="1">
        <v>3</v>
      </c>
      <c r="H436" s="1">
        <f t="shared" si="70"/>
        <v>0.26143790849673204</v>
      </c>
      <c r="I436" s="1">
        <f t="shared" si="71"/>
        <v>0.45900000000000002</v>
      </c>
      <c r="J436" s="1">
        <f t="shared" si="69"/>
        <v>2.0000000000000018E-2</v>
      </c>
      <c r="K436" s="1">
        <f t="shared" si="72"/>
        <v>2.56718</v>
      </c>
      <c r="L436" s="1">
        <f t="shared" si="73"/>
        <v>1.5779799999999999</v>
      </c>
      <c r="M436" s="49">
        <f t="shared" si="64"/>
        <v>1.3334211344467375</v>
      </c>
      <c r="N436" s="49">
        <f t="shared" si="84"/>
        <v>1.4257</v>
      </c>
      <c r="O436" s="1">
        <v>509</v>
      </c>
      <c r="P436" s="51">
        <v>0.05</v>
      </c>
      <c r="Q436" s="51">
        <v>11</v>
      </c>
      <c r="R436" s="51">
        <v>1</v>
      </c>
      <c r="S436" s="1">
        <v>1</v>
      </c>
      <c r="T436" s="1">
        <v>0</v>
      </c>
      <c r="U436" s="47">
        <v>0</v>
      </c>
      <c r="V436" s="47"/>
      <c r="W436" s="41">
        <v>120</v>
      </c>
      <c r="X436">
        <v>459</v>
      </c>
      <c r="Y436">
        <v>0.98</v>
      </c>
      <c r="Z436">
        <v>2567.1799999999998</v>
      </c>
      <c r="AA436">
        <v>1577.98</v>
      </c>
      <c r="AB436">
        <v>142.57</v>
      </c>
      <c r="AC436">
        <v>36</v>
      </c>
      <c r="AD436" s="41">
        <f t="shared" si="79"/>
        <v>0.33499793547783951</v>
      </c>
      <c r="AE436" s="41">
        <f t="shared" si="80"/>
        <v>0.54500057034943405</v>
      </c>
      <c r="AF436">
        <f t="shared" si="81"/>
        <v>1.2278207079646015</v>
      </c>
      <c r="AG436">
        <f t="shared" si="82"/>
        <v>0.16072311504424788</v>
      </c>
      <c r="AH436">
        <f t="shared" si="83"/>
        <v>1.4257</v>
      </c>
      <c r="AI436">
        <f>HLOOKUP(HLOOKUP(G436,'THP2'!$B$4:$J$8,5,FALSE),'Fuel &amp; Resister'!$B$3:$G$6,4,FALSE)</f>
        <v>2.7360666666666664</v>
      </c>
      <c r="AJ436" s="41">
        <f>HLOOKUP(HLOOKUP(G436,'THP2'!$B$4:$J$8,5,FALSE),'Fuel &amp; Resister'!$B$3:$G$6,3,FALSE)</f>
        <v>13.019</v>
      </c>
      <c r="AO436" s="62">
        <v>0</v>
      </c>
      <c r="AP436" s="62">
        <v>0</v>
      </c>
    </row>
    <row r="437" spans="2:42" x14ac:dyDescent="0.15">
      <c r="B437" s="43" t="s">
        <v>644</v>
      </c>
      <c r="C437" s="61">
        <f>VLOOKUP(B437,[1]SYS!$F$5:$G$359,2,FALSE)</f>
        <v>312</v>
      </c>
      <c r="D437" s="1" t="s">
        <v>50</v>
      </c>
      <c r="E437" s="65" t="s">
        <v>537</v>
      </c>
      <c r="F437" s="63" t="s">
        <v>557</v>
      </c>
      <c r="G437" s="1">
        <v>3</v>
      </c>
      <c r="H437" s="1">
        <f t="shared" ref="H437" si="85">W437/X437</f>
        <v>0.26143790849673204</v>
      </c>
      <c r="I437" s="1">
        <f t="shared" ref="I437" si="86">X437/1000</f>
        <v>0.45900000000000002</v>
      </c>
      <c r="J437" s="1">
        <f t="shared" ref="J437" si="87">1-Y437</f>
        <v>2.0000000000000018E-2</v>
      </c>
      <c r="K437" s="1">
        <f t="shared" ref="K437" si="88">Z437/1000</f>
        <v>2.56718</v>
      </c>
      <c r="L437" s="1">
        <f t="shared" ref="L437" si="89">AA437/1000</f>
        <v>1.5779799999999999</v>
      </c>
      <c r="M437" s="49">
        <f t="shared" si="64"/>
        <v>1.3334211344467375</v>
      </c>
      <c r="N437" s="49">
        <f t="shared" ref="N437" si="90">AB437/100</f>
        <v>1.4257</v>
      </c>
      <c r="O437" s="1">
        <v>807</v>
      </c>
      <c r="P437" s="51">
        <v>0.05</v>
      </c>
      <c r="Q437" s="51">
        <v>11</v>
      </c>
      <c r="R437" s="51">
        <v>1</v>
      </c>
      <c r="S437" s="1">
        <v>1</v>
      </c>
      <c r="T437" s="1">
        <v>0</v>
      </c>
      <c r="U437" s="47">
        <v>0</v>
      </c>
      <c r="V437" s="47"/>
      <c r="W437" s="41">
        <v>120</v>
      </c>
      <c r="X437">
        <v>459</v>
      </c>
      <c r="Y437">
        <v>0.98</v>
      </c>
      <c r="Z437">
        <v>2567.1799999999998</v>
      </c>
      <c r="AA437">
        <v>1577.98</v>
      </c>
      <c r="AB437">
        <v>142.57</v>
      </c>
      <c r="AC437">
        <v>36</v>
      </c>
      <c r="AD437" s="41">
        <f t="shared" ref="AD437" si="91">1/Z437*860</f>
        <v>0.33499793547783951</v>
      </c>
      <c r="AE437" s="41">
        <f t="shared" ref="AE437" si="92">1/AA437*860</f>
        <v>0.54500057034943405</v>
      </c>
      <c r="AF437">
        <f t="shared" ref="AF437" si="93">(L437-H437*K437)/(1-H437)</f>
        <v>1.2278207079646015</v>
      </c>
      <c r="AG437">
        <f t="shared" ref="AG437" si="94">I437*(L437-AF437)</f>
        <v>0.16072311504424788</v>
      </c>
      <c r="AH437">
        <f t="shared" ref="AH437" si="95">AB437/100</f>
        <v>1.4257</v>
      </c>
      <c r="AI437">
        <f>HLOOKUP(HLOOKUP(G437,'THP2'!$B$4:$J$8,5,FALSE),'Fuel &amp; Resister'!$B$3:$G$6,4,FALSE)</f>
        <v>2.7360666666666664</v>
      </c>
      <c r="AJ437" s="41">
        <f>HLOOKUP(HLOOKUP(G437,'THP2'!$B$4:$J$8,5,FALSE),'Fuel &amp; Resister'!$B$3:$G$6,3,FALSE)</f>
        <v>13.019</v>
      </c>
      <c r="AO437" s="62">
        <v>0</v>
      </c>
      <c r="AP437" s="62">
        <v>0</v>
      </c>
    </row>
    <row r="438" spans="2:42" x14ac:dyDescent="0.15">
      <c r="B438" s="43" t="s">
        <v>644</v>
      </c>
      <c r="C438" s="61">
        <f>VLOOKUP(B438,[1]SYS!$F$5:$G$359,2,FALSE)</f>
        <v>312</v>
      </c>
      <c r="D438" s="1" t="s">
        <v>50</v>
      </c>
      <c r="E438" s="65" t="s">
        <v>537</v>
      </c>
      <c r="F438" s="63" t="s">
        <v>550</v>
      </c>
      <c r="G438" s="1">
        <v>3</v>
      </c>
      <c r="H438" s="1">
        <f t="shared" si="70"/>
        <v>0.26143790849673204</v>
      </c>
      <c r="I438" s="1">
        <f t="shared" si="71"/>
        <v>0.45900000000000002</v>
      </c>
      <c r="J438" s="1">
        <f t="shared" si="69"/>
        <v>2.0000000000000018E-2</v>
      </c>
      <c r="K438" s="1">
        <f t="shared" si="72"/>
        <v>2.56718</v>
      </c>
      <c r="L438" s="1">
        <f t="shared" si="73"/>
        <v>1.5779799999999999</v>
      </c>
      <c r="M438" s="49">
        <f t="shared" si="64"/>
        <v>1.3334211344467375</v>
      </c>
      <c r="N438" s="49">
        <f t="shared" si="84"/>
        <v>1.4257</v>
      </c>
      <c r="O438" s="1">
        <v>403</v>
      </c>
      <c r="P438" s="51">
        <v>0.05</v>
      </c>
      <c r="Q438" s="51">
        <v>11</v>
      </c>
      <c r="R438" s="51">
        <v>1</v>
      </c>
      <c r="S438" s="1">
        <v>1</v>
      </c>
      <c r="T438" s="1">
        <v>0</v>
      </c>
      <c r="U438" s="47">
        <v>0</v>
      </c>
      <c r="V438" s="47"/>
      <c r="W438" s="41">
        <v>120</v>
      </c>
      <c r="X438">
        <v>459</v>
      </c>
      <c r="Y438">
        <v>0.98</v>
      </c>
      <c r="Z438">
        <v>2567.1799999999998</v>
      </c>
      <c r="AA438">
        <v>1577.98</v>
      </c>
      <c r="AB438">
        <v>142.57</v>
      </c>
      <c r="AC438">
        <v>36</v>
      </c>
      <c r="AD438" s="41">
        <f t="shared" si="79"/>
        <v>0.33499793547783951</v>
      </c>
      <c r="AE438" s="41">
        <f t="shared" si="80"/>
        <v>0.54500057034943405</v>
      </c>
      <c r="AF438">
        <f t="shared" si="81"/>
        <v>1.2278207079646015</v>
      </c>
      <c r="AG438">
        <f t="shared" si="82"/>
        <v>0.16072311504424788</v>
      </c>
      <c r="AH438">
        <f t="shared" si="83"/>
        <v>1.4257</v>
      </c>
      <c r="AI438">
        <f>HLOOKUP(HLOOKUP(G438,'THP2'!$B$4:$J$8,5,FALSE),'Fuel &amp; Resister'!$B$3:$G$6,4,FALSE)</f>
        <v>2.7360666666666664</v>
      </c>
      <c r="AJ438" s="41">
        <f>HLOOKUP(HLOOKUP(G438,'THP2'!$B$4:$J$8,5,FALSE),'Fuel &amp; Resister'!$B$3:$G$6,3,FALSE)</f>
        <v>13.019</v>
      </c>
      <c r="AO438" s="1">
        <v>1</v>
      </c>
      <c r="AP438" s="62">
        <v>0</v>
      </c>
    </row>
    <row r="439" spans="2:42" x14ac:dyDescent="0.15">
      <c r="B439" s="43" t="s">
        <v>644</v>
      </c>
      <c r="C439" s="61">
        <f>VLOOKUP(B439,[1]SYS!$F$5:$G$359,2,FALSE)</f>
        <v>312</v>
      </c>
      <c r="D439" s="1" t="s">
        <v>50</v>
      </c>
      <c r="E439" s="65" t="s">
        <v>537</v>
      </c>
      <c r="F439" s="63" t="s">
        <v>550</v>
      </c>
      <c r="G439" s="1">
        <v>3</v>
      </c>
      <c r="H439" s="1">
        <f t="shared" si="70"/>
        <v>0.26143790849673204</v>
      </c>
      <c r="I439" s="1">
        <f t="shared" si="71"/>
        <v>0.45900000000000002</v>
      </c>
      <c r="J439" s="1">
        <f t="shared" si="69"/>
        <v>2.0000000000000018E-2</v>
      </c>
      <c r="K439" s="1">
        <f t="shared" si="72"/>
        <v>2.56718</v>
      </c>
      <c r="L439" s="1">
        <f t="shared" si="73"/>
        <v>1.5779799999999999</v>
      </c>
      <c r="M439" s="49">
        <f t="shared" si="64"/>
        <v>1.3334211344467375</v>
      </c>
      <c r="N439" s="49">
        <f t="shared" si="84"/>
        <v>1.4257</v>
      </c>
      <c r="O439" s="1">
        <v>509</v>
      </c>
      <c r="P439" s="51">
        <v>0.05</v>
      </c>
      <c r="Q439" s="51">
        <v>11</v>
      </c>
      <c r="R439" s="51">
        <v>1</v>
      </c>
      <c r="S439" s="1">
        <v>1</v>
      </c>
      <c r="T439" s="1">
        <v>0</v>
      </c>
      <c r="U439" s="47">
        <v>0</v>
      </c>
      <c r="V439" s="47"/>
      <c r="W439" s="41">
        <v>120</v>
      </c>
      <c r="X439">
        <v>459</v>
      </c>
      <c r="Y439">
        <v>0.98</v>
      </c>
      <c r="Z439">
        <v>2567.1799999999998</v>
      </c>
      <c r="AA439">
        <v>1577.98</v>
      </c>
      <c r="AB439">
        <v>142.57</v>
      </c>
      <c r="AC439">
        <v>36</v>
      </c>
      <c r="AD439" s="41">
        <f t="shared" si="79"/>
        <v>0.33499793547783951</v>
      </c>
      <c r="AE439" s="41">
        <f t="shared" si="80"/>
        <v>0.54500057034943405</v>
      </c>
      <c r="AF439">
        <f t="shared" si="81"/>
        <v>1.2278207079646015</v>
      </c>
      <c r="AG439">
        <f t="shared" si="82"/>
        <v>0.16072311504424788</v>
      </c>
      <c r="AH439">
        <f t="shared" si="83"/>
        <v>1.4257</v>
      </c>
      <c r="AI439">
        <f>HLOOKUP(HLOOKUP(G439,'THP2'!$B$4:$J$8,5,FALSE),'Fuel &amp; Resister'!$B$3:$G$6,4,FALSE)</f>
        <v>2.7360666666666664</v>
      </c>
      <c r="AJ439" s="41">
        <f>HLOOKUP(HLOOKUP(G439,'THP2'!$B$4:$J$8,5,FALSE),'Fuel &amp; Resister'!$B$3:$G$6,3,FALSE)</f>
        <v>13.019</v>
      </c>
      <c r="AO439" s="1">
        <v>1</v>
      </c>
      <c r="AP439" s="62">
        <v>0</v>
      </c>
    </row>
    <row r="440" spans="2:42" x14ac:dyDescent="0.15">
      <c r="B440" s="43" t="s">
        <v>617</v>
      </c>
      <c r="C440" s="61">
        <f>VLOOKUP(B440,[1]SYS!$F$5:$G$359,2,FALSE)</f>
        <v>324</v>
      </c>
      <c r="D440" s="1" t="s">
        <v>50</v>
      </c>
      <c r="E440" s="65" t="s">
        <v>537</v>
      </c>
      <c r="F440" s="63" t="s">
        <v>550</v>
      </c>
      <c r="G440" s="1">
        <v>3</v>
      </c>
      <c r="H440" s="1">
        <f t="shared" ref="H440:H441" si="96">W440/X440</f>
        <v>0.26143790849673204</v>
      </c>
      <c r="I440" s="1">
        <f t="shared" ref="I440:I441" si="97">X440/1000</f>
        <v>0.45900000000000002</v>
      </c>
      <c r="J440" s="1">
        <f t="shared" ref="J440:J441" si="98">1-Y440</f>
        <v>2.0000000000000018E-2</v>
      </c>
      <c r="K440" s="1">
        <f t="shared" ref="K440:K441" si="99">Z440/1000</f>
        <v>2.56718</v>
      </c>
      <c r="L440" s="1">
        <f t="shared" ref="L440:L441" si="100">AA440/1000</f>
        <v>1.5779799999999999</v>
      </c>
      <c r="M440" s="49">
        <f t="shared" si="64"/>
        <v>1.3334211344467375</v>
      </c>
      <c r="N440" s="49">
        <f t="shared" ref="N440:N441" si="101">AB440/100</f>
        <v>1.4257</v>
      </c>
      <c r="O440" s="1">
        <v>807</v>
      </c>
      <c r="P440" s="51">
        <v>0.05</v>
      </c>
      <c r="Q440" s="51">
        <v>11</v>
      </c>
      <c r="R440" s="51">
        <v>1</v>
      </c>
      <c r="S440" s="1">
        <v>1</v>
      </c>
      <c r="T440" s="1">
        <v>0</v>
      </c>
      <c r="U440" s="47">
        <v>0</v>
      </c>
      <c r="V440" s="47"/>
      <c r="W440" s="41">
        <v>120</v>
      </c>
      <c r="X440">
        <v>459</v>
      </c>
      <c r="Y440">
        <v>0.98</v>
      </c>
      <c r="Z440">
        <v>2567.1799999999998</v>
      </c>
      <c r="AA440">
        <v>1577.98</v>
      </c>
      <c r="AB440">
        <v>142.57</v>
      </c>
      <c r="AC440">
        <v>36</v>
      </c>
      <c r="AD440" s="41">
        <f t="shared" ref="AD440:AD441" si="102">1/Z440*860</f>
        <v>0.33499793547783951</v>
      </c>
      <c r="AE440" s="41">
        <f t="shared" ref="AE440:AE441" si="103">1/AA440*860</f>
        <v>0.54500057034943405</v>
      </c>
      <c r="AF440">
        <f t="shared" ref="AF440:AF441" si="104">(L440-H440*K440)/(1-H440)</f>
        <v>1.2278207079646015</v>
      </c>
      <c r="AG440">
        <f t="shared" ref="AG440:AG441" si="105">I440*(L440-AF440)</f>
        <v>0.16072311504424788</v>
      </c>
      <c r="AH440">
        <f t="shared" ref="AH440:AH441" si="106">AB440/100</f>
        <v>1.4257</v>
      </c>
      <c r="AI440">
        <f>HLOOKUP(HLOOKUP(G440,'THP2'!$B$4:$J$8,5,FALSE),'Fuel &amp; Resister'!$B$3:$G$6,4,FALSE)</f>
        <v>2.7360666666666664</v>
      </c>
      <c r="AJ440" s="41">
        <f>HLOOKUP(HLOOKUP(G440,'THP2'!$B$4:$J$8,5,FALSE),'Fuel &amp; Resister'!$B$3:$G$6,3,FALSE)</f>
        <v>13.019</v>
      </c>
      <c r="AO440" s="1">
        <v>1</v>
      </c>
      <c r="AP440" s="62">
        <v>0</v>
      </c>
    </row>
    <row r="441" spans="2:42" x14ac:dyDescent="0.15">
      <c r="B441" s="43" t="s">
        <v>617</v>
      </c>
      <c r="C441" s="61">
        <f>VLOOKUP(B441,[1]SYS!$F$5:$G$359,2,FALSE)</f>
        <v>324</v>
      </c>
      <c r="D441" s="1" t="s">
        <v>50</v>
      </c>
      <c r="E441" s="65" t="s">
        <v>537</v>
      </c>
      <c r="F441" s="63" t="s">
        <v>550</v>
      </c>
      <c r="G441" s="1">
        <v>3</v>
      </c>
      <c r="H441" s="1">
        <f t="shared" si="96"/>
        <v>0.26143790849673204</v>
      </c>
      <c r="I441" s="1">
        <f t="shared" si="97"/>
        <v>0.45900000000000002</v>
      </c>
      <c r="J441" s="1">
        <f t="shared" si="98"/>
        <v>2.0000000000000018E-2</v>
      </c>
      <c r="K441" s="1">
        <f t="shared" si="99"/>
        <v>2.56718</v>
      </c>
      <c r="L441" s="1">
        <f t="shared" si="100"/>
        <v>1.5779799999999999</v>
      </c>
      <c r="M441" s="49">
        <f t="shared" si="64"/>
        <v>1.3334211344467375</v>
      </c>
      <c r="N441" s="49">
        <f t="shared" si="101"/>
        <v>1.4257</v>
      </c>
      <c r="O441" s="1">
        <v>912</v>
      </c>
      <c r="P441" s="51">
        <v>0.05</v>
      </c>
      <c r="Q441" s="51">
        <v>11</v>
      </c>
      <c r="R441" s="51">
        <v>1</v>
      </c>
      <c r="S441" s="1">
        <v>1</v>
      </c>
      <c r="T441" s="1">
        <v>0</v>
      </c>
      <c r="U441" s="47">
        <v>0</v>
      </c>
      <c r="V441" s="47"/>
      <c r="W441" s="41">
        <v>120</v>
      </c>
      <c r="X441">
        <v>459</v>
      </c>
      <c r="Y441">
        <v>0.98</v>
      </c>
      <c r="Z441">
        <v>2567.1799999999998</v>
      </c>
      <c r="AA441">
        <v>1577.98</v>
      </c>
      <c r="AB441">
        <v>142.57</v>
      </c>
      <c r="AC441">
        <v>36</v>
      </c>
      <c r="AD441" s="41">
        <f t="shared" si="102"/>
        <v>0.33499793547783951</v>
      </c>
      <c r="AE441" s="41">
        <f t="shared" si="103"/>
        <v>0.54500057034943405</v>
      </c>
      <c r="AF441">
        <f t="shared" si="104"/>
        <v>1.2278207079646015</v>
      </c>
      <c r="AG441">
        <f t="shared" si="105"/>
        <v>0.16072311504424788</v>
      </c>
      <c r="AH441">
        <f t="shared" si="106"/>
        <v>1.4257</v>
      </c>
      <c r="AI441">
        <f>HLOOKUP(HLOOKUP(G441,'THP2'!$B$4:$J$8,5,FALSE),'Fuel &amp; Resister'!$B$3:$G$6,4,FALSE)</f>
        <v>2.7360666666666664</v>
      </c>
      <c r="AJ441" s="41">
        <f>HLOOKUP(HLOOKUP(G441,'THP2'!$B$4:$J$8,5,FALSE),'Fuel &amp; Resister'!$B$3:$G$6,3,FALSE)</f>
        <v>13.019</v>
      </c>
      <c r="AO441" s="1">
        <v>1</v>
      </c>
      <c r="AP441" s="62">
        <v>0</v>
      </c>
    </row>
    <row r="442" spans="2:42" x14ac:dyDescent="0.15">
      <c r="B442" s="43" t="s">
        <v>617</v>
      </c>
      <c r="C442" s="61">
        <f>VLOOKUP(B442,[1]SYS!$F$5:$G$359,2,FALSE)</f>
        <v>324</v>
      </c>
      <c r="D442" s="1" t="s">
        <v>50</v>
      </c>
      <c r="E442" s="65" t="s">
        <v>537</v>
      </c>
      <c r="F442" s="63" t="s">
        <v>550</v>
      </c>
      <c r="G442" s="1">
        <v>3</v>
      </c>
      <c r="H442" s="1">
        <f t="shared" si="70"/>
        <v>0.26143790849673204</v>
      </c>
      <c r="I442" s="1">
        <f t="shared" si="71"/>
        <v>0.45900000000000002</v>
      </c>
      <c r="J442" s="1">
        <f t="shared" si="69"/>
        <v>2.0000000000000018E-2</v>
      </c>
      <c r="K442" s="1">
        <f t="shared" si="72"/>
        <v>2.56718</v>
      </c>
      <c r="L442" s="1">
        <f t="shared" si="73"/>
        <v>1.5779799999999999</v>
      </c>
      <c r="M442" s="49">
        <f t="shared" si="64"/>
        <v>1.3334211344467375</v>
      </c>
      <c r="N442" s="49">
        <f t="shared" si="84"/>
        <v>1.4257</v>
      </c>
      <c r="O442" s="1">
        <v>1204</v>
      </c>
      <c r="P442" s="51">
        <v>0.05</v>
      </c>
      <c r="Q442" s="51">
        <v>11</v>
      </c>
      <c r="R442" s="51">
        <v>1</v>
      </c>
      <c r="S442" s="1">
        <v>1</v>
      </c>
      <c r="T442" s="1">
        <v>0</v>
      </c>
      <c r="U442" s="47">
        <v>0</v>
      </c>
      <c r="V442" s="47"/>
      <c r="W442" s="41">
        <v>120</v>
      </c>
      <c r="X442">
        <v>459</v>
      </c>
      <c r="Y442">
        <v>0.98</v>
      </c>
      <c r="Z442">
        <v>2567.1799999999998</v>
      </c>
      <c r="AA442">
        <v>1577.98</v>
      </c>
      <c r="AB442">
        <v>142.57</v>
      </c>
      <c r="AC442">
        <v>36</v>
      </c>
      <c r="AD442" s="41">
        <f t="shared" si="79"/>
        <v>0.33499793547783951</v>
      </c>
      <c r="AE442" s="41">
        <f t="shared" si="80"/>
        <v>0.54500057034943405</v>
      </c>
      <c r="AF442">
        <f t="shared" si="81"/>
        <v>1.2278207079646015</v>
      </c>
      <c r="AG442">
        <f t="shared" si="82"/>
        <v>0.16072311504424788</v>
      </c>
      <c r="AH442">
        <f t="shared" si="83"/>
        <v>1.4257</v>
      </c>
      <c r="AI442">
        <f>HLOOKUP(HLOOKUP(G442,'THP2'!$B$4:$J$8,5,FALSE),'Fuel &amp; Resister'!$B$3:$G$6,4,FALSE)</f>
        <v>2.7360666666666664</v>
      </c>
      <c r="AJ442" s="41">
        <f>HLOOKUP(HLOOKUP(G442,'THP2'!$B$4:$J$8,5,FALSE),'Fuel &amp; Resister'!$B$3:$G$6,3,FALSE)</f>
        <v>13.019</v>
      </c>
      <c r="AO442" s="1">
        <v>1</v>
      </c>
      <c r="AP442" s="62">
        <v>0</v>
      </c>
    </row>
    <row r="443" spans="2:42" x14ac:dyDescent="0.15">
      <c r="B443" s="43" t="s">
        <v>615</v>
      </c>
      <c r="C443" s="61">
        <f>VLOOKUP(B443,[1]SYS!$F$5:$G$359,2,FALSE)</f>
        <v>332</v>
      </c>
      <c r="D443" s="1" t="s">
        <v>50</v>
      </c>
      <c r="E443" s="65" t="s">
        <v>537</v>
      </c>
      <c r="F443" s="63" t="s">
        <v>556</v>
      </c>
      <c r="G443" s="1">
        <v>3</v>
      </c>
      <c r="H443" s="1">
        <f t="shared" si="70"/>
        <v>0.26143790849673204</v>
      </c>
      <c r="I443" s="1">
        <f t="shared" si="71"/>
        <v>0.45900000000000002</v>
      </c>
      <c r="J443" s="1">
        <f t="shared" si="69"/>
        <v>2.0000000000000018E-2</v>
      </c>
      <c r="K443" s="1">
        <f t="shared" si="72"/>
        <v>2.56718</v>
      </c>
      <c r="L443" s="1">
        <f t="shared" si="73"/>
        <v>1.5779799999999999</v>
      </c>
      <c r="M443" s="49">
        <f t="shared" si="64"/>
        <v>1.3334211344467375</v>
      </c>
      <c r="N443" s="49">
        <f t="shared" si="84"/>
        <v>1.4257</v>
      </c>
      <c r="O443" s="1">
        <v>109</v>
      </c>
      <c r="P443" s="51">
        <v>0.05</v>
      </c>
      <c r="Q443" s="51">
        <v>11</v>
      </c>
      <c r="R443" s="51">
        <v>1</v>
      </c>
      <c r="S443" s="1">
        <v>1</v>
      </c>
      <c r="T443" s="1">
        <v>0</v>
      </c>
      <c r="U443" s="47">
        <v>0</v>
      </c>
      <c r="V443" s="47"/>
      <c r="W443" s="41">
        <v>120</v>
      </c>
      <c r="X443">
        <v>459</v>
      </c>
      <c r="Y443">
        <v>0.98</v>
      </c>
      <c r="Z443">
        <v>2567.1799999999998</v>
      </c>
      <c r="AA443">
        <v>1577.98</v>
      </c>
      <c r="AB443">
        <v>142.57</v>
      </c>
      <c r="AC443">
        <v>36</v>
      </c>
      <c r="AD443" s="41">
        <f t="shared" si="79"/>
        <v>0.33499793547783951</v>
      </c>
      <c r="AE443" s="41">
        <f t="shared" si="80"/>
        <v>0.54500057034943405</v>
      </c>
      <c r="AF443">
        <f t="shared" si="81"/>
        <v>1.2278207079646015</v>
      </c>
      <c r="AG443">
        <f t="shared" si="82"/>
        <v>0.16072311504424788</v>
      </c>
      <c r="AH443">
        <f t="shared" si="83"/>
        <v>1.4257</v>
      </c>
      <c r="AI443">
        <f>HLOOKUP(HLOOKUP(G443,'THP2'!$B$4:$J$8,5,FALSE),'Fuel &amp; Resister'!$B$3:$G$6,4,FALSE)</f>
        <v>2.7360666666666664</v>
      </c>
      <c r="AJ443" s="41">
        <f>HLOOKUP(HLOOKUP(G443,'THP2'!$B$4:$J$8,5,FALSE),'Fuel &amp; Resister'!$B$3:$G$6,3,FALSE)</f>
        <v>13.019</v>
      </c>
      <c r="AO443" s="1">
        <v>1</v>
      </c>
      <c r="AP443" s="62">
        <v>0</v>
      </c>
    </row>
    <row r="444" spans="2:42" x14ac:dyDescent="0.15">
      <c r="B444" s="43" t="s">
        <v>615</v>
      </c>
      <c r="C444" s="61">
        <f>VLOOKUP(B444,[1]SYS!$F$5:$G$359,2,FALSE)</f>
        <v>332</v>
      </c>
      <c r="D444" s="1" t="s">
        <v>50</v>
      </c>
      <c r="E444" s="65" t="s">
        <v>537</v>
      </c>
      <c r="F444" s="63" t="s">
        <v>556</v>
      </c>
      <c r="G444" s="1">
        <v>3</v>
      </c>
      <c r="H444" s="1">
        <f t="shared" si="70"/>
        <v>0.26143790849673204</v>
      </c>
      <c r="I444" s="1">
        <f t="shared" si="71"/>
        <v>0.45900000000000002</v>
      </c>
      <c r="J444" s="1">
        <f t="shared" si="69"/>
        <v>2.0000000000000018E-2</v>
      </c>
      <c r="K444" s="1">
        <f t="shared" si="72"/>
        <v>2.56718</v>
      </c>
      <c r="L444" s="1">
        <f t="shared" si="73"/>
        <v>1.5779799999999999</v>
      </c>
      <c r="M444" s="49">
        <f t="shared" si="64"/>
        <v>1.3334211344467375</v>
      </c>
      <c r="N444" s="49">
        <f t="shared" si="84"/>
        <v>1.4257</v>
      </c>
      <c r="O444" s="1">
        <v>201</v>
      </c>
      <c r="P444" s="51">
        <v>0.05</v>
      </c>
      <c r="Q444" s="51">
        <v>11</v>
      </c>
      <c r="R444" s="51">
        <v>1</v>
      </c>
      <c r="S444" s="1">
        <v>1</v>
      </c>
      <c r="T444" s="1">
        <v>0</v>
      </c>
      <c r="U444" s="47">
        <v>0</v>
      </c>
      <c r="V444" s="47"/>
      <c r="W444" s="41">
        <v>120</v>
      </c>
      <c r="X444">
        <v>459</v>
      </c>
      <c r="Y444">
        <v>0.98</v>
      </c>
      <c r="Z444">
        <v>2567.1799999999998</v>
      </c>
      <c r="AA444">
        <v>1577.98</v>
      </c>
      <c r="AB444">
        <v>142.57</v>
      </c>
      <c r="AC444">
        <v>36</v>
      </c>
      <c r="AD444" s="41">
        <f t="shared" si="79"/>
        <v>0.33499793547783951</v>
      </c>
      <c r="AE444" s="41">
        <f t="shared" si="80"/>
        <v>0.54500057034943405</v>
      </c>
      <c r="AF444">
        <f t="shared" si="81"/>
        <v>1.2278207079646015</v>
      </c>
      <c r="AG444">
        <f t="shared" si="82"/>
        <v>0.16072311504424788</v>
      </c>
      <c r="AH444">
        <f t="shared" si="83"/>
        <v>1.4257</v>
      </c>
      <c r="AI444">
        <f>HLOOKUP(HLOOKUP(G444,'THP2'!$B$4:$J$8,5,FALSE),'Fuel &amp; Resister'!$B$3:$G$6,4,FALSE)</f>
        <v>2.7360666666666664</v>
      </c>
      <c r="AJ444" s="41">
        <f>HLOOKUP(HLOOKUP(G444,'THP2'!$B$4:$J$8,5,FALSE),'Fuel &amp; Resister'!$B$3:$G$6,3,FALSE)</f>
        <v>13.019</v>
      </c>
      <c r="AO444" s="1">
        <v>1</v>
      </c>
      <c r="AP444" s="62">
        <v>0</v>
      </c>
    </row>
    <row r="445" spans="2:42" x14ac:dyDescent="0.15">
      <c r="B445" s="43" t="s">
        <v>616</v>
      </c>
      <c r="C445" s="61">
        <f>VLOOKUP(B445,[1]SYS!$F$5:$G$359,2,FALSE)</f>
        <v>341</v>
      </c>
      <c r="D445" s="1" t="s">
        <v>50</v>
      </c>
      <c r="E445" s="65" t="s">
        <v>537</v>
      </c>
      <c r="F445" s="63" t="s">
        <v>555</v>
      </c>
      <c r="G445" s="1">
        <v>3</v>
      </c>
      <c r="H445" s="1">
        <f t="shared" si="70"/>
        <v>0.26143790849673204</v>
      </c>
      <c r="I445" s="1">
        <f t="shared" si="71"/>
        <v>0.45900000000000002</v>
      </c>
      <c r="J445" s="1">
        <f t="shared" si="69"/>
        <v>2.0000000000000018E-2</v>
      </c>
      <c r="K445" s="1">
        <f t="shared" si="72"/>
        <v>2.56718</v>
      </c>
      <c r="L445" s="1">
        <f t="shared" si="73"/>
        <v>1.5779799999999999</v>
      </c>
      <c r="M445" s="49">
        <f t="shared" si="64"/>
        <v>1.3334211344467375</v>
      </c>
      <c r="N445" s="49">
        <f t="shared" si="84"/>
        <v>1.4257</v>
      </c>
      <c r="O445" s="1">
        <v>1007</v>
      </c>
      <c r="P445" s="51">
        <v>0.05</v>
      </c>
      <c r="Q445" s="51">
        <v>11</v>
      </c>
      <c r="R445" s="51">
        <v>1</v>
      </c>
      <c r="S445" s="1">
        <v>1</v>
      </c>
      <c r="T445" s="1">
        <v>0</v>
      </c>
      <c r="U445" s="47">
        <v>0</v>
      </c>
      <c r="V445" s="47"/>
      <c r="W445" s="41">
        <v>120</v>
      </c>
      <c r="X445">
        <v>459</v>
      </c>
      <c r="Y445">
        <v>0.98</v>
      </c>
      <c r="Z445">
        <v>2567.1799999999998</v>
      </c>
      <c r="AA445">
        <v>1577.98</v>
      </c>
      <c r="AB445">
        <v>142.57</v>
      </c>
      <c r="AC445">
        <v>36</v>
      </c>
      <c r="AD445" s="41">
        <f t="shared" si="79"/>
        <v>0.33499793547783951</v>
      </c>
      <c r="AE445" s="41">
        <f t="shared" si="80"/>
        <v>0.54500057034943405</v>
      </c>
      <c r="AF445">
        <f t="shared" si="81"/>
        <v>1.2278207079646015</v>
      </c>
      <c r="AG445">
        <f t="shared" si="82"/>
        <v>0.16072311504424788</v>
      </c>
      <c r="AH445">
        <f t="shared" si="83"/>
        <v>1.4257</v>
      </c>
      <c r="AI445">
        <f>HLOOKUP(HLOOKUP(G445,'THP2'!$B$4:$J$8,5,FALSE),'Fuel &amp; Resister'!$B$3:$G$6,4,FALSE)</f>
        <v>2.7360666666666664</v>
      </c>
      <c r="AJ445" s="41">
        <f>HLOOKUP(HLOOKUP(G445,'THP2'!$B$4:$J$8,5,FALSE),'Fuel &amp; Resister'!$B$3:$G$6,3,FALSE)</f>
        <v>13.019</v>
      </c>
      <c r="AO445" s="1">
        <v>1</v>
      </c>
      <c r="AP445" s="62">
        <v>0</v>
      </c>
    </row>
    <row r="446" spans="2:42" x14ac:dyDescent="0.15">
      <c r="B446" s="43" t="s">
        <v>616</v>
      </c>
      <c r="C446" s="61">
        <f>VLOOKUP(B446,[1]SYS!$F$5:$G$359,2,FALSE)</f>
        <v>341</v>
      </c>
      <c r="D446" s="1" t="s">
        <v>50</v>
      </c>
      <c r="E446" s="65" t="s">
        <v>537</v>
      </c>
      <c r="F446" s="63" t="s">
        <v>555</v>
      </c>
      <c r="G446" s="1">
        <v>3</v>
      </c>
      <c r="H446" s="1">
        <f t="shared" si="70"/>
        <v>0.26143790849673204</v>
      </c>
      <c r="I446" s="1">
        <f t="shared" si="71"/>
        <v>0.45900000000000002</v>
      </c>
      <c r="J446" s="1">
        <f t="shared" si="69"/>
        <v>2.0000000000000018E-2</v>
      </c>
      <c r="K446" s="1">
        <f t="shared" si="72"/>
        <v>2.56718</v>
      </c>
      <c r="L446" s="1">
        <f t="shared" si="73"/>
        <v>1.5779799999999999</v>
      </c>
      <c r="M446" s="49">
        <f t="shared" si="64"/>
        <v>1.3334211344467375</v>
      </c>
      <c r="N446" s="49">
        <f t="shared" si="84"/>
        <v>1.4257</v>
      </c>
      <c r="O446" s="1">
        <v>1112</v>
      </c>
      <c r="P446" s="51">
        <v>0.05</v>
      </c>
      <c r="Q446" s="51">
        <v>11</v>
      </c>
      <c r="R446" s="51">
        <v>1</v>
      </c>
      <c r="S446" s="1">
        <v>1</v>
      </c>
      <c r="T446" s="1">
        <v>0</v>
      </c>
      <c r="U446" s="47">
        <v>0</v>
      </c>
      <c r="V446" s="47"/>
      <c r="W446" s="41">
        <v>120</v>
      </c>
      <c r="X446">
        <v>459</v>
      </c>
      <c r="Y446">
        <v>0.98</v>
      </c>
      <c r="Z446">
        <v>2567.1799999999998</v>
      </c>
      <c r="AA446">
        <v>1577.98</v>
      </c>
      <c r="AB446">
        <v>142.57</v>
      </c>
      <c r="AC446">
        <v>36</v>
      </c>
      <c r="AD446" s="41">
        <f t="shared" si="79"/>
        <v>0.33499793547783951</v>
      </c>
      <c r="AE446" s="41">
        <f t="shared" si="80"/>
        <v>0.54500057034943405</v>
      </c>
      <c r="AF446">
        <f t="shared" si="81"/>
        <v>1.2278207079646015</v>
      </c>
      <c r="AG446">
        <f t="shared" si="82"/>
        <v>0.16072311504424788</v>
      </c>
      <c r="AH446">
        <f t="shared" si="83"/>
        <v>1.4257</v>
      </c>
      <c r="AI446">
        <f>HLOOKUP(HLOOKUP(G446,'THP2'!$B$4:$J$8,5,FALSE),'Fuel &amp; Resister'!$B$3:$G$6,4,FALSE)</f>
        <v>2.7360666666666664</v>
      </c>
      <c r="AJ446" s="41">
        <f>HLOOKUP(HLOOKUP(G446,'THP2'!$B$4:$J$8,5,FALSE),'Fuel &amp; Resister'!$B$3:$G$6,3,FALSE)</f>
        <v>13.019</v>
      </c>
      <c r="AO446" s="1">
        <v>1</v>
      </c>
      <c r="AP446" s="62">
        <v>0</v>
      </c>
    </row>
    <row r="447" spans="2:42" x14ac:dyDescent="0.15">
      <c r="B447" s="43" t="s">
        <v>645</v>
      </c>
      <c r="C447" s="61">
        <f>VLOOKUP(B447,[1]SYS!$F$5:$G$359,2,FALSE)</f>
        <v>1</v>
      </c>
      <c r="D447" s="1" t="s">
        <v>25</v>
      </c>
      <c r="E447" s="42" t="s">
        <v>387</v>
      </c>
      <c r="F447" s="63" t="s">
        <v>388</v>
      </c>
      <c r="G447" s="1">
        <v>0</v>
      </c>
      <c r="H447" s="1">
        <v>1</v>
      </c>
      <c r="I447" s="1">
        <f t="shared" si="71"/>
        <v>0.57899999999999996</v>
      </c>
      <c r="J447" s="1">
        <f t="shared" si="69"/>
        <v>5.3400000000000003E-2</v>
      </c>
      <c r="K447" s="1">
        <f t="shared" si="72"/>
        <v>2.4783900000000001</v>
      </c>
      <c r="L447" s="1">
        <f t="shared" si="73"/>
        <v>2.4783900000000001</v>
      </c>
      <c r="M447" s="49">
        <f t="shared" si="64"/>
        <v>0</v>
      </c>
      <c r="N447" s="49">
        <v>1</v>
      </c>
      <c r="O447" s="1">
        <v>608</v>
      </c>
      <c r="P447" s="51">
        <v>0</v>
      </c>
      <c r="Q447" s="51">
        <v>8</v>
      </c>
      <c r="R447" s="51">
        <v>0</v>
      </c>
      <c r="S447" s="62">
        <v>1</v>
      </c>
      <c r="T447" s="62">
        <v>1</v>
      </c>
      <c r="U447" s="93">
        <v>1</v>
      </c>
      <c r="V447" s="47">
        <v>330</v>
      </c>
      <c r="W447" s="41">
        <v>-579</v>
      </c>
      <c r="X447">
        <v>579</v>
      </c>
      <c r="Y447">
        <v>0.9466</v>
      </c>
      <c r="Z447">
        <v>2478.39</v>
      </c>
      <c r="AA447">
        <v>2478.39</v>
      </c>
      <c r="AB447">
        <v>0</v>
      </c>
      <c r="AC447">
        <v>110</v>
      </c>
      <c r="AD447" s="41">
        <f t="shared" si="74"/>
        <v>0.34699946336129506</v>
      </c>
      <c r="AE447" s="41">
        <f t="shared" si="75"/>
        <v>0.34699946336129506</v>
      </c>
      <c r="AF447" t="e">
        <f t="shared" si="76"/>
        <v>#DIV/0!</v>
      </c>
      <c r="AG447" t="e">
        <f t="shared" si="77"/>
        <v>#DIV/0!</v>
      </c>
      <c r="AH447">
        <f t="shared" si="78"/>
        <v>0</v>
      </c>
      <c r="AI447">
        <f>HLOOKUP(HLOOKUP(G447,'THP2'!$B$4:$J$8,5,FALSE),'Fuel &amp; Resister'!$B$3:$G$6,4,FALSE)</f>
        <v>0</v>
      </c>
      <c r="AJ447" s="41">
        <f>HLOOKUP(HLOOKUP(G447,'THP2'!$B$4:$J$8,5,FALSE),'Fuel &amp; Resister'!$B$3:$G$6,3,FALSE)</f>
        <v>2.4783900000000001</v>
      </c>
      <c r="AO447" s="62">
        <v>1</v>
      </c>
      <c r="AP447" s="62">
        <v>1</v>
      </c>
    </row>
    <row r="448" spans="2:42" x14ac:dyDescent="0.15">
      <c r="B448" s="43" t="s">
        <v>645</v>
      </c>
      <c r="C448" s="61">
        <f>VLOOKUP(B448,[1]SYS!$F$5:$G$359,2,FALSE)</f>
        <v>1</v>
      </c>
      <c r="D448" s="1" t="s">
        <v>25</v>
      </c>
      <c r="E448" s="42" t="s">
        <v>573</v>
      </c>
      <c r="F448" s="63" t="s">
        <v>388</v>
      </c>
      <c r="G448" s="1">
        <v>0</v>
      </c>
      <c r="H448" s="1">
        <v>1</v>
      </c>
      <c r="I448" s="1">
        <f>X448/1000</f>
        <v>0.57899999999999996</v>
      </c>
      <c r="J448" s="1">
        <f t="shared" ref="J448" si="107">1-Y448</f>
        <v>5.3400000000000003E-2</v>
      </c>
      <c r="K448" s="1">
        <f t="shared" ref="K448" si="108">Z448/1000</f>
        <v>2.4783900000000001</v>
      </c>
      <c r="L448" s="1">
        <f t="shared" ref="L448" si="109">AA448/1000</f>
        <v>2.4783900000000001</v>
      </c>
      <c r="M448" s="49">
        <f t="shared" si="64"/>
        <v>0</v>
      </c>
      <c r="N448" s="49">
        <v>1</v>
      </c>
      <c r="O448" s="1">
        <v>508</v>
      </c>
      <c r="P448" s="51">
        <v>0</v>
      </c>
      <c r="Q448" s="51">
        <v>8</v>
      </c>
      <c r="R448" s="51">
        <v>0</v>
      </c>
      <c r="S448" s="62">
        <v>0</v>
      </c>
      <c r="T448" s="62">
        <v>0</v>
      </c>
      <c r="U448" s="93">
        <v>0</v>
      </c>
      <c r="V448" s="47"/>
      <c r="X448">
        <v>579</v>
      </c>
      <c r="Y448">
        <v>0.9466</v>
      </c>
      <c r="Z448">
        <v>2478.39</v>
      </c>
      <c r="AA448">
        <v>2478.39</v>
      </c>
      <c r="AB448">
        <v>0</v>
      </c>
      <c r="AC448">
        <v>110</v>
      </c>
      <c r="AD448" s="41">
        <f t="shared" ref="AD448" si="110">1/Z448*860</f>
        <v>0.34699946336129506</v>
      </c>
      <c r="AE448" s="41">
        <f t="shared" ref="AE448" si="111">1/AA448*860</f>
        <v>0.34699946336129506</v>
      </c>
      <c r="AI448">
        <f>HLOOKUP(HLOOKUP(G448,'THP2'!$B$4:$J$8,5,FALSE),'Fuel &amp; Resister'!$B$3:$G$6,4,FALSE)</f>
        <v>0</v>
      </c>
      <c r="AJ448" s="41">
        <f>HLOOKUP(HLOOKUP(G448,'THP2'!$B$4:$J$8,5,FALSE),'Fuel &amp; Resister'!$B$3:$G$6,3,FALSE)</f>
        <v>2.4783900000000001</v>
      </c>
      <c r="AO448" s="62">
        <v>0</v>
      </c>
      <c r="AP448" s="62">
        <v>0</v>
      </c>
    </row>
    <row r="449" spans="2:42" x14ac:dyDescent="0.15">
      <c r="B449" s="43" t="s">
        <v>645</v>
      </c>
      <c r="C449" s="61">
        <f>VLOOKUP(B449,[1]SYS!$F$5:$G$359,2,FALSE)</f>
        <v>1</v>
      </c>
      <c r="D449" s="1" t="s">
        <v>25</v>
      </c>
      <c r="E449" s="65" t="s">
        <v>389</v>
      </c>
      <c r="F449" s="63" t="s">
        <v>388</v>
      </c>
      <c r="G449" s="1">
        <v>0</v>
      </c>
      <c r="H449" s="1">
        <v>1</v>
      </c>
      <c r="I449" s="1">
        <f t="shared" si="71"/>
        <v>0.91200000000000003</v>
      </c>
      <c r="J449" s="1">
        <f t="shared" si="69"/>
        <v>5.3400000000000003E-2</v>
      </c>
      <c r="K449" s="1">
        <f t="shared" si="72"/>
        <v>2.4783900000000001</v>
      </c>
      <c r="L449" s="1">
        <f t="shared" si="73"/>
        <v>2.4783900000000001</v>
      </c>
      <c r="M449" s="49">
        <f t="shared" si="64"/>
        <v>0</v>
      </c>
      <c r="N449" s="49">
        <v>1</v>
      </c>
      <c r="O449" s="1">
        <v>408</v>
      </c>
      <c r="P449" s="51">
        <v>0</v>
      </c>
      <c r="Q449" s="51">
        <v>8</v>
      </c>
      <c r="R449" s="51">
        <v>0</v>
      </c>
      <c r="S449" s="1">
        <v>1</v>
      </c>
      <c r="T449" s="1">
        <v>1</v>
      </c>
      <c r="U449" s="47">
        <v>1</v>
      </c>
      <c r="V449" s="47">
        <v>331</v>
      </c>
      <c r="W449" s="41">
        <v>-912</v>
      </c>
      <c r="X449">
        <v>912</v>
      </c>
      <c r="Y449">
        <v>0.9466</v>
      </c>
      <c r="Z449">
        <v>2478.39</v>
      </c>
      <c r="AA449">
        <v>2478.39</v>
      </c>
      <c r="AB449">
        <v>0</v>
      </c>
      <c r="AC449">
        <v>110</v>
      </c>
      <c r="AD449" s="41">
        <f t="shared" si="74"/>
        <v>0.34699946336129506</v>
      </c>
      <c r="AE449" s="41">
        <f t="shared" si="75"/>
        <v>0.34699946336129506</v>
      </c>
      <c r="AF449" t="e">
        <f t="shared" si="76"/>
        <v>#DIV/0!</v>
      </c>
      <c r="AG449" t="e">
        <f t="shared" si="77"/>
        <v>#DIV/0!</v>
      </c>
      <c r="AH449">
        <f t="shared" si="78"/>
        <v>0</v>
      </c>
      <c r="AI449">
        <f>HLOOKUP(HLOOKUP(G449,'THP2'!$B$4:$J$8,5,FALSE),'Fuel &amp; Resister'!$B$3:$G$6,4,FALSE)</f>
        <v>0</v>
      </c>
      <c r="AJ449" s="41">
        <f>HLOOKUP(HLOOKUP(G449,'THP2'!$B$4:$J$8,5,FALSE),'Fuel &amp; Resister'!$B$3:$G$6,3,FALSE)</f>
        <v>2.4783900000000001</v>
      </c>
      <c r="AO449" s="1">
        <v>1</v>
      </c>
      <c r="AP449" s="1">
        <v>1</v>
      </c>
    </row>
    <row r="450" spans="2:42" x14ac:dyDescent="0.15">
      <c r="B450" s="43" t="s">
        <v>586</v>
      </c>
      <c r="C450" s="61">
        <f>VLOOKUP(B450,[1]SYS!$F$5:$G$359,2,FALSE)</f>
        <v>46</v>
      </c>
      <c r="D450" s="1" t="s">
        <v>25</v>
      </c>
      <c r="E450" s="42" t="s">
        <v>390</v>
      </c>
      <c r="F450" s="63" t="s">
        <v>393</v>
      </c>
      <c r="G450" s="1">
        <v>0</v>
      </c>
      <c r="H450" s="1">
        <v>1</v>
      </c>
      <c r="I450" s="1">
        <f t="shared" si="71"/>
        <v>0.82499999999999996</v>
      </c>
      <c r="J450" s="1">
        <f t="shared" si="69"/>
        <v>5.5200000000000027E-2</v>
      </c>
      <c r="K450" s="1">
        <f t="shared" si="72"/>
        <v>2.4783900000000001</v>
      </c>
      <c r="L450" s="1">
        <f t="shared" si="73"/>
        <v>2.4783900000000001</v>
      </c>
      <c r="M450" s="49">
        <f t="shared" si="64"/>
        <v>0</v>
      </c>
      <c r="N450" s="49">
        <v>1</v>
      </c>
      <c r="O450" s="6">
        <v>312</v>
      </c>
      <c r="P450" s="51">
        <v>0</v>
      </c>
      <c r="Q450" s="51">
        <v>8</v>
      </c>
      <c r="R450" s="51">
        <v>0</v>
      </c>
      <c r="S450" s="62">
        <v>1</v>
      </c>
      <c r="T450" s="62">
        <v>1</v>
      </c>
      <c r="U450" s="93">
        <v>1</v>
      </c>
      <c r="V450" s="47">
        <v>332</v>
      </c>
      <c r="W450" s="41">
        <v>-825</v>
      </c>
      <c r="X450">
        <v>825</v>
      </c>
      <c r="Y450">
        <v>0.94479999999999997</v>
      </c>
      <c r="Z450">
        <v>2478.39</v>
      </c>
      <c r="AA450">
        <v>2478.39</v>
      </c>
      <c r="AB450">
        <v>0</v>
      </c>
      <c r="AC450">
        <v>110</v>
      </c>
      <c r="AD450" s="41">
        <f t="shared" si="74"/>
        <v>0.34699946336129506</v>
      </c>
      <c r="AE450" s="41">
        <f t="shared" si="75"/>
        <v>0.34699946336129506</v>
      </c>
      <c r="AF450" t="e">
        <f t="shared" si="76"/>
        <v>#DIV/0!</v>
      </c>
      <c r="AG450" t="e">
        <f t="shared" si="77"/>
        <v>#DIV/0!</v>
      </c>
      <c r="AH450">
        <f t="shared" si="78"/>
        <v>0</v>
      </c>
      <c r="AI450">
        <f>HLOOKUP(HLOOKUP(G450,'THP2'!$B$4:$J$8,5,FALSE),'Fuel &amp; Resister'!$B$3:$G$6,4,FALSE)</f>
        <v>0</v>
      </c>
      <c r="AJ450" s="41">
        <f>HLOOKUP(HLOOKUP(G450,'THP2'!$B$4:$J$8,5,FALSE),'Fuel &amp; Resister'!$B$3:$G$6,3,FALSE)</f>
        <v>2.4783900000000001</v>
      </c>
      <c r="AO450" s="62">
        <v>1</v>
      </c>
      <c r="AP450" s="62">
        <v>1</v>
      </c>
    </row>
    <row r="451" spans="2:42" x14ac:dyDescent="0.15">
      <c r="B451" s="43" t="s">
        <v>586</v>
      </c>
      <c r="C451" s="61">
        <f>VLOOKUP(B451,[1]SYS!$F$5:$G$359,2,FALSE)</f>
        <v>46</v>
      </c>
      <c r="D451" s="1" t="s">
        <v>25</v>
      </c>
      <c r="E451" s="65" t="s">
        <v>394</v>
      </c>
      <c r="F451" s="63" t="s">
        <v>393</v>
      </c>
      <c r="G451" s="1">
        <v>0</v>
      </c>
      <c r="H451" s="1">
        <v>1</v>
      </c>
      <c r="I451" s="1">
        <f t="shared" si="71"/>
        <v>0.82499999999999996</v>
      </c>
      <c r="J451" s="1">
        <f t="shared" si="69"/>
        <v>5.5200000000000027E-2</v>
      </c>
      <c r="K451" s="1">
        <f t="shared" si="72"/>
        <v>2.4783900000000001</v>
      </c>
      <c r="L451" s="1">
        <f t="shared" si="73"/>
        <v>2.4783900000000001</v>
      </c>
      <c r="M451" s="49">
        <f t="shared" ref="M451:M503" si="112">(I451*10^6*L451/AJ451*AI451/10^6)*24*365/1000</f>
        <v>0</v>
      </c>
      <c r="N451" s="49">
        <v>1</v>
      </c>
      <c r="O451" s="1">
        <v>912</v>
      </c>
      <c r="P451" s="51">
        <v>0</v>
      </c>
      <c r="Q451" s="51">
        <v>8</v>
      </c>
      <c r="R451" s="51">
        <v>0</v>
      </c>
      <c r="S451" s="1">
        <v>1</v>
      </c>
      <c r="T451" s="1">
        <v>1</v>
      </c>
      <c r="U451" s="47">
        <v>1</v>
      </c>
      <c r="V451" s="47">
        <v>333</v>
      </c>
      <c r="W451" s="41">
        <v>-825</v>
      </c>
      <c r="X451">
        <v>825</v>
      </c>
      <c r="Y451">
        <v>0.94479999999999997</v>
      </c>
      <c r="Z451">
        <v>2478.39</v>
      </c>
      <c r="AA451">
        <v>2478.39</v>
      </c>
      <c r="AB451">
        <v>0</v>
      </c>
      <c r="AC451">
        <v>110</v>
      </c>
      <c r="AD451" s="41">
        <f t="shared" si="74"/>
        <v>0.34699946336129506</v>
      </c>
      <c r="AE451" s="41">
        <f t="shared" si="75"/>
        <v>0.34699946336129506</v>
      </c>
      <c r="AF451" t="e">
        <f t="shared" si="76"/>
        <v>#DIV/0!</v>
      </c>
      <c r="AG451" t="e">
        <f t="shared" si="77"/>
        <v>#DIV/0!</v>
      </c>
      <c r="AH451">
        <f t="shared" si="78"/>
        <v>0</v>
      </c>
      <c r="AI451">
        <f>HLOOKUP(HLOOKUP(G451,'THP2'!$B$4:$J$8,5,FALSE),'Fuel &amp; Resister'!$B$3:$G$6,4,FALSE)</f>
        <v>0</v>
      </c>
      <c r="AJ451" s="41">
        <f>HLOOKUP(HLOOKUP(G451,'THP2'!$B$4:$J$8,5,FALSE),'Fuel &amp; Resister'!$B$3:$G$6,3,FALSE)</f>
        <v>2.4783900000000001</v>
      </c>
      <c r="AO451" s="1">
        <v>1</v>
      </c>
      <c r="AP451" s="1">
        <v>1</v>
      </c>
    </row>
    <row r="452" spans="2:42" x14ac:dyDescent="0.15">
      <c r="B452" s="43" t="s">
        <v>646</v>
      </c>
      <c r="C452" s="61">
        <f>VLOOKUP(B452,[1]SYS!$F$5:$G$359,2,FALSE)</f>
        <v>33</v>
      </c>
      <c r="D452" s="1" t="s">
        <v>25</v>
      </c>
      <c r="E452" s="65" t="s">
        <v>391</v>
      </c>
      <c r="F452" s="63" t="s">
        <v>410</v>
      </c>
      <c r="G452" s="1">
        <v>0</v>
      </c>
      <c r="H452" s="1">
        <v>1</v>
      </c>
      <c r="I452" s="1">
        <f t="shared" si="71"/>
        <v>1.1000000000000001</v>
      </c>
      <c r="J452" s="1">
        <f t="shared" si="69"/>
        <v>5.5200000000000027E-2</v>
      </c>
      <c r="K452" s="1">
        <f t="shared" si="72"/>
        <v>2.4783900000000001</v>
      </c>
      <c r="L452" s="1">
        <f t="shared" si="73"/>
        <v>2.4783900000000001</v>
      </c>
      <c r="M452" s="49">
        <f t="shared" si="112"/>
        <v>0</v>
      </c>
      <c r="N452" s="49">
        <v>1</v>
      </c>
      <c r="O452" s="1">
        <v>402</v>
      </c>
      <c r="P452" s="51">
        <v>0</v>
      </c>
      <c r="Q452" s="51">
        <v>8</v>
      </c>
      <c r="R452" s="51">
        <v>0</v>
      </c>
      <c r="S452" s="1">
        <v>1</v>
      </c>
      <c r="T452" s="1">
        <v>1</v>
      </c>
      <c r="U452" s="47">
        <v>1</v>
      </c>
      <c r="V452" s="47">
        <v>334</v>
      </c>
      <c r="W452" s="41">
        <v>-1100</v>
      </c>
      <c r="X452">
        <v>1100</v>
      </c>
      <c r="Y452">
        <v>0.94479999999999997</v>
      </c>
      <c r="Z452">
        <v>2478.39</v>
      </c>
      <c r="AA452">
        <v>2478.39</v>
      </c>
      <c r="AB452">
        <v>0</v>
      </c>
      <c r="AC452">
        <v>110</v>
      </c>
      <c r="AD452" s="41">
        <f t="shared" si="74"/>
        <v>0.34699946336129506</v>
      </c>
      <c r="AE452" s="41">
        <f t="shared" si="75"/>
        <v>0.34699946336129506</v>
      </c>
      <c r="AF452" t="e">
        <f t="shared" si="76"/>
        <v>#DIV/0!</v>
      </c>
      <c r="AG452" t="e">
        <f t="shared" si="77"/>
        <v>#DIV/0!</v>
      </c>
      <c r="AH452">
        <f t="shared" si="78"/>
        <v>0</v>
      </c>
      <c r="AI452">
        <f>HLOOKUP(HLOOKUP(G452,'THP2'!$B$4:$J$8,5,FALSE),'Fuel &amp; Resister'!$B$3:$G$6,4,FALSE)</f>
        <v>0</v>
      </c>
      <c r="AJ452" s="41">
        <f>HLOOKUP(HLOOKUP(G452,'THP2'!$B$4:$J$8,5,FALSE),'Fuel &amp; Resister'!$B$3:$G$6,3,FALSE)</f>
        <v>2.4783900000000001</v>
      </c>
      <c r="AO452" s="1">
        <v>1</v>
      </c>
      <c r="AP452" s="1">
        <v>1</v>
      </c>
    </row>
    <row r="453" spans="2:42" x14ac:dyDescent="0.15">
      <c r="B453" s="43" t="s">
        <v>646</v>
      </c>
      <c r="C453" s="61">
        <f>VLOOKUP(B453,[1]SYS!$F$5:$G$359,2,FALSE)</f>
        <v>33</v>
      </c>
      <c r="D453" s="1" t="s">
        <v>25</v>
      </c>
      <c r="E453" s="65" t="s">
        <v>392</v>
      </c>
      <c r="F453" s="63" t="s">
        <v>411</v>
      </c>
      <c r="G453" s="1">
        <v>0</v>
      </c>
      <c r="H453" s="1">
        <v>1</v>
      </c>
      <c r="I453" s="1">
        <f t="shared" si="71"/>
        <v>1.385</v>
      </c>
      <c r="J453" s="1">
        <f t="shared" si="69"/>
        <v>4.390000000000005E-2</v>
      </c>
      <c r="K453" s="1">
        <f t="shared" si="72"/>
        <v>2.4783900000000001</v>
      </c>
      <c r="L453" s="1">
        <f t="shared" si="73"/>
        <v>2.4783900000000001</v>
      </c>
      <c r="M453" s="49">
        <f t="shared" si="112"/>
        <v>0</v>
      </c>
      <c r="N453" s="49">
        <v>1</v>
      </c>
      <c r="O453" s="1">
        <v>108</v>
      </c>
      <c r="P453" s="51">
        <v>0</v>
      </c>
      <c r="Q453" s="51">
        <v>8</v>
      </c>
      <c r="R453" s="51">
        <v>0</v>
      </c>
      <c r="S453" s="1">
        <v>1</v>
      </c>
      <c r="T453" s="1">
        <v>1</v>
      </c>
      <c r="U453" s="47">
        <v>1</v>
      </c>
      <c r="V453" s="47">
        <v>335</v>
      </c>
      <c r="W453" s="41">
        <v>-1385</v>
      </c>
      <c r="X453">
        <v>1385</v>
      </c>
      <c r="Y453">
        <v>0.95609999999999995</v>
      </c>
      <c r="Z453">
        <v>2478.39</v>
      </c>
      <c r="AA453">
        <v>2478.39</v>
      </c>
      <c r="AB453">
        <v>0</v>
      </c>
      <c r="AC453">
        <v>110</v>
      </c>
      <c r="AD453" s="41">
        <f t="shared" si="74"/>
        <v>0.34699946336129506</v>
      </c>
      <c r="AE453" s="41">
        <f t="shared" si="75"/>
        <v>0.34699946336129506</v>
      </c>
      <c r="AF453" t="e">
        <f t="shared" si="76"/>
        <v>#DIV/0!</v>
      </c>
      <c r="AG453" t="e">
        <f t="shared" si="77"/>
        <v>#DIV/0!</v>
      </c>
      <c r="AH453">
        <f t="shared" si="78"/>
        <v>0</v>
      </c>
      <c r="AI453">
        <f>HLOOKUP(HLOOKUP(G453,'THP2'!$B$4:$J$8,5,FALSE),'Fuel &amp; Resister'!$B$3:$G$6,4,FALSE)</f>
        <v>0</v>
      </c>
      <c r="AJ453" s="41">
        <f>HLOOKUP(HLOOKUP(G453,'THP2'!$B$4:$J$8,5,FALSE),'Fuel &amp; Resister'!$B$3:$G$6,3,FALSE)</f>
        <v>2.4783900000000001</v>
      </c>
      <c r="AO453" s="1">
        <v>1</v>
      </c>
      <c r="AP453" s="1">
        <v>1</v>
      </c>
    </row>
    <row r="454" spans="2:42" x14ac:dyDescent="0.15">
      <c r="B454" s="43" t="s">
        <v>646</v>
      </c>
      <c r="C454" s="61">
        <f>VLOOKUP(B454,[1]SYS!$F$5:$G$359,2,FALSE)</f>
        <v>33</v>
      </c>
      <c r="D454" s="1" t="s">
        <v>25</v>
      </c>
      <c r="E454" s="65" t="s">
        <v>395</v>
      </c>
      <c r="F454" s="63" t="s">
        <v>412</v>
      </c>
      <c r="G454" s="1">
        <v>0</v>
      </c>
      <c r="H454" s="1">
        <v>1</v>
      </c>
      <c r="I454" s="1">
        <f t="shared" si="71"/>
        <v>1.383</v>
      </c>
      <c r="J454" s="1">
        <f t="shared" si="69"/>
        <v>4.390000000000005E-2</v>
      </c>
      <c r="K454" s="1">
        <f t="shared" si="72"/>
        <v>2.4783900000000001</v>
      </c>
      <c r="L454" s="1">
        <f t="shared" si="73"/>
        <v>2.4783900000000001</v>
      </c>
      <c r="M454" s="49">
        <f t="shared" si="112"/>
        <v>0</v>
      </c>
      <c r="N454" s="49">
        <v>1</v>
      </c>
      <c r="O454" s="1">
        <v>613</v>
      </c>
      <c r="P454" s="51">
        <v>0</v>
      </c>
      <c r="Q454" s="51">
        <v>8</v>
      </c>
      <c r="R454" s="51">
        <v>0</v>
      </c>
      <c r="S454" s="1">
        <v>1</v>
      </c>
      <c r="T454" s="1">
        <v>1</v>
      </c>
      <c r="U454" s="47">
        <v>1</v>
      </c>
      <c r="V454" s="47">
        <v>336</v>
      </c>
      <c r="W454" s="41">
        <v>-1383</v>
      </c>
      <c r="X454">
        <v>1383</v>
      </c>
      <c r="Y454">
        <v>0.95609999999999995</v>
      </c>
      <c r="Z454">
        <v>2478.39</v>
      </c>
      <c r="AA454">
        <v>2478.39</v>
      </c>
      <c r="AB454">
        <v>0</v>
      </c>
      <c r="AC454">
        <v>110</v>
      </c>
      <c r="AD454" s="41">
        <f t="shared" si="74"/>
        <v>0.34699946336129506</v>
      </c>
      <c r="AE454" s="41">
        <f t="shared" si="75"/>
        <v>0.34699946336129506</v>
      </c>
      <c r="AF454" t="e">
        <f t="shared" si="76"/>
        <v>#DIV/0!</v>
      </c>
      <c r="AG454" t="e">
        <f t="shared" si="77"/>
        <v>#DIV/0!</v>
      </c>
      <c r="AH454">
        <f t="shared" si="78"/>
        <v>0</v>
      </c>
      <c r="AI454">
        <f>HLOOKUP(HLOOKUP(G454,'THP2'!$B$4:$J$8,5,FALSE),'Fuel &amp; Resister'!$B$3:$G$6,4,FALSE)</f>
        <v>0</v>
      </c>
      <c r="AJ454" s="41">
        <f>HLOOKUP(HLOOKUP(G454,'THP2'!$B$4:$J$8,5,FALSE),'Fuel &amp; Resister'!$B$3:$G$6,3,FALSE)</f>
        <v>2.4783900000000001</v>
      </c>
      <c r="AO454" s="1">
        <v>1</v>
      </c>
      <c r="AP454" s="1">
        <v>1</v>
      </c>
    </row>
    <row r="455" spans="2:42" x14ac:dyDescent="0.15">
      <c r="B455" s="43" t="s">
        <v>655</v>
      </c>
      <c r="C455" s="61">
        <f>VLOOKUP(B455,[1]SYS!$F$5:$G$359,2,FALSE)</f>
        <v>82</v>
      </c>
      <c r="D455" s="1" t="s">
        <v>25</v>
      </c>
      <c r="E455" s="42" t="s">
        <v>396</v>
      </c>
      <c r="F455" s="63" t="s">
        <v>413</v>
      </c>
      <c r="G455" s="1">
        <v>0</v>
      </c>
      <c r="H455" s="1">
        <v>1</v>
      </c>
      <c r="I455" s="1">
        <f t="shared" si="71"/>
        <v>1.1000000000000001</v>
      </c>
      <c r="J455" s="1">
        <f t="shared" si="69"/>
        <v>4.390000000000005E-2</v>
      </c>
      <c r="K455" s="1">
        <f t="shared" si="72"/>
        <v>2.4783900000000001</v>
      </c>
      <c r="L455" s="1">
        <f t="shared" si="73"/>
        <v>2.4783900000000001</v>
      </c>
      <c r="M455" s="49">
        <f t="shared" si="112"/>
        <v>0</v>
      </c>
      <c r="N455" s="49">
        <v>1</v>
      </c>
      <c r="O455" s="1">
        <v>308</v>
      </c>
      <c r="P455" s="51">
        <v>0</v>
      </c>
      <c r="Q455" s="51">
        <v>8</v>
      </c>
      <c r="R455" s="51">
        <v>0</v>
      </c>
      <c r="S455" s="62">
        <v>1</v>
      </c>
      <c r="T455" s="62">
        <v>1</v>
      </c>
      <c r="U455" s="93">
        <v>1</v>
      </c>
      <c r="V455" s="47">
        <v>337</v>
      </c>
      <c r="W455" s="41">
        <v>-1100</v>
      </c>
      <c r="X455">
        <v>1100</v>
      </c>
      <c r="Y455">
        <v>0.95609999999999995</v>
      </c>
      <c r="Z455">
        <v>2478.39</v>
      </c>
      <c r="AA455">
        <v>2478.39</v>
      </c>
      <c r="AB455">
        <v>0</v>
      </c>
      <c r="AC455">
        <v>110</v>
      </c>
      <c r="AD455" s="41">
        <f t="shared" si="74"/>
        <v>0.34699946336129506</v>
      </c>
      <c r="AE455" s="41">
        <f t="shared" si="75"/>
        <v>0.34699946336129506</v>
      </c>
      <c r="AF455" t="e">
        <f t="shared" si="76"/>
        <v>#DIV/0!</v>
      </c>
      <c r="AG455" t="e">
        <f t="shared" si="77"/>
        <v>#DIV/0!</v>
      </c>
      <c r="AH455">
        <f t="shared" si="78"/>
        <v>0</v>
      </c>
      <c r="AI455">
        <f>HLOOKUP(HLOOKUP(G455,'THP2'!$B$4:$J$8,5,FALSE),'Fuel &amp; Resister'!$B$3:$G$6,4,FALSE)</f>
        <v>0</v>
      </c>
      <c r="AJ455" s="41">
        <f>HLOOKUP(HLOOKUP(G455,'THP2'!$B$4:$J$8,5,FALSE),'Fuel &amp; Resister'!$B$3:$G$6,3,FALSE)</f>
        <v>2.4783900000000001</v>
      </c>
      <c r="AO455" s="62">
        <v>1</v>
      </c>
      <c r="AP455" s="62">
        <v>1</v>
      </c>
    </row>
    <row r="456" spans="2:42" x14ac:dyDescent="0.15">
      <c r="B456" s="43" t="s">
        <v>655</v>
      </c>
      <c r="C456" s="61">
        <f>VLOOKUP(B456,[1]SYS!$F$5:$G$359,2,FALSE)</f>
        <v>82</v>
      </c>
      <c r="D456" s="1" t="s">
        <v>25</v>
      </c>
      <c r="E456" s="42" t="s">
        <v>397</v>
      </c>
      <c r="F456" s="63" t="s">
        <v>413</v>
      </c>
      <c r="G456" s="1">
        <v>0</v>
      </c>
      <c r="H456" s="1">
        <v>1</v>
      </c>
      <c r="I456" s="1">
        <f t="shared" si="71"/>
        <v>1.1000000000000001</v>
      </c>
      <c r="J456" s="1">
        <f t="shared" si="69"/>
        <v>4.390000000000005E-2</v>
      </c>
      <c r="K456" s="1">
        <f t="shared" si="72"/>
        <v>2.4783900000000001</v>
      </c>
      <c r="L456" s="1">
        <f t="shared" si="73"/>
        <v>2.4783900000000001</v>
      </c>
      <c r="M456" s="49">
        <f t="shared" si="112"/>
        <v>0</v>
      </c>
      <c r="N456" s="49">
        <v>1</v>
      </c>
      <c r="O456" s="1">
        <v>608</v>
      </c>
      <c r="P456" s="51">
        <v>0</v>
      </c>
      <c r="Q456" s="51">
        <v>8</v>
      </c>
      <c r="R456" s="51">
        <v>0</v>
      </c>
      <c r="S456" s="62">
        <v>1</v>
      </c>
      <c r="T456" s="62">
        <v>1</v>
      </c>
      <c r="U456" s="93">
        <v>1</v>
      </c>
      <c r="V456" s="47">
        <v>338</v>
      </c>
      <c r="W456" s="41">
        <v>-1100</v>
      </c>
      <c r="X456">
        <v>1100</v>
      </c>
      <c r="Y456">
        <v>0.95609999999999995</v>
      </c>
      <c r="Z456">
        <v>2478.39</v>
      </c>
      <c r="AA456">
        <v>2478.39</v>
      </c>
      <c r="AB456">
        <v>0</v>
      </c>
      <c r="AC456">
        <v>110</v>
      </c>
      <c r="AD456" s="41">
        <f t="shared" si="74"/>
        <v>0.34699946336129506</v>
      </c>
      <c r="AE456" s="41">
        <f t="shared" si="75"/>
        <v>0.34699946336129506</v>
      </c>
      <c r="AF456" t="e">
        <f t="shared" si="76"/>
        <v>#DIV/0!</v>
      </c>
      <c r="AG456" t="e">
        <f t="shared" si="77"/>
        <v>#DIV/0!</v>
      </c>
      <c r="AH456">
        <f t="shared" si="78"/>
        <v>0</v>
      </c>
      <c r="AI456">
        <f>HLOOKUP(HLOOKUP(G456,'THP2'!$B$4:$J$8,5,FALSE),'Fuel &amp; Resister'!$B$3:$G$6,4,FALSE)</f>
        <v>0</v>
      </c>
      <c r="AJ456" s="41">
        <f>HLOOKUP(HLOOKUP(G456,'THP2'!$B$4:$J$8,5,FALSE),'Fuel &amp; Resister'!$B$3:$G$6,3,FALSE)</f>
        <v>2.4783900000000001</v>
      </c>
      <c r="AO456" s="62">
        <v>1</v>
      </c>
      <c r="AP456" s="62">
        <v>1</v>
      </c>
    </row>
    <row r="457" spans="2:42" x14ac:dyDescent="0.15">
      <c r="B457" s="43" t="s">
        <v>655</v>
      </c>
      <c r="C457" s="61">
        <f>VLOOKUP(B457,[1]SYS!$F$5:$G$359,2,FALSE)</f>
        <v>82</v>
      </c>
      <c r="D457" s="1" t="s">
        <v>25</v>
      </c>
      <c r="E457" s="42" t="s">
        <v>398</v>
      </c>
      <c r="F457" s="63" t="s">
        <v>413</v>
      </c>
      <c r="G457" s="1">
        <v>0</v>
      </c>
      <c r="H457" s="1">
        <v>1</v>
      </c>
      <c r="I457" s="1">
        <f t="shared" si="71"/>
        <v>1.3560000000000001</v>
      </c>
      <c r="J457" s="1">
        <f t="shared" si="69"/>
        <v>4.390000000000005E-2</v>
      </c>
      <c r="K457" s="1">
        <f t="shared" si="72"/>
        <v>2.4783900000000001</v>
      </c>
      <c r="L457" s="1">
        <f t="shared" si="73"/>
        <v>2.4783900000000001</v>
      </c>
      <c r="M457" s="49">
        <f t="shared" si="112"/>
        <v>0</v>
      </c>
      <c r="N457" s="49">
        <v>1</v>
      </c>
      <c r="O457" s="1">
        <v>907</v>
      </c>
      <c r="P457" s="51">
        <v>0</v>
      </c>
      <c r="Q457" s="51">
        <v>8</v>
      </c>
      <c r="R457" s="51">
        <v>0</v>
      </c>
      <c r="S457" s="62">
        <v>1</v>
      </c>
      <c r="T457" s="62">
        <v>1</v>
      </c>
      <c r="U457" s="93">
        <v>1</v>
      </c>
      <c r="V457" s="47">
        <v>339</v>
      </c>
      <c r="W457" s="41">
        <v>-1356</v>
      </c>
      <c r="X457">
        <v>1356</v>
      </c>
      <c r="Y457">
        <v>0.95609999999999995</v>
      </c>
      <c r="Z457">
        <v>2478.39</v>
      </c>
      <c r="AA457">
        <v>2478.39</v>
      </c>
      <c r="AB457">
        <v>0</v>
      </c>
      <c r="AC457">
        <v>110</v>
      </c>
      <c r="AD457" s="41">
        <f t="shared" si="74"/>
        <v>0.34699946336129506</v>
      </c>
      <c r="AE457" s="41">
        <f t="shared" si="75"/>
        <v>0.34699946336129506</v>
      </c>
      <c r="AF457" t="e">
        <f t="shared" si="76"/>
        <v>#DIV/0!</v>
      </c>
      <c r="AG457" t="e">
        <f t="shared" si="77"/>
        <v>#DIV/0!</v>
      </c>
      <c r="AH457">
        <f t="shared" si="78"/>
        <v>0</v>
      </c>
      <c r="AI457">
        <f>HLOOKUP(HLOOKUP(G457,'THP2'!$B$4:$J$8,5,FALSE),'Fuel &amp; Resister'!$B$3:$G$6,4,FALSE)</f>
        <v>0</v>
      </c>
      <c r="AJ457" s="41">
        <f>HLOOKUP(HLOOKUP(G457,'THP2'!$B$4:$J$8,5,FALSE),'Fuel &amp; Resister'!$B$3:$G$6,3,FALSE)</f>
        <v>2.4783900000000001</v>
      </c>
      <c r="AO457" s="62">
        <v>1</v>
      </c>
      <c r="AP457" s="62">
        <v>1</v>
      </c>
    </row>
    <row r="458" spans="2:42" x14ac:dyDescent="0.15">
      <c r="B458" s="43" t="s">
        <v>655</v>
      </c>
      <c r="C458" s="61">
        <f>VLOOKUP(B458,[1]SYS!$F$5:$G$359,2,FALSE)</f>
        <v>82</v>
      </c>
      <c r="D458" s="1" t="s">
        <v>25</v>
      </c>
      <c r="E458" s="42" t="s">
        <v>399</v>
      </c>
      <c r="F458" s="63" t="s">
        <v>413</v>
      </c>
      <c r="G458" s="1">
        <v>0</v>
      </c>
      <c r="H458" s="1">
        <v>1</v>
      </c>
      <c r="I458" s="1">
        <f t="shared" si="71"/>
        <v>1.3560000000000001</v>
      </c>
      <c r="J458" s="1">
        <f t="shared" si="69"/>
        <v>4.390000000000005E-2</v>
      </c>
      <c r="K458" s="1">
        <f t="shared" si="72"/>
        <v>2.4783900000000001</v>
      </c>
      <c r="L458" s="1">
        <f t="shared" si="73"/>
        <v>2.4783900000000001</v>
      </c>
      <c r="M458" s="49">
        <f t="shared" si="112"/>
        <v>0</v>
      </c>
      <c r="N458" s="49">
        <v>1</v>
      </c>
      <c r="O458" s="1">
        <v>408</v>
      </c>
      <c r="P458" s="51">
        <v>0</v>
      </c>
      <c r="Q458" s="51">
        <v>8</v>
      </c>
      <c r="R458" s="51">
        <v>0</v>
      </c>
      <c r="S458" s="62">
        <v>1</v>
      </c>
      <c r="T458" s="62">
        <v>1</v>
      </c>
      <c r="U458" s="93">
        <v>1</v>
      </c>
      <c r="V458" s="47">
        <v>340</v>
      </c>
      <c r="W458" s="41">
        <v>-1356</v>
      </c>
      <c r="X458">
        <v>1356</v>
      </c>
      <c r="Y458">
        <v>0.95609999999999995</v>
      </c>
      <c r="Z458">
        <v>2478.39</v>
      </c>
      <c r="AA458">
        <v>2478.39</v>
      </c>
      <c r="AB458">
        <v>0</v>
      </c>
      <c r="AC458">
        <v>110</v>
      </c>
      <c r="AD458" s="41">
        <f t="shared" si="74"/>
        <v>0.34699946336129506</v>
      </c>
      <c r="AE458" s="41">
        <f t="shared" si="75"/>
        <v>0.34699946336129506</v>
      </c>
      <c r="AF458" t="e">
        <f t="shared" si="76"/>
        <v>#DIV/0!</v>
      </c>
      <c r="AG458" t="e">
        <f t="shared" si="77"/>
        <v>#DIV/0!</v>
      </c>
      <c r="AH458">
        <f t="shared" si="78"/>
        <v>0</v>
      </c>
      <c r="AI458">
        <f>HLOOKUP(HLOOKUP(G458,'THP2'!$B$4:$J$8,5,FALSE),'Fuel &amp; Resister'!$B$3:$G$6,4,FALSE)</f>
        <v>0</v>
      </c>
      <c r="AJ458" s="41">
        <f>HLOOKUP(HLOOKUP(G458,'THP2'!$B$4:$J$8,5,FALSE),'Fuel &amp; Resister'!$B$3:$G$6,3,FALSE)</f>
        <v>2.4783900000000001</v>
      </c>
      <c r="AO458" s="62">
        <v>1</v>
      </c>
      <c r="AP458" s="62">
        <v>1</v>
      </c>
    </row>
    <row r="459" spans="2:42" x14ac:dyDescent="0.15">
      <c r="B459" s="43" t="s">
        <v>632</v>
      </c>
      <c r="C459" s="61">
        <f>VLOOKUP(B459,[1]SYS!$F$5:$G$359,2,FALSE)</f>
        <v>192</v>
      </c>
      <c r="D459" s="1" t="s">
        <v>25</v>
      </c>
      <c r="E459" s="42" t="s">
        <v>574</v>
      </c>
      <c r="F459" s="63" t="s">
        <v>414</v>
      </c>
      <c r="G459" s="1">
        <v>0</v>
      </c>
      <c r="H459" s="1">
        <v>1</v>
      </c>
      <c r="I459" s="1">
        <v>1.1000000000000001</v>
      </c>
      <c r="J459" s="1">
        <f t="shared" ref="J459" si="113">1-Y459</f>
        <v>4.390000000000005E-2</v>
      </c>
      <c r="K459" s="1">
        <f t="shared" ref="K459" si="114">Z459/1000</f>
        <v>2.4783900000000001</v>
      </c>
      <c r="L459" s="1">
        <f t="shared" ref="L459" si="115">AA459/1000</f>
        <v>2.4783900000000001</v>
      </c>
      <c r="M459" s="49">
        <f t="shared" si="112"/>
        <v>0</v>
      </c>
      <c r="N459" s="49">
        <v>1</v>
      </c>
      <c r="O459" s="1">
        <v>208</v>
      </c>
      <c r="P459" s="51">
        <v>0</v>
      </c>
      <c r="Q459" s="51">
        <v>8</v>
      </c>
      <c r="R459" s="51">
        <v>0</v>
      </c>
      <c r="S459" s="62">
        <v>0</v>
      </c>
      <c r="T459" s="62">
        <v>0</v>
      </c>
      <c r="U459" s="93">
        <v>0</v>
      </c>
      <c r="V459" s="47"/>
      <c r="X459">
        <v>1100</v>
      </c>
      <c r="Y459">
        <v>0.95609999999999995</v>
      </c>
      <c r="Z459">
        <v>2478.39</v>
      </c>
      <c r="AA459">
        <v>2478.39</v>
      </c>
      <c r="AB459">
        <v>0</v>
      </c>
      <c r="AC459">
        <v>110</v>
      </c>
      <c r="AD459" s="41">
        <f t="shared" ref="AD459" si="116">1/Z459*860</f>
        <v>0.34699946336129506</v>
      </c>
      <c r="AE459" s="41">
        <f t="shared" ref="AE459" si="117">1/AA459*860</f>
        <v>0.34699946336129506</v>
      </c>
      <c r="AI459">
        <f>HLOOKUP(HLOOKUP(G459,'THP2'!$B$4:$J$8,5,FALSE),'Fuel &amp; Resister'!$B$3:$G$6,4,FALSE)</f>
        <v>0</v>
      </c>
      <c r="AJ459" s="41">
        <f>HLOOKUP(HLOOKUP(G459,'THP2'!$B$4:$J$8,5,FALSE),'Fuel &amp; Resister'!$B$3:$G$6,3,FALSE)</f>
        <v>2.4783900000000001</v>
      </c>
      <c r="AO459" s="62">
        <v>0</v>
      </c>
      <c r="AP459" s="62">
        <v>0</v>
      </c>
    </row>
    <row r="460" spans="2:42" x14ac:dyDescent="0.15">
      <c r="B460" s="43" t="s">
        <v>632</v>
      </c>
      <c r="C460" s="61">
        <f>VLOOKUP(B460,[1]SYS!$F$5:$G$359,2,FALSE)</f>
        <v>192</v>
      </c>
      <c r="D460" s="1" t="s">
        <v>25</v>
      </c>
      <c r="E460" s="42" t="s">
        <v>400</v>
      </c>
      <c r="F460" s="63" t="s">
        <v>414</v>
      </c>
      <c r="G460" s="1">
        <v>0</v>
      </c>
      <c r="H460" s="1">
        <v>1</v>
      </c>
      <c r="I460" s="1">
        <f t="shared" si="71"/>
        <v>1.137</v>
      </c>
      <c r="J460" s="1">
        <f t="shared" si="69"/>
        <v>5.5100000000000038E-2</v>
      </c>
      <c r="K460" s="1">
        <f t="shared" si="72"/>
        <v>2.4783900000000001</v>
      </c>
      <c r="L460" s="1">
        <f t="shared" si="73"/>
        <v>2.4783900000000001</v>
      </c>
      <c r="M460" s="49">
        <f t="shared" si="112"/>
        <v>0</v>
      </c>
      <c r="N460" s="49">
        <v>1</v>
      </c>
      <c r="O460" s="1">
        <v>308</v>
      </c>
      <c r="P460" s="51">
        <v>0</v>
      </c>
      <c r="Q460" s="51">
        <v>8</v>
      </c>
      <c r="R460" s="51">
        <v>0</v>
      </c>
      <c r="S460" s="62">
        <v>1</v>
      </c>
      <c r="T460" s="62">
        <v>1</v>
      </c>
      <c r="U460" s="93">
        <v>1</v>
      </c>
      <c r="V460" s="47">
        <v>341</v>
      </c>
      <c r="W460" s="41">
        <v>-1137</v>
      </c>
      <c r="X460">
        <v>1137</v>
      </c>
      <c r="Y460">
        <v>0.94489999999999996</v>
      </c>
      <c r="Z460">
        <v>2478.39</v>
      </c>
      <c r="AA460">
        <v>2478.39</v>
      </c>
      <c r="AB460">
        <v>0</v>
      </c>
      <c r="AC460">
        <v>110</v>
      </c>
      <c r="AD460" s="41">
        <f t="shared" si="74"/>
        <v>0.34699946336129506</v>
      </c>
      <c r="AE460" s="41">
        <f t="shared" si="75"/>
        <v>0.34699946336129506</v>
      </c>
      <c r="AF460" t="e">
        <f t="shared" si="76"/>
        <v>#DIV/0!</v>
      </c>
      <c r="AG460" t="e">
        <f t="shared" si="77"/>
        <v>#DIV/0!</v>
      </c>
      <c r="AH460">
        <f t="shared" si="78"/>
        <v>0</v>
      </c>
      <c r="AI460">
        <f>HLOOKUP(HLOOKUP(G460,'THP2'!$B$4:$J$8,5,FALSE),'Fuel &amp; Resister'!$B$3:$G$6,4,FALSE)</f>
        <v>0</v>
      </c>
      <c r="AJ460" s="41">
        <f>HLOOKUP(HLOOKUP(G460,'THP2'!$B$4:$J$8,5,FALSE),'Fuel &amp; Resister'!$B$3:$G$6,3,FALSE)</f>
        <v>2.4783900000000001</v>
      </c>
      <c r="AO460" s="62">
        <v>1</v>
      </c>
      <c r="AP460" s="62">
        <v>1</v>
      </c>
    </row>
    <row r="461" spans="2:42" x14ac:dyDescent="0.15">
      <c r="B461" s="43" t="s">
        <v>632</v>
      </c>
      <c r="C461" s="61">
        <f>VLOOKUP(B461,[1]SYS!$F$5:$G$359,2,FALSE)</f>
        <v>192</v>
      </c>
      <c r="D461" s="1" t="s">
        <v>25</v>
      </c>
      <c r="E461" s="65" t="s">
        <v>409</v>
      </c>
      <c r="F461" s="63" t="s">
        <v>414</v>
      </c>
      <c r="G461" s="1">
        <v>0</v>
      </c>
      <c r="H461" s="1">
        <v>1</v>
      </c>
      <c r="I461" s="1">
        <f t="shared" si="71"/>
        <v>1.38</v>
      </c>
      <c r="J461" s="1">
        <f t="shared" si="69"/>
        <v>5.5100000000000038E-2</v>
      </c>
      <c r="K461" s="1">
        <f t="shared" si="72"/>
        <v>2.4783900000000001</v>
      </c>
      <c r="L461" s="1">
        <f t="shared" si="73"/>
        <v>2.4783900000000001</v>
      </c>
      <c r="M461" s="49">
        <f t="shared" si="112"/>
        <v>0</v>
      </c>
      <c r="N461" s="49">
        <v>1</v>
      </c>
      <c r="O461" s="6">
        <v>205</v>
      </c>
      <c r="P461" s="51">
        <v>0</v>
      </c>
      <c r="Q461" s="51">
        <v>8</v>
      </c>
      <c r="R461" s="51">
        <v>0</v>
      </c>
      <c r="S461" s="1">
        <v>1</v>
      </c>
      <c r="T461" s="1">
        <v>1</v>
      </c>
      <c r="U461" s="47">
        <v>1</v>
      </c>
      <c r="V461" s="47">
        <v>342</v>
      </c>
      <c r="W461" s="41">
        <v>-1380</v>
      </c>
      <c r="X461">
        <v>1380</v>
      </c>
      <c r="Y461">
        <v>0.94489999999999996</v>
      </c>
      <c r="Z461">
        <v>2478.39</v>
      </c>
      <c r="AA461">
        <v>2478.39</v>
      </c>
      <c r="AB461">
        <v>0</v>
      </c>
      <c r="AC461">
        <v>110</v>
      </c>
      <c r="AD461" s="41">
        <f t="shared" si="74"/>
        <v>0.34699946336129506</v>
      </c>
      <c r="AE461" s="41">
        <f t="shared" si="75"/>
        <v>0.34699946336129506</v>
      </c>
      <c r="AF461" t="e">
        <f t="shared" si="76"/>
        <v>#DIV/0!</v>
      </c>
      <c r="AG461" t="e">
        <f t="shared" si="77"/>
        <v>#DIV/0!</v>
      </c>
      <c r="AH461">
        <f t="shared" si="78"/>
        <v>0</v>
      </c>
      <c r="AI461">
        <f>HLOOKUP(HLOOKUP(G461,'THP2'!$B$4:$J$8,5,FALSE),'Fuel &amp; Resister'!$B$3:$G$6,4,FALSE)</f>
        <v>0</v>
      </c>
      <c r="AJ461" s="41">
        <f>HLOOKUP(HLOOKUP(G461,'THP2'!$B$4:$J$8,5,FALSE),'Fuel &amp; Resister'!$B$3:$G$6,3,FALSE)</f>
        <v>2.4783900000000001</v>
      </c>
      <c r="AO461" s="1">
        <v>1</v>
      </c>
      <c r="AP461" s="1">
        <v>1</v>
      </c>
    </row>
    <row r="462" spans="2:42" x14ac:dyDescent="0.15">
      <c r="B462" s="43" t="s">
        <v>600</v>
      </c>
      <c r="C462" s="61">
        <f>VLOOKUP(B462,[1]SYS!$F$5:$G$359,2,FALSE)</f>
        <v>201</v>
      </c>
      <c r="D462" s="1" t="s">
        <v>25</v>
      </c>
      <c r="E462" s="42" t="s">
        <v>401</v>
      </c>
      <c r="F462" s="63" t="s">
        <v>415</v>
      </c>
      <c r="G462" s="1">
        <v>0</v>
      </c>
      <c r="H462" s="1">
        <v>1</v>
      </c>
      <c r="I462" s="1">
        <f t="shared" si="71"/>
        <v>0.54</v>
      </c>
      <c r="J462" s="1">
        <f t="shared" si="69"/>
        <v>6.469999999999998E-2</v>
      </c>
      <c r="K462" s="1">
        <f t="shared" si="72"/>
        <v>2.4783900000000001</v>
      </c>
      <c r="L462" s="1">
        <f t="shared" si="73"/>
        <v>2.4783900000000001</v>
      </c>
      <c r="M462" s="49">
        <f t="shared" si="112"/>
        <v>0</v>
      </c>
      <c r="N462" s="49">
        <v>1</v>
      </c>
      <c r="O462" s="1">
        <v>803</v>
      </c>
      <c r="P462" s="51">
        <v>0</v>
      </c>
      <c r="Q462" s="51">
        <v>8</v>
      </c>
      <c r="R462" s="51">
        <v>0</v>
      </c>
      <c r="S462" s="62">
        <v>1</v>
      </c>
      <c r="T462" s="62">
        <v>1</v>
      </c>
      <c r="U462" s="93">
        <v>1</v>
      </c>
      <c r="V462" s="47">
        <v>343</v>
      </c>
      <c r="W462" s="41">
        <v>-540</v>
      </c>
      <c r="X462">
        <v>540</v>
      </c>
      <c r="Y462">
        <v>0.93530000000000002</v>
      </c>
      <c r="Z462">
        <v>2478.39</v>
      </c>
      <c r="AA462">
        <v>2478.39</v>
      </c>
      <c r="AB462">
        <v>0</v>
      </c>
      <c r="AC462">
        <v>110</v>
      </c>
      <c r="AD462" s="41">
        <f t="shared" si="74"/>
        <v>0.34699946336129506</v>
      </c>
      <c r="AE462" s="41">
        <f t="shared" si="75"/>
        <v>0.34699946336129506</v>
      </c>
      <c r="AF462" t="e">
        <f t="shared" si="76"/>
        <v>#DIV/0!</v>
      </c>
      <c r="AG462" t="e">
        <f t="shared" si="77"/>
        <v>#DIV/0!</v>
      </c>
      <c r="AH462">
        <f t="shared" si="78"/>
        <v>0</v>
      </c>
      <c r="AI462">
        <f>HLOOKUP(HLOOKUP(G462,'THP2'!$B$4:$J$8,5,FALSE),'Fuel &amp; Resister'!$B$3:$G$6,4,FALSE)</f>
        <v>0</v>
      </c>
      <c r="AJ462" s="41">
        <f>HLOOKUP(HLOOKUP(G462,'THP2'!$B$4:$J$8,5,FALSE),'Fuel &amp; Resister'!$B$3:$G$6,3,FALSE)</f>
        <v>2.4783900000000001</v>
      </c>
      <c r="AO462" s="62">
        <v>1</v>
      </c>
      <c r="AP462" s="62">
        <v>1</v>
      </c>
    </row>
    <row r="463" spans="2:42" x14ac:dyDescent="0.15">
      <c r="B463" s="43" t="s">
        <v>600</v>
      </c>
      <c r="C463" s="61">
        <f>VLOOKUP(B463,[1]SYS!$F$5:$G$359,2,FALSE)</f>
        <v>201</v>
      </c>
      <c r="D463" s="1" t="s">
        <v>25</v>
      </c>
      <c r="E463" s="65" t="s">
        <v>402</v>
      </c>
      <c r="F463" s="63" t="s">
        <v>415</v>
      </c>
      <c r="G463" s="1">
        <v>0</v>
      </c>
      <c r="H463" s="1">
        <v>1</v>
      </c>
      <c r="I463" s="1">
        <f t="shared" si="71"/>
        <v>1.206</v>
      </c>
      <c r="J463" s="1">
        <f t="shared" si="69"/>
        <v>6.469999999999998E-2</v>
      </c>
      <c r="K463" s="1">
        <f t="shared" si="72"/>
        <v>2.4783900000000001</v>
      </c>
      <c r="L463" s="1">
        <f t="shared" si="73"/>
        <v>2.4783900000000001</v>
      </c>
      <c r="M463" s="49">
        <f t="shared" si="112"/>
        <v>0</v>
      </c>
      <c r="N463" s="49">
        <v>1</v>
      </c>
      <c r="O463" s="1">
        <v>407</v>
      </c>
      <c r="P463" s="51">
        <v>0</v>
      </c>
      <c r="Q463" s="51">
        <v>8</v>
      </c>
      <c r="R463" s="51">
        <v>0</v>
      </c>
      <c r="S463" s="1">
        <v>1</v>
      </c>
      <c r="T463" s="1">
        <v>1</v>
      </c>
      <c r="U463" s="47">
        <v>1</v>
      </c>
      <c r="V463" s="47">
        <v>344</v>
      </c>
      <c r="W463" s="41">
        <v>-1206</v>
      </c>
      <c r="X463">
        <v>1206</v>
      </c>
      <c r="Y463">
        <v>0.93530000000000002</v>
      </c>
      <c r="Z463">
        <v>2478.39</v>
      </c>
      <c r="AA463">
        <v>2478.39</v>
      </c>
      <c r="AB463">
        <v>0</v>
      </c>
      <c r="AC463">
        <v>110</v>
      </c>
      <c r="AD463" s="41">
        <f t="shared" si="74"/>
        <v>0.34699946336129506</v>
      </c>
      <c r="AE463" s="41">
        <f t="shared" si="75"/>
        <v>0.34699946336129506</v>
      </c>
      <c r="AF463" t="e">
        <f t="shared" si="76"/>
        <v>#DIV/0!</v>
      </c>
      <c r="AG463" t="e">
        <f t="shared" si="77"/>
        <v>#DIV/0!</v>
      </c>
      <c r="AH463">
        <f t="shared" si="78"/>
        <v>0</v>
      </c>
      <c r="AI463">
        <f>HLOOKUP(HLOOKUP(G463,'THP2'!$B$4:$J$8,5,FALSE),'Fuel &amp; Resister'!$B$3:$G$6,4,FALSE)</f>
        <v>0</v>
      </c>
      <c r="AJ463" s="41">
        <f>HLOOKUP(HLOOKUP(G463,'THP2'!$B$4:$J$8,5,FALSE),'Fuel &amp; Resister'!$B$3:$G$6,3,FALSE)</f>
        <v>2.4783900000000001</v>
      </c>
      <c r="AO463" s="1">
        <v>1</v>
      </c>
      <c r="AP463" s="1">
        <v>1</v>
      </c>
    </row>
    <row r="464" spans="2:42" x14ac:dyDescent="0.15">
      <c r="B464" s="43" t="s">
        <v>601</v>
      </c>
      <c r="C464" s="61">
        <f>VLOOKUP(B464,[1]SYS!$F$5:$G$359,2,FALSE)</f>
        <v>220</v>
      </c>
      <c r="D464" s="1" t="s">
        <v>25</v>
      </c>
      <c r="E464" s="42" t="s">
        <v>403</v>
      </c>
      <c r="F464" s="63" t="s">
        <v>416</v>
      </c>
      <c r="G464" s="1">
        <v>0</v>
      </c>
      <c r="H464" s="1">
        <v>1</v>
      </c>
      <c r="I464" s="1">
        <f t="shared" si="71"/>
        <v>1.18</v>
      </c>
      <c r="J464" s="1">
        <f t="shared" si="69"/>
        <v>4.4300000000000006E-2</v>
      </c>
      <c r="K464" s="1">
        <f t="shared" si="72"/>
        <v>2.4783900000000001</v>
      </c>
      <c r="L464" s="1">
        <f t="shared" si="73"/>
        <v>2.4783900000000001</v>
      </c>
      <c r="M464" s="49">
        <f t="shared" si="112"/>
        <v>0</v>
      </c>
      <c r="N464" s="49">
        <v>1</v>
      </c>
      <c r="O464" s="1">
        <v>402</v>
      </c>
      <c r="P464" s="51">
        <v>0</v>
      </c>
      <c r="Q464" s="51">
        <v>8</v>
      </c>
      <c r="R464" s="51">
        <v>0</v>
      </c>
      <c r="S464" s="62">
        <v>1</v>
      </c>
      <c r="T464" s="62">
        <v>1</v>
      </c>
      <c r="U464" s="93">
        <v>1</v>
      </c>
      <c r="V464" s="47">
        <v>345</v>
      </c>
      <c r="W464" s="41">
        <v>-1180</v>
      </c>
      <c r="X464">
        <v>1180</v>
      </c>
      <c r="Y464">
        <v>0.95569999999999999</v>
      </c>
      <c r="Z464">
        <v>2478.39</v>
      </c>
      <c r="AA464">
        <v>2478.39</v>
      </c>
      <c r="AB464">
        <v>0</v>
      </c>
      <c r="AC464">
        <v>110</v>
      </c>
      <c r="AD464" s="41">
        <f t="shared" si="74"/>
        <v>0.34699946336129506</v>
      </c>
      <c r="AE464" s="41">
        <f t="shared" si="75"/>
        <v>0.34699946336129506</v>
      </c>
      <c r="AF464" t="e">
        <f t="shared" si="76"/>
        <v>#DIV/0!</v>
      </c>
      <c r="AG464" t="e">
        <f t="shared" si="77"/>
        <v>#DIV/0!</v>
      </c>
      <c r="AH464">
        <f t="shared" si="78"/>
        <v>0</v>
      </c>
      <c r="AI464">
        <f>HLOOKUP(HLOOKUP(G464,'THP2'!$B$4:$J$8,5,FALSE),'Fuel &amp; Resister'!$B$3:$G$6,4,FALSE)</f>
        <v>0</v>
      </c>
      <c r="AJ464" s="41">
        <f>HLOOKUP(HLOOKUP(G464,'THP2'!$B$4:$J$8,5,FALSE),'Fuel &amp; Resister'!$B$3:$G$6,3,FALSE)</f>
        <v>2.4783900000000001</v>
      </c>
      <c r="AO464" s="62">
        <v>1</v>
      </c>
      <c r="AP464" s="62">
        <v>1</v>
      </c>
    </row>
    <row r="465" spans="2:42" x14ac:dyDescent="0.15">
      <c r="B465" s="43" t="s">
        <v>601</v>
      </c>
      <c r="C465" s="61">
        <f>VLOOKUP(B465,[1]SYS!$F$5:$G$359,2,FALSE)</f>
        <v>220</v>
      </c>
      <c r="D465" s="1" t="s">
        <v>25</v>
      </c>
      <c r="E465" s="42" t="s">
        <v>408</v>
      </c>
      <c r="F465" s="63" t="s">
        <v>416</v>
      </c>
      <c r="G465" s="1">
        <v>0</v>
      </c>
      <c r="H465" s="1">
        <v>1</v>
      </c>
      <c r="I465" s="1">
        <f t="shared" si="71"/>
        <v>1.18</v>
      </c>
      <c r="J465" s="1">
        <f t="shared" si="69"/>
        <v>4.4300000000000006E-2</v>
      </c>
      <c r="K465" s="1">
        <f t="shared" si="72"/>
        <v>2.4783900000000001</v>
      </c>
      <c r="L465" s="1">
        <f t="shared" si="73"/>
        <v>2.4783900000000001</v>
      </c>
      <c r="M465" s="49">
        <f t="shared" si="112"/>
        <v>0</v>
      </c>
      <c r="N465" s="49">
        <v>1</v>
      </c>
      <c r="O465" s="1">
        <v>407</v>
      </c>
      <c r="P465" s="51">
        <v>0</v>
      </c>
      <c r="Q465" s="51">
        <v>8</v>
      </c>
      <c r="R465" s="51">
        <v>0</v>
      </c>
      <c r="S465" s="62">
        <v>1</v>
      </c>
      <c r="T465" s="62">
        <v>1</v>
      </c>
      <c r="U465" s="93">
        <v>1</v>
      </c>
      <c r="V465" s="47">
        <v>346</v>
      </c>
      <c r="W465" s="41">
        <v>-1180</v>
      </c>
      <c r="X465">
        <v>1180</v>
      </c>
      <c r="Y465">
        <v>0.95569999999999999</v>
      </c>
      <c r="Z465">
        <v>2478.39</v>
      </c>
      <c r="AA465">
        <v>2478.39</v>
      </c>
      <c r="AB465">
        <v>0</v>
      </c>
      <c r="AC465">
        <v>110</v>
      </c>
      <c r="AD465" s="41">
        <f t="shared" si="74"/>
        <v>0.34699946336129506</v>
      </c>
      <c r="AE465" s="41">
        <f t="shared" si="75"/>
        <v>0.34699946336129506</v>
      </c>
      <c r="AF465" t="e">
        <f t="shared" si="76"/>
        <v>#DIV/0!</v>
      </c>
      <c r="AG465" t="e">
        <f t="shared" si="77"/>
        <v>#DIV/0!</v>
      </c>
      <c r="AH465">
        <f t="shared" si="78"/>
        <v>0</v>
      </c>
      <c r="AI465">
        <f>HLOOKUP(HLOOKUP(G465,'THP2'!$B$4:$J$8,5,FALSE),'Fuel &amp; Resister'!$B$3:$G$6,4,FALSE)</f>
        <v>0</v>
      </c>
      <c r="AJ465" s="41">
        <f>HLOOKUP(HLOOKUP(G465,'THP2'!$B$4:$J$8,5,FALSE),'Fuel &amp; Resister'!$B$3:$G$6,3,FALSE)</f>
        <v>2.4783900000000001</v>
      </c>
      <c r="AO465" s="62">
        <v>1</v>
      </c>
      <c r="AP465" s="62">
        <v>1</v>
      </c>
    </row>
    <row r="466" spans="2:42" x14ac:dyDescent="0.15">
      <c r="B466" s="43" t="s">
        <v>647</v>
      </c>
      <c r="C466" s="61">
        <f>VLOOKUP(B466,[1]SYS!$F$5:$G$359,2,FALSE)</f>
        <v>221</v>
      </c>
      <c r="D466" s="1" t="s">
        <v>25</v>
      </c>
      <c r="E466" s="42" t="s">
        <v>575</v>
      </c>
      <c r="F466" s="63" t="s">
        <v>572</v>
      </c>
      <c r="G466" s="1">
        <v>0</v>
      </c>
      <c r="H466" s="1">
        <v>1</v>
      </c>
      <c r="I466" s="1">
        <v>0.82599999999999996</v>
      </c>
      <c r="J466" s="1">
        <f t="shared" ref="J466:J469" si="118">1-Y466</f>
        <v>4.4300000000000006E-2</v>
      </c>
      <c r="K466" s="1">
        <f t="shared" ref="K466:K469" si="119">Z466/1000</f>
        <v>2.4783900000000001</v>
      </c>
      <c r="L466" s="1">
        <f t="shared" ref="L466:L469" si="120">AA466/1000</f>
        <v>2.4783900000000001</v>
      </c>
      <c r="M466" s="49">
        <f t="shared" si="112"/>
        <v>0</v>
      </c>
      <c r="N466" s="49">
        <v>1</v>
      </c>
      <c r="O466" s="1">
        <v>307</v>
      </c>
      <c r="P466" s="51">
        <v>0</v>
      </c>
      <c r="Q466" s="51">
        <v>8</v>
      </c>
      <c r="R466" s="51">
        <v>0</v>
      </c>
      <c r="S466" s="62">
        <v>0</v>
      </c>
      <c r="T466" s="62">
        <v>0</v>
      </c>
      <c r="U466" s="93">
        <v>0</v>
      </c>
      <c r="V466" s="47"/>
      <c r="X466">
        <v>826</v>
      </c>
      <c r="Y466">
        <v>0.95569999999999999</v>
      </c>
      <c r="Z466">
        <v>2478.39</v>
      </c>
      <c r="AA466">
        <v>2478.39</v>
      </c>
      <c r="AB466">
        <v>0</v>
      </c>
      <c r="AC466">
        <v>110</v>
      </c>
      <c r="AD466" s="41">
        <f t="shared" ref="AD466:AD468" si="121">1/Z466*860</f>
        <v>0.34699946336129506</v>
      </c>
      <c r="AE466" s="41">
        <f t="shared" ref="AE466:AE468" si="122">1/AA466*860</f>
        <v>0.34699946336129506</v>
      </c>
      <c r="AI466">
        <f>HLOOKUP(HLOOKUP(G466,'THP2'!$B$4:$J$8,5,FALSE),'Fuel &amp; Resister'!$B$3:$G$6,4,FALSE)</f>
        <v>0</v>
      </c>
      <c r="AJ466" s="41">
        <f>HLOOKUP(HLOOKUP(G466,'THP2'!$B$4:$J$8,5,FALSE),'Fuel &amp; Resister'!$B$3:$G$6,3,FALSE)</f>
        <v>2.4783900000000001</v>
      </c>
      <c r="AO466" s="62">
        <v>0</v>
      </c>
      <c r="AP466" s="62">
        <v>0</v>
      </c>
    </row>
    <row r="467" spans="2:42" x14ac:dyDescent="0.15">
      <c r="B467" s="43" t="s">
        <v>647</v>
      </c>
      <c r="C467" s="61">
        <f>VLOOKUP(B467,[1]SYS!$F$5:$G$359,2,FALSE)</f>
        <v>221</v>
      </c>
      <c r="D467" s="1" t="s">
        <v>25</v>
      </c>
      <c r="E467" s="42" t="s">
        <v>576</v>
      </c>
      <c r="F467" s="63" t="s">
        <v>572</v>
      </c>
      <c r="G467" s="1">
        <v>0</v>
      </c>
      <c r="H467" s="1">
        <v>1</v>
      </c>
      <c r="I467" s="1">
        <v>0.82599999999999996</v>
      </c>
      <c r="J467" s="1">
        <f t="shared" si="118"/>
        <v>4.4300000000000006E-2</v>
      </c>
      <c r="K467" s="1">
        <f t="shared" si="119"/>
        <v>2.4783900000000001</v>
      </c>
      <c r="L467" s="1">
        <f t="shared" si="120"/>
        <v>2.4783900000000001</v>
      </c>
      <c r="M467" s="49">
        <f t="shared" si="112"/>
        <v>0</v>
      </c>
      <c r="N467" s="49">
        <v>1</v>
      </c>
      <c r="O467" s="1">
        <v>107</v>
      </c>
      <c r="P467" s="51">
        <v>0</v>
      </c>
      <c r="Q467" s="51">
        <v>8</v>
      </c>
      <c r="R467" s="51">
        <v>0</v>
      </c>
      <c r="S467" s="62">
        <v>0</v>
      </c>
      <c r="T467" s="62">
        <v>0</v>
      </c>
      <c r="U467" s="93">
        <v>0</v>
      </c>
      <c r="V467" s="47"/>
      <c r="X467">
        <v>826</v>
      </c>
      <c r="Y467">
        <v>0.95569999999999999</v>
      </c>
      <c r="Z467">
        <v>2478.39</v>
      </c>
      <c r="AA467">
        <v>2478.39</v>
      </c>
      <c r="AB467">
        <v>0</v>
      </c>
      <c r="AC467">
        <v>110</v>
      </c>
      <c r="AD467" s="41">
        <f t="shared" si="121"/>
        <v>0.34699946336129506</v>
      </c>
      <c r="AE467" s="41">
        <f t="shared" si="122"/>
        <v>0.34699946336129506</v>
      </c>
      <c r="AI467">
        <f>HLOOKUP(HLOOKUP(G467,'THP2'!$B$4:$J$8,5,FALSE),'Fuel &amp; Resister'!$B$3:$G$6,4,FALSE)</f>
        <v>0</v>
      </c>
      <c r="AJ467" s="41">
        <f>HLOOKUP(HLOOKUP(G467,'THP2'!$B$4:$J$8,5,FALSE),'Fuel &amp; Resister'!$B$3:$G$6,3,FALSE)</f>
        <v>2.4783900000000001</v>
      </c>
      <c r="AO467" s="62">
        <v>0</v>
      </c>
      <c r="AP467" s="62">
        <v>0</v>
      </c>
    </row>
    <row r="468" spans="2:42" x14ac:dyDescent="0.15">
      <c r="B468" s="43" t="s">
        <v>647</v>
      </c>
      <c r="C468" s="61">
        <f>VLOOKUP(B468,[1]SYS!$F$5:$G$359,2,FALSE)</f>
        <v>221</v>
      </c>
      <c r="D468" s="1" t="s">
        <v>25</v>
      </c>
      <c r="E468" s="42" t="s">
        <v>577</v>
      </c>
      <c r="F468" s="63" t="s">
        <v>572</v>
      </c>
      <c r="G468" s="1">
        <v>0</v>
      </c>
      <c r="H468" s="1">
        <v>1</v>
      </c>
      <c r="I468" s="1">
        <v>0.87</v>
      </c>
      <c r="J468" s="1">
        <f t="shared" si="118"/>
        <v>4.4300000000000006E-2</v>
      </c>
      <c r="K468" s="1">
        <f t="shared" si="119"/>
        <v>2.4783900000000001</v>
      </c>
      <c r="L468" s="1">
        <f t="shared" si="120"/>
        <v>2.4783900000000001</v>
      </c>
      <c r="M468" s="49">
        <f t="shared" si="112"/>
        <v>0</v>
      </c>
      <c r="N468" s="49">
        <v>1</v>
      </c>
      <c r="O468" s="1">
        <v>907</v>
      </c>
      <c r="P468" s="51">
        <v>0</v>
      </c>
      <c r="Q468" s="51">
        <v>8</v>
      </c>
      <c r="R468" s="51">
        <v>0</v>
      </c>
      <c r="S468" s="62">
        <v>0</v>
      </c>
      <c r="T468" s="62">
        <v>0</v>
      </c>
      <c r="U468" s="93">
        <v>0</v>
      </c>
      <c r="V468" s="47"/>
      <c r="X468">
        <v>870</v>
      </c>
      <c r="Y468">
        <v>0.95569999999999999</v>
      </c>
      <c r="Z468">
        <v>2478.39</v>
      </c>
      <c r="AA468">
        <v>2478.39</v>
      </c>
      <c r="AB468">
        <v>0</v>
      </c>
      <c r="AC468">
        <v>110</v>
      </c>
      <c r="AD468" s="41">
        <f t="shared" si="121"/>
        <v>0.34699946336129506</v>
      </c>
      <c r="AE468" s="41">
        <f t="shared" si="122"/>
        <v>0.34699946336129506</v>
      </c>
      <c r="AI468">
        <f>HLOOKUP(HLOOKUP(G468,'THP2'!$B$4:$J$8,5,FALSE),'Fuel &amp; Resister'!$B$3:$G$6,4,FALSE)</f>
        <v>0</v>
      </c>
      <c r="AJ468" s="41">
        <f>HLOOKUP(HLOOKUP(G468,'THP2'!$B$4:$J$8,5,FALSE),'Fuel &amp; Resister'!$B$3:$G$6,3,FALSE)</f>
        <v>2.4783900000000001</v>
      </c>
      <c r="AO468" s="62">
        <v>0</v>
      </c>
      <c r="AP468" s="62">
        <v>0</v>
      </c>
    </row>
    <row r="469" spans="2:42" x14ac:dyDescent="0.15">
      <c r="B469" s="43" t="s">
        <v>647</v>
      </c>
      <c r="C469" s="61">
        <f>VLOOKUP(B469,[1]SYS!$F$5:$G$359,2,FALSE)</f>
        <v>221</v>
      </c>
      <c r="D469" s="1" t="s">
        <v>25</v>
      </c>
      <c r="E469" s="42" t="s">
        <v>578</v>
      </c>
      <c r="F469" s="63" t="s">
        <v>572</v>
      </c>
      <c r="G469" s="1">
        <v>0</v>
      </c>
      <c r="H469" s="1">
        <v>1</v>
      </c>
      <c r="I469" s="1">
        <v>0.87</v>
      </c>
      <c r="J469" s="1">
        <f t="shared" si="118"/>
        <v>4.4300000000000006E-2</v>
      </c>
      <c r="K469" s="1">
        <f t="shared" si="119"/>
        <v>2.4783900000000001</v>
      </c>
      <c r="L469" s="1">
        <f t="shared" si="120"/>
        <v>2.4783900000000001</v>
      </c>
      <c r="M469" s="49">
        <f t="shared" si="112"/>
        <v>0</v>
      </c>
      <c r="N469" s="49">
        <v>1</v>
      </c>
      <c r="O469" s="1">
        <v>407</v>
      </c>
      <c r="P469" s="51">
        <v>0</v>
      </c>
      <c r="Q469" s="51">
        <v>8</v>
      </c>
      <c r="R469" s="51">
        <v>0</v>
      </c>
      <c r="S469" s="62">
        <v>0</v>
      </c>
      <c r="T469" s="62">
        <v>0</v>
      </c>
      <c r="U469" s="93">
        <v>0</v>
      </c>
      <c r="V469" s="47"/>
      <c r="X469">
        <v>870</v>
      </c>
      <c r="Y469">
        <v>0.95569999999999999</v>
      </c>
      <c r="Z469">
        <v>2478.39</v>
      </c>
      <c r="AA469">
        <v>2478.39</v>
      </c>
      <c r="AB469">
        <v>0</v>
      </c>
      <c r="AC469">
        <v>110</v>
      </c>
      <c r="AD469" s="41">
        <f t="shared" ref="AD469" si="123">1/Z469*860</f>
        <v>0.34699946336129506</v>
      </c>
      <c r="AE469" s="41">
        <f t="shared" ref="AE469" si="124">1/AA469*860</f>
        <v>0.34699946336129506</v>
      </c>
      <c r="AI469">
        <f>HLOOKUP(HLOOKUP(G469,'THP2'!$B$4:$J$8,5,FALSE),'Fuel &amp; Resister'!$B$3:$G$6,4,FALSE)</f>
        <v>0</v>
      </c>
      <c r="AJ469" s="41">
        <f>HLOOKUP(HLOOKUP(G469,'THP2'!$B$4:$J$8,5,FALSE),'Fuel &amp; Resister'!$B$3:$G$6,3,FALSE)</f>
        <v>2.4783900000000001</v>
      </c>
      <c r="AO469" s="62">
        <v>0</v>
      </c>
      <c r="AP469" s="62">
        <v>0</v>
      </c>
    </row>
    <row r="470" spans="2:42" x14ac:dyDescent="0.15">
      <c r="B470" s="43" t="s">
        <v>648</v>
      </c>
      <c r="C470" s="61">
        <f>VLOOKUP(B470,[1]SYS!$F$5:$G$359,2,FALSE)</f>
        <v>257</v>
      </c>
      <c r="D470" s="1" t="s">
        <v>25</v>
      </c>
      <c r="E470" s="42" t="s">
        <v>404</v>
      </c>
      <c r="F470" s="63" t="s">
        <v>417</v>
      </c>
      <c r="G470" s="1">
        <v>0</v>
      </c>
      <c r="H470" s="1">
        <v>1</v>
      </c>
      <c r="I470" s="1">
        <f t="shared" si="71"/>
        <v>0.89</v>
      </c>
      <c r="J470" s="1">
        <f t="shared" si="69"/>
        <v>4.8499999999999988E-2</v>
      </c>
      <c r="K470" s="1">
        <f t="shared" si="72"/>
        <v>2.4783900000000001</v>
      </c>
      <c r="L470" s="1">
        <f t="shared" si="73"/>
        <v>2.4783900000000001</v>
      </c>
      <c r="M470" s="49">
        <f t="shared" si="112"/>
        <v>0</v>
      </c>
      <c r="N470" s="49">
        <v>1</v>
      </c>
      <c r="O470" s="6">
        <v>607</v>
      </c>
      <c r="P470" s="51">
        <v>0</v>
      </c>
      <c r="Q470" s="51">
        <v>8</v>
      </c>
      <c r="R470" s="51">
        <v>0</v>
      </c>
      <c r="S470" s="62">
        <v>1</v>
      </c>
      <c r="T470" s="62">
        <v>1</v>
      </c>
      <c r="U470" s="93">
        <v>1</v>
      </c>
      <c r="V470" s="47">
        <v>347</v>
      </c>
      <c r="W470" s="41">
        <v>-890</v>
      </c>
      <c r="X470">
        <v>890</v>
      </c>
      <c r="Y470">
        <v>0.95150000000000001</v>
      </c>
      <c r="Z470">
        <v>2478.39</v>
      </c>
      <c r="AA470">
        <v>2478.39</v>
      </c>
      <c r="AB470">
        <v>0</v>
      </c>
      <c r="AC470">
        <v>110</v>
      </c>
      <c r="AD470" s="41">
        <f t="shared" si="74"/>
        <v>0.34699946336129506</v>
      </c>
      <c r="AE470" s="41">
        <f t="shared" si="75"/>
        <v>0.34699946336129506</v>
      </c>
      <c r="AF470" t="e">
        <f t="shared" si="76"/>
        <v>#DIV/0!</v>
      </c>
      <c r="AG470" t="e">
        <f t="shared" si="77"/>
        <v>#DIV/0!</v>
      </c>
      <c r="AH470">
        <f t="shared" si="78"/>
        <v>0</v>
      </c>
      <c r="AI470">
        <f>HLOOKUP(HLOOKUP(G470,'THP2'!$B$4:$J$8,5,FALSE),'Fuel &amp; Resister'!$B$3:$G$6,4,FALSE)</f>
        <v>0</v>
      </c>
      <c r="AJ470" s="41">
        <f>HLOOKUP(HLOOKUP(G470,'THP2'!$B$4:$J$8,5,FALSE),'Fuel &amp; Resister'!$B$3:$G$6,3,FALSE)</f>
        <v>2.4783900000000001</v>
      </c>
      <c r="AO470" s="62">
        <v>1</v>
      </c>
      <c r="AP470" s="62">
        <v>1</v>
      </c>
    </row>
    <row r="471" spans="2:42" x14ac:dyDescent="0.15">
      <c r="B471" s="43" t="s">
        <v>649</v>
      </c>
      <c r="C471" s="61">
        <f>VLOOKUP(B471,[1]SYS!$F$5:$G$359,2,FALSE)</f>
        <v>287</v>
      </c>
      <c r="D471" s="1" t="s">
        <v>25</v>
      </c>
      <c r="E471" s="65" t="s">
        <v>407</v>
      </c>
      <c r="F471" s="63" t="s">
        <v>418</v>
      </c>
      <c r="G471" s="1">
        <v>0</v>
      </c>
      <c r="H471" s="1">
        <v>1</v>
      </c>
      <c r="I471" s="1">
        <f t="shared" si="71"/>
        <v>1.373</v>
      </c>
      <c r="J471" s="1">
        <f t="shared" si="69"/>
        <v>4.500000000000004E-2</v>
      </c>
      <c r="K471" s="1">
        <f t="shared" si="72"/>
        <v>2.4783900000000001</v>
      </c>
      <c r="L471" s="1">
        <f t="shared" si="73"/>
        <v>2.4783900000000001</v>
      </c>
      <c r="M471" s="49">
        <f t="shared" si="112"/>
        <v>0</v>
      </c>
      <c r="N471" s="49">
        <v>1</v>
      </c>
      <c r="O471" s="6">
        <v>307</v>
      </c>
      <c r="P471" s="51">
        <v>0</v>
      </c>
      <c r="Q471" s="51">
        <v>8</v>
      </c>
      <c r="R471" s="51">
        <v>0</v>
      </c>
      <c r="S471" s="1">
        <v>1</v>
      </c>
      <c r="T471" s="1">
        <v>1</v>
      </c>
      <c r="U471" s="47">
        <v>1</v>
      </c>
      <c r="V471" s="47">
        <v>348</v>
      </c>
      <c r="W471" s="41">
        <v>-1373</v>
      </c>
      <c r="X471">
        <v>1373</v>
      </c>
      <c r="Y471">
        <v>0.95499999999999996</v>
      </c>
      <c r="Z471">
        <v>2478.39</v>
      </c>
      <c r="AA471">
        <v>2478.39</v>
      </c>
      <c r="AB471">
        <v>0</v>
      </c>
      <c r="AC471">
        <v>110</v>
      </c>
      <c r="AD471" s="41">
        <f t="shared" si="74"/>
        <v>0.34699946336129506</v>
      </c>
      <c r="AE471" s="41">
        <f t="shared" si="75"/>
        <v>0.34699946336129506</v>
      </c>
      <c r="AF471" t="e">
        <f t="shared" si="76"/>
        <v>#DIV/0!</v>
      </c>
      <c r="AG471" t="e">
        <f t="shared" si="77"/>
        <v>#DIV/0!</v>
      </c>
      <c r="AH471">
        <f t="shared" si="78"/>
        <v>0</v>
      </c>
      <c r="AI471">
        <f>HLOOKUP(HLOOKUP(G471,'THP2'!$B$4:$J$8,5,FALSE),'Fuel &amp; Resister'!$B$3:$G$6,4,FALSE)</f>
        <v>0</v>
      </c>
      <c r="AJ471" s="41">
        <f>HLOOKUP(HLOOKUP(G471,'THP2'!$B$4:$J$8,5,FALSE),'Fuel &amp; Resister'!$B$3:$G$6,3,FALSE)</f>
        <v>2.4783900000000001</v>
      </c>
      <c r="AO471" s="1">
        <v>1</v>
      </c>
      <c r="AP471" s="1">
        <v>1</v>
      </c>
    </row>
    <row r="472" spans="2:42" x14ac:dyDescent="0.15">
      <c r="B472" s="43" t="s">
        <v>649</v>
      </c>
      <c r="C472" s="61">
        <f>VLOOKUP(B472,[1]SYS!$F$5:$G$359,2,FALSE)</f>
        <v>287</v>
      </c>
      <c r="D472" s="1" t="s">
        <v>25</v>
      </c>
      <c r="E472" s="65" t="s">
        <v>579</v>
      </c>
      <c r="F472" s="63" t="s">
        <v>418</v>
      </c>
      <c r="G472" s="1">
        <v>0</v>
      </c>
      <c r="H472" s="1">
        <v>1</v>
      </c>
      <c r="I472" s="1">
        <v>0.82</v>
      </c>
      <c r="J472" s="1">
        <f t="shared" ref="J472" si="125">1-Y472</f>
        <v>4.500000000000004E-2</v>
      </c>
      <c r="K472" s="1">
        <f t="shared" ref="K472" si="126">Z472/1000</f>
        <v>2.4783900000000001</v>
      </c>
      <c r="L472" s="1">
        <f t="shared" ref="L472" si="127">AA472/1000</f>
        <v>2.4783900000000001</v>
      </c>
      <c r="M472" s="49">
        <f t="shared" si="112"/>
        <v>0</v>
      </c>
      <c r="N472" s="49">
        <v>1</v>
      </c>
      <c r="O472" s="6">
        <v>607</v>
      </c>
      <c r="P472" s="51">
        <v>0</v>
      </c>
      <c r="Q472" s="51">
        <v>8</v>
      </c>
      <c r="R472" s="51">
        <v>0</v>
      </c>
      <c r="S472" s="1">
        <v>0</v>
      </c>
      <c r="T472" s="1">
        <v>0</v>
      </c>
      <c r="U472" s="47">
        <v>0</v>
      </c>
      <c r="V472" s="47"/>
      <c r="X472" s="68">
        <v>820</v>
      </c>
      <c r="Y472">
        <v>0.95499999999999996</v>
      </c>
      <c r="Z472">
        <v>2478.39</v>
      </c>
      <c r="AA472">
        <v>2478.39</v>
      </c>
      <c r="AB472">
        <v>0</v>
      </c>
      <c r="AC472">
        <v>110</v>
      </c>
      <c r="AD472" s="41">
        <f t="shared" ref="AD472" si="128">1/Z472*860</f>
        <v>0.34699946336129506</v>
      </c>
      <c r="AE472" s="41">
        <f t="shared" ref="AE472" si="129">1/AA472*860</f>
        <v>0.34699946336129506</v>
      </c>
      <c r="AI472">
        <f>HLOOKUP(HLOOKUP(G472,'THP2'!$B$4:$J$8,5,FALSE),'Fuel &amp; Resister'!$B$3:$G$6,4,FALSE)</f>
        <v>0</v>
      </c>
      <c r="AJ472" s="41">
        <f>HLOOKUP(HLOOKUP(G472,'THP2'!$B$4:$J$8,5,FALSE),'Fuel &amp; Resister'!$B$3:$G$6,3,FALSE)</f>
        <v>2.4783900000000001</v>
      </c>
      <c r="AO472" s="1">
        <v>0</v>
      </c>
      <c r="AP472" s="1">
        <v>0</v>
      </c>
    </row>
    <row r="473" spans="2:42" x14ac:dyDescent="0.15">
      <c r="B473" s="43" t="s">
        <v>644</v>
      </c>
      <c r="C473" s="61">
        <f>VLOOKUP(B473,[1]SYS!$F$5:$G$359,2,FALSE)</f>
        <v>312</v>
      </c>
      <c r="D473" s="1" t="s">
        <v>25</v>
      </c>
      <c r="E473" s="42" t="s">
        <v>406</v>
      </c>
      <c r="F473" s="63" t="s">
        <v>419</v>
      </c>
      <c r="G473" s="1">
        <v>0</v>
      </c>
      <c r="H473" s="1">
        <v>1</v>
      </c>
      <c r="I473" s="1">
        <f t="shared" si="71"/>
        <v>1.18</v>
      </c>
      <c r="J473" s="1">
        <f t="shared" si="69"/>
        <v>4.3399999999999994E-2</v>
      </c>
      <c r="K473" s="1">
        <f t="shared" si="72"/>
        <v>2.4783900000000001</v>
      </c>
      <c r="L473" s="1">
        <f t="shared" si="73"/>
        <v>2.4783900000000001</v>
      </c>
      <c r="M473" s="49">
        <f t="shared" si="112"/>
        <v>0</v>
      </c>
      <c r="N473" s="49">
        <v>1</v>
      </c>
      <c r="O473" s="6">
        <v>907</v>
      </c>
      <c r="P473" s="51">
        <v>0</v>
      </c>
      <c r="Q473" s="51">
        <v>8</v>
      </c>
      <c r="R473" s="51">
        <v>0</v>
      </c>
      <c r="S473" s="62">
        <v>1</v>
      </c>
      <c r="T473" s="62">
        <v>1</v>
      </c>
      <c r="U473" s="93">
        <v>1</v>
      </c>
      <c r="V473" s="47">
        <v>349</v>
      </c>
      <c r="W473" s="41">
        <v>-1180</v>
      </c>
      <c r="X473">
        <v>1180</v>
      </c>
      <c r="Y473">
        <v>0.95660000000000001</v>
      </c>
      <c r="Z473">
        <v>2478.39</v>
      </c>
      <c r="AA473">
        <v>2478.39</v>
      </c>
      <c r="AB473">
        <v>0</v>
      </c>
      <c r="AC473">
        <v>110</v>
      </c>
      <c r="AD473" s="41">
        <f t="shared" si="74"/>
        <v>0.34699946336129506</v>
      </c>
      <c r="AE473" s="41">
        <f t="shared" si="75"/>
        <v>0.34699946336129506</v>
      </c>
      <c r="AF473" t="e">
        <f t="shared" si="76"/>
        <v>#DIV/0!</v>
      </c>
      <c r="AG473" t="e">
        <f t="shared" si="77"/>
        <v>#DIV/0!</v>
      </c>
      <c r="AH473">
        <f t="shared" si="78"/>
        <v>0</v>
      </c>
      <c r="AI473">
        <f>HLOOKUP(HLOOKUP(G473,'THP2'!$B$4:$J$8,5,FALSE),'Fuel &amp; Resister'!$B$3:$G$6,4,FALSE)</f>
        <v>0</v>
      </c>
      <c r="AJ473" s="41">
        <f>HLOOKUP(HLOOKUP(G473,'THP2'!$B$4:$J$8,5,FALSE),'Fuel &amp; Resister'!$B$3:$G$6,3,FALSE)</f>
        <v>2.4783900000000001</v>
      </c>
      <c r="AO473" s="62">
        <v>1</v>
      </c>
      <c r="AP473" s="62">
        <v>1</v>
      </c>
    </row>
    <row r="474" spans="2:42" x14ac:dyDescent="0.15">
      <c r="B474" s="43" t="s">
        <v>644</v>
      </c>
      <c r="C474" s="61">
        <f>VLOOKUP(B474,[1]SYS!$F$5:$G$359,2,FALSE)</f>
        <v>312</v>
      </c>
      <c r="D474" s="1" t="s">
        <v>25</v>
      </c>
      <c r="E474" s="42" t="s">
        <v>405</v>
      </c>
      <c r="F474" s="63" t="s">
        <v>419</v>
      </c>
      <c r="G474" s="1">
        <v>0</v>
      </c>
      <c r="H474" s="1">
        <v>1</v>
      </c>
      <c r="I474" s="1">
        <f t="shared" si="71"/>
        <v>1.18</v>
      </c>
      <c r="J474" s="1">
        <f t="shared" si="69"/>
        <v>4.3399999999999994E-2</v>
      </c>
      <c r="K474" s="1">
        <f t="shared" si="72"/>
        <v>2.4783900000000001</v>
      </c>
      <c r="L474" s="1">
        <f t="shared" si="73"/>
        <v>2.4783900000000001</v>
      </c>
      <c r="M474" s="49">
        <f t="shared" si="112"/>
        <v>0</v>
      </c>
      <c r="N474" s="49">
        <v>1</v>
      </c>
      <c r="O474" s="6">
        <v>407</v>
      </c>
      <c r="P474" s="51">
        <v>0</v>
      </c>
      <c r="Q474" s="51">
        <v>8</v>
      </c>
      <c r="R474" s="51">
        <v>0</v>
      </c>
      <c r="S474" s="62">
        <v>1</v>
      </c>
      <c r="T474" s="62">
        <v>1</v>
      </c>
      <c r="U474" s="93">
        <v>1</v>
      </c>
      <c r="V474" s="47">
        <v>350</v>
      </c>
      <c r="W474" s="41">
        <v>-1180</v>
      </c>
      <c r="X474">
        <v>1180</v>
      </c>
      <c r="Y474">
        <v>0.95660000000000001</v>
      </c>
      <c r="Z474">
        <v>2478.39</v>
      </c>
      <c r="AA474">
        <v>2478.39</v>
      </c>
      <c r="AB474">
        <v>0</v>
      </c>
      <c r="AC474">
        <v>110</v>
      </c>
      <c r="AD474" s="41">
        <f t="shared" si="74"/>
        <v>0.34699946336129506</v>
      </c>
      <c r="AE474" s="41">
        <f t="shared" si="75"/>
        <v>0.34699946336129506</v>
      </c>
      <c r="AF474" t="e">
        <f t="shared" si="76"/>
        <v>#DIV/0!</v>
      </c>
      <c r="AG474" t="e">
        <f t="shared" si="77"/>
        <v>#DIV/0!</v>
      </c>
      <c r="AH474">
        <f t="shared" si="78"/>
        <v>0</v>
      </c>
      <c r="AI474">
        <f>HLOOKUP(HLOOKUP(G474,'THP2'!$B$4:$J$8,5,FALSE),'Fuel &amp; Resister'!$B$3:$G$6,4,FALSE)</f>
        <v>0</v>
      </c>
      <c r="AJ474" s="41">
        <f>HLOOKUP(HLOOKUP(G474,'THP2'!$B$4:$J$8,5,FALSE),'Fuel &amp; Resister'!$B$3:$G$6,3,FALSE)</f>
        <v>2.4783900000000001</v>
      </c>
      <c r="AO474" s="62">
        <v>1</v>
      </c>
      <c r="AP474" s="62">
        <v>1</v>
      </c>
    </row>
    <row r="475" spans="2:42" x14ac:dyDescent="0.15">
      <c r="B475" s="43" t="s">
        <v>650</v>
      </c>
      <c r="C475" s="61">
        <f>VLOOKUP(B475,[1]SYS!$F$5:$G$359,2,FALSE)</f>
        <v>342</v>
      </c>
      <c r="D475" s="1" t="s">
        <v>25</v>
      </c>
      <c r="E475" s="42" t="s">
        <v>570</v>
      </c>
      <c r="F475" s="63" t="s">
        <v>571</v>
      </c>
      <c r="G475" s="1">
        <v>0</v>
      </c>
      <c r="H475" s="1">
        <v>1</v>
      </c>
      <c r="I475" s="1">
        <v>0.89</v>
      </c>
      <c r="J475" s="1">
        <f t="shared" ref="J475:J476" si="130">1-Y475</f>
        <v>4.3399999999999994E-2</v>
      </c>
      <c r="K475" s="1">
        <f t="shared" ref="K475:K476" si="131">Z475/1000</f>
        <v>2.4783900000000001</v>
      </c>
      <c r="L475" s="1">
        <f t="shared" ref="L475:L476" si="132">AA475/1000</f>
        <v>2.4783900000000001</v>
      </c>
      <c r="M475" s="49">
        <f t="shared" si="112"/>
        <v>0</v>
      </c>
      <c r="N475" s="49">
        <v>1</v>
      </c>
      <c r="O475" s="6">
        <v>508</v>
      </c>
      <c r="P475" s="51">
        <v>0</v>
      </c>
      <c r="Q475" s="51">
        <v>8</v>
      </c>
      <c r="R475" s="51">
        <v>0</v>
      </c>
      <c r="S475" s="1">
        <v>0</v>
      </c>
      <c r="T475" s="1">
        <v>0</v>
      </c>
      <c r="U475" s="47">
        <v>0</v>
      </c>
      <c r="V475" s="47"/>
      <c r="X475" s="68">
        <v>890</v>
      </c>
      <c r="Y475">
        <v>0.95660000000000001</v>
      </c>
      <c r="Z475">
        <v>2478.39</v>
      </c>
      <c r="AA475">
        <v>2478.39</v>
      </c>
      <c r="AB475">
        <v>0</v>
      </c>
      <c r="AC475">
        <v>110</v>
      </c>
      <c r="AD475" s="41">
        <f t="shared" ref="AD475:AD476" si="133">1/Z475*860</f>
        <v>0.34699946336129506</v>
      </c>
      <c r="AE475" s="41">
        <f t="shared" ref="AE475:AE476" si="134">1/AA475*860</f>
        <v>0.34699946336129506</v>
      </c>
      <c r="AI475">
        <f>HLOOKUP(HLOOKUP(G475,'THP2'!$B$4:$J$8,5,FALSE),'Fuel &amp; Resister'!$B$3:$G$6,4,FALSE)</f>
        <v>0</v>
      </c>
      <c r="AJ475" s="41">
        <f>HLOOKUP(HLOOKUP(G475,'THP2'!$B$4:$J$8,5,FALSE),'Fuel &amp; Resister'!$B$3:$G$6,3,FALSE)</f>
        <v>2.4783900000000001</v>
      </c>
      <c r="AO475" s="1">
        <v>0</v>
      </c>
      <c r="AP475" s="1">
        <v>0</v>
      </c>
    </row>
    <row r="476" spans="2:42" x14ac:dyDescent="0.15">
      <c r="B476" s="43" t="s">
        <v>650</v>
      </c>
      <c r="C476" s="61">
        <f>VLOOKUP(B476,[1]SYS!$F$5:$G$359,2,FALSE)</f>
        <v>342</v>
      </c>
      <c r="D476" s="1" t="s">
        <v>25</v>
      </c>
      <c r="E476" s="42" t="s">
        <v>570</v>
      </c>
      <c r="F476" s="63" t="s">
        <v>571</v>
      </c>
      <c r="G476" s="1">
        <v>0</v>
      </c>
      <c r="H476" s="1">
        <v>1</v>
      </c>
      <c r="I476" s="1">
        <v>0.89</v>
      </c>
      <c r="J476" s="1">
        <f t="shared" si="130"/>
        <v>4.3399999999999994E-2</v>
      </c>
      <c r="K476" s="1">
        <f t="shared" si="131"/>
        <v>2.4783900000000001</v>
      </c>
      <c r="L476" s="1">
        <f t="shared" si="132"/>
        <v>2.4783900000000001</v>
      </c>
      <c r="M476" s="49">
        <f t="shared" si="112"/>
        <v>0</v>
      </c>
      <c r="N476" s="49">
        <v>1</v>
      </c>
      <c r="O476" s="6">
        <v>707</v>
      </c>
      <c r="P476" s="51">
        <v>0</v>
      </c>
      <c r="Q476" s="51">
        <v>8</v>
      </c>
      <c r="R476" s="51">
        <v>0</v>
      </c>
      <c r="S476" s="1">
        <v>0</v>
      </c>
      <c r="T476" s="1">
        <v>0</v>
      </c>
      <c r="U476" s="47">
        <v>0</v>
      </c>
      <c r="V476" s="47"/>
      <c r="X476" s="68">
        <v>890</v>
      </c>
      <c r="Y476">
        <v>0.95660000000000001</v>
      </c>
      <c r="Z476">
        <v>2478.39</v>
      </c>
      <c r="AA476">
        <v>2478.39</v>
      </c>
      <c r="AB476">
        <v>0</v>
      </c>
      <c r="AC476">
        <v>110</v>
      </c>
      <c r="AD476" s="41">
        <f t="shared" si="133"/>
        <v>0.34699946336129506</v>
      </c>
      <c r="AE476" s="41">
        <f t="shared" si="134"/>
        <v>0.34699946336129506</v>
      </c>
      <c r="AI476">
        <f>HLOOKUP(HLOOKUP(G476,'THP2'!$B$4:$J$8,5,FALSE),'Fuel &amp; Resister'!$B$3:$G$6,4,FALSE)</f>
        <v>0</v>
      </c>
      <c r="AJ476" s="41">
        <f>HLOOKUP(HLOOKUP(G476,'THP2'!$B$4:$J$8,5,FALSE),'Fuel &amp; Resister'!$B$3:$G$6,3,FALSE)</f>
        <v>2.4783900000000001</v>
      </c>
      <c r="AO476" s="1">
        <v>0</v>
      </c>
      <c r="AP476" s="1">
        <v>0</v>
      </c>
    </row>
    <row r="477" spans="2:42" x14ac:dyDescent="0.15">
      <c r="B477" s="43" t="s">
        <v>651</v>
      </c>
      <c r="C477" s="61">
        <f>VLOOKUP(B477,[1]SYS!$F$5:$G$359,2,FALSE)</f>
        <v>18</v>
      </c>
      <c r="D477" s="1" t="s">
        <v>24</v>
      </c>
      <c r="E477" s="42" t="s">
        <v>307</v>
      </c>
      <c r="F477" s="63" t="s">
        <v>494</v>
      </c>
      <c r="G477" s="1">
        <v>4</v>
      </c>
      <c r="H477" s="1">
        <f t="shared" si="70"/>
        <v>0.15142857142857144</v>
      </c>
      <c r="I477" s="1">
        <f t="shared" si="71"/>
        <v>0.35</v>
      </c>
      <c r="J477" s="1">
        <f t="shared" si="69"/>
        <v>5.2000000000000046E-2</v>
      </c>
      <c r="K477" s="1">
        <f t="shared" si="72"/>
        <v>3.08752</v>
      </c>
      <c r="L477" s="1">
        <f t="shared" si="73"/>
        <v>2.1816300000000002</v>
      </c>
      <c r="M477" s="49">
        <f t="shared" si="112"/>
        <v>1.9634662552045516</v>
      </c>
      <c r="N477" s="49">
        <v>9.8559999999999999</v>
      </c>
      <c r="O477" s="1">
        <v>601</v>
      </c>
      <c r="P477" s="51">
        <v>0.05</v>
      </c>
      <c r="Q477" s="51">
        <v>8</v>
      </c>
      <c r="R477" s="51">
        <v>1</v>
      </c>
      <c r="S477" s="62">
        <v>0</v>
      </c>
      <c r="T477" s="62">
        <v>0</v>
      </c>
      <c r="U477" s="93">
        <v>0</v>
      </c>
      <c r="V477" s="47">
        <v>351</v>
      </c>
      <c r="W477" s="41">
        <v>53</v>
      </c>
      <c r="X477">
        <v>350</v>
      </c>
      <c r="Y477">
        <v>0.94799999999999995</v>
      </c>
      <c r="Z477">
        <v>3087.52</v>
      </c>
      <c r="AA477">
        <v>2181.63</v>
      </c>
      <c r="AB477">
        <v>985.6</v>
      </c>
      <c r="AC477">
        <v>46</v>
      </c>
      <c r="AD477" s="41">
        <f t="shared" si="74"/>
        <v>0.27854070580919316</v>
      </c>
      <c r="AE477" s="41">
        <f t="shared" si="75"/>
        <v>0.39420066647415003</v>
      </c>
      <c r="AF477">
        <f t="shared" si="76"/>
        <v>2.0199728619528621</v>
      </c>
      <c r="AG477">
        <f t="shared" si="77"/>
        <v>5.6579998316498334E-2</v>
      </c>
      <c r="AH477">
        <f t="shared" si="78"/>
        <v>9.8559999999999999</v>
      </c>
      <c r="AI477">
        <f>HLOOKUP(HLOOKUP(G477,'THP2'!$B$4:$J$8,5,FALSE),'Fuel &amp; Resister'!$B$3:$G$6,4,FALSE)</f>
        <v>2.8890399999999996</v>
      </c>
      <c r="AJ477" s="41">
        <f>HLOOKUP(HLOOKUP(G477,'THP2'!$B$4:$J$8,5,FALSE),'Fuel &amp; Resister'!$B$3:$G$6,3,FALSE)</f>
        <v>9.8420000000000005</v>
      </c>
      <c r="AO477" s="62">
        <v>0</v>
      </c>
      <c r="AP477" s="62">
        <v>0</v>
      </c>
    </row>
    <row r="478" spans="2:42" x14ac:dyDescent="0.15">
      <c r="B478" s="43" t="s">
        <v>651</v>
      </c>
      <c r="C478" s="61">
        <f>VLOOKUP(B478,[1]SYS!$F$5:$G$359,2,FALSE)</f>
        <v>18</v>
      </c>
      <c r="D478" s="1" t="s">
        <v>24</v>
      </c>
      <c r="E478" s="65" t="s">
        <v>385</v>
      </c>
      <c r="F478" s="63" t="s">
        <v>386</v>
      </c>
      <c r="G478" s="1">
        <v>4</v>
      </c>
      <c r="H478" s="1">
        <f t="shared" si="70"/>
        <v>0.33333333333333331</v>
      </c>
      <c r="I478" s="1">
        <f t="shared" si="71"/>
        <v>1.4999999999999999E-2</v>
      </c>
      <c r="J478" s="1">
        <f t="shared" si="69"/>
        <v>0</v>
      </c>
      <c r="K478" s="1">
        <f t="shared" si="72"/>
        <v>2.6336599999999999</v>
      </c>
      <c r="L478" s="1">
        <f t="shared" si="73"/>
        <v>2.2633000000000001</v>
      </c>
      <c r="M478" s="49">
        <f t="shared" si="112"/>
        <v>8.7298681170981496E-2</v>
      </c>
      <c r="N478" s="49">
        <v>0.48</v>
      </c>
      <c r="O478" s="6">
        <v>316</v>
      </c>
      <c r="P478" s="51">
        <v>0</v>
      </c>
      <c r="Q478" s="51">
        <v>8</v>
      </c>
      <c r="R478" s="51">
        <v>1</v>
      </c>
      <c r="S478" s="1">
        <v>1</v>
      </c>
      <c r="T478" s="1">
        <v>1</v>
      </c>
      <c r="U478" s="47">
        <v>1</v>
      </c>
      <c r="V478" s="47">
        <v>352</v>
      </c>
      <c r="W478" s="41">
        <v>5</v>
      </c>
      <c r="X478">
        <v>15</v>
      </c>
      <c r="Y478">
        <v>1</v>
      </c>
      <c r="Z478">
        <v>2633.66</v>
      </c>
      <c r="AA478">
        <v>2263.3000000000002</v>
      </c>
      <c r="AB478">
        <v>48</v>
      </c>
      <c r="AC478">
        <v>46</v>
      </c>
      <c r="AD478" s="41">
        <f t="shared" si="74"/>
        <v>0.32654177076767693</v>
      </c>
      <c r="AE478" s="41">
        <f t="shared" si="75"/>
        <v>0.37997614103300487</v>
      </c>
      <c r="AF478">
        <f t="shared" si="76"/>
        <v>2.0781200000000002</v>
      </c>
      <c r="AG478">
        <f t="shared" si="77"/>
        <v>2.7776999999999984E-3</v>
      </c>
      <c r="AH478">
        <f t="shared" si="78"/>
        <v>0.48</v>
      </c>
      <c r="AI478">
        <f>HLOOKUP(HLOOKUP(G478,'THP2'!$B$4:$J$8,5,FALSE),'Fuel &amp; Resister'!$B$3:$G$6,4,FALSE)</f>
        <v>2.8890399999999996</v>
      </c>
      <c r="AJ478" s="41">
        <f>HLOOKUP(HLOOKUP(G478,'THP2'!$B$4:$J$8,5,FALSE),'Fuel &amp; Resister'!$B$3:$G$6,3,FALSE)</f>
        <v>9.8420000000000005</v>
      </c>
      <c r="AO478" s="1">
        <v>1</v>
      </c>
      <c r="AP478" s="1">
        <v>1</v>
      </c>
    </row>
    <row r="479" spans="2:42" x14ac:dyDescent="0.15">
      <c r="B479" s="43" t="s">
        <v>652</v>
      </c>
      <c r="C479" s="61">
        <f>VLOOKUP(B479,[1]SYS!$F$5:$G$359,2,FALSE)</f>
        <v>8</v>
      </c>
      <c r="D479" s="1" t="s">
        <v>24</v>
      </c>
      <c r="E479" s="65" t="s">
        <v>308</v>
      </c>
      <c r="F479" s="42"/>
      <c r="G479" s="1">
        <v>4</v>
      </c>
      <c r="H479" s="1">
        <f t="shared" si="70"/>
        <v>0.3</v>
      </c>
      <c r="I479" s="1">
        <f t="shared" si="71"/>
        <v>0.05</v>
      </c>
      <c r="J479" s="1">
        <f t="shared" si="69"/>
        <v>0</v>
      </c>
      <c r="K479" s="1">
        <f t="shared" si="72"/>
        <v>2.7125700000000004</v>
      </c>
      <c r="L479" s="1">
        <f t="shared" si="73"/>
        <v>2.2633000000000001</v>
      </c>
      <c r="M479" s="49">
        <f t="shared" si="112"/>
        <v>0.29099560390327162</v>
      </c>
      <c r="N479" s="49">
        <v>1.6</v>
      </c>
      <c r="O479" s="1">
        <v>908</v>
      </c>
      <c r="P479" s="51">
        <v>0</v>
      </c>
      <c r="Q479" s="51">
        <v>8</v>
      </c>
      <c r="R479" s="51">
        <v>1</v>
      </c>
      <c r="S479" s="1">
        <v>1</v>
      </c>
      <c r="T479" s="1">
        <v>1</v>
      </c>
      <c r="U479" s="47">
        <v>1</v>
      </c>
      <c r="V479" s="47">
        <v>353</v>
      </c>
      <c r="W479" s="41">
        <v>15</v>
      </c>
      <c r="X479">
        <v>50</v>
      </c>
      <c r="Y479">
        <v>1</v>
      </c>
      <c r="Z479">
        <v>2712.57</v>
      </c>
      <c r="AA479">
        <v>2263.3000000000002</v>
      </c>
      <c r="AB479">
        <v>160</v>
      </c>
      <c r="AC479">
        <v>46</v>
      </c>
      <c r="AD479" s="41">
        <f t="shared" si="74"/>
        <v>0.31704250950205892</v>
      </c>
      <c r="AE479" s="41">
        <f t="shared" si="75"/>
        <v>0.37997614103300487</v>
      </c>
      <c r="AF479">
        <f t="shared" si="76"/>
        <v>2.0707557142857147</v>
      </c>
      <c r="AG479">
        <f t="shared" si="77"/>
        <v>9.6272142857142702E-3</v>
      </c>
      <c r="AH479">
        <f t="shared" si="78"/>
        <v>1.6</v>
      </c>
      <c r="AI479">
        <f>HLOOKUP(HLOOKUP(G479,'THP2'!$B$4:$J$8,5,FALSE),'Fuel &amp; Resister'!$B$3:$G$6,4,FALSE)</f>
        <v>2.8890399999999996</v>
      </c>
      <c r="AJ479" s="41">
        <f>HLOOKUP(HLOOKUP(G479,'THP2'!$B$4:$J$8,5,FALSE),'Fuel &amp; Resister'!$B$3:$G$6,3,FALSE)</f>
        <v>9.8420000000000005</v>
      </c>
      <c r="AO479" s="1">
        <v>1</v>
      </c>
      <c r="AP479" s="1">
        <v>1</v>
      </c>
    </row>
    <row r="480" spans="2:42" x14ac:dyDescent="0.15">
      <c r="B480" s="43" t="s">
        <v>587</v>
      </c>
      <c r="C480" s="61">
        <f>VLOOKUP(B480,[1]SYS!$F$5:$G$359,2,FALSE)</f>
        <v>47</v>
      </c>
      <c r="D480" s="1" t="s">
        <v>24</v>
      </c>
      <c r="E480" s="65" t="s">
        <v>309</v>
      </c>
      <c r="F480" s="42" t="s">
        <v>500</v>
      </c>
      <c r="G480" s="1">
        <v>4</v>
      </c>
      <c r="H480" s="1">
        <f t="shared" si="70"/>
        <v>0.3</v>
      </c>
      <c r="I480" s="1">
        <f t="shared" si="71"/>
        <v>0.05</v>
      </c>
      <c r="J480" s="1">
        <f t="shared" si="69"/>
        <v>0</v>
      </c>
      <c r="K480" s="1">
        <f t="shared" si="72"/>
        <v>2.4734000000000003</v>
      </c>
      <c r="L480" s="1">
        <f t="shared" si="73"/>
        <v>2.0637500000000002</v>
      </c>
      <c r="M480" s="49">
        <f t="shared" si="112"/>
        <v>0.26533918506401138</v>
      </c>
      <c r="N480" s="49">
        <v>1.6</v>
      </c>
      <c r="O480" s="1">
        <v>1009</v>
      </c>
      <c r="P480" s="51">
        <v>0</v>
      </c>
      <c r="Q480" s="51">
        <v>8</v>
      </c>
      <c r="R480" s="51">
        <v>1</v>
      </c>
      <c r="S480" s="1">
        <v>1</v>
      </c>
      <c r="T480" s="1">
        <v>1</v>
      </c>
      <c r="U480" s="47">
        <v>1</v>
      </c>
      <c r="V480" s="47">
        <v>354</v>
      </c>
      <c r="W480" s="41">
        <v>15</v>
      </c>
      <c r="X480">
        <v>50</v>
      </c>
      <c r="Y480">
        <v>1</v>
      </c>
      <c r="Z480">
        <v>2473.4</v>
      </c>
      <c r="AA480">
        <v>2063.75</v>
      </c>
      <c r="AB480">
        <v>160</v>
      </c>
      <c r="AC480">
        <v>46</v>
      </c>
      <c r="AD480" s="41">
        <f t="shared" si="74"/>
        <v>0.34769952292391043</v>
      </c>
      <c r="AE480" s="41">
        <f t="shared" si="75"/>
        <v>0.41671714112658992</v>
      </c>
      <c r="AF480">
        <f t="shared" si="76"/>
        <v>1.8881857142857146</v>
      </c>
      <c r="AG480">
        <f t="shared" si="77"/>
        <v>8.7782142857142816E-3</v>
      </c>
      <c r="AH480">
        <f t="shared" si="78"/>
        <v>1.6</v>
      </c>
      <c r="AI480">
        <f>HLOOKUP(HLOOKUP(G480,'THP2'!$B$4:$J$8,5,FALSE),'Fuel &amp; Resister'!$B$3:$G$6,4,FALSE)</f>
        <v>2.8890399999999996</v>
      </c>
      <c r="AJ480" s="41">
        <f>HLOOKUP(HLOOKUP(G480,'THP2'!$B$4:$J$8,5,FALSE),'Fuel &amp; Resister'!$B$3:$G$6,3,FALSE)</f>
        <v>9.8420000000000005</v>
      </c>
      <c r="AO480" s="1">
        <v>1</v>
      </c>
      <c r="AP480" s="1">
        <v>1</v>
      </c>
    </row>
    <row r="481" spans="2:42" x14ac:dyDescent="0.15">
      <c r="B481" s="43" t="s">
        <v>587</v>
      </c>
      <c r="C481" s="61">
        <f>VLOOKUP(B481,[1]SYS!$F$5:$G$359,2,FALSE)</f>
        <v>47</v>
      </c>
      <c r="D481" s="1" t="s">
        <v>24</v>
      </c>
      <c r="E481" s="42" t="s">
        <v>310</v>
      </c>
      <c r="F481" s="42"/>
      <c r="G481" s="1">
        <v>4</v>
      </c>
      <c r="H481" s="1">
        <f t="shared" si="70"/>
        <v>0.29545454545454547</v>
      </c>
      <c r="I481" s="1">
        <f t="shared" si="71"/>
        <v>4.3999999999999997E-2</v>
      </c>
      <c r="J481" s="1">
        <f t="shared" si="69"/>
        <v>0</v>
      </c>
      <c r="K481" s="1">
        <f t="shared" si="72"/>
        <v>2.7427100000000002</v>
      </c>
      <c r="L481" s="1">
        <f t="shared" si="73"/>
        <v>2.2884499999999997</v>
      </c>
      <c r="M481" s="49">
        <f t="shared" si="112"/>
        <v>0.25892167321263149</v>
      </c>
      <c r="N481" s="49">
        <v>1.4080000000000001</v>
      </c>
      <c r="O481" s="1">
        <v>809</v>
      </c>
      <c r="P481" s="51">
        <v>0</v>
      </c>
      <c r="Q481" s="51">
        <v>8</v>
      </c>
      <c r="R481" s="51">
        <v>1</v>
      </c>
      <c r="S481" s="62">
        <v>0</v>
      </c>
      <c r="T481" s="62">
        <v>0</v>
      </c>
      <c r="U481" s="93">
        <v>0</v>
      </c>
      <c r="V481" s="47">
        <v>355</v>
      </c>
      <c r="W481" s="41">
        <v>13</v>
      </c>
      <c r="X481">
        <v>44</v>
      </c>
      <c r="Y481">
        <v>1</v>
      </c>
      <c r="Z481">
        <v>2742.71</v>
      </c>
      <c r="AA481">
        <v>2288.4499999999998</v>
      </c>
      <c r="AB481">
        <v>140.80000000000001</v>
      </c>
      <c r="AC481">
        <v>46</v>
      </c>
      <c r="AD481" s="41">
        <f t="shared" si="74"/>
        <v>0.31355848777304196</v>
      </c>
      <c r="AE481" s="41">
        <f t="shared" si="75"/>
        <v>0.37580021411872666</v>
      </c>
      <c r="AF481">
        <f t="shared" si="76"/>
        <v>2.0979538709677414</v>
      </c>
      <c r="AG481">
        <f t="shared" si="77"/>
        <v>8.3818296774193606E-3</v>
      </c>
      <c r="AH481">
        <f t="shared" si="78"/>
        <v>1.4080000000000001</v>
      </c>
      <c r="AI481">
        <f>HLOOKUP(HLOOKUP(G481,'THP2'!$B$4:$J$8,5,FALSE),'Fuel &amp; Resister'!$B$3:$G$6,4,FALSE)</f>
        <v>2.8890399999999996</v>
      </c>
      <c r="AJ481" s="41">
        <f>HLOOKUP(HLOOKUP(G481,'THP2'!$B$4:$J$8,5,FALSE),'Fuel &amp; Resister'!$B$3:$G$6,3,FALSE)</f>
        <v>9.8420000000000005</v>
      </c>
      <c r="AO481" s="62">
        <v>0</v>
      </c>
      <c r="AP481" s="62">
        <v>0</v>
      </c>
    </row>
    <row r="482" spans="2:42" x14ac:dyDescent="0.15">
      <c r="B482" s="43" t="s">
        <v>622</v>
      </c>
      <c r="C482" s="61">
        <f>VLOOKUP(B482,[1]SYS!$F$5:$G$359,2,FALSE)</f>
        <v>53</v>
      </c>
      <c r="D482" s="1" t="s">
        <v>24</v>
      </c>
      <c r="E482" s="65" t="s">
        <v>311</v>
      </c>
      <c r="F482" s="63" t="s">
        <v>499</v>
      </c>
      <c r="G482" s="1">
        <v>4</v>
      </c>
      <c r="H482" s="1">
        <f t="shared" si="70"/>
        <v>0.3</v>
      </c>
      <c r="I482" s="1">
        <f t="shared" si="71"/>
        <v>0.1</v>
      </c>
      <c r="J482" s="1">
        <f t="shared" si="69"/>
        <v>5.0000000000000044E-2</v>
      </c>
      <c r="K482" s="1">
        <f t="shared" si="72"/>
        <v>2.8551599999999997</v>
      </c>
      <c r="L482" s="1">
        <f t="shared" si="73"/>
        <v>2.3822700000000001</v>
      </c>
      <c r="M482" s="49">
        <f t="shared" si="112"/>
        <v>0.61258348191635836</v>
      </c>
      <c r="N482" s="49">
        <v>3.2</v>
      </c>
      <c r="O482" s="6">
        <v>309</v>
      </c>
      <c r="P482" s="51">
        <v>0</v>
      </c>
      <c r="Q482" s="51">
        <v>8</v>
      </c>
      <c r="R482" s="51">
        <v>1</v>
      </c>
      <c r="S482" s="1">
        <v>1</v>
      </c>
      <c r="T482" s="1">
        <v>1</v>
      </c>
      <c r="U482" s="47">
        <v>1</v>
      </c>
      <c r="V482" s="47">
        <v>356</v>
      </c>
      <c r="W482" s="41">
        <v>30</v>
      </c>
      <c r="X482">
        <v>100</v>
      </c>
      <c r="Y482">
        <v>0.95</v>
      </c>
      <c r="Z482">
        <v>2855.16</v>
      </c>
      <c r="AA482">
        <v>2382.27</v>
      </c>
      <c r="AB482">
        <v>320</v>
      </c>
      <c r="AC482">
        <v>46</v>
      </c>
      <c r="AD482" s="41">
        <f t="shared" si="74"/>
        <v>0.30120903907311675</v>
      </c>
      <c r="AE482" s="41">
        <f t="shared" si="75"/>
        <v>0.36100022247688129</v>
      </c>
      <c r="AF482">
        <f t="shared" si="76"/>
        <v>2.1796028571428576</v>
      </c>
      <c r="AG482">
        <f t="shared" si="77"/>
        <v>2.0266714285714249E-2</v>
      </c>
      <c r="AH482">
        <f t="shared" si="78"/>
        <v>3.2</v>
      </c>
      <c r="AI482">
        <f>HLOOKUP(HLOOKUP(G482,'THP2'!$B$4:$J$8,5,FALSE),'Fuel &amp; Resister'!$B$3:$G$6,4,FALSE)</f>
        <v>2.8890399999999996</v>
      </c>
      <c r="AJ482" s="41">
        <f>HLOOKUP(HLOOKUP(G482,'THP2'!$B$4:$J$8,5,FALSE),'Fuel &amp; Resister'!$B$3:$G$6,3,FALSE)</f>
        <v>9.8420000000000005</v>
      </c>
      <c r="AO482" s="1">
        <v>1</v>
      </c>
      <c r="AP482" s="1">
        <v>1</v>
      </c>
    </row>
    <row r="483" spans="2:42" x14ac:dyDescent="0.15">
      <c r="B483" s="43" t="s">
        <v>622</v>
      </c>
      <c r="C483" s="61">
        <f>VLOOKUP(B483,[1]SYS!$F$5:$G$359,2,FALSE)</f>
        <v>53</v>
      </c>
      <c r="D483" s="1" t="s">
        <v>24</v>
      </c>
      <c r="E483" s="65" t="s">
        <v>312</v>
      </c>
      <c r="F483" s="42"/>
      <c r="G483" s="1">
        <v>4</v>
      </c>
      <c r="H483" s="1">
        <f t="shared" si="70"/>
        <v>0.3</v>
      </c>
      <c r="I483" s="1">
        <f t="shared" si="71"/>
        <v>0.1</v>
      </c>
      <c r="J483" s="1">
        <f t="shared" si="69"/>
        <v>0</v>
      </c>
      <c r="K483" s="1">
        <f t="shared" si="72"/>
        <v>2.38591</v>
      </c>
      <c r="L483" s="1">
        <f t="shared" si="73"/>
        <v>1.99074</v>
      </c>
      <c r="M483" s="49">
        <f t="shared" si="112"/>
        <v>0.51190437724950211</v>
      </c>
      <c r="N483" s="49">
        <v>3.2</v>
      </c>
      <c r="O483" s="6">
        <v>309</v>
      </c>
      <c r="P483" s="51">
        <v>0</v>
      </c>
      <c r="Q483" s="51">
        <v>8</v>
      </c>
      <c r="R483" s="51">
        <v>1</v>
      </c>
      <c r="S483" s="1">
        <v>1</v>
      </c>
      <c r="T483" s="1">
        <v>1</v>
      </c>
      <c r="U483" s="47">
        <v>1</v>
      </c>
      <c r="V483" s="47">
        <v>357</v>
      </c>
      <c r="W483" s="41">
        <v>30</v>
      </c>
      <c r="X483">
        <v>100</v>
      </c>
      <c r="Y483">
        <v>1</v>
      </c>
      <c r="Z483">
        <v>2385.91</v>
      </c>
      <c r="AA483">
        <v>1990.74</v>
      </c>
      <c r="AB483">
        <v>320</v>
      </c>
      <c r="AC483">
        <v>46</v>
      </c>
      <c r="AD483" s="41">
        <f t="shared" si="74"/>
        <v>0.36044947210917427</v>
      </c>
      <c r="AE483" s="41">
        <f t="shared" si="75"/>
        <v>0.43200016074424585</v>
      </c>
      <c r="AF483">
        <f t="shared" si="76"/>
        <v>1.8213814285714287</v>
      </c>
      <c r="AG483">
        <f t="shared" si="77"/>
        <v>1.6935857142857124E-2</v>
      </c>
      <c r="AH483">
        <f t="shared" si="78"/>
        <v>3.2</v>
      </c>
      <c r="AI483">
        <f>HLOOKUP(HLOOKUP(G483,'THP2'!$B$4:$J$8,5,FALSE),'Fuel &amp; Resister'!$B$3:$G$6,4,FALSE)</f>
        <v>2.8890399999999996</v>
      </c>
      <c r="AJ483" s="41">
        <f>HLOOKUP(HLOOKUP(G483,'THP2'!$B$4:$J$8,5,FALSE),'Fuel &amp; Resister'!$B$3:$G$6,3,FALSE)</f>
        <v>9.8420000000000005</v>
      </c>
      <c r="AO483" s="1">
        <v>1</v>
      </c>
      <c r="AP483" s="1">
        <v>1</v>
      </c>
    </row>
    <row r="484" spans="2:42" x14ac:dyDescent="0.15">
      <c r="B484" s="43" t="s">
        <v>653</v>
      </c>
      <c r="C484" s="61">
        <f>VLOOKUP(B484,[1]SYS!$F$5:$G$359,2,FALSE)</f>
        <v>69</v>
      </c>
      <c r="D484" s="1" t="s">
        <v>24</v>
      </c>
      <c r="E484" s="42" t="s">
        <v>313</v>
      </c>
      <c r="F484" s="63" t="s">
        <v>467</v>
      </c>
      <c r="G484" s="1">
        <v>4</v>
      </c>
      <c r="H484" s="1">
        <f t="shared" si="70"/>
        <v>0.3</v>
      </c>
      <c r="I484" s="1">
        <f t="shared" si="71"/>
        <v>1</v>
      </c>
      <c r="J484" s="1">
        <f t="shared" si="69"/>
        <v>3.0100000000000016E-2</v>
      </c>
      <c r="K484" s="1">
        <f t="shared" si="72"/>
        <v>2.4546600000000001</v>
      </c>
      <c r="L484" s="1">
        <f t="shared" si="73"/>
        <v>2.0481100000000003</v>
      </c>
      <c r="M484" s="49">
        <f t="shared" si="112"/>
        <v>5.2665665736785208</v>
      </c>
      <c r="N484" s="49">
        <v>21.914999999999999</v>
      </c>
      <c r="O484" s="1">
        <v>509</v>
      </c>
      <c r="P484" s="51">
        <v>0.05</v>
      </c>
      <c r="Q484" s="51">
        <v>8</v>
      </c>
      <c r="R484" s="51">
        <v>1</v>
      </c>
      <c r="S484" s="62">
        <v>0</v>
      </c>
      <c r="T484" s="62">
        <v>0</v>
      </c>
      <c r="U484" s="93">
        <v>0</v>
      </c>
      <c r="V484" s="47">
        <v>358</v>
      </c>
      <c r="W484" s="41">
        <v>300</v>
      </c>
      <c r="X484">
        <v>1000</v>
      </c>
      <c r="Y484">
        <v>0.96989999999999998</v>
      </c>
      <c r="Z484">
        <v>2454.66</v>
      </c>
      <c r="AA484">
        <v>2048.11</v>
      </c>
      <c r="AB484">
        <v>2191.5</v>
      </c>
      <c r="AC484">
        <v>280</v>
      </c>
      <c r="AD484" s="41">
        <f t="shared" si="74"/>
        <v>0.35035402051607961</v>
      </c>
      <c r="AE484" s="41">
        <f t="shared" si="75"/>
        <v>0.41989932181376977</v>
      </c>
      <c r="AF484">
        <f t="shared" si="76"/>
        <v>1.8738742857142865</v>
      </c>
      <c r="AG484">
        <f t="shared" si="77"/>
        <v>0.17423571428571383</v>
      </c>
      <c r="AH484">
        <f t="shared" si="78"/>
        <v>21.914999999999999</v>
      </c>
      <c r="AI484">
        <f>HLOOKUP(HLOOKUP(G484,'THP2'!$B$4:$J$8,5,FALSE),'Fuel &amp; Resister'!$B$3:$G$6,4,FALSE)</f>
        <v>2.8890399999999996</v>
      </c>
      <c r="AJ484" s="41">
        <f>HLOOKUP(HLOOKUP(G484,'THP2'!$B$4:$J$8,5,FALSE),'Fuel &amp; Resister'!$B$3:$G$6,3,FALSE)</f>
        <v>9.8420000000000005</v>
      </c>
      <c r="AO484" s="62">
        <v>0</v>
      </c>
      <c r="AP484" s="62">
        <v>0</v>
      </c>
    </row>
    <row r="485" spans="2:42" x14ac:dyDescent="0.15">
      <c r="B485" s="43" t="s">
        <v>628</v>
      </c>
      <c r="C485" s="61">
        <f>VLOOKUP(B485,[1]SYS!$F$5:$G$359,2,FALSE)</f>
        <v>98</v>
      </c>
      <c r="D485" s="1" t="s">
        <v>24</v>
      </c>
      <c r="E485" s="65" t="s">
        <v>314</v>
      </c>
      <c r="F485" s="42"/>
      <c r="G485" s="1">
        <v>4</v>
      </c>
      <c r="H485" s="1">
        <f t="shared" si="70"/>
        <v>0.30116959064327486</v>
      </c>
      <c r="I485" s="1">
        <f t="shared" si="71"/>
        <v>0.34200000000000003</v>
      </c>
      <c r="J485" s="1">
        <f t="shared" si="69"/>
        <v>0</v>
      </c>
      <c r="K485" s="1">
        <f t="shared" si="72"/>
        <v>2.59138</v>
      </c>
      <c r="L485" s="1">
        <f t="shared" si="73"/>
        <v>2.1621799999999998</v>
      </c>
      <c r="M485" s="49">
        <f t="shared" si="112"/>
        <v>1.9014821472882155</v>
      </c>
      <c r="N485" s="49">
        <v>9.7074999999999996</v>
      </c>
      <c r="O485" s="1">
        <v>408</v>
      </c>
      <c r="P485" s="51">
        <v>0.05</v>
      </c>
      <c r="Q485" s="51">
        <v>8</v>
      </c>
      <c r="R485" s="51">
        <v>1</v>
      </c>
      <c r="S485" s="1">
        <v>1</v>
      </c>
      <c r="T485" s="1">
        <v>1</v>
      </c>
      <c r="U485" s="47">
        <v>1</v>
      </c>
      <c r="V485" s="47">
        <v>359</v>
      </c>
      <c r="W485" s="41">
        <v>103</v>
      </c>
      <c r="X485">
        <v>342</v>
      </c>
      <c r="Y485">
        <v>1</v>
      </c>
      <c r="Z485">
        <v>2591.38</v>
      </c>
      <c r="AA485">
        <v>2162.1799999999998</v>
      </c>
      <c r="AB485">
        <v>970.75</v>
      </c>
      <c r="AC485">
        <v>46</v>
      </c>
      <c r="AD485" s="41">
        <f t="shared" si="74"/>
        <v>0.33186950582315211</v>
      </c>
      <c r="AE485" s="41">
        <f t="shared" si="75"/>
        <v>0.39774671858957167</v>
      </c>
      <c r="AF485">
        <f t="shared" si="76"/>
        <v>1.9772109623430962</v>
      </c>
      <c r="AG485">
        <f t="shared" si="77"/>
        <v>6.3259410878661007E-2</v>
      </c>
      <c r="AH485">
        <f t="shared" si="78"/>
        <v>9.7074999999999996</v>
      </c>
      <c r="AI485">
        <f>HLOOKUP(HLOOKUP(G485,'THP2'!$B$4:$J$8,5,FALSE),'Fuel &amp; Resister'!$B$3:$G$6,4,FALSE)</f>
        <v>2.8890399999999996</v>
      </c>
      <c r="AJ485" s="41">
        <f>HLOOKUP(HLOOKUP(G485,'THP2'!$B$4:$J$8,5,FALSE),'Fuel &amp; Resister'!$B$3:$G$6,3,FALSE)</f>
        <v>9.8420000000000005</v>
      </c>
      <c r="AO485" s="1">
        <v>1</v>
      </c>
      <c r="AP485" s="1">
        <v>1</v>
      </c>
    </row>
    <row r="486" spans="2:42" x14ac:dyDescent="0.15">
      <c r="B486" s="43" t="s">
        <v>628</v>
      </c>
      <c r="C486" s="61">
        <f>VLOOKUP(B486,[1]SYS!$F$5:$G$359,2,FALSE)</f>
        <v>98</v>
      </c>
      <c r="D486" s="1" t="s">
        <v>24</v>
      </c>
      <c r="E486" s="65" t="s">
        <v>315</v>
      </c>
      <c r="F486" s="42"/>
      <c r="G486" s="1">
        <v>4</v>
      </c>
      <c r="H486" s="1">
        <f t="shared" si="70"/>
        <v>0.30232558139534882</v>
      </c>
      <c r="I486" s="1">
        <f t="shared" si="71"/>
        <v>8.5999999999999993E-2</v>
      </c>
      <c r="J486" s="1">
        <f t="shared" si="69"/>
        <v>0</v>
      </c>
      <c r="K486" s="1">
        <f t="shared" si="72"/>
        <v>2.59138</v>
      </c>
      <c r="L486" s="1">
        <f t="shared" si="73"/>
        <v>2.1621799999999998</v>
      </c>
      <c r="M486" s="49">
        <f t="shared" si="112"/>
        <v>0.47815048148183192</v>
      </c>
      <c r="N486" s="49">
        <v>2.7519999999999998</v>
      </c>
      <c r="O486" s="1">
        <v>1002</v>
      </c>
      <c r="P486" s="51">
        <v>0</v>
      </c>
      <c r="Q486" s="51">
        <v>8</v>
      </c>
      <c r="R486" s="51">
        <v>1</v>
      </c>
      <c r="S486" s="1">
        <v>1</v>
      </c>
      <c r="T486" s="1">
        <v>1</v>
      </c>
      <c r="U486" s="47">
        <v>1</v>
      </c>
      <c r="V486" s="47">
        <v>360</v>
      </c>
      <c r="W486" s="41">
        <v>26</v>
      </c>
      <c r="X486">
        <v>86</v>
      </c>
      <c r="Y486">
        <v>1</v>
      </c>
      <c r="Z486">
        <v>2591.38</v>
      </c>
      <c r="AA486">
        <v>2162.1799999999998</v>
      </c>
      <c r="AB486">
        <v>275.2</v>
      </c>
      <c r="AC486">
        <v>46</v>
      </c>
      <c r="AD486" s="41">
        <f t="shared" si="74"/>
        <v>0.33186950582315211</v>
      </c>
      <c r="AE486" s="41">
        <f t="shared" si="75"/>
        <v>0.39774671858957167</v>
      </c>
      <c r="AF486">
        <f t="shared" si="76"/>
        <v>1.976193333333333</v>
      </c>
      <c r="AG486">
        <f t="shared" si="77"/>
        <v>1.599485333333334E-2</v>
      </c>
      <c r="AH486">
        <f t="shared" si="78"/>
        <v>2.7519999999999998</v>
      </c>
      <c r="AI486">
        <f>HLOOKUP(HLOOKUP(G486,'THP2'!$B$4:$J$8,5,FALSE),'Fuel &amp; Resister'!$B$3:$G$6,4,FALSE)</f>
        <v>2.8890399999999996</v>
      </c>
      <c r="AJ486" s="41">
        <f>HLOOKUP(HLOOKUP(G486,'THP2'!$B$4:$J$8,5,FALSE),'Fuel &amp; Resister'!$B$3:$G$6,3,FALSE)</f>
        <v>9.8420000000000005</v>
      </c>
      <c r="AO486" s="1">
        <v>1</v>
      </c>
      <c r="AP486" s="1">
        <v>1</v>
      </c>
    </row>
    <row r="487" spans="2:42" x14ac:dyDescent="0.15">
      <c r="B487" s="43" t="s">
        <v>628</v>
      </c>
      <c r="C487" s="61">
        <f>VLOOKUP(B487,[1]SYS!$F$5:$G$359,2,FALSE)</f>
        <v>98</v>
      </c>
      <c r="D487" s="1" t="s">
        <v>24</v>
      </c>
      <c r="E487" s="42" t="s">
        <v>316</v>
      </c>
      <c r="F487" s="42"/>
      <c r="G487" s="1">
        <v>4</v>
      </c>
      <c r="H487" s="1">
        <f t="shared" si="70"/>
        <v>0.30612244897959184</v>
      </c>
      <c r="I487" s="1">
        <f t="shared" si="71"/>
        <v>4.9000000000000002E-2</v>
      </c>
      <c r="J487" s="1">
        <f t="shared" si="69"/>
        <v>0</v>
      </c>
      <c r="K487" s="1">
        <f t="shared" si="72"/>
        <v>2.59138</v>
      </c>
      <c r="L487" s="1">
        <f t="shared" si="73"/>
        <v>2.1621799999999998</v>
      </c>
      <c r="M487" s="49">
        <f t="shared" si="112"/>
        <v>0.2724345766582531</v>
      </c>
      <c r="N487" s="49">
        <v>1.5680000000000001</v>
      </c>
      <c r="O487" s="1">
        <v>1209</v>
      </c>
      <c r="P487" s="51">
        <v>0</v>
      </c>
      <c r="Q487" s="51">
        <v>8</v>
      </c>
      <c r="R487" s="51">
        <v>1</v>
      </c>
      <c r="S487" s="62">
        <v>0</v>
      </c>
      <c r="T487" s="62">
        <v>0</v>
      </c>
      <c r="U487" s="93">
        <v>0</v>
      </c>
      <c r="V487" s="47">
        <v>361</v>
      </c>
      <c r="W487" s="41">
        <v>15</v>
      </c>
      <c r="X487">
        <v>49</v>
      </c>
      <c r="Y487">
        <v>1</v>
      </c>
      <c r="Z487">
        <v>2591.38</v>
      </c>
      <c r="AA487">
        <v>2162.1799999999998</v>
      </c>
      <c r="AB487">
        <v>156.80000000000001</v>
      </c>
      <c r="AC487">
        <v>46</v>
      </c>
      <c r="AD487" s="41">
        <f t="shared" si="74"/>
        <v>0.33186950582315211</v>
      </c>
      <c r="AE487" s="41">
        <f t="shared" si="75"/>
        <v>0.39774671858957167</v>
      </c>
      <c r="AF487">
        <f t="shared" si="76"/>
        <v>1.972827058823529</v>
      </c>
      <c r="AG487">
        <f t="shared" si="77"/>
        <v>9.2782941176470651E-3</v>
      </c>
      <c r="AH487">
        <f t="shared" si="78"/>
        <v>1.5680000000000001</v>
      </c>
      <c r="AI487">
        <f>HLOOKUP(HLOOKUP(G487,'THP2'!$B$4:$J$8,5,FALSE),'Fuel &amp; Resister'!$B$3:$G$6,4,FALSE)</f>
        <v>2.8890399999999996</v>
      </c>
      <c r="AJ487" s="41">
        <f>HLOOKUP(HLOOKUP(G487,'THP2'!$B$4:$J$8,5,FALSE),'Fuel &amp; Resister'!$B$3:$G$6,3,FALSE)</f>
        <v>9.8420000000000005</v>
      </c>
      <c r="AO487" s="62">
        <v>0</v>
      </c>
      <c r="AP487" s="62">
        <v>0</v>
      </c>
    </row>
    <row r="488" spans="2:42" x14ac:dyDescent="0.15">
      <c r="B488" s="43" t="s">
        <v>628</v>
      </c>
      <c r="C488" s="61">
        <f>VLOOKUP(B488,[1]SYS!$F$5:$G$359,2,FALSE)</f>
        <v>98</v>
      </c>
      <c r="D488" s="1" t="s">
        <v>24</v>
      </c>
      <c r="E488" s="65" t="s">
        <v>317</v>
      </c>
      <c r="F488" s="63" t="s">
        <v>501</v>
      </c>
      <c r="G488" s="1">
        <v>4</v>
      </c>
      <c r="H488" s="1">
        <f t="shared" si="70"/>
        <v>0.29831932773109243</v>
      </c>
      <c r="I488" s="1">
        <f t="shared" si="71"/>
        <v>0.23799999999999999</v>
      </c>
      <c r="J488" s="1">
        <f t="shared" si="69"/>
        <v>0</v>
      </c>
      <c r="K488" s="1">
        <f t="shared" si="72"/>
        <v>2.6054400000000002</v>
      </c>
      <c r="L488" s="1">
        <f t="shared" si="73"/>
        <v>2.1739099999999998</v>
      </c>
      <c r="M488" s="49">
        <f t="shared" si="112"/>
        <v>1.3304324153312772</v>
      </c>
      <c r="N488" s="49">
        <v>7.6160000000000005</v>
      </c>
      <c r="O488" s="1">
        <v>1009</v>
      </c>
      <c r="P488" s="51">
        <v>0</v>
      </c>
      <c r="Q488" s="51">
        <v>8</v>
      </c>
      <c r="R488" s="51">
        <v>1</v>
      </c>
      <c r="S488" s="1">
        <v>1</v>
      </c>
      <c r="T488" s="1">
        <v>1</v>
      </c>
      <c r="U488" s="47">
        <v>1</v>
      </c>
      <c r="V488" s="47">
        <v>362</v>
      </c>
      <c r="W488" s="41">
        <v>71</v>
      </c>
      <c r="X488">
        <v>238</v>
      </c>
      <c r="Y488">
        <v>1</v>
      </c>
      <c r="Z488">
        <v>2605.44</v>
      </c>
      <c r="AA488">
        <v>2173.91</v>
      </c>
      <c r="AB488">
        <v>761.6</v>
      </c>
      <c r="AC488">
        <v>46</v>
      </c>
      <c r="AD488" s="41">
        <f t="shared" si="74"/>
        <v>0.3300786047654139</v>
      </c>
      <c r="AE488" s="41">
        <f t="shared" si="75"/>
        <v>0.39560055384077536</v>
      </c>
      <c r="AF488">
        <f t="shared" si="76"/>
        <v>1.9904451497005984</v>
      </c>
      <c r="AG488">
        <f t="shared" si="77"/>
        <v>4.3664634371257532E-2</v>
      </c>
      <c r="AH488">
        <f t="shared" si="78"/>
        <v>7.6160000000000005</v>
      </c>
      <c r="AI488">
        <f>HLOOKUP(HLOOKUP(G488,'THP2'!$B$4:$J$8,5,FALSE),'Fuel &amp; Resister'!$B$3:$G$6,4,FALSE)</f>
        <v>2.8890399999999996</v>
      </c>
      <c r="AJ488" s="41">
        <f>HLOOKUP(HLOOKUP(G488,'THP2'!$B$4:$J$8,5,FALSE),'Fuel &amp; Resister'!$B$3:$G$6,3,FALSE)</f>
        <v>9.8420000000000005</v>
      </c>
      <c r="AO488" s="1">
        <v>1</v>
      </c>
      <c r="AP488" s="1">
        <v>1</v>
      </c>
    </row>
    <row r="489" spans="2:42" x14ac:dyDescent="0.15">
      <c r="B489" s="43" t="s">
        <v>628</v>
      </c>
      <c r="C489" s="61">
        <f>VLOOKUP(B489,[1]SYS!$F$5:$G$359,2,FALSE)</f>
        <v>98</v>
      </c>
      <c r="D489" s="1" t="s">
        <v>24</v>
      </c>
      <c r="E489" s="42" t="s">
        <v>318</v>
      </c>
      <c r="F489" s="63" t="s">
        <v>503</v>
      </c>
      <c r="G489" s="1">
        <v>4</v>
      </c>
      <c r="H489" s="1">
        <f t="shared" si="70"/>
        <v>0.29838709677419356</v>
      </c>
      <c r="I489" s="1">
        <f t="shared" si="71"/>
        <v>0.124</v>
      </c>
      <c r="J489" s="1">
        <f t="shared" si="69"/>
        <v>0</v>
      </c>
      <c r="K489" s="1">
        <f t="shared" si="72"/>
        <v>2.65381</v>
      </c>
      <c r="L489" s="1">
        <f t="shared" si="73"/>
        <v>2.21427</v>
      </c>
      <c r="M489" s="49">
        <f t="shared" si="112"/>
        <v>0.70603553789605666</v>
      </c>
      <c r="N489" s="49">
        <v>3.968</v>
      </c>
      <c r="O489" s="6">
        <v>309</v>
      </c>
      <c r="P489" s="51">
        <v>0</v>
      </c>
      <c r="Q489" s="51">
        <v>8</v>
      </c>
      <c r="R489" s="51">
        <v>1</v>
      </c>
      <c r="S489" s="62">
        <v>0</v>
      </c>
      <c r="T489" s="62">
        <v>0</v>
      </c>
      <c r="U489" s="93">
        <v>0</v>
      </c>
      <c r="V489" s="47">
        <v>363</v>
      </c>
      <c r="W489" s="41">
        <v>37</v>
      </c>
      <c r="X489">
        <v>124</v>
      </c>
      <c r="Y489">
        <v>1</v>
      </c>
      <c r="Z489">
        <v>2653.81</v>
      </c>
      <c r="AA489">
        <v>2214.27</v>
      </c>
      <c r="AB489">
        <v>396.8</v>
      </c>
      <c r="AC489">
        <v>46</v>
      </c>
      <c r="AD489" s="41">
        <f t="shared" si="74"/>
        <v>0.32406238577742946</v>
      </c>
      <c r="AE489" s="41">
        <f t="shared" si="75"/>
        <v>0.38838985308927998</v>
      </c>
      <c r="AF489">
        <f t="shared" si="76"/>
        <v>2.0273391954022988</v>
      </c>
      <c r="AG489">
        <f t="shared" si="77"/>
        <v>2.3179419770114944E-2</v>
      </c>
      <c r="AH489">
        <f t="shared" si="78"/>
        <v>3.968</v>
      </c>
      <c r="AI489">
        <f>HLOOKUP(HLOOKUP(G489,'THP2'!$B$4:$J$8,5,FALSE),'Fuel &amp; Resister'!$B$3:$G$6,4,FALSE)</f>
        <v>2.8890399999999996</v>
      </c>
      <c r="AJ489" s="41">
        <f>HLOOKUP(HLOOKUP(G489,'THP2'!$B$4:$J$8,5,FALSE),'Fuel &amp; Resister'!$B$3:$G$6,3,FALSE)</f>
        <v>9.8420000000000005</v>
      </c>
      <c r="AO489" s="62">
        <v>0</v>
      </c>
      <c r="AP489" s="62">
        <v>0</v>
      </c>
    </row>
    <row r="490" spans="2:42" x14ac:dyDescent="0.15">
      <c r="B490" s="43" t="s">
        <v>592</v>
      </c>
      <c r="C490" s="61">
        <f>VLOOKUP(B490,[1]SYS!$F$5:$G$359,2,FALSE)</f>
        <v>77</v>
      </c>
      <c r="D490" s="1" t="s">
        <v>24</v>
      </c>
      <c r="E490" s="65" t="s">
        <v>319</v>
      </c>
      <c r="F490" s="63" t="s">
        <v>504</v>
      </c>
      <c r="G490" s="1">
        <v>4</v>
      </c>
      <c r="H490" s="1">
        <f t="shared" si="70"/>
        <v>0.30275229357798167</v>
      </c>
      <c r="I490" s="1">
        <f t="shared" si="71"/>
        <v>0.109</v>
      </c>
      <c r="J490" s="1">
        <f t="shared" si="69"/>
        <v>0</v>
      </c>
      <c r="K490" s="1">
        <f t="shared" si="72"/>
        <v>2.7124000000000001</v>
      </c>
      <c r="L490" s="1">
        <f t="shared" si="73"/>
        <v>2.2631600000000001</v>
      </c>
      <c r="M490" s="49">
        <f t="shared" si="112"/>
        <v>0.63433117652401705</v>
      </c>
      <c r="N490" s="49">
        <v>3.488</v>
      </c>
      <c r="O490" s="6">
        <v>302</v>
      </c>
      <c r="P490" s="51">
        <v>0</v>
      </c>
      <c r="Q490" s="51">
        <v>8</v>
      </c>
      <c r="R490" s="51">
        <v>1</v>
      </c>
      <c r="S490" s="1">
        <v>1</v>
      </c>
      <c r="T490" s="1">
        <v>1</v>
      </c>
      <c r="U490" s="47">
        <v>1</v>
      </c>
      <c r="V490" s="47">
        <v>364</v>
      </c>
      <c r="W490" s="41">
        <v>33</v>
      </c>
      <c r="X490">
        <v>109</v>
      </c>
      <c r="Y490">
        <v>1</v>
      </c>
      <c r="Z490">
        <v>2712.4</v>
      </c>
      <c r="AA490">
        <v>2263.16</v>
      </c>
      <c r="AB490">
        <v>348.8</v>
      </c>
      <c r="AC490">
        <v>46</v>
      </c>
      <c r="AD490" s="41">
        <f t="shared" si="74"/>
        <v>0.31706238017991445</v>
      </c>
      <c r="AE490" s="41">
        <f t="shared" si="75"/>
        <v>0.37999964651195672</v>
      </c>
      <c r="AF490">
        <f t="shared" si="76"/>
        <v>2.0680952631578942</v>
      </c>
      <c r="AG490">
        <f t="shared" si="77"/>
        <v>2.1262056315789542E-2</v>
      </c>
      <c r="AH490">
        <f t="shared" si="78"/>
        <v>3.488</v>
      </c>
      <c r="AI490">
        <f>HLOOKUP(HLOOKUP(G490,'THP2'!$B$4:$J$8,5,FALSE),'Fuel &amp; Resister'!$B$3:$G$6,4,FALSE)</f>
        <v>2.8890399999999996</v>
      </c>
      <c r="AJ490" s="41">
        <f>HLOOKUP(HLOOKUP(G490,'THP2'!$B$4:$J$8,5,FALSE),'Fuel &amp; Resister'!$B$3:$G$6,3,FALSE)</f>
        <v>9.8420000000000005</v>
      </c>
      <c r="AO490" s="1">
        <v>1</v>
      </c>
      <c r="AP490" s="1">
        <v>1</v>
      </c>
    </row>
    <row r="491" spans="2:42" x14ac:dyDescent="0.15">
      <c r="B491" s="43" t="s">
        <v>628</v>
      </c>
      <c r="C491" s="61">
        <f>VLOOKUP(B491,[1]SYS!$F$5:$G$359,2,FALSE)</f>
        <v>98</v>
      </c>
      <c r="D491" s="1" t="s">
        <v>24</v>
      </c>
      <c r="E491" s="42" t="s">
        <v>320</v>
      </c>
      <c r="F491" s="63" t="s">
        <v>503</v>
      </c>
      <c r="G491" s="1">
        <v>4</v>
      </c>
      <c r="H491" s="1">
        <f t="shared" si="70"/>
        <v>0.29838709677419356</v>
      </c>
      <c r="I491" s="1">
        <f t="shared" si="71"/>
        <v>0.124</v>
      </c>
      <c r="J491" s="1">
        <f t="shared" si="69"/>
        <v>0</v>
      </c>
      <c r="K491" s="1">
        <f t="shared" si="72"/>
        <v>2.8344</v>
      </c>
      <c r="L491" s="1">
        <f t="shared" si="73"/>
        <v>2.3649499999999999</v>
      </c>
      <c r="M491" s="49">
        <f t="shared" si="112"/>
        <v>0.75408091395687038</v>
      </c>
      <c r="N491" s="49">
        <v>3.968</v>
      </c>
      <c r="O491" s="6">
        <v>302</v>
      </c>
      <c r="P491" s="51">
        <v>0</v>
      </c>
      <c r="Q491" s="51">
        <v>8</v>
      </c>
      <c r="R491" s="51">
        <v>1</v>
      </c>
      <c r="S491" s="62">
        <v>0</v>
      </c>
      <c r="T491" s="62">
        <v>0</v>
      </c>
      <c r="U491" s="93">
        <v>0</v>
      </c>
      <c r="V491" s="47">
        <v>365</v>
      </c>
      <c r="W491" s="41">
        <v>37</v>
      </c>
      <c r="X491">
        <v>124</v>
      </c>
      <c r="Y491">
        <v>1</v>
      </c>
      <c r="Z491">
        <v>2834.4</v>
      </c>
      <c r="AA491">
        <v>2364.9499999999998</v>
      </c>
      <c r="AB491">
        <v>396.8</v>
      </c>
      <c r="AC491">
        <v>46</v>
      </c>
      <c r="AD491" s="41">
        <f t="shared" si="74"/>
        <v>0.30341518487157776</v>
      </c>
      <c r="AE491" s="41">
        <f t="shared" si="75"/>
        <v>0.36364405167128272</v>
      </c>
      <c r="AF491">
        <f t="shared" si="76"/>
        <v>2.1652988505747124</v>
      </c>
      <c r="AG491">
        <f t="shared" si="77"/>
        <v>2.4756742528735651E-2</v>
      </c>
      <c r="AH491">
        <f t="shared" si="78"/>
        <v>3.968</v>
      </c>
      <c r="AI491">
        <f>HLOOKUP(HLOOKUP(G491,'THP2'!$B$4:$J$8,5,FALSE),'Fuel &amp; Resister'!$B$3:$G$6,4,FALSE)</f>
        <v>2.8890399999999996</v>
      </c>
      <c r="AJ491" s="41">
        <f>HLOOKUP(HLOOKUP(G491,'THP2'!$B$4:$J$8,5,FALSE),'Fuel &amp; Resister'!$B$3:$G$6,3,FALSE)</f>
        <v>9.8420000000000005</v>
      </c>
      <c r="AO491" s="62">
        <v>0</v>
      </c>
      <c r="AP491" s="62">
        <v>0</v>
      </c>
    </row>
    <row r="492" spans="2:42" x14ac:dyDescent="0.15">
      <c r="B492" s="43" t="s">
        <v>596</v>
      </c>
      <c r="C492" s="61">
        <f>VLOOKUP(B492,[1]SYS!$F$5:$G$359,2,FALSE)</f>
        <v>155</v>
      </c>
      <c r="D492" s="1" t="s">
        <v>24</v>
      </c>
      <c r="E492" s="65" t="s">
        <v>381</v>
      </c>
      <c r="F492" s="63" t="s">
        <v>382</v>
      </c>
      <c r="G492" s="1">
        <v>4</v>
      </c>
      <c r="H492" s="1">
        <f t="shared" si="70"/>
        <v>0.3</v>
      </c>
      <c r="I492" s="1">
        <f t="shared" si="71"/>
        <v>0.2</v>
      </c>
      <c r="J492" s="1">
        <f t="shared" si="69"/>
        <v>0</v>
      </c>
      <c r="K492" s="1">
        <f t="shared" si="72"/>
        <v>2.9515599999999997</v>
      </c>
      <c r="L492" s="1">
        <f t="shared" si="73"/>
        <v>2.46271</v>
      </c>
      <c r="M492" s="49">
        <f t="shared" si="112"/>
        <v>1.266536090997439</v>
      </c>
      <c r="N492" s="49">
        <v>6.4</v>
      </c>
      <c r="O492" s="1">
        <v>1108</v>
      </c>
      <c r="P492" s="51">
        <v>0</v>
      </c>
      <c r="Q492" s="51">
        <v>8</v>
      </c>
      <c r="R492" s="51">
        <v>1</v>
      </c>
      <c r="S492" s="1">
        <v>1</v>
      </c>
      <c r="T492" s="1">
        <v>1</v>
      </c>
      <c r="U492" s="47">
        <v>1</v>
      </c>
      <c r="V492" s="47">
        <v>366</v>
      </c>
      <c r="W492" s="41">
        <v>60</v>
      </c>
      <c r="X492">
        <v>200</v>
      </c>
      <c r="Y492">
        <v>1</v>
      </c>
      <c r="Z492">
        <v>2951.56</v>
      </c>
      <c r="AA492">
        <v>2462.71</v>
      </c>
      <c r="AB492">
        <v>640</v>
      </c>
      <c r="AC492">
        <v>46</v>
      </c>
      <c r="AD492" s="41">
        <f t="shared" si="74"/>
        <v>0.29137134261204245</v>
      </c>
      <c r="AE492" s="41">
        <f t="shared" si="75"/>
        <v>0.34920879843749364</v>
      </c>
      <c r="AF492">
        <f t="shared" si="76"/>
        <v>2.2532028571428575</v>
      </c>
      <c r="AG492">
        <f t="shared" si="77"/>
        <v>4.1901428571428492E-2</v>
      </c>
      <c r="AH492">
        <f t="shared" si="78"/>
        <v>6.4</v>
      </c>
      <c r="AI492">
        <f>HLOOKUP(HLOOKUP(G492,'THP2'!$B$4:$J$8,5,FALSE),'Fuel &amp; Resister'!$B$3:$G$6,4,FALSE)</f>
        <v>2.8890399999999996</v>
      </c>
      <c r="AJ492" s="41">
        <f>HLOOKUP(HLOOKUP(G492,'THP2'!$B$4:$J$8,5,FALSE),'Fuel &amp; Resister'!$B$3:$G$6,3,FALSE)</f>
        <v>9.8420000000000005</v>
      </c>
      <c r="AO492" s="1">
        <v>1</v>
      </c>
      <c r="AP492" s="1">
        <v>1</v>
      </c>
    </row>
    <row r="493" spans="2:42" x14ac:dyDescent="0.15">
      <c r="B493" s="43" t="s">
        <v>654</v>
      </c>
      <c r="C493" s="61">
        <f>VLOOKUP(B493,[1]SYS!$F$5:$G$359,2,FALSE)</f>
        <v>175</v>
      </c>
      <c r="D493" s="1" t="s">
        <v>24</v>
      </c>
      <c r="E493" s="65" t="s">
        <v>383</v>
      </c>
      <c r="F493" s="63" t="s">
        <v>384</v>
      </c>
      <c r="G493" s="1">
        <v>4</v>
      </c>
      <c r="H493" s="1">
        <f t="shared" si="70"/>
        <v>0.30088495575221241</v>
      </c>
      <c r="I493" s="1">
        <f t="shared" si="71"/>
        <v>0.22600000000000001</v>
      </c>
      <c r="J493" s="1">
        <f t="shared" si="69"/>
        <v>0</v>
      </c>
      <c r="K493" s="1">
        <f t="shared" si="72"/>
        <v>2.9515599999999997</v>
      </c>
      <c r="L493" s="1">
        <f t="shared" si="73"/>
        <v>2.46271</v>
      </c>
      <c r="M493" s="49">
        <f t="shared" si="112"/>
        <v>1.4311857828271064</v>
      </c>
      <c r="N493" s="49">
        <v>7.2320000000000002</v>
      </c>
      <c r="O493" s="1">
        <v>206</v>
      </c>
      <c r="P493" s="51">
        <v>0</v>
      </c>
      <c r="Q493" s="51">
        <v>8</v>
      </c>
      <c r="R493" s="51">
        <v>1</v>
      </c>
      <c r="S493" s="1">
        <v>1</v>
      </c>
      <c r="T493" s="1">
        <v>1</v>
      </c>
      <c r="U493" s="47">
        <v>1</v>
      </c>
      <c r="V493" s="47">
        <v>367</v>
      </c>
      <c r="W493" s="41">
        <v>68</v>
      </c>
      <c r="X493">
        <v>226</v>
      </c>
      <c r="Y493">
        <v>1</v>
      </c>
      <c r="Z493">
        <v>2951.56</v>
      </c>
      <c r="AA493">
        <v>2462.71</v>
      </c>
      <c r="AB493">
        <v>723.2</v>
      </c>
      <c r="AC493">
        <v>46</v>
      </c>
      <c r="AD493" s="41">
        <f t="shared" si="74"/>
        <v>0.29137134261204245</v>
      </c>
      <c r="AE493" s="41">
        <f t="shared" si="75"/>
        <v>0.34920879843749364</v>
      </c>
      <c r="AF493">
        <f t="shared" si="76"/>
        <v>2.2523188607594937</v>
      </c>
      <c r="AG493">
        <f t="shared" si="77"/>
        <v>4.754839746835441E-2</v>
      </c>
      <c r="AH493">
        <f t="shared" si="78"/>
        <v>7.2320000000000002</v>
      </c>
      <c r="AI493">
        <f>HLOOKUP(HLOOKUP(G493,'THP2'!$B$4:$J$8,5,FALSE),'Fuel &amp; Resister'!$B$3:$G$6,4,FALSE)</f>
        <v>2.8890399999999996</v>
      </c>
      <c r="AJ493" s="41">
        <f>HLOOKUP(HLOOKUP(G493,'THP2'!$B$4:$J$8,5,FALSE),'Fuel &amp; Resister'!$B$3:$G$6,3,FALSE)</f>
        <v>9.8420000000000005</v>
      </c>
      <c r="AO493" s="1">
        <v>1</v>
      </c>
      <c r="AP493" s="1">
        <v>1</v>
      </c>
    </row>
    <row r="494" spans="2:42" x14ac:dyDescent="0.15">
      <c r="B494" s="43" t="s">
        <v>636</v>
      </c>
      <c r="C494" s="61">
        <f>VLOOKUP(B494,[1]SYS!$F$5:$G$359,2,FALSE)</f>
        <v>225</v>
      </c>
      <c r="D494" s="1" t="s">
        <v>24</v>
      </c>
      <c r="E494" s="65" t="s">
        <v>321</v>
      </c>
      <c r="F494" s="42"/>
      <c r="G494" s="1">
        <v>4</v>
      </c>
      <c r="H494" s="1">
        <f t="shared" si="70"/>
        <v>0.30303030303030304</v>
      </c>
      <c r="I494" s="1">
        <f t="shared" si="71"/>
        <v>0.13200000000000001</v>
      </c>
      <c r="J494" s="1">
        <f t="shared" si="69"/>
        <v>0</v>
      </c>
      <c r="K494" s="1">
        <f t="shared" si="72"/>
        <v>2.6813500000000001</v>
      </c>
      <c r="L494" s="1">
        <f t="shared" si="73"/>
        <v>2.23725</v>
      </c>
      <c r="M494" s="49">
        <f t="shared" si="112"/>
        <v>0.75938628337297276</v>
      </c>
      <c r="N494" s="49">
        <v>4.2240000000000002</v>
      </c>
      <c r="O494" s="1">
        <v>200</v>
      </c>
      <c r="P494" s="51">
        <v>0</v>
      </c>
      <c r="Q494" s="51">
        <v>8</v>
      </c>
      <c r="R494" s="51">
        <v>1</v>
      </c>
      <c r="S494" s="1">
        <v>1</v>
      </c>
      <c r="T494" s="1">
        <v>1</v>
      </c>
      <c r="U494" s="47">
        <v>1</v>
      </c>
      <c r="V494" s="47">
        <v>368</v>
      </c>
      <c r="W494" s="41">
        <v>40</v>
      </c>
      <c r="X494">
        <v>132</v>
      </c>
      <c r="Y494">
        <v>1</v>
      </c>
      <c r="Z494">
        <v>2681.35</v>
      </c>
      <c r="AA494">
        <v>2237.25</v>
      </c>
      <c r="AB494">
        <v>422.4</v>
      </c>
      <c r="AC494">
        <v>46</v>
      </c>
      <c r="AD494" s="41">
        <f t="shared" si="74"/>
        <v>0.32073395864023724</v>
      </c>
      <c r="AE494" s="41">
        <f t="shared" si="75"/>
        <v>0.38440049167504753</v>
      </c>
      <c r="AF494">
        <f t="shared" si="76"/>
        <v>2.0441630434782607</v>
      </c>
      <c r="AG494">
        <f t="shared" si="77"/>
        <v>2.548747826086958E-2</v>
      </c>
      <c r="AH494">
        <f t="shared" si="78"/>
        <v>4.2240000000000002</v>
      </c>
      <c r="AI494">
        <f>HLOOKUP(HLOOKUP(G494,'THP2'!$B$4:$J$8,5,FALSE),'Fuel &amp; Resister'!$B$3:$G$6,4,FALSE)</f>
        <v>2.8890399999999996</v>
      </c>
      <c r="AJ494" s="41">
        <f>HLOOKUP(HLOOKUP(G494,'THP2'!$B$4:$J$8,5,FALSE),'Fuel &amp; Resister'!$B$3:$G$6,3,FALSE)</f>
        <v>9.8420000000000005</v>
      </c>
      <c r="AO494" s="1">
        <v>1</v>
      </c>
      <c r="AP494" s="1">
        <v>1</v>
      </c>
    </row>
    <row r="495" spans="2:42" x14ac:dyDescent="0.15">
      <c r="B495" s="43" t="s">
        <v>636</v>
      </c>
      <c r="C495" s="61">
        <f>VLOOKUP(B495,[1]SYS!$F$5:$G$359,2,FALSE)</f>
        <v>225</v>
      </c>
      <c r="D495" s="1" t="s">
        <v>24</v>
      </c>
      <c r="E495" s="42" t="s">
        <v>322</v>
      </c>
      <c r="F495" s="42"/>
      <c r="G495" s="1">
        <v>4</v>
      </c>
      <c r="H495" s="1">
        <f t="shared" si="70"/>
        <v>0.30909090909090908</v>
      </c>
      <c r="I495" s="1">
        <f t="shared" si="71"/>
        <v>5.5E-2</v>
      </c>
      <c r="J495" s="1">
        <f t="shared" si="69"/>
        <v>0</v>
      </c>
      <c r="K495" s="1">
        <f t="shared" si="72"/>
        <v>2.6841399999999997</v>
      </c>
      <c r="L495" s="1">
        <f t="shared" si="73"/>
        <v>2.2395800000000001</v>
      </c>
      <c r="M495" s="49">
        <f t="shared" si="112"/>
        <v>0.31674047985183501</v>
      </c>
      <c r="N495" s="49">
        <v>1.76</v>
      </c>
      <c r="O495" s="1">
        <v>908</v>
      </c>
      <c r="P495" s="51">
        <v>0</v>
      </c>
      <c r="Q495" s="51">
        <v>8</v>
      </c>
      <c r="R495" s="51">
        <v>1</v>
      </c>
      <c r="S495" s="62">
        <v>0</v>
      </c>
      <c r="T495" s="62">
        <v>0</v>
      </c>
      <c r="U495" s="93">
        <v>0</v>
      </c>
      <c r="V495" s="47">
        <v>369</v>
      </c>
      <c r="W495" s="41">
        <v>17</v>
      </c>
      <c r="X495">
        <v>55</v>
      </c>
      <c r="Y495">
        <v>1</v>
      </c>
      <c r="Z495">
        <v>2684.14</v>
      </c>
      <c r="AA495">
        <v>2239.58</v>
      </c>
      <c r="AB495">
        <v>176</v>
      </c>
      <c r="AC495">
        <v>146</v>
      </c>
      <c r="AD495" s="41">
        <f t="shared" si="74"/>
        <v>0.32040057523080023</v>
      </c>
      <c r="AE495" s="41">
        <f t="shared" si="75"/>
        <v>0.38400057153573441</v>
      </c>
      <c r="AF495">
        <f t="shared" si="76"/>
        <v>2.0406978947368422</v>
      </c>
      <c r="AG495">
        <f t="shared" si="77"/>
        <v>1.0938515789473689E-2</v>
      </c>
      <c r="AH495">
        <f t="shared" si="78"/>
        <v>1.76</v>
      </c>
      <c r="AI495">
        <f>HLOOKUP(HLOOKUP(G495,'THP2'!$B$4:$J$8,5,FALSE),'Fuel &amp; Resister'!$B$3:$G$6,4,FALSE)</f>
        <v>2.8890399999999996</v>
      </c>
      <c r="AJ495" s="41">
        <f>HLOOKUP(HLOOKUP(G495,'THP2'!$B$4:$J$8,5,FALSE),'Fuel &amp; Resister'!$B$3:$G$6,3,FALSE)</f>
        <v>9.8420000000000005</v>
      </c>
      <c r="AO495" s="62">
        <v>0</v>
      </c>
      <c r="AP495" s="62">
        <v>0</v>
      </c>
    </row>
    <row r="496" spans="2:42" x14ac:dyDescent="0.15">
      <c r="B496" s="43" t="s">
        <v>636</v>
      </c>
      <c r="C496" s="61">
        <f>VLOOKUP(B496,[1]SYS!$F$5:$G$359,2,FALSE)</f>
        <v>225</v>
      </c>
      <c r="D496" s="1" t="s">
        <v>24</v>
      </c>
      <c r="E496" s="65" t="s">
        <v>323</v>
      </c>
      <c r="F496" s="42"/>
      <c r="G496" s="1">
        <v>4</v>
      </c>
      <c r="H496" s="1">
        <f t="shared" si="70"/>
        <v>0.33333333333333331</v>
      </c>
      <c r="I496" s="1">
        <f t="shared" si="71"/>
        <v>1.4999999999999999E-2</v>
      </c>
      <c r="J496" s="1">
        <f t="shared" si="69"/>
        <v>5.0000000000000044E-2</v>
      </c>
      <c r="K496" s="1">
        <f t="shared" si="72"/>
        <v>2.7721</v>
      </c>
      <c r="L496" s="1">
        <f t="shared" si="73"/>
        <v>2.3822700000000001</v>
      </c>
      <c r="M496" s="49">
        <f t="shared" si="112"/>
        <v>9.1887522287453768E-2</v>
      </c>
      <c r="N496" s="49">
        <v>0.48</v>
      </c>
      <c r="O496" s="1">
        <v>213</v>
      </c>
      <c r="P496" s="51">
        <v>0</v>
      </c>
      <c r="Q496" s="51">
        <v>8</v>
      </c>
      <c r="R496" s="51">
        <v>1</v>
      </c>
      <c r="S496" s="1">
        <v>1</v>
      </c>
      <c r="T496" s="1">
        <v>1</v>
      </c>
      <c r="U496" s="47">
        <v>1</v>
      </c>
      <c r="V496" s="47">
        <v>370</v>
      </c>
      <c r="W496" s="41">
        <v>5</v>
      </c>
      <c r="X496">
        <v>15</v>
      </c>
      <c r="Y496">
        <v>0.95</v>
      </c>
      <c r="Z496">
        <v>2772.1</v>
      </c>
      <c r="AA496">
        <v>2382.27</v>
      </c>
      <c r="AB496">
        <v>48</v>
      </c>
      <c r="AC496">
        <v>46</v>
      </c>
      <c r="AD496" s="41">
        <f t="shared" si="74"/>
        <v>0.31023411853829225</v>
      </c>
      <c r="AE496" s="41">
        <f t="shared" si="75"/>
        <v>0.36100022247688129</v>
      </c>
      <c r="AF496">
        <f t="shared" si="76"/>
        <v>2.1873550000000002</v>
      </c>
      <c r="AG496">
        <f t="shared" si="77"/>
        <v>2.923724999999999E-3</v>
      </c>
      <c r="AH496">
        <f t="shared" si="78"/>
        <v>0.48</v>
      </c>
      <c r="AI496">
        <f>HLOOKUP(HLOOKUP(G496,'THP2'!$B$4:$J$8,5,FALSE),'Fuel &amp; Resister'!$B$3:$G$6,4,FALSE)</f>
        <v>2.8890399999999996</v>
      </c>
      <c r="AJ496" s="41">
        <f>HLOOKUP(HLOOKUP(G496,'THP2'!$B$4:$J$8,5,FALSE),'Fuel &amp; Resister'!$B$3:$G$6,3,FALSE)</f>
        <v>9.8420000000000005</v>
      </c>
      <c r="AO496" s="1">
        <v>1</v>
      </c>
      <c r="AP496" s="1">
        <v>1</v>
      </c>
    </row>
    <row r="497" spans="1:42" x14ac:dyDescent="0.15">
      <c r="B497" s="43" t="s">
        <v>636</v>
      </c>
      <c r="C497" s="61">
        <f>VLOOKUP(B497,[1]SYS!$F$5:$G$359,2,FALSE)</f>
        <v>225</v>
      </c>
      <c r="D497" s="1" t="s">
        <v>24</v>
      </c>
      <c r="E497" s="42" t="s">
        <v>324</v>
      </c>
      <c r="F497" s="42"/>
      <c r="G497" s="1">
        <v>4</v>
      </c>
      <c r="H497" s="1">
        <f t="shared" si="70"/>
        <v>0.31428571428571428</v>
      </c>
      <c r="I497" s="1">
        <f t="shared" si="71"/>
        <v>3.5000000000000003E-2</v>
      </c>
      <c r="J497" s="1">
        <f t="shared" si="69"/>
        <v>0</v>
      </c>
      <c r="K497" s="1">
        <f t="shared" si="72"/>
        <v>2.94489</v>
      </c>
      <c r="L497" s="1">
        <f t="shared" si="73"/>
        <v>2.4571399999999999</v>
      </c>
      <c r="M497" s="49">
        <f t="shared" si="112"/>
        <v>0.22114251611470837</v>
      </c>
      <c r="N497" s="49">
        <v>1.1200000000000001</v>
      </c>
      <c r="O497" s="1">
        <v>206</v>
      </c>
      <c r="P497" s="51">
        <v>0</v>
      </c>
      <c r="Q497" s="51">
        <v>8</v>
      </c>
      <c r="R497" s="51">
        <v>1</v>
      </c>
      <c r="S497" s="62">
        <v>0</v>
      </c>
      <c r="T497" s="62">
        <v>0</v>
      </c>
      <c r="U497" s="93">
        <v>0</v>
      </c>
      <c r="V497" s="47">
        <v>371</v>
      </c>
      <c r="W497" s="41">
        <v>11</v>
      </c>
      <c r="X497">
        <v>35</v>
      </c>
      <c r="Y497">
        <v>1</v>
      </c>
      <c r="Z497">
        <v>2944.89</v>
      </c>
      <c r="AA497">
        <v>2457.14</v>
      </c>
      <c r="AB497">
        <v>112</v>
      </c>
      <c r="AC497">
        <v>46</v>
      </c>
      <c r="AD497" s="41">
        <f t="shared" si="74"/>
        <v>0.29203128130422529</v>
      </c>
      <c r="AE497" s="41">
        <f t="shared" si="75"/>
        <v>0.35000040697721746</v>
      </c>
      <c r="AF497">
        <f t="shared" si="76"/>
        <v>2.2335879166666661</v>
      </c>
      <c r="AG497">
        <f t="shared" si="77"/>
        <v>7.8243229166666817E-3</v>
      </c>
      <c r="AH497">
        <f t="shared" si="78"/>
        <v>1.1200000000000001</v>
      </c>
      <c r="AI497">
        <f>HLOOKUP(HLOOKUP(G497,'THP2'!$B$4:$J$8,5,FALSE),'Fuel &amp; Resister'!$B$3:$G$6,4,FALSE)</f>
        <v>2.8890399999999996</v>
      </c>
      <c r="AJ497" s="41">
        <f>HLOOKUP(HLOOKUP(G497,'THP2'!$B$4:$J$8,5,FALSE),'Fuel &amp; Resister'!$B$3:$G$6,3,FALSE)</f>
        <v>9.8420000000000005</v>
      </c>
      <c r="AO497" s="62">
        <v>0</v>
      </c>
      <c r="AP497" s="62">
        <v>0</v>
      </c>
    </row>
    <row r="498" spans="1:42" x14ac:dyDescent="0.15">
      <c r="B498" s="43" t="s">
        <v>635</v>
      </c>
      <c r="C498" s="61">
        <f>VLOOKUP(B498,[1]SYS!$F$5:$G$359,2,FALSE)</f>
        <v>247</v>
      </c>
      <c r="D498" s="1" t="s">
        <v>24</v>
      </c>
      <c r="E498" s="42" t="s">
        <v>325</v>
      </c>
      <c r="F498" s="63" t="s">
        <v>506</v>
      </c>
      <c r="G498" s="1">
        <v>4</v>
      </c>
      <c r="H498" s="1">
        <f t="shared" si="70"/>
        <v>0.3</v>
      </c>
      <c r="I498" s="1">
        <f t="shared" si="71"/>
        <v>0.02</v>
      </c>
      <c r="J498" s="1">
        <f t="shared" si="69"/>
        <v>5.0000000000000044E-2</v>
      </c>
      <c r="K498" s="1">
        <f t="shared" si="72"/>
        <v>3.2209699999999999</v>
      </c>
      <c r="L498" s="1">
        <f t="shared" si="73"/>
        <v>2.6875</v>
      </c>
      <c r="M498" s="49">
        <f t="shared" si="112"/>
        <v>0.13821423328591745</v>
      </c>
      <c r="N498" s="49">
        <v>0.64</v>
      </c>
      <c r="O498" s="1">
        <v>509</v>
      </c>
      <c r="P498" s="51">
        <v>0</v>
      </c>
      <c r="Q498" s="51">
        <v>8</v>
      </c>
      <c r="R498" s="51">
        <v>1</v>
      </c>
      <c r="S498" s="62">
        <v>0</v>
      </c>
      <c r="T498" s="62">
        <v>0</v>
      </c>
      <c r="U498" s="93">
        <v>0</v>
      </c>
      <c r="V498" s="47">
        <v>372</v>
      </c>
      <c r="W498" s="41">
        <v>6</v>
      </c>
      <c r="X498">
        <v>20</v>
      </c>
      <c r="Y498">
        <v>0.95</v>
      </c>
      <c r="Z498">
        <v>3220.97</v>
      </c>
      <c r="AA498">
        <v>2687.5</v>
      </c>
      <c r="AB498">
        <v>64</v>
      </c>
      <c r="AC498">
        <v>46</v>
      </c>
      <c r="AD498" s="41">
        <f t="shared" si="74"/>
        <v>0.26700031357013571</v>
      </c>
      <c r="AE498" s="41">
        <f t="shared" si="75"/>
        <v>0.32</v>
      </c>
      <c r="AF498">
        <f t="shared" si="76"/>
        <v>2.4588700000000001</v>
      </c>
      <c r="AG498">
        <f t="shared" si="77"/>
        <v>4.5725999999999978E-3</v>
      </c>
      <c r="AH498">
        <f t="shared" si="78"/>
        <v>0.64</v>
      </c>
      <c r="AI498">
        <f>HLOOKUP(HLOOKUP(G498,'THP2'!$B$4:$J$8,5,FALSE),'Fuel &amp; Resister'!$B$3:$G$6,4,FALSE)</f>
        <v>2.8890399999999996</v>
      </c>
      <c r="AJ498" s="41">
        <f>HLOOKUP(HLOOKUP(G498,'THP2'!$B$4:$J$8,5,FALSE),'Fuel &amp; Resister'!$B$3:$G$6,3,FALSE)</f>
        <v>9.8420000000000005</v>
      </c>
      <c r="AO498" s="62">
        <v>0</v>
      </c>
      <c r="AP498" s="62">
        <v>0</v>
      </c>
    </row>
    <row r="499" spans="1:42" x14ac:dyDescent="0.15">
      <c r="B499" s="43" t="s">
        <v>635</v>
      </c>
      <c r="C499" s="61">
        <f>VLOOKUP(B499,[1]SYS!$F$5:$G$359,2,FALSE)</f>
        <v>247</v>
      </c>
      <c r="D499" s="1" t="s">
        <v>24</v>
      </c>
      <c r="E499" s="42" t="s">
        <v>326</v>
      </c>
      <c r="F499" s="63" t="s">
        <v>506</v>
      </c>
      <c r="G499" s="1">
        <v>4</v>
      </c>
      <c r="H499" s="1">
        <f t="shared" si="70"/>
        <v>0.3</v>
      </c>
      <c r="I499" s="1">
        <f t="shared" si="71"/>
        <v>0.02</v>
      </c>
      <c r="J499" s="1">
        <f t="shared" si="69"/>
        <v>5.0000000000000044E-2</v>
      </c>
      <c r="K499" s="1">
        <f t="shared" si="72"/>
        <v>3.2209699999999999</v>
      </c>
      <c r="L499" s="1">
        <f t="shared" si="73"/>
        <v>2.6875</v>
      </c>
      <c r="M499" s="49">
        <f t="shared" si="112"/>
        <v>0.13821423328591745</v>
      </c>
      <c r="N499" s="49">
        <v>0.64</v>
      </c>
      <c r="O499" s="1">
        <v>213</v>
      </c>
      <c r="P499" s="51">
        <v>0</v>
      </c>
      <c r="Q499" s="51">
        <v>8</v>
      </c>
      <c r="R499" s="51">
        <v>1</v>
      </c>
      <c r="S499" s="62">
        <v>0</v>
      </c>
      <c r="T499" s="62">
        <v>0</v>
      </c>
      <c r="U499" s="93">
        <v>0</v>
      </c>
      <c r="V499" s="47">
        <v>373</v>
      </c>
      <c r="W499" s="41">
        <v>6</v>
      </c>
      <c r="X499">
        <v>20</v>
      </c>
      <c r="Y499">
        <v>0.95</v>
      </c>
      <c r="Z499">
        <v>3220.97</v>
      </c>
      <c r="AA499">
        <v>2687.5</v>
      </c>
      <c r="AB499">
        <v>64</v>
      </c>
      <c r="AC499">
        <v>46</v>
      </c>
      <c r="AD499" s="41">
        <f t="shared" si="74"/>
        <v>0.26700031357013571</v>
      </c>
      <c r="AE499" s="41">
        <f t="shared" si="75"/>
        <v>0.32</v>
      </c>
      <c r="AF499">
        <f t="shared" si="76"/>
        <v>2.4588700000000001</v>
      </c>
      <c r="AG499">
        <f t="shared" si="77"/>
        <v>4.5725999999999978E-3</v>
      </c>
      <c r="AH499">
        <f t="shared" si="78"/>
        <v>0.64</v>
      </c>
      <c r="AI499">
        <f>HLOOKUP(HLOOKUP(G499,'THP2'!$B$4:$J$8,5,FALSE),'Fuel &amp; Resister'!$B$3:$G$6,4,FALSE)</f>
        <v>2.8890399999999996</v>
      </c>
      <c r="AJ499" s="41">
        <f>HLOOKUP(HLOOKUP(G499,'THP2'!$B$4:$J$8,5,FALSE),'Fuel &amp; Resister'!$B$3:$G$6,3,FALSE)</f>
        <v>9.8420000000000005</v>
      </c>
      <c r="AO499" s="62">
        <v>0</v>
      </c>
      <c r="AP499" s="62">
        <v>0</v>
      </c>
    </row>
    <row r="500" spans="1:42" x14ac:dyDescent="0.15">
      <c r="B500" s="43" t="s">
        <v>612</v>
      </c>
      <c r="C500" s="61">
        <f>VLOOKUP(B500,[1]SYS!$F$5:$G$359,2,FALSE)</f>
        <v>290</v>
      </c>
      <c r="D500" s="1" t="s">
        <v>24</v>
      </c>
      <c r="E500" s="42" t="s">
        <v>327</v>
      </c>
      <c r="F500" s="63" t="s">
        <v>453</v>
      </c>
      <c r="G500" s="1">
        <v>4</v>
      </c>
      <c r="H500" s="1">
        <f t="shared" si="70"/>
        <v>0.30344827586206896</v>
      </c>
      <c r="I500" s="1">
        <f t="shared" si="71"/>
        <v>0.14499999999999999</v>
      </c>
      <c r="J500" s="1">
        <f t="shared" si="69"/>
        <v>2.9499999999999971E-2</v>
      </c>
      <c r="K500" s="1">
        <f t="shared" si="72"/>
        <v>2.4326300000000001</v>
      </c>
      <c r="L500" s="1">
        <f t="shared" si="73"/>
        <v>2.0297200000000002</v>
      </c>
      <c r="M500" s="49">
        <f t="shared" si="112"/>
        <v>0.75679531292722602</v>
      </c>
      <c r="N500" s="49">
        <v>4.6399999999999997</v>
      </c>
      <c r="O500" s="1">
        <v>608</v>
      </c>
      <c r="P500" s="51">
        <v>0</v>
      </c>
      <c r="Q500" s="51">
        <v>8</v>
      </c>
      <c r="R500" s="51">
        <v>1</v>
      </c>
      <c r="S500" s="62">
        <v>0</v>
      </c>
      <c r="T500" s="62">
        <v>0</v>
      </c>
      <c r="U500" s="93">
        <v>0</v>
      </c>
      <c r="V500" s="47">
        <v>374</v>
      </c>
      <c r="W500" s="41">
        <v>44</v>
      </c>
      <c r="X500">
        <v>145</v>
      </c>
      <c r="Y500">
        <v>0.97050000000000003</v>
      </c>
      <c r="Z500">
        <v>2432.63</v>
      </c>
      <c r="AA500">
        <v>2029.72</v>
      </c>
      <c r="AB500">
        <v>464</v>
      </c>
      <c r="AC500">
        <v>46</v>
      </c>
      <c r="AD500" s="41">
        <f t="shared" si="74"/>
        <v>0.35352684131988832</v>
      </c>
      <c r="AE500" s="41">
        <f t="shared" si="75"/>
        <v>0.42370376209526439</v>
      </c>
      <c r="AF500">
        <f t="shared" si="76"/>
        <v>1.8541948514851487</v>
      </c>
      <c r="AG500">
        <f t="shared" si="77"/>
        <v>2.5451146534653461E-2</v>
      </c>
      <c r="AH500">
        <f t="shared" si="78"/>
        <v>4.6399999999999997</v>
      </c>
      <c r="AI500">
        <f>HLOOKUP(HLOOKUP(G500,'THP2'!$B$4:$J$8,5,FALSE),'Fuel &amp; Resister'!$B$3:$G$6,4,FALSE)</f>
        <v>2.8890399999999996</v>
      </c>
      <c r="AJ500" s="41">
        <f>HLOOKUP(HLOOKUP(G500,'THP2'!$B$4:$J$8,5,FALSE),'Fuel &amp; Resister'!$B$3:$G$6,3,FALSE)</f>
        <v>9.8420000000000005</v>
      </c>
      <c r="AO500" s="62">
        <v>0</v>
      </c>
      <c r="AP500" s="62">
        <v>0</v>
      </c>
    </row>
    <row r="501" spans="1:42" x14ac:dyDescent="0.15">
      <c r="B501" s="43" t="s">
        <v>643</v>
      </c>
      <c r="C501" s="61">
        <f>VLOOKUP(B501,[1]SYS!$F$5:$G$359,2,FALSE)</f>
        <v>289</v>
      </c>
      <c r="D501" s="1" t="s">
        <v>24</v>
      </c>
      <c r="E501" s="42" t="s">
        <v>328</v>
      </c>
      <c r="F501" s="63" t="s">
        <v>452</v>
      </c>
      <c r="G501" s="1">
        <v>4</v>
      </c>
      <c r="H501" s="1">
        <f t="shared" si="70"/>
        <v>0.30344827586206896</v>
      </c>
      <c r="I501" s="1">
        <f t="shared" si="71"/>
        <v>0.14499999999999999</v>
      </c>
      <c r="J501" s="1">
        <f t="shared" si="69"/>
        <v>2.5299999999999989E-2</v>
      </c>
      <c r="K501" s="1">
        <f t="shared" si="72"/>
        <v>2.48258</v>
      </c>
      <c r="L501" s="1">
        <f t="shared" si="73"/>
        <v>2.0714000000000001</v>
      </c>
      <c r="M501" s="49">
        <f t="shared" si="112"/>
        <v>0.77233599274651465</v>
      </c>
      <c r="N501" s="49">
        <v>4.6399999999999997</v>
      </c>
      <c r="O501" s="1">
        <v>1101</v>
      </c>
      <c r="P501" s="51">
        <v>0</v>
      </c>
      <c r="Q501" s="51">
        <v>8</v>
      </c>
      <c r="R501" s="51">
        <v>1</v>
      </c>
      <c r="S501" s="62">
        <v>0</v>
      </c>
      <c r="T501" s="62">
        <v>0</v>
      </c>
      <c r="U501" s="93">
        <v>0</v>
      </c>
      <c r="V501" s="47">
        <v>375</v>
      </c>
      <c r="W501" s="41">
        <v>44</v>
      </c>
      <c r="X501">
        <v>145</v>
      </c>
      <c r="Y501">
        <v>0.97470000000000001</v>
      </c>
      <c r="Z501">
        <v>2482.58</v>
      </c>
      <c r="AA501">
        <v>2071.4</v>
      </c>
      <c r="AB501">
        <v>464</v>
      </c>
      <c r="AC501">
        <v>46</v>
      </c>
      <c r="AD501" s="41">
        <f t="shared" si="74"/>
        <v>0.34641381143810068</v>
      </c>
      <c r="AE501" s="41">
        <f t="shared" si="75"/>
        <v>0.41517814038814327</v>
      </c>
      <c r="AF501">
        <f t="shared" si="76"/>
        <v>1.8922720792079208</v>
      </c>
      <c r="AG501">
        <f t="shared" si="77"/>
        <v>2.5973548514851494E-2</v>
      </c>
      <c r="AH501">
        <f t="shared" si="78"/>
        <v>4.6399999999999997</v>
      </c>
      <c r="AI501">
        <f>HLOOKUP(HLOOKUP(G501,'THP2'!$B$4:$J$8,5,FALSE),'Fuel &amp; Resister'!$B$3:$G$6,4,FALSE)</f>
        <v>2.8890399999999996</v>
      </c>
      <c r="AJ501" s="41">
        <f>HLOOKUP(HLOOKUP(G501,'THP2'!$B$4:$J$8,5,FALSE),'Fuel &amp; Resister'!$B$3:$G$6,3,FALSE)</f>
        <v>9.8420000000000005</v>
      </c>
      <c r="AO501" s="62">
        <v>0</v>
      </c>
      <c r="AP501" s="62">
        <v>0</v>
      </c>
    </row>
    <row r="502" spans="1:42" x14ac:dyDescent="0.15">
      <c r="B502" s="43" t="s">
        <v>614</v>
      </c>
      <c r="C502" s="61">
        <f>VLOOKUP(B502,[1]SYS!$F$5:$G$359,2,FALSE)</f>
        <v>282</v>
      </c>
      <c r="D502" s="1" t="s">
        <v>24</v>
      </c>
      <c r="E502" s="65" t="s">
        <v>329</v>
      </c>
      <c r="F502" s="42" t="s">
        <v>523</v>
      </c>
      <c r="G502" s="1">
        <v>4</v>
      </c>
      <c r="H502" s="1">
        <f t="shared" si="70"/>
        <v>0.30303030303030304</v>
      </c>
      <c r="I502" s="1">
        <f t="shared" si="71"/>
        <v>0.13200000000000001</v>
      </c>
      <c r="J502" s="1">
        <f t="shared" si="69"/>
        <v>0</v>
      </c>
      <c r="K502" s="1">
        <f t="shared" si="72"/>
        <v>2.6841399999999997</v>
      </c>
      <c r="L502" s="1">
        <f t="shared" si="73"/>
        <v>2.2395800000000001</v>
      </c>
      <c r="M502" s="49">
        <f t="shared" si="112"/>
        <v>0.7601771516444038</v>
      </c>
      <c r="N502" s="49">
        <v>4.2240000000000002</v>
      </c>
      <c r="O502" s="1">
        <v>908</v>
      </c>
      <c r="P502" s="51">
        <v>0</v>
      </c>
      <c r="Q502" s="51">
        <v>8</v>
      </c>
      <c r="R502" s="51">
        <v>1</v>
      </c>
      <c r="S502" s="1">
        <v>1</v>
      </c>
      <c r="T502" s="1">
        <v>1</v>
      </c>
      <c r="U502" s="47">
        <v>1</v>
      </c>
      <c r="V502" s="47">
        <v>376</v>
      </c>
      <c r="W502" s="41">
        <v>40</v>
      </c>
      <c r="X502">
        <v>132</v>
      </c>
      <c r="Y502">
        <v>1</v>
      </c>
      <c r="Z502">
        <v>2684.14</v>
      </c>
      <c r="AA502">
        <v>2239.58</v>
      </c>
      <c r="AB502">
        <v>422.4</v>
      </c>
      <c r="AC502">
        <v>46</v>
      </c>
      <c r="AD502" s="41">
        <f t="shared" si="74"/>
        <v>0.32040057523080023</v>
      </c>
      <c r="AE502" s="41">
        <f t="shared" si="75"/>
        <v>0.38400057153573441</v>
      </c>
      <c r="AF502">
        <f t="shared" si="76"/>
        <v>2.0462930434782614</v>
      </c>
      <c r="AG502">
        <f t="shared" si="77"/>
        <v>2.5513878260869521E-2</v>
      </c>
      <c r="AH502">
        <f t="shared" si="78"/>
        <v>4.2240000000000002</v>
      </c>
      <c r="AI502">
        <f>HLOOKUP(HLOOKUP(G502,'THP2'!$B$4:$J$8,5,FALSE),'Fuel &amp; Resister'!$B$3:$G$6,4,FALSE)</f>
        <v>2.8890399999999996</v>
      </c>
      <c r="AJ502" s="41">
        <f>HLOOKUP(HLOOKUP(G502,'THP2'!$B$4:$J$8,5,FALSE),'Fuel &amp; Resister'!$B$3:$G$6,3,FALSE)</f>
        <v>9.8420000000000005</v>
      </c>
      <c r="AO502" s="1">
        <v>1</v>
      </c>
      <c r="AP502" s="1">
        <v>1</v>
      </c>
    </row>
    <row r="503" spans="1:42" x14ac:dyDescent="0.15">
      <c r="B503" s="43" t="s">
        <v>617</v>
      </c>
      <c r="C503" s="61">
        <f>VLOOKUP(B503,[1]SYS!$F$5:$G$359,2,FALSE)</f>
        <v>324</v>
      </c>
      <c r="D503" s="1" t="s">
        <v>24</v>
      </c>
      <c r="E503" s="65" t="s">
        <v>330</v>
      </c>
      <c r="F503" s="63" t="s">
        <v>505</v>
      </c>
      <c r="G503" s="1">
        <v>4</v>
      </c>
      <c r="H503" s="1">
        <f t="shared" si="70"/>
        <v>0.11600000000000001</v>
      </c>
      <c r="I503" s="1">
        <f t="shared" si="71"/>
        <v>0.5</v>
      </c>
      <c r="J503" s="1">
        <f t="shared" si="69"/>
        <v>5.0300000000000011E-2</v>
      </c>
      <c r="K503" s="1">
        <f t="shared" si="72"/>
        <v>2.4126699999999999</v>
      </c>
      <c r="L503" s="1">
        <f t="shared" si="73"/>
        <v>1.8494600000000001</v>
      </c>
      <c r="M503" s="49">
        <f t="shared" si="112"/>
        <v>2.3778762408648646</v>
      </c>
      <c r="N503" s="49">
        <v>4.6399999999999997</v>
      </c>
      <c r="O503" s="1">
        <v>608</v>
      </c>
      <c r="P503" s="51">
        <v>0.05</v>
      </c>
      <c r="Q503" s="51">
        <v>8</v>
      </c>
      <c r="R503" s="51">
        <v>1</v>
      </c>
      <c r="S503" s="1">
        <v>1</v>
      </c>
      <c r="T503" s="1">
        <v>1</v>
      </c>
      <c r="U503" s="47">
        <v>1</v>
      </c>
      <c r="V503" s="47">
        <v>377</v>
      </c>
      <c r="W503" s="41">
        <v>58</v>
      </c>
      <c r="X503" s="52">
        <v>500</v>
      </c>
      <c r="Y503">
        <v>0.94969999999999999</v>
      </c>
      <c r="Z503">
        <v>2412.67</v>
      </c>
      <c r="AA503">
        <v>1849.46</v>
      </c>
      <c r="AB503">
        <v>464</v>
      </c>
      <c r="AC503">
        <v>46</v>
      </c>
      <c r="AD503" s="41">
        <f t="shared" si="74"/>
        <v>0.35645156610725875</v>
      </c>
      <c r="AE503" s="41">
        <f t="shared" si="75"/>
        <v>0.4650005947682026</v>
      </c>
      <c r="AF503">
        <f t="shared" si="76"/>
        <v>1.7755546153846156</v>
      </c>
      <c r="AG503">
        <f t="shared" si="77"/>
        <v>3.695269230769227E-2</v>
      </c>
      <c r="AH503">
        <f t="shared" si="78"/>
        <v>4.6399999999999997</v>
      </c>
      <c r="AI503">
        <f>HLOOKUP(HLOOKUP(G503,'THP2'!$B$4:$J$8,5,FALSE),'Fuel &amp; Resister'!$B$3:$G$6,4,FALSE)</f>
        <v>2.8890399999999996</v>
      </c>
      <c r="AJ503" s="41">
        <f>HLOOKUP(HLOOKUP(G503,'THP2'!$B$4:$J$8,5,FALSE),'Fuel &amp; Resister'!$B$3:$G$6,3,FALSE)</f>
        <v>9.8420000000000005</v>
      </c>
      <c r="AO503" s="1">
        <v>1</v>
      </c>
      <c r="AP503" s="1">
        <v>1</v>
      </c>
    </row>
    <row r="504" spans="1:42" x14ac:dyDescent="0.15">
      <c r="A504" s="41" t="s">
        <v>678</v>
      </c>
      <c r="B504" s="79" t="s">
        <v>581</v>
      </c>
      <c r="C504" s="61">
        <f>VLOOKUP(B504,[1]SYS!$F$5:$G$359,2,FALSE)</f>
        <v>3</v>
      </c>
      <c r="D504" s="1" t="s">
        <v>23</v>
      </c>
      <c r="E504" s="65" t="s">
        <v>51</v>
      </c>
      <c r="F504" s="63" t="s">
        <v>496</v>
      </c>
      <c r="G504" s="1">
        <v>5</v>
      </c>
      <c r="H504" s="1">
        <f>W504/X504</f>
        <v>0.15</v>
      </c>
      <c r="I504" s="1">
        <f>X504/1000</f>
        <v>0.7</v>
      </c>
      <c r="J504" s="1">
        <f t="shared" ref="J504:J636" si="135">1-Y504</f>
        <v>5.0000000000000044E-2</v>
      </c>
      <c r="K504" s="1">
        <f>Z504/1000</f>
        <v>2.82944</v>
      </c>
      <c r="L504" s="1">
        <f>AA504/1000</f>
        <v>1.9992699999999999</v>
      </c>
      <c r="M504" s="49">
        <f>(I504*10^6*L504/AJ504*AI504/10^6)*24*365/1000*$A$505</f>
        <v>2.8061879324375987</v>
      </c>
      <c r="N504" s="49">
        <v>7.28</v>
      </c>
      <c r="O504" s="1">
        <v>403</v>
      </c>
      <c r="P504" s="51">
        <v>0.05</v>
      </c>
      <c r="Q504" s="51">
        <v>8</v>
      </c>
      <c r="R504" s="51">
        <v>1</v>
      </c>
      <c r="S504" s="1">
        <v>1</v>
      </c>
      <c r="T504" s="1">
        <v>0</v>
      </c>
      <c r="U504" s="47">
        <v>1</v>
      </c>
      <c r="V504" s="47">
        <v>1</v>
      </c>
      <c r="W504" s="41">
        <v>105</v>
      </c>
      <c r="X504">
        <v>700</v>
      </c>
      <c r="Y504">
        <v>0.95</v>
      </c>
      <c r="Z504">
        <v>2829.44</v>
      </c>
      <c r="AA504">
        <v>1999.27</v>
      </c>
      <c r="AB504">
        <v>728</v>
      </c>
      <c r="AC504">
        <v>55</v>
      </c>
      <c r="AD504" s="41">
        <f>1/Z504*860</f>
        <v>0.30394707079846189</v>
      </c>
      <c r="AE504" s="41">
        <f>1/AA504*860</f>
        <v>0.43015700730766732</v>
      </c>
      <c r="AF504">
        <f>(L504-H504*K504)/(1-H504)</f>
        <v>1.852769411764706</v>
      </c>
      <c r="AG504">
        <f>I504*(L504-AF504)</f>
        <v>0.10255041176470571</v>
      </c>
      <c r="AH504">
        <f>AB504/100</f>
        <v>7.28</v>
      </c>
      <c r="AI504">
        <f>HLOOKUP(HLOOKUP(G504,'THP2'!$B$4:$J$8,5,FALSE),'Fuel &amp; Resister'!$B$3:$G$6,4,FALSE)</f>
        <v>1.7552248062015501</v>
      </c>
      <c r="AJ504" s="41">
        <f>HLOOKUP(HLOOKUP(G504,'THP2'!$B$4:$J$8,5,FALSE),'Fuel &amp; Resister'!$B$3:$G$6,3,FALSE)</f>
        <v>6.1345057489290813</v>
      </c>
      <c r="AO504" s="1">
        <v>1</v>
      </c>
      <c r="AP504" s="1">
        <v>1</v>
      </c>
    </row>
    <row r="505" spans="1:42" x14ac:dyDescent="0.15">
      <c r="A505">
        <v>0.8</v>
      </c>
      <c r="B505" s="79" t="s">
        <v>581</v>
      </c>
      <c r="C505" s="61">
        <f>VLOOKUP(B505,[1]SYS!$F$5:$G$359,2,FALSE)</f>
        <v>3</v>
      </c>
      <c r="D505" s="1" t="s">
        <v>23</v>
      </c>
      <c r="E505" s="65" t="s">
        <v>52</v>
      </c>
      <c r="F505" s="42"/>
      <c r="G505" s="1">
        <v>5</v>
      </c>
      <c r="H505" s="1">
        <f t="shared" ref="H505:H568" si="136">W505/X505</f>
        <v>0.3</v>
      </c>
      <c r="I505" s="1">
        <f t="shared" ref="I505:I568" si="137">X505/1000</f>
        <v>0.02</v>
      </c>
      <c r="J505" s="1">
        <f t="shared" si="135"/>
        <v>0</v>
      </c>
      <c r="K505" s="1">
        <f t="shared" ref="K505:K568" si="138">Z505/1000</f>
        <v>2.6005400000000001</v>
      </c>
      <c r="L505" s="1">
        <f t="shared" ref="L505:L568" si="139">AA505/1000</f>
        <v>2.1698300000000001</v>
      </c>
      <c r="M505" s="49">
        <f t="shared" ref="M505:M568" si="140">(I505*10^6*L505/AJ505*AI505/10^6)*24*365/1000*$A$505</f>
        <v>8.7016771999509468E-2</v>
      </c>
      <c r="N505" s="49">
        <v>0.16</v>
      </c>
      <c r="O505" s="1">
        <v>903</v>
      </c>
      <c r="P505" s="51">
        <v>0.05</v>
      </c>
      <c r="Q505" s="51">
        <v>8</v>
      </c>
      <c r="R505" s="51">
        <v>1</v>
      </c>
      <c r="S505" s="1">
        <v>1</v>
      </c>
      <c r="T505" s="1">
        <v>0</v>
      </c>
      <c r="U505" s="47">
        <v>1</v>
      </c>
      <c r="V505" s="47">
        <v>2</v>
      </c>
      <c r="W505" s="41">
        <v>6</v>
      </c>
      <c r="X505">
        <v>20</v>
      </c>
      <c r="Y505">
        <v>1</v>
      </c>
      <c r="Z505">
        <v>2600.54</v>
      </c>
      <c r="AA505">
        <v>2169.83</v>
      </c>
      <c r="AB505">
        <v>16</v>
      </c>
      <c r="AC505">
        <v>55</v>
      </c>
      <c r="AD505" s="41">
        <f t="shared" ref="AD505:AD568" si="141">1/Z505*860</f>
        <v>0.33070054680950883</v>
      </c>
      <c r="AE505" s="41">
        <f t="shared" ref="AE505:AE568" si="142">1/AA505*860</f>
        <v>0.39634441407852228</v>
      </c>
      <c r="AF505">
        <f t="shared" ref="AF505:AF568" si="143">(L505-H505*K505)/(1-H505)</f>
        <v>1.9852400000000003</v>
      </c>
      <c r="AG505">
        <f t="shared" ref="AG505:AG568" si="144">I505*(L505-AF505)</f>
        <v>3.6917999999999964E-3</v>
      </c>
      <c r="AH505">
        <f t="shared" ref="AH505:AH568" si="145">AB505/100</f>
        <v>0.16</v>
      </c>
      <c r="AI505">
        <f>HLOOKUP(HLOOKUP(G505,'THP2'!$B$4:$J$8,5,FALSE),'Fuel &amp; Resister'!$B$3:$G$6,4,FALSE)</f>
        <v>1.7552248062015501</v>
      </c>
      <c r="AJ505" s="41">
        <f>HLOOKUP(HLOOKUP(G505,'THP2'!$B$4:$J$8,5,FALSE),'Fuel &amp; Resister'!$B$3:$G$6,3,FALSE)</f>
        <v>6.1345057489290813</v>
      </c>
      <c r="AO505" s="1">
        <v>1</v>
      </c>
      <c r="AP505" s="1">
        <v>1</v>
      </c>
    </row>
    <row r="506" spans="1:42" x14ac:dyDescent="0.15">
      <c r="A506"/>
      <c r="B506" s="79" t="s">
        <v>581</v>
      </c>
      <c r="C506" s="61">
        <f>VLOOKUP(B506,[1]SYS!$F$5:$G$359,2,FALSE)</f>
        <v>3</v>
      </c>
      <c r="D506" s="1" t="s">
        <v>23</v>
      </c>
      <c r="E506" s="65" t="s">
        <v>53</v>
      </c>
      <c r="F506" s="63" t="s">
        <v>529</v>
      </c>
      <c r="G506" s="1">
        <v>5</v>
      </c>
      <c r="H506" s="1">
        <f t="shared" si="136"/>
        <v>0.3</v>
      </c>
      <c r="I506" s="1">
        <f t="shared" si="137"/>
        <v>0.1</v>
      </c>
      <c r="J506" s="1">
        <f t="shared" si="135"/>
        <v>6.0000000000000053E-2</v>
      </c>
      <c r="K506" s="1">
        <f t="shared" si="138"/>
        <v>2.6328</v>
      </c>
      <c r="L506" s="1">
        <f t="shared" si="139"/>
        <v>2.1967399999999997</v>
      </c>
      <c r="M506" s="49">
        <f t="shared" si="140"/>
        <v>0.44047972357788939</v>
      </c>
      <c r="N506" s="49">
        <v>0.8</v>
      </c>
      <c r="O506" s="1">
        <v>1004</v>
      </c>
      <c r="P506" s="51">
        <v>0</v>
      </c>
      <c r="Q506" s="51">
        <v>8</v>
      </c>
      <c r="R506" s="51">
        <v>1</v>
      </c>
      <c r="S506" s="1">
        <v>1</v>
      </c>
      <c r="T506" s="1">
        <v>0</v>
      </c>
      <c r="U506" s="47">
        <v>1</v>
      </c>
      <c r="V506" s="47">
        <v>3</v>
      </c>
      <c r="W506" s="41">
        <v>30</v>
      </c>
      <c r="X506">
        <v>100</v>
      </c>
      <c r="Y506">
        <v>0.94</v>
      </c>
      <c r="Z506">
        <v>2632.8</v>
      </c>
      <c r="AA506">
        <v>2196.7399999999998</v>
      </c>
      <c r="AB506">
        <v>80</v>
      </c>
      <c r="AC506">
        <v>55</v>
      </c>
      <c r="AD506" s="41">
        <f t="shared" si="141"/>
        <v>0.32664843512610148</v>
      </c>
      <c r="AE506" s="41">
        <f t="shared" si="142"/>
        <v>0.39148920673361437</v>
      </c>
      <c r="AF506">
        <f t="shared" si="143"/>
        <v>2.0098571428571428</v>
      </c>
      <c r="AG506">
        <f t="shared" si="144"/>
        <v>1.8688285714285692E-2</v>
      </c>
      <c r="AH506">
        <f t="shared" si="145"/>
        <v>0.8</v>
      </c>
      <c r="AI506">
        <f>HLOOKUP(HLOOKUP(G506,'THP2'!$B$4:$J$8,5,FALSE),'Fuel &amp; Resister'!$B$3:$G$6,4,FALSE)</f>
        <v>1.7552248062015501</v>
      </c>
      <c r="AJ506" s="41">
        <f>HLOOKUP(HLOOKUP(G506,'THP2'!$B$4:$J$8,5,FALSE),'Fuel &amp; Resister'!$B$3:$G$6,3,FALSE)</f>
        <v>6.1345057489290813</v>
      </c>
      <c r="AO506" s="1">
        <v>1</v>
      </c>
      <c r="AP506" s="1">
        <v>1</v>
      </c>
    </row>
    <row r="507" spans="1:42" x14ac:dyDescent="0.15">
      <c r="A507"/>
      <c r="B507" s="79" t="s">
        <v>581</v>
      </c>
      <c r="C507" s="61">
        <f>VLOOKUP(B507,[1]SYS!$F$5:$G$359,2,FALSE)</f>
        <v>3</v>
      </c>
      <c r="D507" s="1" t="s">
        <v>23</v>
      </c>
      <c r="E507" s="65" t="s">
        <v>54</v>
      </c>
      <c r="F507" s="63" t="s">
        <v>530</v>
      </c>
      <c r="G507" s="1">
        <v>5</v>
      </c>
      <c r="H507" s="1">
        <f t="shared" si="136"/>
        <v>0.3</v>
      </c>
      <c r="I507" s="1">
        <f t="shared" si="137"/>
        <v>0.18</v>
      </c>
      <c r="J507" s="1">
        <f t="shared" si="135"/>
        <v>6.0000000000000053E-2</v>
      </c>
      <c r="K507" s="1">
        <f t="shared" si="138"/>
        <v>2.6328</v>
      </c>
      <c r="L507" s="1">
        <f t="shared" si="139"/>
        <v>2.1967399999999997</v>
      </c>
      <c r="M507" s="49">
        <f t="shared" si="140"/>
        <v>0.79286350244020087</v>
      </c>
      <c r="N507" s="49">
        <v>1.44</v>
      </c>
      <c r="O507" s="1">
        <v>903</v>
      </c>
      <c r="P507" s="51">
        <v>0</v>
      </c>
      <c r="Q507" s="51">
        <v>8</v>
      </c>
      <c r="R507" s="51">
        <v>1</v>
      </c>
      <c r="S507" s="1">
        <v>1</v>
      </c>
      <c r="T507" s="1">
        <v>0</v>
      </c>
      <c r="U507" s="47">
        <v>1</v>
      </c>
      <c r="V507" s="47">
        <v>4</v>
      </c>
      <c r="W507" s="41">
        <v>54</v>
      </c>
      <c r="X507">
        <v>180</v>
      </c>
      <c r="Y507">
        <v>0.94</v>
      </c>
      <c r="Z507">
        <v>2632.8</v>
      </c>
      <c r="AA507">
        <v>2196.7399999999998</v>
      </c>
      <c r="AB507">
        <v>144</v>
      </c>
      <c r="AC507">
        <v>55</v>
      </c>
      <c r="AD507" s="41">
        <f t="shared" si="141"/>
        <v>0.32664843512610148</v>
      </c>
      <c r="AE507" s="41">
        <f t="shared" si="142"/>
        <v>0.39148920673361437</v>
      </c>
      <c r="AF507">
        <f t="shared" si="143"/>
        <v>2.0098571428571428</v>
      </c>
      <c r="AG507">
        <f t="shared" si="144"/>
        <v>3.3638914285714243E-2</v>
      </c>
      <c r="AH507">
        <f t="shared" si="145"/>
        <v>1.44</v>
      </c>
      <c r="AI507">
        <f>HLOOKUP(HLOOKUP(G507,'THP2'!$B$4:$J$8,5,FALSE),'Fuel &amp; Resister'!$B$3:$G$6,4,FALSE)</f>
        <v>1.7552248062015501</v>
      </c>
      <c r="AJ507" s="41">
        <f>HLOOKUP(HLOOKUP(G507,'THP2'!$B$4:$J$8,5,FALSE),'Fuel &amp; Resister'!$B$3:$G$6,3,FALSE)</f>
        <v>6.1345057489290813</v>
      </c>
      <c r="AO507" s="1">
        <v>1</v>
      </c>
      <c r="AP507" s="1">
        <v>1</v>
      </c>
    </row>
    <row r="508" spans="1:42" x14ac:dyDescent="0.15">
      <c r="B508" s="79" t="s">
        <v>582</v>
      </c>
      <c r="C508" s="61">
        <f>VLOOKUP(B508,[1]SYS!$F$5:$G$359,2,FALSE)</f>
        <v>40</v>
      </c>
      <c r="D508" s="1" t="s">
        <v>23</v>
      </c>
      <c r="E508" s="65" t="s">
        <v>55</v>
      </c>
      <c r="F508" s="63" t="s">
        <v>509</v>
      </c>
      <c r="G508" s="1">
        <v>5</v>
      </c>
      <c r="H508" s="1">
        <f t="shared" si="136"/>
        <v>0.3</v>
      </c>
      <c r="I508" s="1">
        <f t="shared" si="137"/>
        <v>0.65</v>
      </c>
      <c r="J508" s="1">
        <f t="shared" si="135"/>
        <v>6.2000000000000055E-2</v>
      </c>
      <c r="K508" s="1">
        <f t="shared" si="138"/>
        <v>2.3969999999999998</v>
      </c>
      <c r="L508" s="1">
        <f t="shared" si="139"/>
        <v>2</v>
      </c>
      <c r="M508" s="49">
        <f t="shared" si="140"/>
        <v>2.6066973818078445</v>
      </c>
      <c r="N508" s="49">
        <v>6.7125000000000004</v>
      </c>
      <c r="O508" s="1">
        <v>403</v>
      </c>
      <c r="P508" s="51">
        <v>0.05</v>
      </c>
      <c r="Q508" s="51">
        <v>8</v>
      </c>
      <c r="R508" s="51">
        <v>1</v>
      </c>
      <c r="S508" s="1">
        <v>1</v>
      </c>
      <c r="T508" s="1">
        <v>0</v>
      </c>
      <c r="U508" s="47">
        <v>1</v>
      </c>
      <c r="V508" s="47">
        <v>5</v>
      </c>
      <c r="W508" s="41">
        <v>195</v>
      </c>
      <c r="X508">
        <v>650</v>
      </c>
      <c r="Y508">
        <v>0.93799999999999994</v>
      </c>
      <c r="Z508">
        <v>2397</v>
      </c>
      <c r="AA508">
        <v>2000</v>
      </c>
      <c r="AB508">
        <v>671.25</v>
      </c>
      <c r="AC508">
        <v>55</v>
      </c>
      <c r="AD508" s="41">
        <f t="shared" si="141"/>
        <v>0.35878181059657904</v>
      </c>
      <c r="AE508" s="41">
        <f t="shared" si="142"/>
        <v>0.43</v>
      </c>
      <c r="AF508">
        <f t="shared" si="143"/>
        <v>1.8298571428571428</v>
      </c>
      <c r="AG508">
        <f t="shared" si="144"/>
        <v>0.11059285714285715</v>
      </c>
      <c r="AH508">
        <f t="shared" si="145"/>
        <v>6.7125000000000004</v>
      </c>
      <c r="AI508">
        <f>HLOOKUP(HLOOKUP(G508,'THP2'!$B$4:$J$8,5,FALSE),'Fuel &amp; Resister'!$B$3:$G$6,4,FALSE)</f>
        <v>1.7552248062015501</v>
      </c>
      <c r="AJ508" s="41">
        <f>HLOOKUP(HLOOKUP(G508,'THP2'!$B$4:$J$8,5,FALSE),'Fuel &amp; Resister'!$B$3:$G$6,3,FALSE)</f>
        <v>6.1345057489290813</v>
      </c>
      <c r="AO508" s="1">
        <v>1</v>
      </c>
      <c r="AP508" s="1">
        <v>1</v>
      </c>
    </row>
    <row r="509" spans="1:42" x14ac:dyDescent="0.15">
      <c r="B509" s="79" t="s">
        <v>582</v>
      </c>
      <c r="C509" s="61">
        <f>VLOOKUP(B509,[1]SYS!$F$5:$G$359,2,FALSE)</f>
        <v>40</v>
      </c>
      <c r="D509" s="1" t="s">
        <v>23</v>
      </c>
      <c r="E509" s="65" t="s">
        <v>56</v>
      </c>
      <c r="F509" s="63" t="s">
        <v>510</v>
      </c>
      <c r="G509" s="1">
        <v>5</v>
      </c>
      <c r="H509" s="1">
        <f t="shared" si="136"/>
        <v>0.3</v>
      </c>
      <c r="I509" s="1">
        <f t="shared" si="137"/>
        <v>0.65</v>
      </c>
      <c r="J509" s="1">
        <f t="shared" si="135"/>
        <v>6.2000000000000055E-2</v>
      </c>
      <c r="K509" s="1">
        <f t="shared" si="138"/>
        <v>2.3969999999999998</v>
      </c>
      <c r="L509" s="1">
        <f t="shared" si="139"/>
        <v>2</v>
      </c>
      <c r="M509" s="49">
        <f t="shared" si="140"/>
        <v>2.6066973818078445</v>
      </c>
      <c r="N509" s="49">
        <v>6.7125000000000004</v>
      </c>
      <c r="O509" s="1">
        <v>903</v>
      </c>
      <c r="P509" s="51">
        <v>0.05</v>
      </c>
      <c r="Q509" s="51">
        <v>8</v>
      </c>
      <c r="R509" s="51">
        <v>1</v>
      </c>
      <c r="S509" s="1">
        <v>1</v>
      </c>
      <c r="T509" s="1">
        <v>0</v>
      </c>
      <c r="U509" s="47">
        <v>1</v>
      </c>
      <c r="V509" s="47">
        <v>6</v>
      </c>
      <c r="W509" s="41">
        <v>195</v>
      </c>
      <c r="X509">
        <v>650</v>
      </c>
      <c r="Y509">
        <v>0.93799999999999994</v>
      </c>
      <c r="Z509">
        <v>2397</v>
      </c>
      <c r="AA509">
        <v>2000</v>
      </c>
      <c r="AB509">
        <v>671.25</v>
      </c>
      <c r="AC509">
        <v>55</v>
      </c>
      <c r="AD509" s="41">
        <f t="shared" si="141"/>
        <v>0.35878181059657904</v>
      </c>
      <c r="AE509" s="41">
        <f t="shared" si="142"/>
        <v>0.43</v>
      </c>
      <c r="AF509">
        <f t="shared" si="143"/>
        <v>1.8298571428571428</v>
      </c>
      <c r="AG509">
        <f t="shared" si="144"/>
        <v>0.11059285714285715</v>
      </c>
      <c r="AH509">
        <f t="shared" si="145"/>
        <v>6.7125000000000004</v>
      </c>
      <c r="AI509">
        <f>HLOOKUP(HLOOKUP(G509,'THP2'!$B$4:$J$8,5,FALSE),'Fuel &amp; Resister'!$B$3:$G$6,4,FALSE)</f>
        <v>1.7552248062015501</v>
      </c>
      <c r="AJ509" s="41">
        <f>HLOOKUP(HLOOKUP(G509,'THP2'!$B$4:$J$8,5,FALSE),'Fuel &amp; Resister'!$B$3:$G$6,3,FALSE)</f>
        <v>6.1345057489290813</v>
      </c>
      <c r="AO509" s="1">
        <v>1</v>
      </c>
      <c r="AP509" s="1">
        <v>1</v>
      </c>
    </row>
    <row r="510" spans="1:42" x14ac:dyDescent="0.15">
      <c r="B510" s="79" t="s">
        <v>583</v>
      </c>
      <c r="C510" s="61">
        <f>VLOOKUP(B510,[1]SYS!$F$5:$G$359,2,FALSE)</f>
        <v>39</v>
      </c>
      <c r="D510" s="1" t="s">
        <v>23</v>
      </c>
      <c r="E510" s="65" t="s">
        <v>57</v>
      </c>
      <c r="F510" s="63" t="s">
        <v>488</v>
      </c>
      <c r="G510" s="1">
        <v>5</v>
      </c>
      <c r="H510" s="1">
        <f t="shared" si="136"/>
        <v>0.3</v>
      </c>
      <c r="I510" s="1">
        <f t="shared" si="137"/>
        <v>0.6</v>
      </c>
      <c r="J510" s="1">
        <f t="shared" si="135"/>
        <v>5.1699999999999968E-2</v>
      </c>
      <c r="K510" s="1">
        <f t="shared" si="138"/>
        <v>2.3969999999999998</v>
      </c>
      <c r="L510" s="1">
        <f t="shared" si="139"/>
        <v>2</v>
      </c>
      <c r="M510" s="49">
        <f t="shared" si="140"/>
        <v>2.4061821985918561</v>
      </c>
      <c r="N510" s="49">
        <v>6.1449999999999996</v>
      </c>
      <c r="O510" s="1">
        <v>903</v>
      </c>
      <c r="P510" s="51">
        <v>0.05</v>
      </c>
      <c r="Q510" s="51">
        <v>8</v>
      </c>
      <c r="R510" s="51">
        <v>1</v>
      </c>
      <c r="S510" s="1">
        <v>1</v>
      </c>
      <c r="T510" s="1">
        <v>0</v>
      </c>
      <c r="U510" s="47">
        <v>1</v>
      </c>
      <c r="V510" s="47">
        <v>7</v>
      </c>
      <c r="W510" s="41">
        <v>180</v>
      </c>
      <c r="X510">
        <v>600</v>
      </c>
      <c r="Y510">
        <v>0.94830000000000003</v>
      </c>
      <c r="Z510">
        <v>2397</v>
      </c>
      <c r="AA510">
        <v>2000</v>
      </c>
      <c r="AB510">
        <v>614.5</v>
      </c>
      <c r="AC510">
        <v>55</v>
      </c>
      <c r="AD510" s="41">
        <f t="shared" si="141"/>
        <v>0.35878181059657904</v>
      </c>
      <c r="AE510" s="41">
        <f t="shared" si="142"/>
        <v>0.43</v>
      </c>
      <c r="AF510">
        <f t="shared" si="143"/>
        <v>1.8298571428571428</v>
      </c>
      <c r="AG510">
        <f t="shared" si="144"/>
        <v>0.10208571428571429</v>
      </c>
      <c r="AH510">
        <f t="shared" si="145"/>
        <v>6.1449999999999996</v>
      </c>
      <c r="AI510">
        <f>HLOOKUP(HLOOKUP(G510,'THP2'!$B$4:$J$8,5,FALSE),'Fuel &amp; Resister'!$B$3:$G$6,4,FALSE)</f>
        <v>1.7552248062015501</v>
      </c>
      <c r="AJ510" s="41">
        <f>HLOOKUP(HLOOKUP(G510,'THP2'!$B$4:$J$8,5,FALSE),'Fuel &amp; Resister'!$B$3:$G$6,3,FALSE)</f>
        <v>6.1345057489290813</v>
      </c>
      <c r="AO510" s="1">
        <v>1</v>
      </c>
      <c r="AP510" s="1">
        <v>1</v>
      </c>
    </row>
    <row r="511" spans="1:42" x14ac:dyDescent="0.15">
      <c r="B511" s="79" t="s">
        <v>584</v>
      </c>
      <c r="C511" s="61">
        <f>VLOOKUP(B511,[1]SYS!$F$5:$G$359,2,FALSE)</f>
        <v>62</v>
      </c>
      <c r="D511" s="1" t="s">
        <v>23</v>
      </c>
      <c r="E511" s="42" t="s">
        <v>58</v>
      </c>
      <c r="F511" s="63" t="s">
        <v>497</v>
      </c>
      <c r="G511" s="1">
        <v>5</v>
      </c>
      <c r="H511" s="1">
        <f t="shared" si="136"/>
        <v>0.187</v>
      </c>
      <c r="I511" s="1">
        <f t="shared" si="137"/>
        <v>1</v>
      </c>
      <c r="J511" s="1">
        <f t="shared" si="135"/>
        <v>5.3000000000000047E-2</v>
      </c>
      <c r="K511" s="1">
        <f t="shared" si="138"/>
        <v>2.6754199999999999</v>
      </c>
      <c r="L511" s="1">
        <f t="shared" si="139"/>
        <v>2.02793</v>
      </c>
      <c r="M511" s="49">
        <f t="shared" si="140"/>
        <v>4.0663075549919858</v>
      </c>
      <c r="N511" s="49">
        <v>15</v>
      </c>
      <c r="O511" s="1">
        <v>403</v>
      </c>
      <c r="P511" s="51">
        <v>0.05</v>
      </c>
      <c r="Q511" s="51">
        <v>8</v>
      </c>
      <c r="R511" s="51">
        <v>1</v>
      </c>
      <c r="S511" s="1">
        <v>1</v>
      </c>
      <c r="T511" s="1">
        <v>0</v>
      </c>
      <c r="U511" s="47">
        <v>0</v>
      </c>
      <c r="V511" s="47">
        <v>8</v>
      </c>
      <c r="W511" s="41">
        <v>187</v>
      </c>
      <c r="X511">
        <v>1000</v>
      </c>
      <c r="Y511">
        <v>0.94699999999999995</v>
      </c>
      <c r="Z511">
        <v>2675.42</v>
      </c>
      <c r="AA511">
        <v>2027.93</v>
      </c>
      <c r="AB511">
        <v>1500</v>
      </c>
      <c r="AC511">
        <v>55</v>
      </c>
      <c r="AD511" s="41">
        <f t="shared" si="141"/>
        <v>0.32144485725605698</v>
      </c>
      <c r="AE511" s="41">
        <f t="shared" si="142"/>
        <v>0.42407775416311211</v>
      </c>
      <c r="AF511">
        <f t="shared" si="143"/>
        <v>1.8789993357933581</v>
      </c>
      <c r="AG511">
        <f t="shared" si="144"/>
        <v>0.14893066420664192</v>
      </c>
      <c r="AH511">
        <f t="shared" si="145"/>
        <v>15</v>
      </c>
      <c r="AI511">
        <f>HLOOKUP(HLOOKUP(G511,'THP2'!$B$4:$J$8,5,FALSE),'Fuel &amp; Resister'!$B$3:$G$6,4,FALSE)</f>
        <v>1.7552248062015501</v>
      </c>
      <c r="AJ511" s="41">
        <f>HLOOKUP(HLOOKUP(G511,'THP2'!$B$4:$J$8,5,FALSE),'Fuel &amp; Resister'!$B$3:$G$6,3,FALSE)</f>
        <v>6.1345057489290813</v>
      </c>
      <c r="AO511" s="62">
        <v>0</v>
      </c>
      <c r="AP511" s="62">
        <v>0</v>
      </c>
    </row>
    <row r="512" spans="1:42" x14ac:dyDescent="0.15">
      <c r="B512" s="79" t="s">
        <v>584</v>
      </c>
      <c r="C512" s="61">
        <f>VLOOKUP(B512,[1]SYS!$F$5:$G$359,2,FALSE)</f>
        <v>62</v>
      </c>
      <c r="D512" s="1" t="s">
        <v>23</v>
      </c>
      <c r="E512" s="42" t="s">
        <v>59</v>
      </c>
      <c r="F512" s="63" t="s">
        <v>497</v>
      </c>
      <c r="G512" s="1">
        <v>5</v>
      </c>
      <c r="H512" s="1">
        <f t="shared" si="136"/>
        <v>0.16200000000000001</v>
      </c>
      <c r="I512" s="1">
        <f t="shared" si="137"/>
        <v>1</v>
      </c>
      <c r="J512" s="1">
        <f t="shared" si="135"/>
        <v>5.600000000000005E-2</v>
      </c>
      <c r="K512" s="1">
        <f t="shared" si="138"/>
        <v>2.87622</v>
      </c>
      <c r="L512" s="1">
        <f t="shared" si="139"/>
        <v>2.03233</v>
      </c>
      <c r="M512" s="49">
        <f t="shared" si="140"/>
        <v>4.0751302230534892</v>
      </c>
      <c r="N512" s="49">
        <v>15</v>
      </c>
      <c r="O512" s="1">
        <v>504</v>
      </c>
      <c r="P512" s="51">
        <v>0.05</v>
      </c>
      <c r="Q512" s="51">
        <v>8</v>
      </c>
      <c r="R512" s="51">
        <v>1</v>
      </c>
      <c r="S512" s="1">
        <v>1</v>
      </c>
      <c r="T512" s="1">
        <v>0</v>
      </c>
      <c r="U512" s="47">
        <v>0</v>
      </c>
      <c r="V512" s="47">
        <v>9</v>
      </c>
      <c r="W512" s="41">
        <v>162</v>
      </c>
      <c r="X512">
        <v>1000</v>
      </c>
      <c r="Y512">
        <v>0.94399999999999995</v>
      </c>
      <c r="Z512">
        <v>2876.22</v>
      </c>
      <c r="AA512">
        <v>2032.33</v>
      </c>
      <c r="AB512">
        <v>1500</v>
      </c>
      <c r="AC512">
        <v>55</v>
      </c>
      <c r="AD512" s="41">
        <f t="shared" si="141"/>
        <v>0.29900355327478428</v>
      </c>
      <c r="AE512" s="41">
        <f t="shared" si="142"/>
        <v>0.42315962466725388</v>
      </c>
      <c r="AF512">
        <f t="shared" si="143"/>
        <v>1.8691913603818615</v>
      </c>
      <c r="AG512">
        <f t="shared" si="144"/>
        <v>0.16313863961813846</v>
      </c>
      <c r="AH512">
        <f t="shared" si="145"/>
        <v>15</v>
      </c>
      <c r="AI512">
        <f>HLOOKUP(HLOOKUP(G512,'THP2'!$B$4:$J$8,5,FALSE),'Fuel &amp; Resister'!$B$3:$G$6,4,FALSE)</f>
        <v>1.7552248062015501</v>
      </c>
      <c r="AJ512" s="41">
        <f>HLOOKUP(HLOOKUP(G512,'THP2'!$B$4:$J$8,5,FALSE),'Fuel &amp; Resister'!$B$3:$G$6,3,FALSE)</f>
        <v>6.1345057489290813</v>
      </c>
      <c r="AO512" s="62">
        <v>0</v>
      </c>
      <c r="AP512" s="62">
        <v>0</v>
      </c>
    </row>
    <row r="513" spans="2:42" x14ac:dyDescent="0.15">
      <c r="B513" s="79" t="s">
        <v>583</v>
      </c>
      <c r="C513" s="61">
        <f>VLOOKUP(B513,[1]SYS!$F$5:$G$359,2,FALSE)</f>
        <v>39</v>
      </c>
      <c r="D513" s="1" t="s">
        <v>23</v>
      </c>
      <c r="E513" s="42" t="s">
        <v>60</v>
      </c>
      <c r="F513" s="63" t="s">
        <v>488</v>
      </c>
      <c r="G513" s="1">
        <v>5</v>
      </c>
      <c r="H513" s="1">
        <f t="shared" si="136"/>
        <v>0.3</v>
      </c>
      <c r="I513" s="1">
        <f t="shared" si="137"/>
        <v>0.6</v>
      </c>
      <c r="J513" s="1">
        <f t="shared" si="135"/>
        <v>5.4000000000000048E-2</v>
      </c>
      <c r="K513" s="1">
        <f t="shared" si="138"/>
        <v>2.4974699999999999</v>
      </c>
      <c r="L513" s="1">
        <f t="shared" si="139"/>
        <v>2.0838200000000002</v>
      </c>
      <c r="M513" s="49">
        <f t="shared" si="140"/>
        <v>2.5070252945348415</v>
      </c>
      <c r="N513" s="49">
        <v>6.1449999999999996</v>
      </c>
      <c r="O513" s="6">
        <v>305</v>
      </c>
      <c r="P513" s="51">
        <v>0.05</v>
      </c>
      <c r="Q513" s="51">
        <v>8</v>
      </c>
      <c r="R513" s="51">
        <v>1</v>
      </c>
      <c r="S513" s="1">
        <v>1</v>
      </c>
      <c r="T513" s="1">
        <v>0</v>
      </c>
      <c r="U513" s="47">
        <v>0</v>
      </c>
      <c r="V513" s="47">
        <v>10</v>
      </c>
      <c r="W513" s="41">
        <v>180</v>
      </c>
      <c r="X513">
        <v>600</v>
      </c>
      <c r="Y513">
        <v>0.94599999999999995</v>
      </c>
      <c r="Z513">
        <v>2497.4699999999998</v>
      </c>
      <c r="AA513">
        <v>2083.8200000000002</v>
      </c>
      <c r="AB513">
        <v>614.5</v>
      </c>
      <c r="AC513">
        <v>55</v>
      </c>
      <c r="AD513" s="41">
        <f t="shared" si="141"/>
        <v>0.3443484806624304</v>
      </c>
      <c r="AE513" s="41">
        <f t="shared" si="142"/>
        <v>0.41270359244080579</v>
      </c>
      <c r="AF513">
        <f t="shared" si="143"/>
        <v>1.9065414285714291</v>
      </c>
      <c r="AG513">
        <f t="shared" si="144"/>
        <v>0.1063671428571427</v>
      </c>
      <c r="AH513">
        <f t="shared" si="145"/>
        <v>6.1449999999999996</v>
      </c>
      <c r="AI513">
        <f>HLOOKUP(HLOOKUP(G513,'THP2'!$B$4:$J$8,5,FALSE),'Fuel &amp; Resister'!$B$3:$G$6,4,FALSE)</f>
        <v>1.7552248062015501</v>
      </c>
      <c r="AJ513" s="41">
        <f>HLOOKUP(HLOOKUP(G513,'THP2'!$B$4:$J$8,5,FALSE),'Fuel &amp; Resister'!$B$3:$G$6,3,FALSE)</f>
        <v>6.1345057489290813</v>
      </c>
      <c r="AO513" s="62">
        <v>0</v>
      </c>
      <c r="AP513" s="62">
        <v>0</v>
      </c>
    </row>
    <row r="514" spans="2:42" x14ac:dyDescent="0.15">
      <c r="B514" s="79" t="s">
        <v>583</v>
      </c>
      <c r="C514" s="61">
        <f>VLOOKUP(B514,[1]SYS!$F$5:$G$359,2,FALSE)</f>
        <v>39</v>
      </c>
      <c r="D514" s="1" t="s">
        <v>23</v>
      </c>
      <c r="E514" s="42" t="s">
        <v>61</v>
      </c>
      <c r="F514" s="63" t="s">
        <v>488</v>
      </c>
      <c r="G514" s="1">
        <v>5</v>
      </c>
      <c r="H514" s="1">
        <f t="shared" si="136"/>
        <v>0.35</v>
      </c>
      <c r="I514" s="1">
        <f t="shared" si="137"/>
        <v>0.6</v>
      </c>
      <c r="J514" s="1">
        <f t="shared" si="135"/>
        <v>5.589999999999995E-2</v>
      </c>
      <c r="K514" s="1">
        <f t="shared" si="138"/>
        <v>2.44598</v>
      </c>
      <c r="L514" s="1">
        <f t="shared" si="139"/>
        <v>2.1020100000000004</v>
      </c>
      <c r="M514" s="49">
        <f t="shared" si="140"/>
        <v>2.528909521631034</v>
      </c>
      <c r="N514" s="49">
        <v>6.1449999999999996</v>
      </c>
      <c r="O514" s="6">
        <v>305</v>
      </c>
      <c r="P514" s="51">
        <v>0.05</v>
      </c>
      <c r="Q514" s="51">
        <v>8</v>
      </c>
      <c r="R514" s="51">
        <v>1</v>
      </c>
      <c r="S514" s="1">
        <v>1</v>
      </c>
      <c r="T514" s="1">
        <v>0</v>
      </c>
      <c r="U514" s="47">
        <v>0</v>
      </c>
      <c r="V514" s="47">
        <v>11</v>
      </c>
      <c r="W514" s="41">
        <v>210</v>
      </c>
      <c r="X514">
        <v>600</v>
      </c>
      <c r="Y514">
        <v>0.94410000000000005</v>
      </c>
      <c r="Z514">
        <v>2445.98</v>
      </c>
      <c r="AA514">
        <v>2102.0100000000002</v>
      </c>
      <c r="AB514">
        <v>614.5</v>
      </c>
      <c r="AC514">
        <v>55</v>
      </c>
      <c r="AD514" s="41">
        <f t="shared" si="141"/>
        <v>0.35159731477771689</v>
      </c>
      <c r="AE514" s="41">
        <f t="shared" si="142"/>
        <v>0.40913221154989748</v>
      </c>
      <c r="AF514">
        <f t="shared" si="143"/>
        <v>1.9167953846153851</v>
      </c>
      <c r="AG514">
        <f t="shared" si="144"/>
        <v>0.11112876923076916</v>
      </c>
      <c r="AH514">
        <f t="shared" si="145"/>
        <v>6.1449999999999996</v>
      </c>
      <c r="AI514">
        <f>HLOOKUP(HLOOKUP(G514,'THP2'!$B$4:$J$8,5,FALSE),'Fuel &amp; Resister'!$B$3:$G$6,4,FALSE)</f>
        <v>1.7552248062015501</v>
      </c>
      <c r="AJ514" s="41">
        <f>HLOOKUP(HLOOKUP(G514,'THP2'!$B$4:$J$8,5,FALSE),'Fuel &amp; Resister'!$B$3:$G$6,3,FALSE)</f>
        <v>6.1345057489290813</v>
      </c>
      <c r="AO514" s="62">
        <v>0</v>
      </c>
      <c r="AP514" s="62">
        <v>0</v>
      </c>
    </row>
    <row r="515" spans="2:42" x14ac:dyDescent="0.15">
      <c r="B515" s="79" t="s">
        <v>585</v>
      </c>
      <c r="C515" s="61">
        <f>VLOOKUP(B515,[1]SYS!$F$5:$G$359,2,FALSE)</f>
        <v>37</v>
      </c>
      <c r="D515" s="1" t="s">
        <v>23</v>
      </c>
      <c r="E515" s="42" t="s">
        <v>62</v>
      </c>
      <c r="F515" s="63" t="s">
        <v>475</v>
      </c>
      <c r="G515" s="1">
        <v>5</v>
      </c>
      <c r="H515" s="1">
        <f t="shared" si="136"/>
        <v>0.16400000000000001</v>
      </c>
      <c r="I515" s="1">
        <f t="shared" si="137"/>
        <v>1</v>
      </c>
      <c r="J515" s="1">
        <f t="shared" si="135"/>
        <v>5.6100000000000039E-2</v>
      </c>
      <c r="K515" s="1">
        <f t="shared" si="138"/>
        <v>2.9920999999999998</v>
      </c>
      <c r="L515" s="1">
        <f t="shared" si="139"/>
        <v>2.1142099999999999</v>
      </c>
      <c r="M515" s="49">
        <f t="shared" si="140"/>
        <v>4.2393120550707399</v>
      </c>
      <c r="N515" s="49">
        <v>15</v>
      </c>
      <c r="O515" s="1">
        <v>903</v>
      </c>
      <c r="P515" s="51">
        <v>0.05</v>
      </c>
      <c r="Q515" s="51">
        <v>8</v>
      </c>
      <c r="R515" s="51">
        <v>1</v>
      </c>
      <c r="S515" s="1">
        <v>1</v>
      </c>
      <c r="T515" s="1">
        <v>0</v>
      </c>
      <c r="U515" s="47">
        <v>0</v>
      </c>
      <c r="V515" s="47">
        <v>12</v>
      </c>
      <c r="W515" s="41">
        <v>164</v>
      </c>
      <c r="X515">
        <v>1000</v>
      </c>
      <c r="Y515">
        <v>0.94389999999999996</v>
      </c>
      <c r="Z515">
        <v>2992.1</v>
      </c>
      <c r="AA515">
        <v>2114.21</v>
      </c>
      <c r="AB515">
        <v>1500</v>
      </c>
      <c r="AC515">
        <v>55</v>
      </c>
      <c r="AD515" s="41">
        <f t="shared" si="141"/>
        <v>0.28742354867818587</v>
      </c>
      <c r="AE515" s="41">
        <f t="shared" si="142"/>
        <v>0.40677132356766826</v>
      </c>
      <c r="AF515">
        <f t="shared" si="143"/>
        <v>1.9419923444976075</v>
      </c>
      <c r="AG515">
        <f t="shared" si="144"/>
        <v>0.17221765550239243</v>
      </c>
      <c r="AH515">
        <f t="shared" si="145"/>
        <v>15</v>
      </c>
      <c r="AI515">
        <f>HLOOKUP(HLOOKUP(G515,'THP2'!$B$4:$J$8,5,FALSE),'Fuel &amp; Resister'!$B$3:$G$6,4,FALSE)</f>
        <v>1.7552248062015501</v>
      </c>
      <c r="AJ515" s="41">
        <f>HLOOKUP(HLOOKUP(G515,'THP2'!$B$4:$J$8,5,FALSE),'Fuel &amp; Resister'!$B$3:$G$6,3,FALSE)</f>
        <v>6.1345057489290813</v>
      </c>
      <c r="AO515" s="62">
        <v>0</v>
      </c>
      <c r="AP515" s="62">
        <v>0</v>
      </c>
    </row>
    <row r="516" spans="2:42" x14ac:dyDescent="0.15">
      <c r="B516" s="79" t="s">
        <v>585</v>
      </c>
      <c r="C516" s="61">
        <f>VLOOKUP(B516,[1]SYS!$F$5:$G$359,2,FALSE)</f>
        <v>37</v>
      </c>
      <c r="D516" s="1" t="s">
        <v>23</v>
      </c>
      <c r="E516" s="42" t="s">
        <v>63</v>
      </c>
      <c r="F516" s="63" t="s">
        <v>475</v>
      </c>
      <c r="G516" s="1">
        <v>5</v>
      </c>
      <c r="H516" s="1">
        <f t="shared" si="136"/>
        <v>0.16400000000000001</v>
      </c>
      <c r="I516" s="1">
        <f t="shared" si="137"/>
        <v>1</v>
      </c>
      <c r="J516" s="1">
        <f t="shared" si="135"/>
        <v>5.7899999999999952E-2</v>
      </c>
      <c r="K516" s="1">
        <f t="shared" si="138"/>
        <v>3.0019899999999997</v>
      </c>
      <c r="L516" s="1">
        <f t="shared" si="139"/>
        <v>2.1212</v>
      </c>
      <c r="M516" s="49">
        <f t="shared" si="140"/>
        <v>4.253328066377537</v>
      </c>
      <c r="N516" s="49">
        <v>15</v>
      </c>
      <c r="O516" s="1">
        <v>403</v>
      </c>
      <c r="P516" s="51">
        <v>0.05</v>
      </c>
      <c r="Q516" s="51">
        <v>8</v>
      </c>
      <c r="R516" s="51">
        <v>1</v>
      </c>
      <c r="S516" s="1">
        <v>1</v>
      </c>
      <c r="T516" s="1">
        <v>0</v>
      </c>
      <c r="U516" s="47">
        <v>0</v>
      </c>
      <c r="V516" s="47">
        <v>13</v>
      </c>
      <c r="W516" s="41">
        <v>164</v>
      </c>
      <c r="X516">
        <v>1000</v>
      </c>
      <c r="Y516">
        <v>0.94210000000000005</v>
      </c>
      <c r="Z516">
        <v>3001.99</v>
      </c>
      <c r="AA516">
        <v>2121.1999999999998</v>
      </c>
      <c r="AB516">
        <v>1500</v>
      </c>
      <c r="AC516">
        <v>55</v>
      </c>
      <c r="AD516" s="41">
        <f t="shared" si="141"/>
        <v>0.28647663716401456</v>
      </c>
      <c r="AE516" s="41">
        <f t="shared" si="142"/>
        <v>0.40543088817650391</v>
      </c>
      <c r="AF516">
        <f t="shared" si="143"/>
        <v>1.9484134449760768</v>
      </c>
      <c r="AG516">
        <f t="shared" si="144"/>
        <v>0.17278655502392315</v>
      </c>
      <c r="AH516">
        <f t="shared" si="145"/>
        <v>15</v>
      </c>
      <c r="AI516">
        <f>HLOOKUP(HLOOKUP(G516,'THP2'!$B$4:$J$8,5,FALSE),'Fuel &amp; Resister'!$B$3:$G$6,4,FALSE)</f>
        <v>1.7552248062015501</v>
      </c>
      <c r="AJ516" s="41">
        <f>HLOOKUP(HLOOKUP(G516,'THP2'!$B$4:$J$8,5,FALSE),'Fuel &amp; Resister'!$B$3:$G$6,3,FALSE)</f>
        <v>6.1345057489290813</v>
      </c>
      <c r="AO516" s="62">
        <v>0</v>
      </c>
      <c r="AP516" s="62">
        <v>0</v>
      </c>
    </row>
    <row r="517" spans="2:42" x14ac:dyDescent="0.15">
      <c r="B517" s="79" t="s">
        <v>586</v>
      </c>
      <c r="C517" s="61">
        <f>VLOOKUP(B517,[1]SYS!$F$5:$G$359,2,FALSE)</f>
        <v>46</v>
      </c>
      <c r="D517" s="1" t="s">
        <v>23</v>
      </c>
      <c r="E517" s="65" t="s">
        <v>64</v>
      </c>
      <c r="F517" s="63" t="s">
        <v>532</v>
      </c>
      <c r="G517" s="1">
        <v>5</v>
      </c>
      <c r="H517" s="1">
        <f t="shared" si="136"/>
        <v>0.30201342281879195</v>
      </c>
      <c r="I517" s="1">
        <f t="shared" si="137"/>
        <v>0.14899999999999999</v>
      </c>
      <c r="J517" s="1">
        <f t="shared" si="135"/>
        <v>6.2000000000000055E-2</v>
      </c>
      <c r="K517" s="1">
        <f t="shared" si="138"/>
        <v>2.5709899999999997</v>
      </c>
      <c r="L517" s="1">
        <f t="shared" si="139"/>
        <v>2.1451700000000002</v>
      </c>
      <c r="M517" s="49">
        <f t="shared" si="140"/>
        <v>0.64090734181336695</v>
      </c>
      <c r="N517" s="49">
        <v>1.1919999999999999</v>
      </c>
      <c r="O517" s="1">
        <v>200</v>
      </c>
      <c r="P517" s="51">
        <v>0</v>
      </c>
      <c r="Q517" s="51">
        <v>8</v>
      </c>
      <c r="R517" s="51">
        <v>1</v>
      </c>
      <c r="S517" s="1">
        <v>1</v>
      </c>
      <c r="T517" s="1">
        <v>0</v>
      </c>
      <c r="U517" s="47">
        <v>1</v>
      </c>
      <c r="V517" s="47">
        <v>14</v>
      </c>
      <c r="W517" s="41">
        <v>45</v>
      </c>
      <c r="X517">
        <v>149</v>
      </c>
      <c r="Y517">
        <v>0.93799999999999994</v>
      </c>
      <c r="Z517">
        <v>2570.9899999999998</v>
      </c>
      <c r="AA517">
        <v>2145.17</v>
      </c>
      <c r="AB517">
        <v>119.2</v>
      </c>
      <c r="AC517">
        <v>55</v>
      </c>
      <c r="AD517" s="41">
        <f t="shared" si="141"/>
        <v>0.33450149553284925</v>
      </c>
      <c r="AE517" s="41">
        <f t="shared" si="142"/>
        <v>0.40090062792226255</v>
      </c>
      <c r="AF517">
        <f t="shared" si="143"/>
        <v>1.9609209615384622</v>
      </c>
      <c r="AG517">
        <f t="shared" si="144"/>
        <v>2.7453106730769169E-2</v>
      </c>
      <c r="AH517">
        <f t="shared" si="145"/>
        <v>1.1919999999999999</v>
      </c>
      <c r="AI517">
        <f>HLOOKUP(HLOOKUP(G517,'THP2'!$B$4:$J$8,5,FALSE),'Fuel &amp; Resister'!$B$3:$G$6,4,FALSE)</f>
        <v>1.7552248062015501</v>
      </c>
      <c r="AJ517" s="41">
        <f>HLOOKUP(HLOOKUP(G517,'THP2'!$B$4:$J$8,5,FALSE),'Fuel &amp; Resister'!$B$3:$G$6,3,FALSE)</f>
        <v>6.1345057489290813</v>
      </c>
      <c r="AO517" s="1">
        <v>1</v>
      </c>
      <c r="AP517" s="1">
        <v>1</v>
      </c>
    </row>
    <row r="518" spans="2:42" x14ac:dyDescent="0.15">
      <c r="B518" s="79" t="s">
        <v>587</v>
      </c>
      <c r="C518" s="61">
        <f>VLOOKUP(B518,[1]SYS!$F$5:$G$359,2,FALSE)</f>
        <v>47</v>
      </c>
      <c r="D518" s="1" t="s">
        <v>23</v>
      </c>
      <c r="E518" s="65" t="s">
        <v>65</v>
      </c>
      <c r="F518" s="63" t="s">
        <v>534</v>
      </c>
      <c r="G518" s="1">
        <v>5</v>
      </c>
      <c r="H518" s="1">
        <f t="shared" si="136"/>
        <v>0.30097087378640774</v>
      </c>
      <c r="I518" s="1">
        <f t="shared" si="137"/>
        <v>0.10299999999999999</v>
      </c>
      <c r="J518" s="1">
        <f t="shared" si="135"/>
        <v>0</v>
      </c>
      <c r="K518" s="1">
        <f t="shared" si="138"/>
        <v>2.6005400000000001</v>
      </c>
      <c r="L518" s="1">
        <f t="shared" si="139"/>
        <v>2.1698300000000001</v>
      </c>
      <c r="M518" s="49">
        <f t="shared" si="140"/>
        <v>0.44813637579747373</v>
      </c>
      <c r="N518" s="49">
        <v>0.82400000000000007</v>
      </c>
      <c r="O518" s="1">
        <v>504</v>
      </c>
      <c r="P518" s="51">
        <v>0</v>
      </c>
      <c r="Q518" s="51">
        <v>8</v>
      </c>
      <c r="R518" s="51">
        <v>1</v>
      </c>
      <c r="S518" s="1">
        <v>1</v>
      </c>
      <c r="T518" s="1">
        <v>0</v>
      </c>
      <c r="U518" s="47">
        <v>1</v>
      </c>
      <c r="V518" s="47">
        <v>15</v>
      </c>
      <c r="W518" s="41">
        <v>31</v>
      </c>
      <c r="X518">
        <v>103</v>
      </c>
      <c r="Y518">
        <v>1</v>
      </c>
      <c r="Z518">
        <v>2600.54</v>
      </c>
      <c r="AA518">
        <v>2169.83</v>
      </c>
      <c r="AB518">
        <v>82.4</v>
      </c>
      <c r="AC518">
        <v>55</v>
      </c>
      <c r="AD518" s="41">
        <f t="shared" si="141"/>
        <v>0.33070054680950883</v>
      </c>
      <c r="AE518" s="41">
        <f t="shared" si="142"/>
        <v>0.39634441407852228</v>
      </c>
      <c r="AF518">
        <f t="shared" si="143"/>
        <v>1.984385416666667</v>
      </c>
      <c r="AG518">
        <f t="shared" si="144"/>
        <v>1.9100792083333311E-2</v>
      </c>
      <c r="AH518">
        <f t="shared" si="145"/>
        <v>0.82400000000000007</v>
      </c>
      <c r="AI518">
        <f>HLOOKUP(HLOOKUP(G518,'THP2'!$B$4:$J$8,5,FALSE),'Fuel &amp; Resister'!$B$3:$G$6,4,FALSE)</f>
        <v>1.7552248062015501</v>
      </c>
      <c r="AJ518" s="41">
        <f>HLOOKUP(HLOOKUP(G518,'THP2'!$B$4:$J$8,5,FALSE),'Fuel &amp; Resister'!$B$3:$G$6,3,FALSE)</f>
        <v>6.1345057489290813</v>
      </c>
      <c r="AO518" s="1">
        <v>1</v>
      </c>
      <c r="AP518" s="1">
        <v>1</v>
      </c>
    </row>
    <row r="519" spans="2:42" x14ac:dyDescent="0.15">
      <c r="B519" s="79" t="s">
        <v>587</v>
      </c>
      <c r="C519" s="61">
        <f>VLOOKUP(B519,[1]SYS!$F$5:$G$359,2,FALSE)</f>
        <v>47</v>
      </c>
      <c r="D519" s="1" t="s">
        <v>23</v>
      </c>
      <c r="E519" s="65" t="s">
        <v>66</v>
      </c>
      <c r="F519" s="42"/>
      <c r="G519" s="1">
        <v>5</v>
      </c>
      <c r="H519" s="1">
        <f t="shared" si="136"/>
        <v>0.30476190476190479</v>
      </c>
      <c r="I519" s="1">
        <f t="shared" si="137"/>
        <v>0.105</v>
      </c>
      <c r="J519" s="1">
        <f t="shared" si="135"/>
        <v>0</v>
      </c>
      <c r="K519" s="1">
        <f t="shared" si="138"/>
        <v>2.6005400000000001</v>
      </c>
      <c r="L519" s="1">
        <f t="shared" si="139"/>
        <v>2.1698300000000001</v>
      </c>
      <c r="M519" s="49">
        <f t="shared" si="140"/>
        <v>0.45683805299742464</v>
      </c>
      <c r="N519" s="49">
        <v>0.84</v>
      </c>
      <c r="O519" s="1">
        <v>1106</v>
      </c>
      <c r="P519" s="51">
        <v>0</v>
      </c>
      <c r="Q519" s="51">
        <v>8</v>
      </c>
      <c r="R519" s="51">
        <v>1</v>
      </c>
      <c r="S519" s="1">
        <v>1</v>
      </c>
      <c r="T519" s="1">
        <v>0</v>
      </c>
      <c r="U519" s="47">
        <v>1</v>
      </c>
      <c r="V519" s="47">
        <v>16</v>
      </c>
      <c r="W519" s="41">
        <v>32</v>
      </c>
      <c r="X519">
        <v>105</v>
      </c>
      <c r="Y519">
        <v>1</v>
      </c>
      <c r="Z519">
        <v>2600.54</v>
      </c>
      <c r="AA519">
        <v>2169.83</v>
      </c>
      <c r="AB519">
        <v>84</v>
      </c>
      <c r="AC519">
        <v>55</v>
      </c>
      <c r="AD519" s="41">
        <f t="shared" si="141"/>
        <v>0.33070054680950883</v>
      </c>
      <c r="AE519" s="41">
        <f t="shared" si="142"/>
        <v>0.39634441407852228</v>
      </c>
      <c r="AF519">
        <f t="shared" si="143"/>
        <v>1.9810256164383564</v>
      </c>
      <c r="AG519">
        <f t="shared" si="144"/>
        <v>1.9824460273972593E-2</v>
      </c>
      <c r="AH519">
        <f t="shared" si="145"/>
        <v>0.84</v>
      </c>
      <c r="AI519">
        <f>HLOOKUP(HLOOKUP(G519,'THP2'!$B$4:$J$8,5,FALSE),'Fuel &amp; Resister'!$B$3:$G$6,4,FALSE)</f>
        <v>1.7552248062015501</v>
      </c>
      <c r="AJ519" s="41">
        <f>HLOOKUP(HLOOKUP(G519,'THP2'!$B$4:$J$8,5,FALSE),'Fuel &amp; Resister'!$B$3:$G$6,3,FALSE)</f>
        <v>6.1345057489290813</v>
      </c>
      <c r="AO519" s="1">
        <v>1</v>
      </c>
      <c r="AP519" s="1">
        <v>1</v>
      </c>
    </row>
    <row r="520" spans="2:42" x14ac:dyDescent="0.15">
      <c r="B520" s="79" t="s">
        <v>588</v>
      </c>
      <c r="C520" s="61">
        <f>VLOOKUP(B520,[1]SYS!$F$5:$G$359,2,FALSE)</f>
        <v>43</v>
      </c>
      <c r="D520" s="1" t="s">
        <v>23</v>
      </c>
      <c r="E520" s="42" t="s">
        <v>67</v>
      </c>
      <c r="F520" s="63" t="s">
        <v>531</v>
      </c>
      <c r="G520" s="1">
        <v>5</v>
      </c>
      <c r="H520" s="1">
        <f t="shared" si="136"/>
        <v>0.3014705882352941</v>
      </c>
      <c r="I520" s="1">
        <f t="shared" si="137"/>
        <v>0.13600000000000001</v>
      </c>
      <c r="J520" s="1">
        <f t="shared" si="135"/>
        <v>6.3999999999999946E-2</v>
      </c>
      <c r="K520" s="1">
        <f t="shared" si="138"/>
        <v>2.6215900000000003</v>
      </c>
      <c r="L520" s="1">
        <f t="shared" si="139"/>
        <v>2.1873899999999997</v>
      </c>
      <c r="M520" s="49">
        <f t="shared" si="140"/>
        <v>0.59650267299615523</v>
      </c>
      <c r="N520" s="49">
        <v>1.0880000000000001</v>
      </c>
      <c r="O520" s="1">
        <v>903</v>
      </c>
      <c r="P520" s="51">
        <v>0</v>
      </c>
      <c r="Q520" s="51">
        <v>8</v>
      </c>
      <c r="R520" s="51">
        <v>1</v>
      </c>
      <c r="S520" s="1">
        <v>1</v>
      </c>
      <c r="T520" s="1">
        <v>0</v>
      </c>
      <c r="U520" s="47">
        <v>0</v>
      </c>
      <c r="V520" s="47">
        <v>17</v>
      </c>
      <c r="W520" s="41">
        <v>41</v>
      </c>
      <c r="X520">
        <v>136</v>
      </c>
      <c r="Y520">
        <v>0.93600000000000005</v>
      </c>
      <c r="Z520">
        <v>2621.59</v>
      </c>
      <c r="AA520">
        <v>2187.39</v>
      </c>
      <c r="AB520">
        <v>108.8</v>
      </c>
      <c r="AC520">
        <v>55</v>
      </c>
      <c r="AD520" s="41">
        <f t="shared" si="141"/>
        <v>0.32804519394718468</v>
      </c>
      <c r="AE520" s="41">
        <f t="shared" si="142"/>
        <v>0.39316262760641679</v>
      </c>
      <c r="AF520">
        <f t="shared" si="143"/>
        <v>1.9999984210526314</v>
      </c>
      <c r="AG520">
        <f t="shared" si="144"/>
        <v>2.5485254736842097E-2</v>
      </c>
      <c r="AH520">
        <f t="shared" si="145"/>
        <v>1.0880000000000001</v>
      </c>
      <c r="AI520">
        <f>HLOOKUP(HLOOKUP(G520,'THP2'!$B$4:$J$8,5,FALSE),'Fuel &amp; Resister'!$B$3:$G$6,4,FALSE)</f>
        <v>1.7552248062015501</v>
      </c>
      <c r="AJ520" s="41">
        <f>HLOOKUP(HLOOKUP(G520,'THP2'!$B$4:$J$8,5,FALSE),'Fuel &amp; Resister'!$B$3:$G$6,3,FALSE)</f>
        <v>6.1345057489290813</v>
      </c>
      <c r="AO520" s="62">
        <v>0</v>
      </c>
      <c r="AP520" s="62">
        <v>0</v>
      </c>
    </row>
    <row r="521" spans="2:42" x14ac:dyDescent="0.15">
      <c r="B521" s="79" t="s">
        <v>586</v>
      </c>
      <c r="C521" s="61">
        <f>VLOOKUP(B521,[1]SYS!$F$5:$G$359,2,FALSE)</f>
        <v>46</v>
      </c>
      <c r="D521" s="1" t="s">
        <v>23</v>
      </c>
      <c r="E521" s="65" t="s">
        <v>68</v>
      </c>
      <c r="F521" s="63" t="s">
        <v>533</v>
      </c>
      <c r="G521" s="1">
        <v>5</v>
      </c>
      <c r="H521" s="1">
        <f t="shared" si="136"/>
        <v>0.30181818181818182</v>
      </c>
      <c r="I521" s="1">
        <f t="shared" si="137"/>
        <v>0.27500000000000002</v>
      </c>
      <c r="J521" s="1">
        <f t="shared" si="135"/>
        <v>6.2000000000000055E-2</v>
      </c>
      <c r="K521" s="1">
        <f t="shared" si="138"/>
        <v>2.6271900000000001</v>
      </c>
      <c r="L521" s="1">
        <f t="shared" si="139"/>
        <v>2.1920700000000002</v>
      </c>
      <c r="M521" s="49">
        <f t="shared" si="140"/>
        <v>1.2087441235987451</v>
      </c>
      <c r="N521" s="49">
        <v>2.4525000000000001</v>
      </c>
      <c r="O521" s="1">
        <v>1202</v>
      </c>
      <c r="P521" s="51">
        <v>0</v>
      </c>
      <c r="Q521" s="51">
        <v>8</v>
      </c>
      <c r="R521" s="51">
        <v>1</v>
      </c>
      <c r="S521" s="1">
        <v>1</v>
      </c>
      <c r="T521" s="1">
        <v>0</v>
      </c>
      <c r="U521" s="47">
        <v>1</v>
      </c>
      <c r="V521" s="47">
        <v>18</v>
      </c>
      <c r="W521" s="41">
        <v>83</v>
      </c>
      <c r="X521">
        <v>275</v>
      </c>
      <c r="Y521">
        <v>0.93799999999999994</v>
      </c>
      <c r="Z521">
        <v>2627.19</v>
      </c>
      <c r="AA521">
        <v>2192.0700000000002</v>
      </c>
      <c r="AB521">
        <v>245.25</v>
      </c>
      <c r="AC521">
        <v>55</v>
      </c>
      <c r="AD521" s="41">
        <f t="shared" si="141"/>
        <v>0.32734594757135954</v>
      </c>
      <c r="AE521" s="41">
        <f t="shared" si="142"/>
        <v>0.39232323785280576</v>
      </c>
      <c r="AF521">
        <f t="shared" si="143"/>
        <v>2.0039712499999998</v>
      </c>
      <c r="AG521">
        <f t="shared" si="144"/>
        <v>5.1727156250000121E-2</v>
      </c>
      <c r="AH521">
        <f t="shared" si="145"/>
        <v>2.4525000000000001</v>
      </c>
      <c r="AI521">
        <f>HLOOKUP(HLOOKUP(G521,'THP2'!$B$4:$J$8,5,FALSE),'Fuel &amp; Resister'!$B$3:$G$6,4,FALSE)</f>
        <v>1.7552248062015501</v>
      </c>
      <c r="AJ521" s="41">
        <f>HLOOKUP(HLOOKUP(G521,'THP2'!$B$4:$J$8,5,FALSE),'Fuel &amp; Resister'!$B$3:$G$6,3,FALSE)</f>
        <v>6.1345057489290813</v>
      </c>
      <c r="AO521" s="1">
        <v>1</v>
      </c>
      <c r="AP521" s="1">
        <v>1</v>
      </c>
    </row>
    <row r="522" spans="2:42" x14ac:dyDescent="0.15">
      <c r="B522" s="79" t="s">
        <v>589</v>
      </c>
      <c r="C522" s="61">
        <f>VLOOKUP(B522,[1]SYS!$F$5:$G$359,2,FALSE)</f>
        <v>59</v>
      </c>
      <c r="D522" s="1" t="s">
        <v>23</v>
      </c>
      <c r="E522" s="65" t="s">
        <v>69</v>
      </c>
      <c r="F522" s="63" t="s">
        <v>498</v>
      </c>
      <c r="G522" s="1">
        <v>5</v>
      </c>
      <c r="H522" s="1">
        <f t="shared" si="136"/>
        <v>0.30201342281879195</v>
      </c>
      <c r="I522" s="1">
        <f t="shared" si="137"/>
        <v>0.14899999999999999</v>
      </c>
      <c r="J522" s="1">
        <f t="shared" si="135"/>
        <v>6.0000000000000053E-2</v>
      </c>
      <c r="K522" s="1">
        <f t="shared" si="138"/>
        <v>2.6328</v>
      </c>
      <c r="L522" s="1">
        <f t="shared" si="139"/>
        <v>2.1967399999999997</v>
      </c>
      <c r="M522" s="49">
        <f t="shared" si="140"/>
        <v>0.65631478813105526</v>
      </c>
      <c r="N522" s="49">
        <v>1.1919999999999999</v>
      </c>
      <c r="O522" s="1">
        <v>603</v>
      </c>
      <c r="P522" s="51">
        <v>0</v>
      </c>
      <c r="Q522" s="51">
        <v>8</v>
      </c>
      <c r="R522" s="51">
        <v>1</v>
      </c>
      <c r="S522" s="1">
        <v>1</v>
      </c>
      <c r="T522" s="1">
        <v>0</v>
      </c>
      <c r="U522" s="47">
        <v>1</v>
      </c>
      <c r="V522" s="47">
        <v>19</v>
      </c>
      <c r="W522" s="41">
        <v>45</v>
      </c>
      <c r="X522">
        <v>149</v>
      </c>
      <c r="Y522">
        <v>0.94</v>
      </c>
      <c r="Z522">
        <v>2632.8</v>
      </c>
      <c r="AA522">
        <v>2196.7399999999998</v>
      </c>
      <c r="AB522">
        <v>119.2</v>
      </c>
      <c r="AC522">
        <v>55</v>
      </c>
      <c r="AD522" s="41">
        <f t="shared" si="141"/>
        <v>0.32664843512610148</v>
      </c>
      <c r="AE522" s="41">
        <f t="shared" si="142"/>
        <v>0.39148920673361437</v>
      </c>
      <c r="AF522">
        <f t="shared" si="143"/>
        <v>2.0080601923076919</v>
      </c>
      <c r="AG522">
        <f t="shared" si="144"/>
        <v>2.8113291346153854E-2</v>
      </c>
      <c r="AH522">
        <f t="shared" si="145"/>
        <v>1.1919999999999999</v>
      </c>
      <c r="AI522">
        <f>HLOOKUP(HLOOKUP(G522,'THP2'!$B$4:$J$8,5,FALSE),'Fuel &amp; Resister'!$B$3:$G$6,4,FALSE)</f>
        <v>1.7552248062015501</v>
      </c>
      <c r="AJ522" s="41">
        <f>HLOOKUP(HLOOKUP(G522,'THP2'!$B$4:$J$8,5,FALSE),'Fuel &amp; Resister'!$B$3:$G$6,3,FALSE)</f>
        <v>6.1345057489290813</v>
      </c>
      <c r="AO522" s="1">
        <v>1</v>
      </c>
      <c r="AP522" s="1">
        <v>1</v>
      </c>
    </row>
    <row r="523" spans="2:42" x14ac:dyDescent="0.15">
      <c r="B523" s="79" t="s">
        <v>587</v>
      </c>
      <c r="C523" s="61">
        <f>VLOOKUP(B523,[1]SYS!$F$5:$G$359,2,FALSE)</f>
        <v>47</v>
      </c>
      <c r="D523" s="1" t="s">
        <v>23</v>
      </c>
      <c r="E523" s="65" t="s">
        <v>70</v>
      </c>
      <c r="F523" s="63" t="s">
        <v>502</v>
      </c>
      <c r="G523" s="1">
        <v>5</v>
      </c>
      <c r="H523" s="1">
        <f t="shared" si="136"/>
        <v>0.30357142857142855</v>
      </c>
      <c r="I523" s="1">
        <f t="shared" si="137"/>
        <v>5.6000000000000001E-2</v>
      </c>
      <c r="J523" s="1">
        <f t="shared" si="135"/>
        <v>0.4</v>
      </c>
      <c r="K523" s="1">
        <f t="shared" si="138"/>
        <v>2.94489</v>
      </c>
      <c r="L523" s="1">
        <f t="shared" si="139"/>
        <v>2.4571399999999999</v>
      </c>
      <c r="M523" s="49">
        <f t="shared" si="140"/>
        <v>0.27590857128090635</v>
      </c>
      <c r="N523" s="49">
        <v>0.44799999999999995</v>
      </c>
      <c r="O523" s="1">
        <v>601</v>
      </c>
      <c r="P523" s="51">
        <v>0</v>
      </c>
      <c r="Q523" s="51">
        <v>8</v>
      </c>
      <c r="R523" s="51">
        <v>1</v>
      </c>
      <c r="S523" s="1">
        <v>1</v>
      </c>
      <c r="T523" s="1">
        <v>0</v>
      </c>
      <c r="U523" s="47">
        <v>1</v>
      </c>
      <c r="V523" s="47">
        <v>20</v>
      </c>
      <c r="W523" s="41">
        <v>17</v>
      </c>
      <c r="X523">
        <v>56</v>
      </c>
      <c r="Y523">
        <v>0.6</v>
      </c>
      <c r="Z523">
        <v>2944.89</v>
      </c>
      <c r="AA523">
        <v>2457.14</v>
      </c>
      <c r="AB523">
        <v>44.8</v>
      </c>
      <c r="AC523">
        <v>55</v>
      </c>
      <c r="AD523" s="41">
        <f t="shared" si="141"/>
        <v>0.29203128130422529</v>
      </c>
      <c r="AE523" s="41">
        <f t="shared" si="142"/>
        <v>0.35000040697721746</v>
      </c>
      <c r="AF523">
        <f t="shared" si="143"/>
        <v>2.2445310256410256</v>
      </c>
      <c r="AG523">
        <f t="shared" si="144"/>
        <v>1.1906102564102562E-2</v>
      </c>
      <c r="AH523">
        <f t="shared" si="145"/>
        <v>0.44799999999999995</v>
      </c>
      <c r="AI523">
        <f>HLOOKUP(HLOOKUP(G523,'THP2'!$B$4:$J$8,5,FALSE),'Fuel &amp; Resister'!$B$3:$G$6,4,FALSE)</f>
        <v>1.7552248062015501</v>
      </c>
      <c r="AJ523" s="41">
        <f>HLOOKUP(HLOOKUP(G523,'THP2'!$B$4:$J$8,5,FALSE),'Fuel &amp; Resister'!$B$3:$G$6,3,FALSE)</f>
        <v>6.1345057489290813</v>
      </c>
      <c r="AO523" s="1">
        <v>1</v>
      </c>
      <c r="AP523" s="1">
        <v>1</v>
      </c>
    </row>
    <row r="524" spans="2:42" x14ac:dyDescent="0.15">
      <c r="B524" s="79" t="s">
        <v>590</v>
      </c>
      <c r="C524" s="61">
        <f>VLOOKUP(B524,[1]SYS!$F$5:$G$359,2,FALSE)</f>
        <v>64</v>
      </c>
      <c r="D524" s="1" t="s">
        <v>23</v>
      </c>
      <c r="E524" s="42" t="s">
        <v>71</v>
      </c>
      <c r="F524" s="42"/>
      <c r="G524" s="1">
        <v>5</v>
      </c>
      <c r="H524" s="1">
        <f t="shared" si="136"/>
        <v>0.3</v>
      </c>
      <c r="I524" s="1">
        <f t="shared" si="137"/>
        <v>1</v>
      </c>
      <c r="J524" s="1">
        <f t="shared" si="135"/>
        <v>6.2000000000000055E-2</v>
      </c>
      <c r="K524" s="1">
        <f t="shared" si="138"/>
        <v>2.40035</v>
      </c>
      <c r="L524" s="1">
        <f t="shared" si="139"/>
        <v>2.0027900000000001</v>
      </c>
      <c r="M524" s="49">
        <f t="shared" si="140"/>
        <v>4.0158980379314873</v>
      </c>
      <c r="N524" s="49">
        <v>15</v>
      </c>
      <c r="O524" s="1">
        <v>403</v>
      </c>
      <c r="P524" s="51">
        <v>0.05</v>
      </c>
      <c r="Q524" s="51">
        <v>8</v>
      </c>
      <c r="R524" s="51">
        <v>1</v>
      </c>
      <c r="S524" s="1">
        <v>1</v>
      </c>
      <c r="T524" s="1">
        <v>0</v>
      </c>
      <c r="U524" s="47">
        <v>0</v>
      </c>
      <c r="V524" s="47">
        <v>21</v>
      </c>
      <c r="W524" s="41">
        <v>300</v>
      </c>
      <c r="X524">
        <v>1000</v>
      </c>
      <c r="Y524">
        <v>0.93799999999999994</v>
      </c>
      <c r="Z524">
        <v>2400.35</v>
      </c>
      <c r="AA524">
        <v>2002.79</v>
      </c>
      <c r="AB524">
        <v>1500</v>
      </c>
      <c r="AC524">
        <v>55</v>
      </c>
      <c r="AD524" s="41">
        <f t="shared" si="141"/>
        <v>0.35828108400858211</v>
      </c>
      <c r="AE524" s="41">
        <f t="shared" si="142"/>
        <v>0.42940098562505302</v>
      </c>
      <c r="AF524">
        <f t="shared" si="143"/>
        <v>1.8324071428571431</v>
      </c>
      <c r="AG524">
        <f t="shared" si="144"/>
        <v>0.17038285714285695</v>
      </c>
      <c r="AH524">
        <f t="shared" si="145"/>
        <v>15</v>
      </c>
      <c r="AI524">
        <f>HLOOKUP(HLOOKUP(G524,'THP2'!$B$4:$J$8,5,FALSE),'Fuel &amp; Resister'!$B$3:$G$6,4,FALSE)</f>
        <v>1.7552248062015501</v>
      </c>
      <c r="AJ524" s="41">
        <f>HLOOKUP(HLOOKUP(G524,'THP2'!$B$4:$J$8,5,FALSE),'Fuel &amp; Resister'!$B$3:$G$6,3,FALSE)</f>
        <v>6.1345057489290813</v>
      </c>
      <c r="AO524" s="62">
        <v>0</v>
      </c>
      <c r="AP524" s="62">
        <v>0</v>
      </c>
    </row>
    <row r="525" spans="2:42" x14ac:dyDescent="0.15">
      <c r="B525" s="79" t="s">
        <v>590</v>
      </c>
      <c r="C525" s="61">
        <f>VLOOKUP(B525,[1]SYS!$F$5:$G$359,2,FALSE)</f>
        <v>64</v>
      </c>
      <c r="D525" s="1" t="s">
        <v>23</v>
      </c>
      <c r="E525" s="42" t="s">
        <v>71</v>
      </c>
      <c r="F525" s="42"/>
      <c r="G525" s="1">
        <v>5</v>
      </c>
      <c r="H525" s="1">
        <f t="shared" si="136"/>
        <v>0.3</v>
      </c>
      <c r="I525" s="1">
        <f t="shared" si="137"/>
        <v>1</v>
      </c>
      <c r="J525" s="1">
        <f t="shared" si="135"/>
        <v>6.2000000000000055E-2</v>
      </c>
      <c r="K525" s="1">
        <f t="shared" si="138"/>
        <v>2.40035</v>
      </c>
      <c r="L525" s="1">
        <f t="shared" si="139"/>
        <v>2.0027900000000001</v>
      </c>
      <c r="M525" s="49">
        <f t="shared" si="140"/>
        <v>4.0158980379314873</v>
      </c>
      <c r="N525" s="49">
        <v>15</v>
      </c>
      <c r="O525" s="1">
        <v>504</v>
      </c>
      <c r="P525" s="51">
        <v>0.05</v>
      </c>
      <c r="Q525" s="51">
        <v>8</v>
      </c>
      <c r="R525" s="51">
        <v>1</v>
      </c>
      <c r="S525" s="1">
        <v>1</v>
      </c>
      <c r="T525" s="1">
        <v>0</v>
      </c>
      <c r="U525" s="47">
        <v>0</v>
      </c>
      <c r="V525" s="47">
        <v>22</v>
      </c>
      <c r="W525" s="41">
        <v>300</v>
      </c>
      <c r="X525">
        <v>1000</v>
      </c>
      <c r="Y525">
        <v>0.93799999999999994</v>
      </c>
      <c r="Z525">
        <v>2400.35</v>
      </c>
      <c r="AA525">
        <v>2002.79</v>
      </c>
      <c r="AB525">
        <v>1500</v>
      </c>
      <c r="AC525">
        <v>55</v>
      </c>
      <c r="AD525" s="41">
        <f t="shared" si="141"/>
        <v>0.35828108400858211</v>
      </c>
      <c r="AE525" s="41">
        <f t="shared" si="142"/>
        <v>0.42940098562505302</v>
      </c>
      <c r="AF525">
        <f t="shared" si="143"/>
        <v>1.8324071428571431</v>
      </c>
      <c r="AG525">
        <f t="shared" si="144"/>
        <v>0.17038285714285695</v>
      </c>
      <c r="AH525">
        <f t="shared" si="145"/>
        <v>15</v>
      </c>
      <c r="AI525">
        <f>HLOOKUP(HLOOKUP(G525,'THP2'!$B$4:$J$8,5,FALSE),'Fuel &amp; Resister'!$B$3:$G$6,4,FALSE)</f>
        <v>1.7552248062015501</v>
      </c>
      <c r="AJ525" s="41">
        <f>HLOOKUP(HLOOKUP(G525,'THP2'!$B$4:$J$8,5,FALSE),'Fuel &amp; Resister'!$B$3:$G$6,3,FALSE)</f>
        <v>6.1345057489290813</v>
      </c>
      <c r="AO525" s="62">
        <v>0</v>
      </c>
      <c r="AP525" s="62">
        <v>0</v>
      </c>
    </row>
    <row r="526" spans="2:42" x14ac:dyDescent="0.15">
      <c r="B526" s="79" t="s">
        <v>590</v>
      </c>
      <c r="C526" s="61">
        <f>VLOOKUP(B526,[1]SYS!$F$5:$G$359,2,FALSE)</f>
        <v>64</v>
      </c>
      <c r="D526" s="1" t="s">
        <v>23</v>
      </c>
      <c r="E526" s="42" t="s">
        <v>71</v>
      </c>
      <c r="F526" s="42"/>
      <c r="G526" s="1">
        <v>5</v>
      </c>
      <c r="H526" s="1">
        <f t="shared" si="136"/>
        <v>0.3</v>
      </c>
      <c r="I526" s="1">
        <f t="shared" si="137"/>
        <v>1</v>
      </c>
      <c r="J526" s="1">
        <f t="shared" si="135"/>
        <v>6.2000000000000055E-2</v>
      </c>
      <c r="K526" s="1">
        <f t="shared" si="138"/>
        <v>2.40035</v>
      </c>
      <c r="L526" s="1">
        <f t="shared" si="139"/>
        <v>2.0027900000000001</v>
      </c>
      <c r="M526" s="49">
        <f t="shared" si="140"/>
        <v>4.0158980379314873</v>
      </c>
      <c r="N526" s="49">
        <v>15</v>
      </c>
      <c r="O526" s="1">
        <v>403</v>
      </c>
      <c r="P526" s="51">
        <v>0.05</v>
      </c>
      <c r="Q526" s="51">
        <v>8</v>
      </c>
      <c r="R526" s="51">
        <v>1</v>
      </c>
      <c r="S526" s="1">
        <v>1</v>
      </c>
      <c r="T526" s="1">
        <v>0</v>
      </c>
      <c r="U526" s="47">
        <v>0</v>
      </c>
      <c r="V526" s="47">
        <v>23</v>
      </c>
      <c r="W526" s="41">
        <v>300</v>
      </c>
      <c r="X526">
        <v>1000</v>
      </c>
      <c r="Y526">
        <v>0.93799999999999994</v>
      </c>
      <c r="Z526">
        <v>2400.35</v>
      </c>
      <c r="AA526">
        <v>2002.79</v>
      </c>
      <c r="AB526">
        <v>1500</v>
      </c>
      <c r="AC526">
        <v>55</v>
      </c>
      <c r="AD526" s="41">
        <f t="shared" si="141"/>
        <v>0.35828108400858211</v>
      </c>
      <c r="AE526" s="41">
        <f t="shared" si="142"/>
        <v>0.42940098562505302</v>
      </c>
      <c r="AF526">
        <f t="shared" si="143"/>
        <v>1.8324071428571431</v>
      </c>
      <c r="AG526">
        <f t="shared" si="144"/>
        <v>0.17038285714285695</v>
      </c>
      <c r="AH526">
        <f t="shared" si="145"/>
        <v>15</v>
      </c>
      <c r="AI526">
        <f>HLOOKUP(HLOOKUP(G526,'THP2'!$B$4:$J$8,5,FALSE),'Fuel &amp; Resister'!$B$3:$G$6,4,FALSE)</f>
        <v>1.7552248062015501</v>
      </c>
      <c r="AJ526" s="41">
        <f>HLOOKUP(HLOOKUP(G526,'THP2'!$B$4:$J$8,5,FALSE),'Fuel &amp; Resister'!$B$3:$G$6,3,FALSE)</f>
        <v>6.1345057489290813</v>
      </c>
      <c r="AO526" s="62">
        <v>0</v>
      </c>
      <c r="AP526" s="62">
        <v>0</v>
      </c>
    </row>
    <row r="527" spans="2:42" x14ac:dyDescent="0.15">
      <c r="B527" s="79" t="s">
        <v>590</v>
      </c>
      <c r="C527" s="61">
        <f>VLOOKUP(B527,[1]SYS!$F$5:$G$359,2,FALSE)</f>
        <v>64</v>
      </c>
      <c r="D527" s="1" t="s">
        <v>23</v>
      </c>
      <c r="E527" s="42" t="s">
        <v>71</v>
      </c>
      <c r="F527" s="42"/>
      <c r="G527" s="1">
        <v>5</v>
      </c>
      <c r="H527" s="1">
        <f t="shared" si="136"/>
        <v>0.3</v>
      </c>
      <c r="I527" s="1">
        <f t="shared" si="137"/>
        <v>1</v>
      </c>
      <c r="J527" s="1">
        <f t="shared" si="135"/>
        <v>6.2000000000000055E-2</v>
      </c>
      <c r="K527" s="1">
        <f t="shared" si="138"/>
        <v>2.40035</v>
      </c>
      <c r="L527" s="1">
        <f t="shared" si="139"/>
        <v>2.0027900000000001</v>
      </c>
      <c r="M527" s="49">
        <f t="shared" si="140"/>
        <v>4.0158980379314873</v>
      </c>
      <c r="N527" s="49">
        <v>15</v>
      </c>
      <c r="O527" s="1">
        <v>504</v>
      </c>
      <c r="P527" s="51">
        <v>0.05</v>
      </c>
      <c r="Q527" s="51">
        <v>8</v>
      </c>
      <c r="R527" s="51">
        <v>1</v>
      </c>
      <c r="S527" s="1">
        <v>1</v>
      </c>
      <c r="T527" s="1">
        <v>0</v>
      </c>
      <c r="U527" s="47">
        <v>0</v>
      </c>
      <c r="V527" s="47">
        <v>24</v>
      </c>
      <c r="W527" s="41">
        <v>300</v>
      </c>
      <c r="X527">
        <v>1000</v>
      </c>
      <c r="Y527">
        <v>0.93799999999999994</v>
      </c>
      <c r="Z527">
        <v>2400.35</v>
      </c>
      <c r="AA527">
        <v>2002.79</v>
      </c>
      <c r="AB527">
        <v>1500</v>
      </c>
      <c r="AC527">
        <v>55</v>
      </c>
      <c r="AD527" s="41">
        <f t="shared" si="141"/>
        <v>0.35828108400858211</v>
      </c>
      <c r="AE527" s="41">
        <f t="shared" si="142"/>
        <v>0.42940098562505302</v>
      </c>
      <c r="AF527">
        <f t="shared" si="143"/>
        <v>1.8324071428571431</v>
      </c>
      <c r="AG527">
        <f t="shared" si="144"/>
        <v>0.17038285714285695</v>
      </c>
      <c r="AH527">
        <f t="shared" si="145"/>
        <v>15</v>
      </c>
      <c r="AI527">
        <f>HLOOKUP(HLOOKUP(G527,'THP2'!$B$4:$J$8,5,FALSE),'Fuel &amp; Resister'!$B$3:$G$6,4,FALSE)</f>
        <v>1.7552248062015501</v>
      </c>
      <c r="AJ527" s="41">
        <f>HLOOKUP(HLOOKUP(G527,'THP2'!$B$4:$J$8,5,FALSE),'Fuel &amp; Resister'!$B$3:$G$6,3,FALSE)</f>
        <v>6.1345057489290813</v>
      </c>
      <c r="AO527" s="62">
        <v>0</v>
      </c>
      <c r="AP527" s="62">
        <v>0</v>
      </c>
    </row>
    <row r="528" spans="2:42" x14ac:dyDescent="0.15">
      <c r="B528" s="79" t="s">
        <v>590</v>
      </c>
      <c r="C528" s="61">
        <f>VLOOKUP(B528,[1]SYS!$F$5:$G$359,2,FALSE)</f>
        <v>64</v>
      </c>
      <c r="D528" s="1" t="s">
        <v>23</v>
      </c>
      <c r="E528" s="42" t="s">
        <v>71</v>
      </c>
      <c r="F528" s="42"/>
      <c r="G528" s="1">
        <v>5</v>
      </c>
      <c r="H528" s="1">
        <f t="shared" si="136"/>
        <v>0.3</v>
      </c>
      <c r="I528" s="1">
        <f t="shared" si="137"/>
        <v>1</v>
      </c>
      <c r="J528" s="1">
        <f t="shared" si="135"/>
        <v>6.2000000000000055E-2</v>
      </c>
      <c r="K528" s="1">
        <f t="shared" si="138"/>
        <v>2.40035</v>
      </c>
      <c r="L528" s="1">
        <f t="shared" si="139"/>
        <v>2.0027900000000001</v>
      </c>
      <c r="M528" s="49">
        <f t="shared" si="140"/>
        <v>4.0158980379314873</v>
      </c>
      <c r="N528" s="49">
        <v>15</v>
      </c>
      <c r="O528" s="1">
        <v>403</v>
      </c>
      <c r="P528" s="51">
        <v>0.05</v>
      </c>
      <c r="Q528" s="51">
        <v>8</v>
      </c>
      <c r="R528" s="51">
        <v>1</v>
      </c>
      <c r="S528" s="1">
        <v>1</v>
      </c>
      <c r="T528" s="1">
        <v>0</v>
      </c>
      <c r="U528" s="47">
        <v>0</v>
      </c>
      <c r="V528" s="47">
        <v>25</v>
      </c>
      <c r="W528" s="41">
        <v>300</v>
      </c>
      <c r="X528">
        <v>1000</v>
      </c>
      <c r="Y528">
        <v>0.93799999999999994</v>
      </c>
      <c r="Z528">
        <v>2400.35</v>
      </c>
      <c r="AA528">
        <v>2002.79</v>
      </c>
      <c r="AB528">
        <v>1500</v>
      </c>
      <c r="AC528">
        <v>55</v>
      </c>
      <c r="AD528" s="41">
        <f t="shared" si="141"/>
        <v>0.35828108400858211</v>
      </c>
      <c r="AE528" s="41">
        <f t="shared" si="142"/>
        <v>0.42940098562505302</v>
      </c>
      <c r="AF528">
        <f t="shared" si="143"/>
        <v>1.8324071428571431</v>
      </c>
      <c r="AG528">
        <f t="shared" si="144"/>
        <v>0.17038285714285695</v>
      </c>
      <c r="AH528">
        <f t="shared" si="145"/>
        <v>15</v>
      </c>
      <c r="AI528">
        <f>HLOOKUP(HLOOKUP(G528,'THP2'!$B$4:$J$8,5,FALSE),'Fuel &amp; Resister'!$B$3:$G$6,4,FALSE)</f>
        <v>1.7552248062015501</v>
      </c>
      <c r="AJ528" s="41">
        <f>HLOOKUP(HLOOKUP(G528,'THP2'!$B$4:$J$8,5,FALSE),'Fuel &amp; Resister'!$B$3:$G$6,3,FALSE)</f>
        <v>6.1345057489290813</v>
      </c>
      <c r="AO528" s="62">
        <v>0</v>
      </c>
      <c r="AP528" s="62">
        <v>0</v>
      </c>
    </row>
    <row r="529" spans="2:42" x14ac:dyDescent="0.15">
      <c r="B529" s="79" t="s">
        <v>590</v>
      </c>
      <c r="C529" s="61">
        <f>VLOOKUP(B529,[1]SYS!$F$5:$G$359,2,FALSE)</f>
        <v>64</v>
      </c>
      <c r="D529" s="1" t="s">
        <v>23</v>
      </c>
      <c r="E529" s="42" t="s">
        <v>71</v>
      </c>
      <c r="F529" s="42"/>
      <c r="G529" s="1">
        <v>5</v>
      </c>
      <c r="H529" s="1">
        <f t="shared" si="136"/>
        <v>0.3</v>
      </c>
      <c r="I529" s="1">
        <f t="shared" si="137"/>
        <v>1</v>
      </c>
      <c r="J529" s="1">
        <f t="shared" si="135"/>
        <v>6.2000000000000055E-2</v>
      </c>
      <c r="K529" s="1">
        <f t="shared" si="138"/>
        <v>2.40035</v>
      </c>
      <c r="L529" s="1">
        <f t="shared" si="139"/>
        <v>2.0027900000000001</v>
      </c>
      <c r="M529" s="49">
        <f t="shared" si="140"/>
        <v>4.0158980379314873</v>
      </c>
      <c r="N529" s="49">
        <v>15</v>
      </c>
      <c r="O529" s="1">
        <v>504</v>
      </c>
      <c r="P529" s="51">
        <v>0.05</v>
      </c>
      <c r="Q529" s="51">
        <v>8</v>
      </c>
      <c r="R529" s="51">
        <v>1</v>
      </c>
      <c r="S529" s="1">
        <v>1</v>
      </c>
      <c r="T529" s="1">
        <v>0</v>
      </c>
      <c r="U529" s="47">
        <v>0</v>
      </c>
      <c r="V529" s="47">
        <v>26</v>
      </c>
      <c r="W529" s="41">
        <v>300</v>
      </c>
      <c r="X529">
        <v>1000</v>
      </c>
      <c r="Y529">
        <v>0.93799999999999994</v>
      </c>
      <c r="Z529">
        <v>2400.35</v>
      </c>
      <c r="AA529">
        <v>2002.79</v>
      </c>
      <c r="AB529">
        <v>1500</v>
      </c>
      <c r="AC529">
        <v>55</v>
      </c>
      <c r="AD529" s="41">
        <f t="shared" si="141"/>
        <v>0.35828108400858211</v>
      </c>
      <c r="AE529" s="41">
        <f t="shared" si="142"/>
        <v>0.42940098562505302</v>
      </c>
      <c r="AF529">
        <f t="shared" si="143"/>
        <v>1.8324071428571431</v>
      </c>
      <c r="AG529">
        <f t="shared" si="144"/>
        <v>0.17038285714285695</v>
      </c>
      <c r="AH529">
        <f t="shared" si="145"/>
        <v>15</v>
      </c>
      <c r="AI529">
        <f>HLOOKUP(HLOOKUP(G529,'THP2'!$B$4:$J$8,5,FALSE),'Fuel &amp; Resister'!$B$3:$G$6,4,FALSE)</f>
        <v>1.7552248062015501</v>
      </c>
      <c r="AJ529" s="41">
        <f>HLOOKUP(HLOOKUP(G529,'THP2'!$B$4:$J$8,5,FALSE),'Fuel &amp; Resister'!$B$3:$G$6,3,FALSE)</f>
        <v>6.1345057489290813</v>
      </c>
      <c r="AO529" s="62">
        <v>0</v>
      </c>
      <c r="AP529" s="62">
        <v>0</v>
      </c>
    </row>
    <row r="530" spans="2:42" x14ac:dyDescent="0.15">
      <c r="B530" s="79" t="s">
        <v>590</v>
      </c>
      <c r="C530" s="61">
        <f>VLOOKUP(B530,[1]SYS!$F$5:$G$359,2,FALSE)</f>
        <v>64</v>
      </c>
      <c r="D530" s="1" t="s">
        <v>23</v>
      </c>
      <c r="E530" s="42" t="s">
        <v>71</v>
      </c>
      <c r="F530" s="42"/>
      <c r="G530" s="1">
        <v>5</v>
      </c>
      <c r="H530" s="1">
        <f t="shared" si="136"/>
        <v>0.3</v>
      </c>
      <c r="I530" s="1">
        <f t="shared" si="137"/>
        <v>1</v>
      </c>
      <c r="J530" s="1">
        <f t="shared" si="135"/>
        <v>6.2000000000000055E-2</v>
      </c>
      <c r="K530" s="1">
        <f t="shared" si="138"/>
        <v>2.40035</v>
      </c>
      <c r="L530" s="1">
        <f t="shared" si="139"/>
        <v>2.0027900000000001</v>
      </c>
      <c r="M530" s="49">
        <f t="shared" si="140"/>
        <v>4.0158980379314873</v>
      </c>
      <c r="N530" s="49">
        <v>15</v>
      </c>
      <c r="O530" s="1">
        <v>403</v>
      </c>
      <c r="P530" s="51">
        <v>0.05</v>
      </c>
      <c r="Q530" s="51">
        <v>8</v>
      </c>
      <c r="R530" s="51">
        <v>1</v>
      </c>
      <c r="S530" s="1">
        <v>1</v>
      </c>
      <c r="T530" s="1">
        <v>0</v>
      </c>
      <c r="U530" s="47">
        <v>0</v>
      </c>
      <c r="V530" s="47">
        <v>27</v>
      </c>
      <c r="W530" s="41">
        <v>300</v>
      </c>
      <c r="X530">
        <v>1000</v>
      </c>
      <c r="Y530">
        <v>0.93799999999999994</v>
      </c>
      <c r="Z530">
        <v>2400.35</v>
      </c>
      <c r="AA530">
        <v>2002.79</v>
      </c>
      <c r="AB530">
        <v>1500</v>
      </c>
      <c r="AC530">
        <v>55</v>
      </c>
      <c r="AD530" s="41">
        <f t="shared" si="141"/>
        <v>0.35828108400858211</v>
      </c>
      <c r="AE530" s="41">
        <f t="shared" si="142"/>
        <v>0.42940098562505302</v>
      </c>
      <c r="AF530">
        <f t="shared" si="143"/>
        <v>1.8324071428571431</v>
      </c>
      <c r="AG530">
        <f t="shared" si="144"/>
        <v>0.17038285714285695</v>
      </c>
      <c r="AH530">
        <f t="shared" si="145"/>
        <v>15</v>
      </c>
      <c r="AI530">
        <f>HLOOKUP(HLOOKUP(G530,'THP2'!$B$4:$J$8,5,FALSE),'Fuel &amp; Resister'!$B$3:$G$6,4,FALSE)</f>
        <v>1.7552248062015501</v>
      </c>
      <c r="AJ530" s="41">
        <f>HLOOKUP(HLOOKUP(G530,'THP2'!$B$4:$J$8,5,FALSE),'Fuel &amp; Resister'!$B$3:$G$6,3,FALSE)</f>
        <v>6.1345057489290813</v>
      </c>
      <c r="AO530" s="62">
        <v>0</v>
      </c>
      <c r="AP530" s="62">
        <v>0</v>
      </c>
    </row>
    <row r="531" spans="2:42" x14ac:dyDescent="0.15">
      <c r="B531" s="79" t="s">
        <v>590</v>
      </c>
      <c r="C531" s="61">
        <f>VLOOKUP(B531,[1]SYS!$F$5:$G$359,2,FALSE)</f>
        <v>64</v>
      </c>
      <c r="D531" s="1" t="s">
        <v>23</v>
      </c>
      <c r="E531" s="42" t="s">
        <v>71</v>
      </c>
      <c r="F531" s="42"/>
      <c r="G531" s="1">
        <v>5</v>
      </c>
      <c r="H531" s="1">
        <f t="shared" si="136"/>
        <v>0.3</v>
      </c>
      <c r="I531" s="1">
        <f t="shared" si="137"/>
        <v>1</v>
      </c>
      <c r="J531" s="1">
        <f t="shared" si="135"/>
        <v>6.2000000000000055E-2</v>
      </c>
      <c r="K531" s="1">
        <f t="shared" si="138"/>
        <v>2.40035</v>
      </c>
      <c r="L531" s="1">
        <f t="shared" si="139"/>
        <v>2.0027900000000001</v>
      </c>
      <c r="M531" s="49">
        <f t="shared" si="140"/>
        <v>4.0158980379314873</v>
      </c>
      <c r="N531" s="49">
        <v>15</v>
      </c>
      <c r="O531" s="1">
        <v>403</v>
      </c>
      <c r="P531" s="51">
        <v>0.05</v>
      </c>
      <c r="Q531" s="51">
        <v>8</v>
      </c>
      <c r="R531" s="51">
        <v>1</v>
      </c>
      <c r="S531" s="1">
        <v>1</v>
      </c>
      <c r="T531" s="1">
        <v>0</v>
      </c>
      <c r="U531" s="47">
        <v>0</v>
      </c>
      <c r="V531" s="47">
        <v>28</v>
      </c>
      <c r="W531" s="41">
        <v>300</v>
      </c>
      <c r="X531">
        <v>1000</v>
      </c>
      <c r="Y531">
        <v>0.93799999999999994</v>
      </c>
      <c r="Z531">
        <v>2400.35</v>
      </c>
      <c r="AA531">
        <v>2002.79</v>
      </c>
      <c r="AB531">
        <v>1500</v>
      </c>
      <c r="AC531">
        <v>55</v>
      </c>
      <c r="AD531" s="41">
        <f t="shared" si="141"/>
        <v>0.35828108400858211</v>
      </c>
      <c r="AE531" s="41">
        <f t="shared" si="142"/>
        <v>0.42940098562505302</v>
      </c>
      <c r="AF531">
        <f t="shared" si="143"/>
        <v>1.8324071428571431</v>
      </c>
      <c r="AG531">
        <f t="shared" si="144"/>
        <v>0.17038285714285695</v>
      </c>
      <c r="AH531">
        <f t="shared" si="145"/>
        <v>15</v>
      </c>
      <c r="AI531">
        <f>HLOOKUP(HLOOKUP(G531,'THP2'!$B$4:$J$8,5,FALSE),'Fuel &amp; Resister'!$B$3:$G$6,4,FALSE)</f>
        <v>1.7552248062015501</v>
      </c>
      <c r="AJ531" s="41">
        <f>HLOOKUP(HLOOKUP(G531,'THP2'!$B$4:$J$8,5,FALSE),'Fuel &amp; Resister'!$B$3:$G$6,3,FALSE)</f>
        <v>6.1345057489290813</v>
      </c>
      <c r="AO531" s="62">
        <v>0</v>
      </c>
      <c r="AP531" s="62">
        <v>0</v>
      </c>
    </row>
    <row r="532" spans="2:42" x14ac:dyDescent="0.15">
      <c r="B532" s="79" t="s">
        <v>590</v>
      </c>
      <c r="C532" s="61">
        <f>VLOOKUP(B532,[1]SYS!$F$5:$G$359,2,FALSE)</f>
        <v>64</v>
      </c>
      <c r="D532" s="1" t="s">
        <v>23</v>
      </c>
      <c r="E532" s="42" t="s">
        <v>71</v>
      </c>
      <c r="F532" s="42"/>
      <c r="G532" s="1">
        <v>5</v>
      </c>
      <c r="H532" s="1">
        <f t="shared" si="136"/>
        <v>0.3</v>
      </c>
      <c r="I532" s="1">
        <f t="shared" si="137"/>
        <v>1</v>
      </c>
      <c r="J532" s="1">
        <f t="shared" si="135"/>
        <v>6.2000000000000055E-2</v>
      </c>
      <c r="K532" s="1">
        <f t="shared" si="138"/>
        <v>2.40035</v>
      </c>
      <c r="L532" s="1">
        <f t="shared" si="139"/>
        <v>2.0027900000000001</v>
      </c>
      <c r="M532" s="49">
        <f t="shared" si="140"/>
        <v>4.0158980379314873</v>
      </c>
      <c r="N532" s="49">
        <v>15</v>
      </c>
      <c r="O532" s="1">
        <v>403</v>
      </c>
      <c r="P532" s="51">
        <v>0.05</v>
      </c>
      <c r="Q532" s="51">
        <v>8</v>
      </c>
      <c r="R532" s="51">
        <v>1</v>
      </c>
      <c r="S532" s="1">
        <v>1</v>
      </c>
      <c r="T532" s="1">
        <v>0</v>
      </c>
      <c r="U532" s="47">
        <v>0</v>
      </c>
      <c r="V532" s="47">
        <v>29</v>
      </c>
      <c r="W532" s="41">
        <v>300</v>
      </c>
      <c r="X532">
        <v>1000</v>
      </c>
      <c r="Y532">
        <v>0.93799999999999994</v>
      </c>
      <c r="Z532">
        <v>2400.35</v>
      </c>
      <c r="AA532">
        <v>2002.79</v>
      </c>
      <c r="AB532">
        <v>1500</v>
      </c>
      <c r="AC532">
        <v>55</v>
      </c>
      <c r="AD532" s="41">
        <f t="shared" si="141"/>
        <v>0.35828108400858211</v>
      </c>
      <c r="AE532" s="41">
        <f t="shared" si="142"/>
        <v>0.42940098562505302</v>
      </c>
      <c r="AF532">
        <f t="shared" si="143"/>
        <v>1.8324071428571431</v>
      </c>
      <c r="AG532">
        <f t="shared" si="144"/>
        <v>0.17038285714285695</v>
      </c>
      <c r="AH532">
        <f t="shared" si="145"/>
        <v>15</v>
      </c>
      <c r="AI532">
        <f>HLOOKUP(HLOOKUP(G532,'THP2'!$B$4:$J$8,5,FALSE),'Fuel &amp; Resister'!$B$3:$G$6,4,FALSE)</f>
        <v>1.7552248062015501</v>
      </c>
      <c r="AJ532" s="41">
        <f>HLOOKUP(HLOOKUP(G532,'THP2'!$B$4:$J$8,5,FALSE),'Fuel &amp; Resister'!$B$3:$G$6,3,FALSE)</f>
        <v>6.1345057489290813</v>
      </c>
      <c r="AO532" s="62">
        <v>0</v>
      </c>
      <c r="AP532" s="62">
        <v>0</v>
      </c>
    </row>
    <row r="533" spans="2:42" x14ac:dyDescent="0.15">
      <c r="B533" s="79" t="s">
        <v>590</v>
      </c>
      <c r="C533" s="61">
        <f>VLOOKUP(B533,[1]SYS!$F$5:$G$359,2,FALSE)</f>
        <v>64</v>
      </c>
      <c r="D533" s="1" t="s">
        <v>23</v>
      </c>
      <c r="E533" s="42" t="s">
        <v>71</v>
      </c>
      <c r="F533" s="42"/>
      <c r="G533" s="1">
        <v>5</v>
      </c>
      <c r="H533" s="1">
        <f t="shared" si="136"/>
        <v>0.3</v>
      </c>
      <c r="I533" s="1">
        <f t="shared" si="137"/>
        <v>1</v>
      </c>
      <c r="J533" s="1">
        <f t="shared" si="135"/>
        <v>6.2000000000000055E-2</v>
      </c>
      <c r="K533" s="1">
        <f t="shared" si="138"/>
        <v>2.40035</v>
      </c>
      <c r="L533" s="1">
        <f t="shared" si="139"/>
        <v>2.0027900000000001</v>
      </c>
      <c r="M533" s="49">
        <f t="shared" si="140"/>
        <v>4.0158980379314873</v>
      </c>
      <c r="N533" s="49">
        <v>15</v>
      </c>
      <c r="O533" s="1">
        <v>403</v>
      </c>
      <c r="P533" s="51">
        <v>0.05</v>
      </c>
      <c r="Q533" s="51">
        <v>8</v>
      </c>
      <c r="R533" s="51">
        <v>1</v>
      </c>
      <c r="S533" s="1">
        <v>1</v>
      </c>
      <c r="T533" s="1">
        <v>0</v>
      </c>
      <c r="U533" s="47">
        <v>0</v>
      </c>
      <c r="V533" s="47">
        <v>30</v>
      </c>
      <c r="W533" s="41">
        <v>300</v>
      </c>
      <c r="X533">
        <v>1000</v>
      </c>
      <c r="Y533">
        <v>0.93799999999999994</v>
      </c>
      <c r="Z533">
        <v>2400.35</v>
      </c>
      <c r="AA533">
        <v>2002.79</v>
      </c>
      <c r="AB533">
        <v>1500</v>
      </c>
      <c r="AC533">
        <v>55</v>
      </c>
      <c r="AD533" s="41">
        <f t="shared" si="141"/>
        <v>0.35828108400858211</v>
      </c>
      <c r="AE533" s="41">
        <f t="shared" si="142"/>
        <v>0.42940098562505302</v>
      </c>
      <c r="AF533">
        <f t="shared" si="143"/>
        <v>1.8324071428571431</v>
      </c>
      <c r="AG533">
        <f t="shared" si="144"/>
        <v>0.17038285714285695</v>
      </c>
      <c r="AH533">
        <f t="shared" si="145"/>
        <v>15</v>
      </c>
      <c r="AI533">
        <f>HLOOKUP(HLOOKUP(G533,'THP2'!$B$4:$J$8,5,FALSE),'Fuel &amp; Resister'!$B$3:$G$6,4,FALSE)</f>
        <v>1.7552248062015501</v>
      </c>
      <c r="AJ533" s="41">
        <f>HLOOKUP(HLOOKUP(G533,'THP2'!$B$4:$J$8,5,FALSE),'Fuel &amp; Resister'!$B$3:$G$6,3,FALSE)</f>
        <v>6.1345057489290813</v>
      </c>
      <c r="AO533" s="62">
        <v>0</v>
      </c>
      <c r="AP533" s="62">
        <v>0</v>
      </c>
    </row>
    <row r="534" spans="2:42" x14ac:dyDescent="0.15">
      <c r="B534" s="79" t="s">
        <v>590</v>
      </c>
      <c r="C534" s="61">
        <f>VLOOKUP(B534,[1]SYS!$F$5:$G$359,2,FALSE)</f>
        <v>64</v>
      </c>
      <c r="D534" s="1" t="s">
        <v>23</v>
      </c>
      <c r="E534" s="42" t="s">
        <v>71</v>
      </c>
      <c r="F534" s="42"/>
      <c r="G534" s="1">
        <v>5</v>
      </c>
      <c r="H534" s="1">
        <f t="shared" si="136"/>
        <v>0.3</v>
      </c>
      <c r="I534" s="1">
        <f t="shared" si="137"/>
        <v>1</v>
      </c>
      <c r="J534" s="1">
        <f t="shared" si="135"/>
        <v>6.2000000000000055E-2</v>
      </c>
      <c r="K534" s="1">
        <f t="shared" si="138"/>
        <v>2.40035</v>
      </c>
      <c r="L534" s="1">
        <f t="shared" si="139"/>
        <v>2.0027900000000001</v>
      </c>
      <c r="M534" s="49">
        <f t="shared" si="140"/>
        <v>4.0158980379314873</v>
      </c>
      <c r="N534" s="49">
        <v>15</v>
      </c>
      <c r="O534" s="1">
        <v>204</v>
      </c>
      <c r="P534" s="51">
        <v>0.05</v>
      </c>
      <c r="Q534" s="51">
        <v>8</v>
      </c>
      <c r="R534" s="51">
        <v>1</v>
      </c>
      <c r="S534" s="1">
        <v>1</v>
      </c>
      <c r="T534" s="1">
        <v>0</v>
      </c>
      <c r="U534" s="47">
        <v>0</v>
      </c>
      <c r="V534" s="47">
        <v>31</v>
      </c>
      <c r="W534" s="41">
        <v>300</v>
      </c>
      <c r="X534">
        <v>1000</v>
      </c>
      <c r="Y534">
        <v>0.93799999999999994</v>
      </c>
      <c r="Z534">
        <v>2400.35</v>
      </c>
      <c r="AA534">
        <v>2002.79</v>
      </c>
      <c r="AB534">
        <v>1500</v>
      </c>
      <c r="AC534">
        <v>55</v>
      </c>
      <c r="AD534" s="41">
        <f t="shared" si="141"/>
        <v>0.35828108400858211</v>
      </c>
      <c r="AE534" s="41">
        <f t="shared" si="142"/>
        <v>0.42940098562505302</v>
      </c>
      <c r="AF534">
        <f t="shared" si="143"/>
        <v>1.8324071428571431</v>
      </c>
      <c r="AG534">
        <f t="shared" si="144"/>
        <v>0.17038285714285695</v>
      </c>
      <c r="AH534">
        <f t="shared" si="145"/>
        <v>15</v>
      </c>
      <c r="AI534">
        <f>HLOOKUP(HLOOKUP(G534,'THP2'!$B$4:$J$8,5,FALSE),'Fuel &amp; Resister'!$B$3:$G$6,4,FALSE)</f>
        <v>1.7552248062015501</v>
      </c>
      <c r="AJ534" s="41">
        <f>HLOOKUP(HLOOKUP(G534,'THP2'!$B$4:$J$8,5,FALSE),'Fuel &amp; Resister'!$B$3:$G$6,3,FALSE)</f>
        <v>6.1345057489290813</v>
      </c>
      <c r="AO534" s="62">
        <v>0</v>
      </c>
      <c r="AP534" s="62">
        <v>0</v>
      </c>
    </row>
    <row r="535" spans="2:42" x14ac:dyDescent="0.15">
      <c r="B535" s="79" t="s">
        <v>590</v>
      </c>
      <c r="C535" s="61">
        <f>VLOOKUP(B535,[1]SYS!$F$5:$G$359,2,FALSE)</f>
        <v>64</v>
      </c>
      <c r="D535" s="1" t="s">
        <v>23</v>
      </c>
      <c r="E535" s="42" t="s">
        <v>71</v>
      </c>
      <c r="F535" s="42"/>
      <c r="G535" s="1">
        <v>5</v>
      </c>
      <c r="H535" s="1">
        <f t="shared" si="136"/>
        <v>0.3</v>
      </c>
      <c r="I535" s="1">
        <f t="shared" si="137"/>
        <v>1</v>
      </c>
      <c r="J535" s="1">
        <f t="shared" si="135"/>
        <v>6.2000000000000055E-2</v>
      </c>
      <c r="K535" s="1">
        <f t="shared" si="138"/>
        <v>2.40035</v>
      </c>
      <c r="L535" s="1">
        <f t="shared" si="139"/>
        <v>2.0027900000000001</v>
      </c>
      <c r="M535" s="49">
        <f t="shared" si="140"/>
        <v>4.0158980379314873</v>
      </c>
      <c r="N535" s="49">
        <v>15</v>
      </c>
      <c r="O535" s="1">
        <v>1103</v>
      </c>
      <c r="P535" s="51">
        <v>0.05</v>
      </c>
      <c r="Q535" s="51">
        <v>8</v>
      </c>
      <c r="R535" s="51">
        <v>1</v>
      </c>
      <c r="S535" s="1">
        <v>1</v>
      </c>
      <c r="T535" s="1">
        <v>0</v>
      </c>
      <c r="U535" s="47">
        <v>0</v>
      </c>
      <c r="V535" s="47">
        <v>32</v>
      </c>
      <c r="W535" s="41">
        <v>300</v>
      </c>
      <c r="X535">
        <v>1000</v>
      </c>
      <c r="Y535">
        <v>0.93799999999999994</v>
      </c>
      <c r="Z535">
        <v>2400.35</v>
      </c>
      <c r="AA535">
        <v>2002.79</v>
      </c>
      <c r="AB535">
        <v>1500</v>
      </c>
      <c r="AC535">
        <v>55</v>
      </c>
      <c r="AD535" s="41">
        <f t="shared" si="141"/>
        <v>0.35828108400858211</v>
      </c>
      <c r="AE535" s="41">
        <f t="shared" si="142"/>
        <v>0.42940098562505302</v>
      </c>
      <c r="AF535">
        <f t="shared" si="143"/>
        <v>1.8324071428571431</v>
      </c>
      <c r="AG535">
        <f t="shared" si="144"/>
        <v>0.17038285714285695</v>
      </c>
      <c r="AH535">
        <f t="shared" si="145"/>
        <v>15</v>
      </c>
      <c r="AI535">
        <f>HLOOKUP(HLOOKUP(G535,'THP2'!$B$4:$J$8,5,FALSE),'Fuel &amp; Resister'!$B$3:$G$6,4,FALSE)</f>
        <v>1.7552248062015501</v>
      </c>
      <c r="AJ535" s="41">
        <f>HLOOKUP(HLOOKUP(G535,'THP2'!$B$4:$J$8,5,FALSE),'Fuel &amp; Resister'!$B$3:$G$6,3,FALSE)</f>
        <v>6.1345057489290813</v>
      </c>
      <c r="AO535" s="62">
        <v>0</v>
      </c>
      <c r="AP535" s="62">
        <v>0</v>
      </c>
    </row>
    <row r="536" spans="2:42" x14ac:dyDescent="0.15">
      <c r="B536" s="79" t="s">
        <v>590</v>
      </c>
      <c r="C536" s="61">
        <f>VLOOKUP(B536,[1]SYS!$F$5:$G$359,2,FALSE)</f>
        <v>64</v>
      </c>
      <c r="D536" s="1" t="s">
        <v>23</v>
      </c>
      <c r="E536" s="42" t="s">
        <v>71</v>
      </c>
      <c r="F536" s="42"/>
      <c r="G536" s="1">
        <v>5</v>
      </c>
      <c r="H536" s="1">
        <f t="shared" si="136"/>
        <v>0.3</v>
      </c>
      <c r="I536" s="1">
        <f t="shared" si="137"/>
        <v>1</v>
      </c>
      <c r="J536" s="1">
        <f t="shared" si="135"/>
        <v>6.2000000000000055E-2</v>
      </c>
      <c r="K536" s="1">
        <f t="shared" si="138"/>
        <v>2.40035</v>
      </c>
      <c r="L536" s="1">
        <f t="shared" si="139"/>
        <v>2.0027900000000001</v>
      </c>
      <c r="M536" s="49">
        <f t="shared" si="140"/>
        <v>4.0158980379314873</v>
      </c>
      <c r="N536" s="49">
        <v>15</v>
      </c>
      <c r="O536" s="1">
        <v>903</v>
      </c>
      <c r="P536" s="51">
        <v>0.05</v>
      </c>
      <c r="Q536" s="51">
        <v>8</v>
      </c>
      <c r="R536" s="51">
        <v>1</v>
      </c>
      <c r="S536" s="1">
        <v>1</v>
      </c>
      <c r="T536" s="1">
        <v>0</v>
      </c>
      <c r="U536" s="47">
        <v>0</v>
      </c>
      <c r="V536" s="47">
        <v>33</v>
      </c>
      <c r="W536" s="41">
        <v>300</v>
      </c>
      <c r="X536">
        <v>1000</v>
      </c>
      <c r="Y536">
        <v>0.93799999999999994</v>
      </c>
      <c r="Z536">
        <v>2400.35</v>
      </c>
      <c r="AA536">
        <v>2002.79</v>
      </c>
      <c r="AB536">
        <v>1500</v>
      </c>
      <c r="AC536">
        <v>55</v>
      </c>
      <c r="AD536" s="41">
        <f t="shared" si="141"/>
        <v>0.35828108400858211</v>
      </c>
      <c r="AE536" s="41">
        <f t="shared" si="142"/>
        <v>0.42940098562505302</v>
      </c>
      <c r="AF536">
        <f t="shared" si="143"/>
        <v>1.8324071428571431</v>
      </c>
      <c r="AG536">
        <f t="shared" si="144"/>
        <v>0.17038285714285695</v>
      </c>
      <c r="AH536">
        <f t="shared" si="145"/>
        <v>15</v>
      </c>
      <c r="AI536">
        <f>HLOOKUP(HLOOKUP(G536,'THP2'!$B$4:$J$8,5,FALSE),'Fuel &amp; Resister'!$B$3:$G$6,4,FALSE)</f>
        <v>1.7552248062015501</v>
      </c>
      <c r="AJ536" s="41">
        <f>HLOOKUP(HLOOKUP(G536,'THP2'!$B$4:$J$8,5,FALSE),'Fuel &amp; Resister'!$B$3:$G$6,3,FALSE)</f>
        <v>6.1345057489290813</v>
      </c>
      <c r="AO536" s="62">
        <v>0</v>
      </c>
      <c r="AP536" s="62">
        <v>0</v>
      </c>
    </row>
    <row r="537" spans="2:42" x14ac:dyDescent="0.15">
      <c r="B537" s="79" t="s">
        <v>590</v>
      </c>
      <c r="C537" s="61">
        <f>VLOOKUP(B537,[1]SYS!$F$5:$G$359,2,FALSE)</f>
        <v>64</v>
      </c>
      <c r="D537" s="1" t="s">
        <v>23</v>
      </c>
      <c r="E537" s="42" t="s">
        <v>71</v>
      </c>
      <c r="F537" s="42"/>
      <c r="G537" s="1">
        <v>5</v>
      </c>
      <c r="H537" s="1">
        <f t="shared" si="136"/>
        <v>0.3</v>
      </c>
      <c r="I537" s="1">
        <f t="shared" si="137"/>
        <v>1</v>
      </c>
      <c r="J537" s="1">
        <f t="shared" si="135"/>
        <v>6.2000000000000055E-2</v>
      </c>
      <c r="K537" s="1">
        <f t="shared" si="138"/>
        <v>2.40035</v>
      </c>
      <c r="L537" s="1">
        <f t="shared" si="139"/>
        <v>2.0027900000000001</v>
      </c>
      <c r="M537" s="49">
        <f t="shared" si="140"/>
        <v>4.0158980379314873</v>
      </c>
      <c r="N537" s="49">
        <v>15</v>
      </c>
      <c r="O537" s="1">
        <v>601</v>
      </c>
      <c r="P537" s="51">
        <v>0.05</v>
      </c>
      <c r="Q537" s="51">
        <v>8</v>
      </c>
      <c r="R537" s="51">
        <v>1</v>
      </c>
      <c r="S537" s="1">
        <v>1</v>
      </c>
      <c r="T537" s="1">
        <v>0</v>
      </c>
      <c r="U537" s="47">
        <v>0</v>
      </c>
      <c r="V537" s="47">
        <v>34</v>
      </c>
      <c r="W537" s="41">
        <v>300</v>
      </c>
      <c r="X537">
        <v>1000</v>
      </c>
      <c r="Y537">
        <v>0.93799999999999994</v>
      </c>
      <c r="Z537">
        <v>2400.35</v>
      </c>
      <c r="AA537">
        <v>2002.79</v>
      </c>
      <c r="AB537">
        <v>1500</v>
      </c>
      <c r="AC537">
        <v>55</v>
      </c>
      <c r="AD537" s="41">
        <f t="shared" si="141"/>
        <v>0.35828108400858211</v>
      </c>
      <c r="AE537" s="41">
        <f t="shared" si="142"/>
        <v>0.42940098562505302</v>
      </c>
      <c r="AF537">
        <f t="shared" si="143"/>
        <v>1.8324071428571431</v>
      </c>
      <c r="AG537">
        <f t="shared" si="144"/>
        <v>0.17038285714285695</v>
      </c>
      <c r="AH537">
        <f t="shared" si="145"/>
        <v>15</v>
      </c>
      <c r="AI537">
        <f>HLOOKUP(HLOOKUP(G537,'THP2'!$B$4:$J$8,5,FALSE),'Fuel &amp; Resister'!$B$3:$G$6,4,FALSE)</f>
        <v>1.7552248062015501</v>
      </c>
      <c r="AJ537" s="41">
        <f>HLOOKUP(HLOOKUP(G537,'THP2'!$B$4:$J$8,5,FALSE),'Fuel &amp; Resister'!$B$3:$G$6,3,FALSE)</f>
        <v>6.1345057489290813</v>
      </c>
      <c r="AO537" s="62">
        <v>0</v>
      </c>
      <c r="AP537" s="62">
        <v>0</v>
      </c>
    </row>
    <row r="538" spans="2:42" x14ac:dyDescent="0.15">
      <c r="B538" s="79" t="s">
        <v>590</v>
      </c>
      <c r="C538" s="61">
        <f>VLOOKUP(B538,[1]SYS!$F$5:$G$359,2,FALSE)</f>
        <v>64</v>
      </c>
      <c r="D538" s="1" t="s">
        <v>23</v>
      </c>
      <c r="E538" s="42" t="s">
        <v>71</v>
      </c>
      <c r="F538" s="42"/>
      <c r="G538" s="1">
        <v>5</v>
      </c>
      <c r="H538" s="1">
        <f t="shared" si="136"/>
        <v>0.3</v>
      </c>
      <c r="I538" s="1">
        <f t="shared" si="137"/>
        <v>1</v>
      </c>
      <c r="J538" s="1">
        <f t="shared" si="135"/>
        <v>6.2000000000000055E-2</v>
      </c>
      <c r="K538" s="1">
        <f t="shared" si="138"/>
        <v>2.40035</v>
      </c>
      <c r="L538" s="1">
        <f t="shared" si="139"/>
        <v>2.0027900000000001</v>
      </c>
      <c r="M538" s="49">
        <f t="shared" si="140"/>
        <v>4.0158980379314873</v>
      </c>
      <c r="N538" s="49">
        <v>15</v>
      </c>
      <c r="O538" s="1">
        <v>401</v>
      </c>
      <c r="P538" s="51">
        <v>0.05</v>
      </c>
      <c r="Q538" s="51">
        <v>8</v>
      </c>
      <c r="R538" s="51">
        <v>1</v>
      </c>
      <c r="S538" s="1">
        <v>1</v>
      </c>
      <c r="T538" s="1">
        <v>0</v>
      </c>
      <c r="U538" s="47">
        <v>0</v>
      </c>
      <c r="V538" s="47">
        <v>35</v>
      </c>
      <c r="W538" s="41">
        <v>300</v>
      </c>
      <c r="X538">
        <v>1000</v>
      </c>
      <c r="Y538">
        <v>0.93799999999999994</v>
      </c>
      <c r="Z538">
        <v>2400.35</v>
      </c>
      <c r="AA538">
        <v>2002.79</v>
      </c>
      <c r="AB538">
        <v>1500</v>
      </c>
      <c r="AC538">
        <v>55</v>
      </c>
      <c r="AD538" s="41">
        <f t="shared" si="141"/>
        <v>0.35828108400858211</v>
      </c>
      <c r="AE538" s="41">
        <f t="shared" si="142"/>
        <v>0.42940098562505302</v>
      </c>
      <c r="AF538">
        <f t="shared" si="143"/>
        <v>1.8324071428571431</v>
      </c>
      <c r="AG538">
        <f t="shared" si="144"/>
        <v>0.17038285714285695</v>
      </c>
      <c r="AH538">
        <f t="shared" si="145"/>
        <v>15</v>
      </c>
      <c r="AI538">
        <f>HLOOKUP(HLOOKUP(G538,'THP2'!$B$4:$J$8,5,FALSE),'Fuel &amp; Resister'!$B$3:$G$6,4,FALSE)</f>
        <v>1.7552248062015501</v>
      </c>
      <c r="AJ538" s="41">
        <f>HLOOKUP(HLOOKUP(G538,'THP2'!$B$4:$J$8,5,FALSE),'Fuel &amp; Resister'!$B$3:$G$6,3,FALSE)</f>
        <v>6.1345057489290813</v>
      </c>
      <c r="AO538" s="62">
        <v>0</v>
      </c>
      <c r="AP538" s="62">
        <v>0</v>
      </c>
    </row>
    <row r="539" spans="2:42" x14ac:dyDescent="0.15">
      <c r="B539" s="79" t="s">
        <v>590</v>
      </c>
      <c r="C539" s="61">
        <f>VLOOKUP(B539,[1]SYS!$F$5:$G$359,2,FALSE)</f>
        <v>64</v>
      </c>
      <c r="D539" s="1" t="s">
        <v>23</v>
      </c>
      <c r="E539" s="65" t="s">
        <v>72</v>
      </c>
      <c r="F539" s="63" t="s">
        <v>465</v>
      </c>
      <c r="G539" s="1">
        <v>5</v>
      </c>
      <c r="H539" s="1">
        <f t="shared" si="136"/>
        <v>0.4</v>
      </c>
      <c r="I539" s="1">
        <f t="shared" si="137"/>
        <v>0.25</v>
      </c>
      <c r="J539" s="1">
        <f t="shared" si="135"/>
        <v>0.125</v>
      </c>
      <c r="K539" s="1">
        <f t="shared" si="138"/>
        <v>2.4389000000000003</v>
      </c>
      <c r="L539" s="1">
        <f t="shared" si="139"/>
        <v>1.86957</v>
      </c>
      <c r="M539" s="49">
        <f t="shared" si="140"/>
        <v>0.93719292771278673</v>
      </c>
      <c r="N539" s="49">
        <v>2.1683000000000003</v>
      </c>
      <c r="O539" s="6">
        <v>302</v>
      </c>
      <c r="P539" s="51">
        <v>0.05</v>
      </c>
      <c r="Q539" s="51">
        <v>8</v>
      </c>
      <c r="R539" s="51">
        <v>1</v>
      </c>
      <c r="S539" s="1">
        <v>1</v>
      </c>
      <c r="T539" s="1">
        <v>0</v>
      </c>
      <c r="U539" s="47">
        <v>1</v>
      </c>
      <c r="V539" s="47">
        <v>36</v>
      </c>
      <c r="W539" s="41">
        <v>100</v>
      </c>
      <c r="X539">
        <v>250</v>
      </c>
      <c r="Y539">
        <v>0.875</v>
      </c>
      <c r="Z539">
        <v>2438.9</v>
      </c>
      <c r="AA539">
        <v>1869.57</v>
      </c>
      <c r="AB539">
        <v>216.83</v>
      </c>
      <c r="AC539">
        <v>55</v>
      </c>
      <c r="AD539" s="41">
        <f t="shared" si="141"/>
        <v>0.35261798351715939</v>
      </c>
      <c r="AE539" s="41">
        <f t="shared" si="142"/>
        <v>0.45999882325882424</v>
      </c>
      <c r="AF539">
        <f t="shared" si="143"/>
        <v>1.4900166666666663</v>
      </c>
      <c r="AG539">
        <f t="shared" si="144"/>
        <v>9.4888333333333408E-2</v>
      </c>
      <c r="AH539">
        <f t="shared" si="145"/>
        <v>2.1683000000000003</v>
      </c>
      <c r="AI539">
        <f>HLOOKUP(HLOOKUP(G539,'THP2'!$B$4:$J$8,5,FALSE),'Fuel &amp; Resister'!$B$3:$G$6,4,FALSE)</f>
        <v>1.7552248062015501</v>
      </c>
      <c r="AJ539" s="41">
        <f>HLOOKUP(HLOOKUP(G539,'THP2'!$B$4:$J$8,5,FALSE),'Fuel &amp; Resister'!$B$3:$G$6,3,FALSE)</f>
        <v>6.1345057489290813</v>
      </c>
      <c r="AO539" s="1">
        <v>1</v>
      </c>
      <c r="AP539" s="1">
        <v>1</v>
      </c>
    </row>
    <row r="540" spans="2:42" x14ac:dyDescent="0.15">
      <c r="B540" s="79" t="s">
        <v>590</v>
      </c>
      <c r="C540" s="61">
        <f>VLOOKUP(B540,[1]SYS!$F$5:$G$359,2,FALSE)</f>
        <v>64</v>
      </c>
      <c r="D540" s="1" t="s">
        <v>23</v>
      </c>
      <c r="E540" s="65" t="s">
        <v>73</v>
      </c>
      <c r="F540" s="63" t="s">
        <v>465</v>
      </c>
      <c r="G540" s="1">
        <v>5</v>
      </c>
      <c r="H540" s="1">
        <f t="shared" si="136"/>
        <v>0.4</v>
      </c>
      <c r="I540" s="1">
        <f t="shared" si="137"/>
        <v>0.54</v>
      </c>
      <c r="J540" s="1">
        <f t="shared" si="135"/>
        <v>0.125</v>
      </c>
      <c r="K540" s="1">
        <f t="shared" si="138"/>
        <v>2.4602900000000001</v>
      </c>
      <c r="L540" s="1">
        <f t="shared" si="139"/>
        <v>1.8859600000000001</v>
      </c>
      <c r="M540" s="49">
        <f t="shared" si="140"/>
        <v>2.0420835206653329</v>
      </c>
      <c r="N540" s="49">
        <v>5.4639999999999995</v>
      </c>
      <c r="O540" s="1">
        <v>403</v>
      </c>
      <c r="P540" s="51">
        <v>0.05</v>
      </c>
      <c r="Q540" s="51">
        <v>8</v>
      </c>
      <c r="R540" s="51">
        <v>1</v>
      </c>
      <c r="S540" s="1">
        <v>1</v>
      </c>
      <c r="T540" s="1">
        <v>0</v>
      </c>
      <c r="U540" s="47">
        <v>1</v>
      </c>
      <c r="V540" s="47">
        <v>37</v>
      </c>
      <c r="W540" s="41">
        <v>216</v>
      </c>
      <c r="X540">
        <v>540</v>
      </c>
      <c r="Y540">
        <v>0.875</v>
      </c>
      <c r="Z540">
        <v>2460.29</v>
      </c>
      <c r="AA540">
        <v>1885.96</v>
      </c>
      <c r="AB540">
        <v>546.4</v>
      </c>
      <c r="AC540">
        <v>55</v>
      </c>
      <c r="AD540" s="41">
        <f t="shared" si="141"/>
        <v>0.34955228855134962</v>
      </c>
      <c r="AE540" s="41">
        <f t="shared" si="142"/>
        <v>0.45600118772402382</v>
      </c>
      <c r="AF540">
        <f t="shared" si="143"/>
        <v>1.5030733333333333</v>
      </c>
      <c r="AG540">
        <f t="shared" si="144"/>
        <v>0.2067588000000001</v>
      </c>
      <c r="AH540">
        <f t="shared" si="145"/>
        <v>5.4639999999999995</v>
      </c>
      <c r="AI540">
        <f>HLOOKUP(HLOOKUP(G540,'THP2'!$B$4:$J$8,5,FALSE),'Fuel &amp; Resister'!$B$3:$G$6,4,FALSE)</f>
        <v>1.7552248062015501</v>
      </c>
      <c r="AJ540" s="41">
        <f>HLOOKUP(HLOOKUP(G540,'THP2'!$B$4:$J$8,5,FALSE),'Fuel &amp; Resister'!$B$3:$G$6,3,FALSE)</f>
        <v>6.1345057489290813</v>
      </c>
      <c r="AO540" s="1">
        <v>1</v>
      </c>
      <c r="AP540" s="1">
        <v>1</v>
      </c>
    </row>
    <row r="541" spans="2:42" x14ac:dyDescent="0.15">
      <c r="B541" s="79" t="s">
        <v>590</v>
      </c>
      <c r="C541" s="61">
        <f>VLOOKUP(B541,[1]SYS!$F$5:$G$359,2,FALSE)</f>
        <v>64</v>
      </c>
      <c r="D541" s="1" t="s">
        <v>23</v>
      </c>
      <c r="E541" s="65" t="s">
        <v>74</v>
      </c>
      <c r="F541" s="63" t="s">
        <v>465</v>
      </c>
      <c r="G541" s="1">
        <v>5</v>
      </c>
      <c r="H541" s="1">
        <f t="shared" si="136"/>
        <v>0.4</v>
      </c>
      <c r="I541" s="1">
        <f t="shared" si="137"/>
        <v>0.54</v>
      </c>
      <c r="J541" s="1">
        <f t="shared" si="135"/>
        <v>0.125</v>
      </c>
      <c r="K541" s="1">
        <f t="shared" si="138"/>
        <v>2.4602900000000001</v>
      </c>
      <c r="L541" s="1">
        <f t="shared" si="139"/>
        <v>1.8859600000000001</v>
      </c>
      <c r="M541" s="49">
        <f t="shared" si="140"/>
        <v>2.0420835206653329</v>
      </c>
      <c r="N541" s="49">
        <v>5.4639999999999995</v>
      </c>
      <c r="O541" s="1">
        <v>903</v>
      </c>
      <c r="P541" s="51">
        <v>0.05</v>
      </c>
      <c r="Q541" s="51">
        <v>8</v>
      </c>
      <c r="R541" s="51">
        <v>1</v>
      </c>
      <c r="S541" s="1">
        <v>1</v>
      </c>
      <c r="T541" s="1">
        <v>0</v>
      </c>
      <c r="U541" s="47">
        <v>1</v>
      </c>
      <c r="V541" s="47">
        <v>38</v>
      </c>
      <c r="W541" s="41">
        <v>216</v>
      </c>
      <c r="X541">
        <v>540</v>
      </c>
      <c r="Y541">
        <v>0.875</v>
      </c>
      <c r="Z541">
        <v>2460.29</v>
      </c>
      <c r="AA541">
        <v>1885.96</v>
      </c>
      <c r="AB541">
        <v>546.4</v>
      </c>
      <c r="AC541">
        <v>55</v>
      </c>
      <c r="AD541" s="41">
        <f t="shared" si="141"/>
        <v>0.34955228855134962</v>
      </c>
      <c r="AE541" s="41">
        <f t="shared" si="142"/>
        <v>0.45600118772402382</v>
      </c>
      <c r="AF541">
        <f t="shared" si="143"/>
        <v>1.5030733333333333</v>
      </c>
      <c r="AG541">
        <f t="shared" si="144"/>
        <v>0.2067588000000001</v>
      </c>
      <c r="AH541">
        <f t="shared" si="145"/>
        <v>5.4639999999999995</v>
      </c>
      <c r="AI541">
        <f>HLOOKUP(HLOOKUP(G541,'THP2'!$B$4:$J$8,5,FALSE),'Fuel &amp; Resister'!$B$3:$G$6,4,FALSE)</f>
        <v>1.7552248062015501</v>
      </c>
      <c r="AJ541" s="41">
        <f>HLOOKUP(HLOOKUP(G541,'THP2'!$B$4:$J$8,5,FALSE),'Fuel &amp; Resister'!$B$3:$G$6,3,FALSE)</f>
        <v>6.1345057489290813</v>
      </c>
      <c r="AO541" s="1">
        <v>1</v>
      </c>
      <c r="AP541" s="1">
        <v>1</v>
      </c>
    </row>
    <row r="542" spans="2:42" x14ac:dyDescent="0.15">
      <c r="B542" s="79" t="s">
        <v>590</v>
      </c>
      <c r="C542" s="61">
        <f>VLOOKUP(B542,[1]SYS!$F$5:$G$359,2,FALSE)</f>
        <v>64</v>
      </c>
      <c r="D542" s="1" t="s">
        <v>23</v>
      </c>
      <c r="E542" s="65" t="s">
        <v>75</v>
      </c>
      <c r="F542" s="63" t="s">
        <v>511</v>
      </c>
      <c r="G542" s="1">
        <v>5</v>
      </c>
      <c r="H542" s="1">
        <f t="shared" si="136"/>
        <v>0.3</v>
      </c>
      <c r="I542" s="1">
        <f t="shared" si="137"/>
        <v>0.65</v>
      </c>
      <c r="J542" s="1">
        <f t="shared" si="135"/>
        <v>6.2000000000000055E-2</v>
      </c>
      <c r="K542" s="1">
        <f t="shared" si="138"/>
        <v>2.3969999999999998</v>
      </c>
      <c r="L542" s="1">
        <f t="shared" si="139"/>
        <v>2</v>
      </c>
      <c r="M542" s="49">
        <f t="shared" si="140"/>
        <v>2.6066973818078445</v>
      </c>
      <c r="N542" s="49">
        <v>6.7125000000000004</v>
      </c>
      <c r="O542" s="1">
        <v>504</v>
      </c>
      <c r="P542" s="51">
        <v>0.05</v>
      </c>
      <c r="Q542" s="51">
        <v>8</v>
      </c>
      <c r="R542" s="51">
        <v>1</v>
      </c>
      <c r="S542" s="1">
        <v>1</v>
      </c>
      <c r="T542" s="1">
        <v>0</v>
      </c>
      <c r="U542" s="47">
        <v>1</v>
      </c>
      <c r="V542" s="47">
        <v>39</v>
      </c>
      <c r="W542" s="41">
        <v>195</v>
      </c>
      <c r="X542">
        <v>650</v>
      </c>
      <c r="Y542">
        <v>0.93799999999999994</v>
      </c>
      <c r="Z542">
        <v>2397</v>
      </c>
      <c r="AA542">
        <v>2000</v>
      </c>
      <c r="AB542">
        <v>671.25</v>
      </c>
      <c r="AC542">
        <v>55</v>
      </c>
      <c r="AD542" s="41">
        <f t="shared" si="141"/>
        <v>0.35878181059657904</v>
      </c>
      <c r="AE542" s="41">
        <f t="shared" si="142"/>
        <v>0.43</v>
      </c>
      <c r="AF542">
        <f t="shared" si="143"/>
        <v>1.8298571428571428</v>
      </c>
      <c r="AG542">
        <f t="shared" si="144"/>
        <v>0.11059285714285715</v>
      </c>
      <c r="AH542">
        <f t="shared" si="145"/>
        <v>6.7125000000000004</v>
      </c>
      <c r="AI542">
        <f>HLOOKUP(HLOOKUP(G542,'THP2'!$B$4:$J$8,5,FALSE),'Fuel &amp; Resister'!$B$3:$G$6,4,FALSE)</f>
        <v>1.7552248062015501</v>
      </c>
      <c r="AJ542" s="41">
        <f>HLOOKUP(HLOOKUP(G542,'THP2'!$B$4:$J$8,5,FALSE),'Fuel &amp; Resister'!$B$3:$G$6,3,FALSE)</f>
        <v>6.1345057489290813</v>
      </c>
      <c r="AO542" s="1">
        <v>1</v>
      </c>
      <c r="AP542" s="1">
        <v>1</v>
      </c>
    </row>
    <row r="543" spans="2:42" x14ac:dyDescent="0.15">
      <c r="B543" s="79" t="s">
        <v>591</v>
      </c>
      <c r="C543" s="61">
        <f>VLOOKUP(B543,[1]SYS!$F$5:$G$359,2,FALSE)</f>
        <v>75</v>
      </c>
      <c r="D543" s="1" t="s">
        <v>23</v>
      </c>
      <c r="E543" s="65" t="s">
        <v>76</v>
      </c>
      <c r="F543" s="63" t="s">
        <v>535</v>
      </c>
      <c r="G543" s="1">
        <v>5</v>
      </c>
      <c r="H543" s="1">
        <f t="shared" si="136"/>
        <v>0.3</v>
      </c>
      <c r="I543" s="1">
        <f t="shared" si="137"/>
        <v>1</v>
      </c>
      <c r="J543" s="1">
        <f t="shared" si="135"/>
        <v>2.0000000000000018E-2</v>
      </c>
      <c r="K543" s="1">
        <f t="shared" si="138"/>
        <v>2.3969999999999998</v>
      </c>
      <c r="L543" s="1">
        <f t="shared" si="139"/>
        <v>2</v>
      </c>
      <c r="M543" s="49">
        <f t="shared" si="140"/>
        <v>4.0103036643197596</v>
      </c>
      <c r="N543" s="49">
        <v>15</v>
      </c>
      <c r="O543" s="1">
        <v>403</v>
      </c>
      <c r="P543" s="51">
        <v>0.05</v>
      </c>
      <c r="Q543" s="51">
        <v>8</v>
      </c>
      <c r="R543" s="51">
        <v>1</v>
      </c>
      <c r="S543" s="1">
        <v>1</v>
      </c>
      <c r="T543" s="1">
        <v>0</v>
      </c>
      <c r="U543" s="47">
        <v>1</v>
      </c>
      <c r="V543" s="47">
        <v>40</v>
      </c>
      <c r="W543" s="41">
        <v>300</v>
      </c>
      <c r="X543">
        <v>1000</v>
      </c>
      <c r="Y543">
        <v>0.98</v>
      </c>
      <c r="Z543">
        <v>2397</v>
      </c>
      <c r="AA543">
        <v>2000</v>
      </c>
      <c r="AB543">
        <v>1500</v>
      </c>
      <c r="AC543">
        <v>55</v>
      </c>
      <c r="AD543" s="41">
        <f t="shared" si="141"/>
        <v>0.35878181059657904</v>
      </c>
      <c r="AE543" s="41">
        <f t="shared" si="142"/>
        <v>0.43</v>
      </c>
      <c r="AF543">
        <f t="shared" si="143"/>
        <v>1.8298571428571428</v>
      </c>
      <c r="AG543">
        <f t="shared" si="144"/>
        <v>0.17014285714285715</v>
      </c>
      <c r="AH543">
        <f t="shared" si="145"/>
        <v>15</v>
      </c>
      <c r="AI543">
        <f>HLOOKUP(HLOOKUP(G543,'THP2'!$B$4:$J$8,5,FALSE),'Fuel &amp; Resister'!$B$3:$G$6,4,FALSE)</f>
        <v>1.7552248062015501</v>
      </c>
      <c r="AJ543" s="41">
        <f>HLOOKUP(HLOOKUP(G543,'THP2'!$B$4:$J$8,5,FALSE),'Fuel &amp; Resister'!$B$3:$G$6,3,FALSE)</f>
        <v>6.1345057489290813</v>
      </c>
      <c r="AO543" s="1">
        <v>1</v>
      </c>
      <c r="AP543" s="1">
        <v>1</v>
      </c>
    </row>
    <row r="544" spans="2:42" x14ac:dyDescent="0.15">
      <c r="B544" s="79" t="s">
        <v>591</v>
      </c>
      <c r="C544" s="61">
        <f>VLOOKUP(B544,[1]SYS!$F$5:$G$359,2,FALSE)</f>
        <v>75</v>
      </c>
      <c r="D544" s="1" t="s">
        <v>23</v>
      </c>
      <c r="E544" s="65" t="s">
        <v>77</v>
      </c>
      <c r="F544" s="63" t="s">
        <v>535</v>
      </c>
      <c r="G544" s="1">
        <v>5</v>
      </c>
      <c r="H544" s="1">
        <f t="shared" si="136"/>
        <v>0.3</v>
      </c>
      <c r="I544" s="1">
        <f t="shared" si="137"/>
        <v>1</v>
      </c>
      <c r="J544" s="1">
        <f t="shared" si="135"/>
        <v>2.0000000000000018E-2</v>
      </c>
      <c r="K544" s="1">
        <f t="shared" si="138"/>
        <v>2.3969999999999998</v>
      </c>
      <c r="L544" s="1">
        <f t="shared" si="139"/>
        <v>2</v>
      </c>
      <c r="M544" s="49">
        <f t="shared" si="140"/>
        <v>4.0103036643197596</v>
      </c>
      <c r="N544" s="49">
        <v>15</v>
      </c>
      <c r="O544" s="1">
        <v>403</v>
      </c>
      <c r="P544" s="51">
        <v>0.05</v>
      </c>
      <c r="Q544" s="51">
        <v>8</v>
      </c>
      <c r="R544" s="51">
        <v>1</v>
      </c>
      <c r="S544" s="1">
        <v>1</v>
      </c>
      <c r="T544" s="1">
        <v>0</v>
      </c>
      <c r="U544" s="47">
        <v>1</v>
      </c>
      <c r="V544" s="47">
        <v>41</v>
      </c>
      <c r="W544" s="41">
        <v>300</v>
      </c>
      <c r="X544">
        <v>1000</v>
      </c>
      <c r="Y544">
        <v>0.98</v>
      </c>
      <c r="Z544">
        <v>2397</v>
      </c>
      <c r="AA544">
        <v>2000</v>
      </c>
      <c r="AB544">
        <v>1500</v>
      </c>
      <c r="AC544">
        <v>55</v>
      </c>
      <c r="AD544" s="41">
        <f t="shared" si="141"/>
        <v>0.35878181059657904</v>
      </c>
      <c r="AE544" s="41">
        <f t="shared" si="142"/>
        <v>0.43</v>
      </c>
      <c r="AF544">
        <f t="shared" si="143"/>
        <v>1.8298571428571428</v>
      </c>
      <c r="AG544">
        <f t="shared" si="144"/>
        <v>0.17014285714285715</v>
      </c>
      <c r="AH544">
        <f t="shared" si="145"/>
        <v>15</v>
      </c>
      <c r="AI544">
        <f>HLOOKUP(HLOOKUP(G544,'THP2'!$B$4:$J$8,5,FALSE),'Fuel &amp; Resister'!$B$3:$G$6,4,FALSE)</f>
        <v>1.7552248062015501</v>
      </c>
      <c r="AJ544" s="41">
        <f>HLOOKUP(HLOOKUP(G544,'THP2'!$B$4:$J$8,5,FALSE),'Fuel &amp; Resister'!$B$3:$G$6,3,FALSE)</f>
        <v>6.1345057489290813</v>
      </c>
      <c r="AO544" s="1">
        <v>1</v>
      </c>
      <c r="AP544" s="1">
        <v>1</v>
      </c>
    </row>
    <row r="545" spans="2:42" x14ac:dyDescent="0.15">
      <c r="B545" s="79" t="s">
        <v>592</v>
      </c>
      <c r="C545" s="61">
        <f>VLOOKUP(B545,[1]SYS!$F$5:$G$359,2,FALSE)</f>
        <v>77</v>
      </c>
      <c r="D545" s="1" t="s">
        <v>23</v>
      </c>
      <c r="E545" s="65" t="s">
        <v>78</v>
      </c>
      <c r="F545" s="63" t="s">
        <v>468</v>
      </c>
      <c r="G545" s="1">
        <v>5</v>
      </c>
      <c r="H545" s="1">
        <f t="shared" si="136"/>
        <v>0.30077519379844964</v>
      </c>
      <c r="I545" s="1">
        <f t="shared" si="137"/>
        <v>0.64500000000000002</v>
      </c>
      <c r="J545" s="1">
        <f t="shared" si="135"/>
        <v>6.2000000000000055E-2</v>
      </c>
      <c r="K545" s="1">
        <f t="shared" si="138"/>
        <v>2.3969999999999998</v>
      </c>
      <c r="L545" s="1">
        <f t="shared" si="139"/>
        <v>2</v>
      </c>
      <c r="M545" s="49">
        <f t="shared" si="140"/>
        <v>2.586645863486245</v>
      </c>
      <c r="N545" s="49">
        <v>6.6558000000000002</v>
      </c>
      <c r="O545" s="1">
        <v>504</v>
      </c>
      <c r="P545" s="51">
        <v>0.05</v>
      </c>
      <c r="Q545" s="51">
        <v>8</v>
      </c>
      <c r="R545" s="51">
        <v>1</v>
      </c>
      <c r="S545" s="1">
        <v>1</v>
      </c>
      <c r="T545" s="1">
        <v>0</v>
      </c>
      <c r="U545" s="47">
        <v>1</v>
      </c>
      <c r="V545" s="47">
        <v>42</v>
      </c>
      <c r="W545" s="41">
        <v>194</v>
      </c>
      <c r="X545">
        <v>645</v>
      </c>
      <c r="Y545">
        <v>0.93799999999999994</v>
      </c>
      <c r="Z545">
        <v>2397</v>
      </c>
      <c r="AA545">
        <v>2000</v>
      </c>
      <c r="AB545">
        <v>665.58</v>
      </c>
      <c r="AC545">
        <v>55</v>
      </c>
      <c r="AD545" s="41">
        <f t="shared" si="141"/>
        <v>0.35878181059657904</v>
      </c>
      <c r="AE545" s="41">
        <f t="shared" si="142"/>
        <v>0.43</v>
      </c>
      <c r="AF545">
        <f t="shared" si="143"/>
        <v>1.829228381374723</v>
      </c>
      <c r="AG545">
        <f t="shared" si="144"/>
        <v>0.11014769401330367</v>
      </c>
      <c r="AH545">
        <f t="shared" si="145"/>
        <v>6.6558000000000002</v>
      </c>
      <c r="AI545">
        <f>HLOOKUP(HLOOKUP(G545,'THP2'!$B$4:$J$8,5,FALSE),'Fuel &amp; Resister'!$B$3:$G$6,4,FALSE)</f>
        <v>1.7552248062015501</v>
      </c>
      <c r="AJ545" s="41">
        <f>HLOOKUP(HLOOKUP(G545,'THP2'!$B$4:$J$8,5,FALSE),'Fuel &amp; Resister'!$B$3:$G$6,3,FALSE)</f>
        <v>6.1345057489290813</v>
      </c>
      <c r="AO545" s="1">
        <v>1</v>
      </c>
      <c r="AP545" s="1">
        <v>1</v>
      </c>
    </row>
    <row r="546" spans="2:42" x14ac:dyDescent="0.15">
      <c r="B546" s="79" t="s">
        <v>593</v>
      </c>
      <c r="C546" s="61">
        <f>VLOOKUP(B546,[1]SYS!$F$5:$G$359,2,FALSE)</f>
        <v>105</v>
      </c>
      <c r="D546" s="1" t="s">
        <v>23</v>
      </c>
      <c r="E546" s="65" t="s">
        <v>79</v>
      </c>
      <c r="F546" s="63" t="s">
        <v>466</v>
      </c>
      <c r="G546" s="1">
        <v>5</v>
      </c>
      <c r="H546" s="1">
        <f t="shared" si="136"/>
        <v>0.3</v>
      </c>
      <c r="I546" s="1">
        <f t="shared" si="137"/>
        <v>0.6</v>
      </c>
      <c r="J546" s="1">
        <f t="shared" si="135"/>
        <v>5.5000000000000049E-2</v>
      </c>
      <c r="K546" s="1">
        <f t="shared" si="138"/>
        <v>2.39812</v>
      </c>
      <c r="L546" s="1">
        <f t="shared" si="139"/>
        <v>2.0009299999999999</v>
      </c>
      <c r="M546" s="49">
        <f t="shared" si="140"/>
        <v>2.4073010733142013</v>
      </c>
      <c r="N546" s="49">
        <v>6.1449999999999996</v>
      </c>
      <c r="O546" s="1">
        <v>504</v>
      </c>
      <c r="P546" s="51">
        <v>0.05</v>
      </c>
      <c r="Q546" s="51">
        <v>8</v>
      </c>
      <c r="R546" s="51">
        <v>1</v>
      </c>
      <c r="S546" s="1">
        <v>1</v>
      </c>
      <c r="T546" s="1">
        <v>0</v>
      </c>
      <c r="U546" s="47">
        <v>1</v>
      </c>
      <c r="V546" s="47">
        <v>43</v>
      </c>
      <c r="W546" s="41">
        <v>180</v>
      </c>
      <c r="X546">
        <v>600</v>
      </c>
      <c r="Y546">
        <v>0.94499999999999995</v>
      </c>
      <c r="Z546">
        <v>2398.12</v>
      </c>
      <c r="AA546">
        <v>2000.93</v>
      </c>
      <c r="AB546">
        <v>614.5</v>
      </c>
      <c r="AC546">
        <v>55</v>
      </c>
      <c r="AD546" s="41">
        <f t="shared" si="141"/>
        <v>0.35861424782746487</v>
      </c>
      <c r="AE546" s="41">
        <f t="shared" si="142"/>
        <v>0.42980014293353591</v>
      </c>
      <c r="AF546">
        <f t="shared" si="143"/>
        <v>1.8307057142857144</v>
      </c>
      <c r="AG546">
        <f t="shared" si="144"/>
        <v>0.1021345714285713</v>
      </c>
      <c r="AH546">
        <f t="shared" si="145"/>
        <v>6.1449999999999996</v>
      </c>
      <c r="AI546">
        <f>HLOOKUP(HLOOKUP(G546,'THP2'!$B$4:$J$8,5,FALSE),'Fuel &amp; Resister'!$B$3:$G$6,4,FALSE)</f>
        <v>1.7552248062015501</v>
      </c>
      <c r="AJ546" s="41">
        <f>HLOOKUP(HLOOKUP(G546,'THP2'!$B$4:$J$8,5,FALSE),'Fuel &amp; Resister'!$B$3:$G$6,3,FALSE)</f>
        <v>6.1345057489290813</v>
      </c>
      <c r="AO546" s="1">
        <v>1</v>
      </c>
      <c r="AP546" s="1">
        <v>1</v>
      </c>
    </row>
    <row r="547" spans="2:42" x14ac:dyDescent="0.15">
      <c r="B547" s="79" t="s">
        <v>593</v>
      </c>
      <c r="C547" s="61">
        <f>VLOOKUP(B547,[1]SYS!$F$5:$G$359,2,FALSE)</f>
        <v>105</v>
      </c>
      <c r="D547" s="1" t="s">
        <v>23</v>
      </c>
      <c r="E547" s="65" t="s">
        <v>80</v>
      </c>
      <c r="F547" s="63" t="s">
        <v>466</v>
      </c>
      <c r="G547" s="1">
        <v>5</v>
      </c>
      <c r="H547" s="1">
        <f t="shared" si="136"/>
        <v>0.30071174377224197</v>
      </c>
      <c r="I547" s="1">
        <f t="shared" si="137"/>
        <v>0.56200000000000006</v>
      </c>
      <c r="J547" s="1">
        <f t="shared" si="135"/>
        <v>5.5000000000000049E-2</v>
      </c>
      <c r="K547" s="1">
        <f t="shared" si="138"/>
        <v>2.39812</v>
      </c>
      <c r="L547" s="1">
        <f t="shared" si="139"/>
        <v>2.0009299999999999</v>
      </c>
      <c r="M547" s="49">
        <f t="shared" si="140"/>
        <v>2.254838672004301</v>
      </c>
      <c r="N547" s="49">
        <v>5.7137000000000002</v>
      </c>
      <c r="O547" s="1">
        <v>603</v>
      </c>
      <c r="P547" s="51">
        <v>0.05</v>
      </c>
      <c r="Q547" s="51">
        <v>8</v>
      </c>
      <c r="R547" s="51">
        <v>1</v>
      </c>
      <c r="S547" s="1">
        <v>1</v>
      </c>
      <c r="T547" s="1">
        <v>0</v>
      </c>
      <c r="U547" s="47">
        <v>1</v>
      </c>
      <c r="V547" s="47">
        <v>44</v>
      </c>
      <c r="W547" s="41">
        <v>169</v>
      </c>
      <c r="X547">
        <v>562</v>
      </c>
      <c r="Y547">
        <v>0.94499999999999995</v>
      </c>
      <c r="Z547">
        <v>2398.12</v>
      </c>
      <c r="AA547">
        <v>2000.93</v>
      </c>
      <c r="AB547">
        <v>571.37</v>
      </c>
      <c r="AC547">
        <v>55</v>
      </c>
      <c r="AD547" s="41">
        <f t="shared" si="141"/>
        <v>0.35861424782746487</v>
      </c>
      <c r="AE547" s="41">
        <f t="shared" si="142"/>
        <v>0.42980014293353591</v>
      </c>
      <c r="AF547">
        <f t="shared" si="143"/>
        <v>1.8301281933842237</v>
      </c>
      <c r="AG547">
        <f t="shared" si="144"/>
        <v>9.5990615318066214E-2</v>
      </c>
      <c r="AH547">
        <f t="shared" si="145"/>
        <v>5.7137000000000002</v>
      </c>
      <c r="AI547">
        <f>HLOOKUP(HLOOKUP(G547,'THP2'!$B$4:$J$8,5,FALSE),'Fuel &amp; Resister'!$B$3:$G$6,4,FALSE)</f>
        <v>1.7552248062015501</v>
      </c>
      <c r="AJ547" s="41">
        <f>HLOOKUP(HLOOKUP(G547,'THP2'!$B$4:$J$8,5,FALSE),'Fuel &amp; Resister'!$B$3:$G$6,3,FALSE)</f>
        <v>6.1345057489290813</v>
      </c>
      <c r="AO547" s="1">
        <v>1</v>
      </c>
      <c r="AP547" s="1">
        <v>1</v>
      </c>
    </row>
    <row r="548" spans="2:42" x14ac:dyDescent="0.15">
      <c r="B548" s="79" t="s">
        <v>594</v>
      </c>
      <c r="C548" s="61">
        <f>VLOOKUP(B548,[1]SYS!$F$5:$G$359,2,FALSE)</f>
        <v>70</v>
      </c>
      <c r="D548" s="1" t="s">
        <v>23</v>
      </c>
      <c r="E548" s="65" t="s">
        <v>81</v>
      </c>
      <c r="F548" s="63" t="s">
        <v>512</v>
      </c>
      <c r="G548" s="1">
        <v>5</v>
      </c>
      <c r="H548" s="1">
        <f t="shared" si="136"/>
        <v>0.3</v>
      </c>
      <c r="I548" s="1">
        <f t="shared" si="137"/>
        <v>1</v>
      </c>
      <c r="J548" s="1">
        <f t="shared" si="135"/>
        <v>6.2000000000000055E-2</v>
      </c>
      <c r="K548" s="1">
        <f t="shared" si="138"/>
        <v>2.40035</v>
      </c>
      <c r="L548" s="1">
        <f t="shared" si="139"/>
        <v>2.0027900000000001</v>
      </c>
      <c r="M548" s="49">
        <f t="shared" si="140"/>
        <v>4.0158980379314873</v>
      </c>
      <c r="N548" s="49">
        <v>15</v>
      </c>
      <c r="O548" s="1">
        <v>403</v>
      </c>
      <c r="P548" s="51">
        <v>0.05</v>
      </c>
      <c r="Q548" s="51">
        <v>8</v>
      </c>
      <c r="R548" s="51">
        <v>1</v>
      </c>
      <c r="S548" s="1">
        <v>1</v>
      </c>
      <c r="T548" s="1">
        <v>0</v>
      </c>
      <c r="U548" s="47">
        <v>1</v>
      </c>
      <c r="V548" s="47">
        <v>45</v>
      </c>
      <c r="W548" s="41">
        <v>300</v>
      </c>
      <c r="X548">
        <v>1000</v>
      </c>
      <c r="Y548">
        <v>0.93799999999999994</v>
      </c>
      <c r="Z548">
        <v>2400.35</v>
      </c>
      <c r="AA548">
        <v>2002.79</v>
      </c>
      <c r="AB548">
        <v>1500</v>
      </c>
      <c r="AC548">
        <v>55</v>
      </c>
      <c r="AD548" s="41">
        <f t="shared" si="141"/>
        <v>0.35828108400858211</v>
      </c>
      <c r="AE548" s="41">
        <f t="shared" si="142"/>
        <v>0.42940098562505302</v>
      </c>
      <c r="AF548">
        <f t="shared" si="143"/>
        <v>1.8324071428571431</v>
      </c>
      <c r="AG548">
        <f t="shared" si="144"/>
        <v>0.17038285714285695</v>
      </c>
      <c r="AH548">
        <f t="shared" si="145"/>
        <v>15</v>
      </c>
      <c r="AI548">
        <f>HLOOKUP(HLOOKUP(G548,'THP2'!$B$4:$J$8,5,FALSE),'Fuel &amp; Resister'!$B$3:$G$6,4,FALSE)</f>
        <v>1.7552248062015501</v>
      </c>
      <c r="AJ548" s="41">
        <f>HLOOKUP(HLOOKUP(G548,'THP2'!$B$4:$J$8,5,FALSE),'Fuel &amp; Resister'!$B$3:$G$6,3,FALSE)</f>
        <v>6.1345057489290813</v>
      </c>
      <c r="AO548" s="1">
        <v>1</v>
      </c>
      <c r="AP548" s="1">
        <v>1</v>
      </c>
    </row>
    <row r="549" spans="2:42" x14ac:dyDescent="0.15">
      <c r="B549" s="79" t="s">
        <v>594</v>
      </c>
      <c r="C549" s="61">
        <f>VLOOKUP(B549,[1]SYS!$F$5:$G$359,2,FALSE)</f>
        <v>70</v>
      </c>
      <c r="D549" s="1" t="s">
        <v>23</v>
      </c>
      <c r="E549" s="65" t="s">
        <v>82</v>
      </c>
      <c r="F549" s="63" t="s">
        <v>512</v>
      </c>
      <c r="G549" s="1">
        <v>5</v>
      </c>
      <c r="H549" s="1">
        <f t="shared" si="136"/>
        <v>0.3</v>
      </c>
      <c r="I549" s="1">
        <f t="shared" si="137"/>
        <v>1</v>
      </c>
      <c r="J549" s="1">
        <f t="shared" si="135"/>
        <v>6.2000000000000055E-2</v>
      </c>
      <c r="K549" s="1">
        <f t="shared" si="138"/>
        <v>2.40035</v>
      </c>
      <c r="L549" s="1">
        <f t="shared" si="139"/>
        <v>2.0027900000000001</v>
      </c>
      <c r="M549" s="49">
        <f t="shared" si="140"/>
        <v>4.0158980379314873</v>
      </c>
      <c r="N549" s="49">
        <v>15</v>
      </c>
      <c r="O549" s="1">
        <v>403</v>
      </c>
      <c r="P549" s="51">
        <v>0.05</v>
      </c>
      <c r="Q549" s="51">
        <v>8</v>
      </c>
      <c r="R549" s="51">
        <v>1</v>
      </c>
      <c r="S549" s="1">
        <v>1</v>
      </c>
      <c r="T549" s="1">
        <v>0</v>
      </c>
      <c r="U549" s="47">
        <v>1</v>
      </c>
      <c r="V549" s="47">
        <v>46</v>
      </c>
      <c r="W549" s="41">
        <v>300</v>
      </c>
      <c r="X549">
        <v>1000</v>
      </c>
      <c r="Y549">
        <v>0.93799999999999994</v>
      </c>
      <c r="Z549">
        <v>2400.35</v>
      </c>
      <c r="AA549">
        <v>2002.79</v>
      </c>
      <c r="AB549">
        <v>1500</v>
      </c>
      <c r="AC549">
        <v>55</v>
      </c>
      <c r="AD549" s="41">
        <f t="shared" si="141"/>
        <v>0.35828108400858211</v>
      </c>
      <c r="AE549" s="41">
        <f t="shared" si="142"/>
        <v>0.42940098562505302</v>
      </c>
      <c r="AF549">
        <f t="shared" si="143"/>
        <v>1.8324071428571431</v>
      </c>
      <c r="AG549">
        <f t="shared" si="144"/>
        <v>0.17038285714285695</v>
      </c>
      <c r="AH549">
        <f t="shared" si="145"/>
        <v>15</v>
      </c>
      <c r="AI549">
        <f>HLOOKUP(HLOOKUP(G549,'THP2'!$B$4:$J$8,5,FALSE),'Fuel &amp; Resister'!$B$3:$G$6,4,FALSE)</f>
        <v>1.7552248062015501</v>
      </c>
      <c r="AJ549" s="41">
        <f>HLOOKUP(HLOOKUP(G549,'THP2'!$B$4:$J$8,5,FALSE),'Fuel &amp; Resister'!$B$3:$G$6,3,FALSE)</f>
        <v>6.1345057489290813</v>
      </c>
      <c r="AO549" s="1">
        <v>1</v>
      </c>
      <c r="AP549" s="1">
        <v>1</v>
      </c>
    </row>
    <row r="550" spans="2:42" x14ac:dyDescent="0.15">
      <c r="B550" s="79" t="s">
        <v>590</v>
      </c>
      <c r="C550" s="61">
        <f>VLOOKUP(B550,[1]SYS!$F$5:$G$359,2,FALSE)</f>
        <v>64</v>
      </c>
      <c r="D550" s="1" t="s">
        <v>23</v>
      </c>
      <c r="E550" s="65" t="s">
        <v>83</v>
      </c>
      <c r="F550" s="63" t="s">
        <v>467</v>
      </c>
      <c r="G550" s="1">
        <v>5</v>
      </c>
      <c r="H550" s="1">
        <f t="shared" si="136"/>
        <v>0.3</v>
      </c>
      <c r="I550" s="1">
        <f t="shared" si="137"/>
        <v>0.6</v>
      </c>
      <c r="J550" s="1">
        <f t="shared" si="135"/>
        <v>6.2000000000000055E-2</v>
      </c>
      <c r="K550" s="1">
        <f t="shared" si="138"/>
        <v>2.40035</v>
      </c>
      <c r="L550" s="1">
        <f t="shared" si="139"/>
        <v>2.0027900000000001</v>
      </c>
      <c r="M550" s="49">
        <f t="shared" si="140"/>
        <v>2.4095388227588916</v>
      </c>
      <c r="N550" s="49">
        <v>6.1449999999999996</v>
      </c>
      <c r="O550" s="1">
        <v>603</v>
      </c>
      <c r="P550" s="51">
        <v>0.05</v>
      </c>
      <c r="Q550" s="51">
        <v>8</v>
      </c>
      <c r="R550" s="51">
        <v>1</v>
      </c>
      <c r="S550" s="1">
        <v>1</v>
      </c>
      <c r="T550" s="1">
        <v>0</v>
      </c>
      <c r="U550" s="47">
        <v>1</v>
      </c>
      <c r="V550" s="47">
        <v>47</v>
      </c>
      <c r="W550" s="41">
        <v>180</v>
      </c>
      <c r="X550">
        <v>600</v>
      </c>
      <c r="Y550">
        <v>0.93799999999999994</v>
      </c>
      <c r="Z550">
        <v>2400.35</v>
      </c>
      <c r="AA550">
        <v>2002.79</v>
      </c>
      <c r="AB550">
        <v>614.5</v>
      </c>
      <c r="AC550">
        <v>55</v>
      </c>
      <c r="AD550" s="41">
        <f t="shared" si="141"/>
        <v>0.35828108400858211</v>
      </c>
      <c r="AE550" s="41">
        <f t="shared" si="142"/>
        <v>0.42940098562505302</v>
      </c>
      <c r="AF550">
        <f t="shared" si="143"/>
        <v>1.8324071428571431</v>
      </c>
      <c r="AG550">
        <f t="shared" si="144"/>
        <v>0.10222971428571416</v>
      </c>
      <c r="AH550">
        <f t="shared" si="145"/>
        <v>6.1449999999999996</v>
      </c>
      <c r="AI550">
        <f>HLOOKUP(HLOOKUP(G550,'THP2'!$B$4:$J$8,5,FALSE),'Fuel &amp; Resister'!$B$3:$G$6,4,FALSE)</f>
        <v>1.7552248062015501</v>
      </c>
      <c r="AJ550" s="41">
        <f>HLOOKUP(HLOOKUP(G550,'THP2'!$B$4:$J$8,5,FALSE),'Fuel &amp; Resister'!$B$3:$G$6,3,FALSE)</f>
        <v>6.1345057489290813</v>
      </c>
      <c r="AO550" s="1">
        <v>1</v>
      </c>
      <c r="AP550" s="1">
        <v>1</v>
      </c>
    </row>
    <row r="551" spans="2:42" x14ac:dyDescent="0.15">
      <c r="B551" s="79" t="s">
        <v>590</v>
      </c>
      <c r="C551" s="61">
        <f>VLOOKUP(B551,[1]SYS!$F$5:$G$359,2,FALSE)</f>
        <v>64</v>
      </c>
      <c r="D551" s="1" t="s">
        <v>23</v>
      </c>
      <c r="E551" s="65" t="s">
        <v>84</v>
      </c>
      <c r="F551" s="63" t="s">
        <v>467</v>
      </c>
      <c r="G551" s="1">
        <v>5</v>
      </c>
      <c r="H551" s="1">
        <f t="shared" si="136"/>
        <v>0.3</v>
      </c>
      <c r="I551" s="1">
        <f t="shared" si="137"/>
        <v>0.6</v>
      </c>
      <c r="J551" s="1">
        <f t="shared" si="135"/>
        <v>6.2000000000000055E-2</v>
      </c>
      <c r="K551" s="1">
        <f t="shared" si="138"/>
        <v>2.40035</v>
      </c>
      <c r="L551" s="1">
        <f t="shared" si="139"/>
        <v>2.0027900000000001</v>
      </c>
      <c r="M551" s="49">
        <f t="shared" si="140"/>
        <v>2.4095388227588916</v>
      </c>
      <c r="N551" s="49">
        <v>6.1449999999999996</v>
      </c>
      <c r="O551" s="1">
        <v>504</v>
      </c>
      <c r="P551" s="51">
        <v>0.05</v>
      </c>
      <c r="Q551" s="51">
        <v>8</v>
      </c>
      <c r="R551" s="51">
        <v>1</v>
      </c>
      <c r="S551" s="1">
        <v>1</v>
      </c>
      <c r="T551" s="1">
        <v>0</v>
      </c>
      <c r="U551" s="47">
        <v>1</v>
      </c>
      <c r="V551" s="47">
        <v>48</v>
      </c>
      <c r="W551" s="41">
        <v>180</v>
      </c>
      <c r="X551">
        <v>600</v>
      </c>
      <c r="Y551">
        <v>0.93799999999999994</v>
      </c>
      <c r="Z551">
        <v>2400.35</v>
      </c>
      <c r="AA551">
        <v>2002.79</v>
      </c>
      <c r="AB551">
        <v>614.5</v>
      </c>
      <c r="AC551">
        <v>55</v>
      </c>
      <c r="AD551" s="41">
        <f t="shared" si="141"/>
        <v>0.35828108400858211</v>
      </c>
      <c r="AE551" s="41">
        <f t="shared" si="142"/>
        <v>0.42940098562505302</v>
      </c>
      <c r="AF551">
        <f t="shared" si="143"/>
        <v>1.8324071428571431</v>
      </c>
      <c r="AG551">
        <f t="shared" si="144"/>
        <v>0.10222971428571416</v>
      </c>
      <c r="AH551">
        <f t="shared" si="145"/>
        <v>6.1449999999999996</v>
      </c>
      <c r="AI551">
        <f>HLOOKUP(HLOOKUP(G551,'THP2'!$B$4:$J$8,5,FALSE),'Fuel &amp; Resister'!$B$3:$G$6,4,FALSE)</f>
        <v>1.7552248062015501</v>
      </c>
      <c r="AJ551" s="41">
        <f>HLOOKUP(HLOOKUP(G551,'THP2'!$B$4:$J$8,5,FALSE),'Fuel &amp; Resister'!$B$3:$G$6,3,FALSE)</f>
        <v>6.1345057489290813</v>
      </c>
      <c r="AO551" s="1">
        <v>1</v>
      </c>
      <c r="AP551" s="1">
        <v>1</v>
      </c>
    </row>
    <row r="552" spans="2:42" x14ac:dyDescent="0.15">
      <c r="B552" s="79" t="s">
        <v>595</v>
      </c>
      <c r="C552" s="61">
        <f>VLOOKUP(B552,[1]SYS!$F$5:$G$359,2,FALSE)</f>
        <v>104</v>
      </c>
      <c r="D552" s="1" t="s">
        <v>23</v>
      </c>
      <c r="E552" s="65" t="s">
        <v>85</v>
      </c>
      <c r="F552" s="63" t="s">
        <v>513</v>
      </c>
      <c r="G552" s="1">
        <v>5</v>
      </c>
      <c r="H552" s="1">
        <f t="shared" si="136"/>
        <v>0.3</v>
      </c>
      <c r="I552" s="1">
        <f t="shared" si="137"/>
        <v>0.65</v>
      </c>
      <c r="J552" s="1">
        <f t="shared" si="135"/>
        <v>0</v>
      </c>
      <c r="K552" s="1">
        <f t="shared" si="138"/>
        <v>2.5421399999999998</v>
      </c>
      <c r="L552" s="1">
        <f t="shared" si="139"/>
        <v>2.1210999999999998</v>
      </c>
      <c r="M552" s="49">
        <f t="shared" si="140"/>
        <v>2.7645329082763084</v>
      </c>
      <c r="N552" s="49">
        <v>6.7125000000000004</v>
      </c>
      <c r="O552" s="1">
        <v>504</v>
      </c>
      <c r="P552" s="51">
        <v>0.05</v>
      </c>
      <c r="Q552" s="51">
        <v>8</v>
      </c>
      <c r="R552" s="51">
        <v>1</v>
      </c>
      <c r="S552" s="1">
        <v>1</v>
      </c>
      <c r="T552" s="1">
        <v>0</v>
      </c>
      <c r="U552" s="47">
        <v>1</v>
      </c>
      <c r="V552" s="47">
        <v>49</v>
      </c>
      <c r="W552" s="41">
        <v>195</v>
      </c>
      <c r="X552">
        <v>650</v>
      </c>
      <c r="Y552">
        <v>1</v>
      </c>
      <c r="Z552">
        <v>2542.14</v>
      </c>
      <c r="AA552">
        <v>2121.1</v>
      </c>
      <c r="AB552">
        <v>671.25</v>
      </c>
      <c r="AC552">
        <v>55</v>
      </c>
      <c r="AD552" s="41">
        <f t="shared" si="141"/>
        <v>0.33829765473184015</v>
      </c>
      <c r="AE552" s="41">
        <f t="shared" si="142"/>
        <v>0.40545000235726747</v>
      </c>
      <c r="AF552">
        <f t="shared" si="143"/>
        <v>1.9406542857142854</v>
      </c>
      <c r="AG552">
        <f t="shared" si="144"/>
        <v>0.11728971428571432</v>
      </c>
      <c r="AH552">
        <f t="shared" si="145"/>
        <v>6.7125000000000004</v>
      </c>
      <c r="AI552">
        <f>HLOOKUP(HLOOKUP(G552,'THP2'!$B$4:$J$8,5,FALSE),'Fuel &amp; Resister'!$B$3:$G$6,4,FALSE)</f>
        <v>1.7552248062015501</v>
      </c>
      <c r="AJ552" s="41">
        <f>HLOOKUP(HLOOKUP(G552,'THP2'!$B$4:$J$8,5,FALSE),'Fuel &amp; Resister'!$B$3:$G$6,3,FALSE)</f>
        <v>6.1345057489290813</v>
      </c>
      <c r="AO552" s="1">
        <v>1</v>
      </c>
      <c r="AP552" s="1">
        <v>1</v>
      </c>
    </row>
    <row r="553" spans="2:42" x14ac:dyDescent="0.15">
      <c r="B553" s="79" t="s">
        <v>595</v>
      </c>
      <c r="C553" s="61">
        <f>VLOOKUP(B553,[1]SYS!$F$5:$G$359,2,FALSE)</f>
        <v>104</v>
      </c>
      <c r="D553" s="1" t="s">
        <v>23</v>
      </c>
      <c r="E553" s="65" t="s">
        <v>86</v>
      </c>
      <c r="F553" s="63" t="s">
        <v>513</v>
      </c>
      <c r="G553" s="1">
        <v>5</v>
      </c>
      <c r="H553" s="1">
        <f t="shared" si="136"/>
        <v>0.3</v>
      </c>
      <c r="I553" s="1">
        <f t="shared" si="137"/>
        <v>0.65</v>
      </c>
      <c r="J553" s="1">
        <f t="shared" si="135"/>
        <v>0</v>
      </c>
      <c r="K553" s="1">
        <f t="shared" si="138"/>
        <v>2.5421399999999998</v>
      </c>
      <c r="L553" s="1">
        <f t="shared" si="139"/>
        <v>2.1210999999999998</v>
      </c>
      <c r="M553" s="49">
        <f t="shared" si="140"/>
        <v>2.7645329082763084</v>
      </c>
      <c r="N553" s="49">
        <v>6.7125000000000004</v>
      </c>
      <c r="O553" s="1">
        <v>403</v>
      </c>
      <c r="P553" s="51">
        <v>0.05</v>
      </c>
      <c r="Q553" s="51">
        <v>8</v>
      </c>
      <c r="R553" s="51">
        <v>1</v>
      </c>
      <c r="S553" s="1">
        <v>1</v>
      </c>
      <c r="T553" s="1">
        <v>0</v>
      </c>
      <c r="U553" s="47">
        <v>1</v>
      </c>
      <c r="V553" s="47">
        <v>50</v>
      </c>
      <c r="W553" s="41">
        <v>195</v>
      </c>
      <c r="X553">
        <v>650</v>
      </c>
      <c r="Y553">
        <v>1</v>
      </c>
      <c r="Z553">
        <v>2542.14</v>
      </c>
      <c r="AA553">
        <v>2121.1</v>
      </c>
      <c r="AB553">
        <v>671.25</v>
      </c>
      <c r="AC553">
        <v>55</v>
      </c>
      <c r="AD553" s="41">
        <f t="shared" si="141"/>
        <v>0.33829765473184015</v>
      </c>
      <c r="AE553" s="41">
        <f t="shared" si="142"/>
        <v>0.40545000235726747</v>
      </c>
      <c r="AF553">
        <f t="shared" si="143"/>
        <v>1.9406542857142854</v>
      </c>
      <c r="AG553">
        <f t="shared" si="144"/>
        <v>0.11728971428571432</v>
      </c>
      <c r="AH553">
        <f t="shared" si="145"/>
        <v>6.7125000000000004</v>
      </c>
      <c r="AI553">
        <f>HLOOKUP(HLOOKUP(G553,'THP2'!$B$4:$J$8,5,FALSE),'Fuel &amp; Resister'!$B$3:$G$6,4,FALSE)</f>
        <v>1.7552248062015501</v>
      </c>
      <c r="AJ553" s="41">
        <f>HLOOKUP(HLOOKUP(G553,'THP2'!$B$4:$J$8,5,FALSE),'Fuel &amp; Resister'!$B$3:$G$6,3,FALSE)</f>
        <v>6.1345057489290813</v>
      </c>
      <c r="AO553" s="1">
        <v>1</v>
      </c>
      <c r="AP553" s="1">
        <v>1</v>
      </c>
    </row>
    <row r="554" spans="2:42" x14ac:dyDescent="0.15">
      <c r="B554" s="79" t="s">
        <v>595</v>
      </c>
      <c r="C554" s="61">
        <f>VLOOKUP(B554,[1]SYS!$F$5:$G$359,2,FALSE)</f>
        <v>104</v>
      </c>
      <c r="D554" s="1" t="s">
        <v>23</v>
      </c>
      <c r="E554" s="65" t="s">
        <v>87</v>
      </c>
      <c r="F554" s="63" t="s">
        <v>514</v>
      </c>
      <c r="G554" s="1">
        <v>5</v>
      </c>
      <c r="H554" s="1">
        <f t="shared" si="136"/>
        <v>0.30434782608695654</v>
      </c>
      <c r="I554" s="1">
        <f t="shared" si="137"/>
        <v>9.1999999999999998E-2</v>
      </c>
      <c r="J554" s="1">
        <f t="shared" si="135"/>
        <v>6.0000000000000053E-2</v>
      </c>
      <c r="K554" s="1">
        <f t="shared" si="138"/>
        <v>2.5605599999999997</v>
      </c>
      <c r="L554" s="1">
        <f t="shared" si="139"/>
        <v>2.1364699999999996</v>
      </c>
      <c r="M554" s="49">
        <f t="shared" si="140"/>
        <v>0.39412309960662484</v>
      </c>
      <c r="N554" s="49">
        <v>0.73599999999999999</v>
      </c>
      <c r="O554" s="6">
        <v>302</v>
      </c>
      <c r="P554" s="51">
        <v>0</v>
      </c>
      <c r="Q554" s="51">
        <v>8</v>
      </c>
      <c r="R554" s="51">
        <v>1</v>
      </c>
      <c r="S554" s="1">
        <v>1</v>
      </c>
      <c r="T554" s="1">
        <v>0</v>
      </c>
      <c r="U554" s="47">
        <v>1</v>
      </c>
      <c r="V554" s="47">
        <v>51</v>
      </c>
      <c r="W554" s="41">
        <v>28</v>
      </c>
      <c r="X554">
        <v>92</v>
      </c>
      <c r="Y554">
        <v>0.94</v>
      </c>
      <c r="Z554">
        <v>2560.56</v>
      </c>
      <c r="AA554">
        <v>2136.4699999999998</v>
      </c>
      <c r="AB554">
        <v>73.599999999999994</v>
      </c>
      <c r="AC554">
        <v>55</v>
      </c>
      <c r="AD554" s="41">
        <f t="shared" si="141"/>
        <v>0.33586402974349366</v>
      </c>
      <c r="AE554" s="41">
        <f t="shared" si="142"/>
        <v>0.40253315047718902</v>
      </c>
      <c r="AF554">
        <f t="shared" si="143"/>
        <v>1.9509306249999998</v>
      </c>
      <c r="AG554">
        <f t="shared" si="144"/>
        <v>1.7069622499999985E-2</v>
      </c>
      <c r="AH554">
        <f t="shared" si="145"/>
        <v>0.73599999999999999</v>
      </c>
      <c r="AI554">
        <f>HLOOKUP(HLOOKUP(G554,'THP2'!$B$4:$J$8,5,FALSE),'Fuel &amp; Resister'!$B$3:$G$6,4,FALSE)</f>
        <v>1.7552248062015501</v>
      </c>
      <c r="AJ554" s="41">
        <f>HLOOKUP(HLOOKUP(G554,'THP2'!$B$4:$J$8,5,FALSE),'Fuel &amp; Resister'!$B$3:$G$6,3,FALSE)</f>
        <v>6.1345057489290813</v>
      </c>
      <c r="AO554" s="1">
        <v>1</v>
      </c>
      <c r="AP554" s="1">
        <v>1</v>
      </c>
    </row>
    <row r="555" spans="2:42" x14ac:dyDescent="0.15">
      <c r="B555" s="79" t="s">
        <v>595</v>
      </c>
      <c r="C555" s="61">
        <f>VLOOKUP(B555,[1]SYS!$F$5:$G$359,2,FALSE)</f>
        <v>104</v>
      </c>
      <c r="D555" s="1" t="s">
        <v>23</v>
      </c>
      <c r="E555" s="65" t="s">
        <v>88</v>
      </c>
      <c r="F555" s="42"/>
      <c r="G555" s="1">
        <v>5</v>
      </c>
      <c r="H555" s="1">
        <f t="shared" si="136"/>
        <v>0.29980276134122286</v>
      </c>
      <c r="I555" s="1">
        <f t="shared" si="137"/>
        <v>0.50700000000000001</v>
      </c>
      <c r="J555" s="1">
        <f t="shared" si="135"/>
        <v>4.9000000000000044E-2</v>
      </c>
      <c r="K555" s="1">
        <f t="shared" si="138"/>
        <v>2.6069299999999997</v>
      </c>
      <c r="L555" s="1">
        <f t="shared" si="139"/>
        <v>2.17516</v>
      </c>
      <c r="M555" s="49">
        <f t="shared" si="140"/>
        <v>2.2112937120351286</v>
      </c>
      <c r="N555" s="49">
        <v>5.0895000000000001</v>
      </c>
      <c r="O555" s="1">
        <v>603</v>
      </c>
      <c r="P555" s="51">
        <v>0</v>
      </c>
      <c r="Q555" s="51">
        <v>8</v>
      </c>
      <c r="R555" s="51">
        <v>1</v>
      </c>
      <c r="S555" s="1">
        <v>1</v>
      </c>
      <c r="T555" s="1">
        <v>0</v>
      </c>
      <c r="U555" s="47">
        <v>1</v>
      </c>
      <c r="V555" s="47">
        <v>52</v>
      </c>
      <c r="W555" s="41">
        <v>152</v>
      </c>
      <c r="X555">
        <v>507</v>
      </c>
      <c r="Y555">
        <v>0.95099999999999996</v>
      </c>
      <c r="Z555">
        <v>2606.9299999999998</v>
      </c>
      <c r="AA555">
        <v>2175.16</v>
      </c>
      <c r="AB555">
        <v>508.95</v>
      </c>
      <c r="AC555">
        <v>55</v>
      </c>
      <c r="AD555" s="41">
        <f t="shared" si="141"/>
        <v>0.32988994717924919</v>
      </c>
      <c r="AE555" s="41">
        <f t="shared" si="142"/>
        <v>0.39537321392449293</v>
      </c>
      <c r="AF555">
        <f t="shared" si="143"/>
        <v>1.9902894647887326</v>
      </c>
      <c r="AG555">
        <f t="shared" si="144"/>
        <v>9.3729361352112572E-2</v>
      </c>
      <c r="AH555">
        <f t="shared" si="145"/>
        <v>5.0895000000000001</v>
      </c>
      <c r="AI555">
        <f>HLOOKUP(HLOOKUP(G555,'THP2'!$B$4:$J$8,5,FALSE),'Fuel &amp; Resister'!$B$3:$G$6,4,FALSE)</f>
        <v>1.7552248062015501</v>
      </c>
      <c r="AJ555" s="41">
        <f>HLOOKUP(HLOOKUP(G555,'THP2'!$B$4:$J$8,5,FALSE),'Fuel &amp; Resister'!$B$3:$G$6,3,FALSE)</f>
        <v>6.1345057489290813</v>
      </c>
      <c r="AO555" s="1">
        <v>1</v>
      </c>
      <c r="AP555" s="1">
        <v>1</v>
      </c>
    </row>
    <row r="556" spans="2:42" x14ac:dyDescent="0.15">
      <c r="B556" s="79" t="s">
        <v>596</v>
      </c>
      <c r="C556" s="61">
        <f>VLOOKUP(B556,[1]SYS!$F$5:$G$359,2,FALSE)</f>
        <v>155</v>
      </c>
      <c r="D556" s="1" t="s">
        <v>23</v>
      </c>
      <c r="E556" s="42" t="s">
        <v>89</v>
      </c>
      <c r="F556" s="42"/>
      <c r="G556" s="1">
        <v>5</v>
      </c>
      <c r="H556" s="1">
        <f t="shared" si="136"/>
        <v>0.3</v>
      </c>
      <c r="I556" s="1">
        <f t="shared" si="137"/>
        <v>1</v>
      </c>
      <c r="J556" s="1">
        <f t="shared" si="135"/>
        <v>5.2000000000000046E-2</v>
      </c>
      <c r="K556" s="1">
        <f t="shared" si="138"/>
        <v>2.4611999999999998</v>
      </c>
      <c r="L556" s="1">
        <f t="shared" si="139"/>
        <v>2.0535700000000001</v>
      </c>
      <c r="M556" s="49">
        <f t="shared" si="140"/>
        <v>4.1177196479685652</v>
      </c>
      <c r="N556" s="49">
        <v>15</v>
      </c>
      <c r="O556" s="1">
        <v>702</v>
      </c>
      <c r="P556" s="51">
        <v>0.05</v>
      </c>
      <c r="Q556" s="51">
        <v>8</v>
      </c>
      <c r="R556" s="51">
        <v>1</v>
      </c>
      <c r="S556" s="1">
        <v>1</v>
      </c>
      <c r="T556" s="1">
        <v>0</v>
      </c>
      <c r="U556" s="47">
        <v>0</v>
      </c>
      <c r="V556" s="47">
        <v>53</v>
      </c>
      <c r="W556" s="41">
        <v>300</v>
      </c>
      <c r="X556">
        <v>1000</v>
      </c>
      <c r="Y556">
        <v>0.94799999999999995</v>
      </c>
      <c r="Z556">
        <v>2461.1999999999998</v>
      </c>
      <c r="AA556">
        <v>2053.5700000000002</v>
      </c>
      <c r="AB556">
        <v>1500</v>
      </c>
      <c r="AC556">
        <v>55</v>
      </c>
      <c r="AD556" s="41">
        <f t="shared" si="141"/>
        <v>0.34942304566877952</v>
      </c>
      <c r="AE556" s="41">
        <f t="shared" si="142"/>
        <v>0.41878290002288693</v>
      </c>
      <c r="AF556">
        <f t="shared" si="143"/>
        <v>1.878871428571429</v>
      </c>
      <c r="AG556">
        <f t="shared" si="144"/>
        <v>0.17469857142857115</v>
      </c>
      <c r="AH556">
        <f t="shared" si="145"/>
        <v>15</v>
      </c>
      <c r="AI556">
        <f>HLOOKUP(HLOOKUP(G556,'THP2'!$B$4:$J$8,5,FALSE),'Fuel &amp; Resister'!$B$3:$G$6,4,FALSE)</f>
        <v>1.7552248062015501</v>
      </c>
      <c r="AJ556" s="41">
        <f>HLOOKUP(HLOOKUP(G556,'THP2'!$B$4:$J$8,5,FALSE),'Fuel &amp; Resister'!$B$3:$G$6,3,FALSE)</f>
        <v>6.1345057489290813</v>
      </c>
      <c r="AO556" s="62">
        <v>0</v>
      </c>
      <c r="AP556" s="62">
        <v>0</v>
      </c>
    </row>
    <row r="557" spans="2:42" x14ac:dyDescent="0.15">
      <c r="B557" s="79" t="s">
        <v>596</v>
      </c>
      <c r="C557" s="61">
        <f>VLOOKUP(B557,[1]SYS!$F$5:$G$359,2,FALSE)</f>
        <v>155</v>
      </c>
      <c r="D557" s="1" t="s">
        <v>23</v>
      </c>
      <c r="E557" s="42" t="s">
        <v>89</v>
      </c>
      <c r="F557" s="42"/>
      <c r="G557" s="1">
        <v>5</v>
      </c>
      <c r="H557" s="1">
        <f t="shared" si="136"/>
        <v>0.3</v>
      </c>
      <c r="I557" s="1">
        <f t="shared" si="137"/>
        <v>1</v>
      </c>
      <c r="J557" s="1">
        <f t="shared" si="135"/>
        <v>5.2000000000000046E-2</v>
      </c>
      <c r="K557" s="1">
        <f t="shared" si="138"/>
        <v>2.4611999999999998</v>
      </c>
      <c r="L557" s="1">
        <f t="shared" si="139"/>
        <v>2.0535700000000001</v>
      </c>
      <c r="M557" s="49">
        <f t="shared" si="140"/>
        <v>4.1177196479685652</v>
      </c>
      <c r="N557" s="49">
        <v>15</v>
      </c>
      <c r="O557" s="1">
        <v>104</v>
      </c>
      <c r="P557" s="51">
        <v>0.05</v>
      </c>
      <c r="Q557" s="51">
        <v>8</v>
      </c>
      <c r="R557" s="51">
        <v>1</v>
      </c>
      <c r="S557" s="1">
        <v>1</v>
      </c>
      <c r="T557" s="1">
        <v>0</v>
      </c>
      <c r="U557" s="47">
        <v>0</v>
      </c>
      <c r="V557" s="47">
        <v>54</v>
      </c>
      <c r="W557" s="41">
        <v>300</v>
      </c>
      <c r="X557">
        <v>1000</v>
      </c>
      <c r="Y557">
        <v>0.94799999999999995</v>
      </c>
      <c r="Z557">
        <v>2461.1999999999998</v>
      </c>
      <c r="AA557">
        <v>2053.5700000000002</v>
      </c>
      <c r="AB557">
        <v>1500</v>
      </c>
      <c r="AC557">
        <v>55</v>
      </c>
      <c r="AD557" s="41">
        <f t="shared" si="141"/>
        <v>0.34942304566877952</v>
      </c>
      <c r="AE557" s="41">
        <f t="shared" si="142"/>
        <v>0.41878290002288693</v>
      </c>
      <c r="AF557">
        <f t="shared" si="143"/>
        <v>1.878871428571429</v>
      </c>
      <c r="AG557">
        <f t="shared" si="144"/>
        <v>0.17469857142857115</v>
      </c>
      <c r="AH557">
        <f t="shared" si="145"/>
        <v>15</v>
      </c>
      <c r="AI557">
        <f>HLOOKUP(HLOOKUP(G557,'THP2'!$B$4:$J$8,5,FALSE),'Fuel &amp; Resister'!$B$3:$G$6,4,FALSE)</f>
        <v>1.7552248062015501</v>
      </c>
      <c r="AJ557" s="41">
        <f>HLOOKUP(HLOOKUP(G557,'THP2'!$B$4:$J$8,5,FALSE),'Fuel &amp; Resister'!$B$3:$G$6,3,FALSE)</f>
        <v>6.1345057489290813</v>
      </c>
      <c r="AO557" s="62">
        <v>0</v>
      </c>
      <c r="AP557" s="62">
        <v>0</v>
      </c>
    </row>
    <row r="558" spans="2:42" x14ac:dyDescent="0.15">
      <c r="B558" s="79" t="s">
        <v>596</v>
      </c>
      <c r="C558" s="61">
        <f>VLOOKUP(B558,[1]SYS!$F$5:$G$359,2,FALSE)</f>
        <v>155</v>
      </c>
      <c r="D558" s="1" t="s">
        <v>23</v>
      </c>
      <c r="E558" s="42" t="s">
        <v>89</v>
      </c>
      <c r="F558" s="42"/>
      <c r="G558" s="1">
        <v>5</v>
      </c>
      <c r="H558" s="1">
        <f t="shared" si="136"/>
        <v>0.3</v>
      </c>
      <c r="I558" s="1">
        <f t="shared" si="137"/>
        <v>1</v>
      </c>
      <c r="J558" s="1">
        <f t="shared" si="135"/>
        <v>5.2000000000000046E-2</v>
      </c>
      <c r="K558" s="1">
        <f t="shared" si="138"/>
        <v>2.4611999999999998</v>
      </c>
      <c r="L558" s="1">
        <f t="shared" si="139"/>
        <v>2.0535700000000001</v>
      </c>
      <c r="M558" s="49">
        <f t="shared" si="140"/>
        <v>4.1177196479685652</v>
      </c>
      <c r="N558" s="49">
        <v>15</v>
      </c>
      <c r="O558" s="1">
        <v>1103</v>
      </c>
      <c r="P558" s="51">
        <v>0.05</v>
      </c>
      <c r="Q558" s="51">
        <v>8</v>
      </c>
      <c r="R558" s="51">
        <v>1</v>
      </c>
      <c r="S558" s="1">
        <v>1</v>
      </c>
      <c r="T558" s="1">
        <v>0</v>
      </c>
      <c r="U558" s="47">
        <v>0</v>
      </c>
      <c r="V558" s="47">
        <v>55</v>
      </c>
      <c r="W558" s="41">
        <v>300</v>
      </c>
      <c r="X558">
        <v>1000</v>
      </c>
      <c r="Y558">
        <v>0.94799999999999995</v>
      </c>
      <c r="Z558">
        <v>2461.1999999999998</v>
      </c>
      <c r="AA558">
        <v>2053.5700000000002</v>
      </c>
      <c r="AB558">
        <v>1500</v>
      </c>
      <c r="AC558">
        <v>55</v>
      </c>
      <c r="AD558" s="41">
        <f t="shared" si="141"/>
        <v>0.34942304566877952</v>
      </c>
      <c r="AE558" s="41">
        <f t="shared" si="142"/>
        <v>0.41878290002288693</v>
      </c>
      <c r="AF558">
        <f t="shared" si="143"/>
        <v>1.878871428571429</v>
      </c>
      <c r="AG558">
        <f t="shared" si="144"/>
        <v>0.17469857142857115</v>
      </c>
      <c r="AH558">
        <f t="shared" si="145"/>
        <v>15</v>
      </c>
      <c r="AI558">
        <f>HLOOKUP(HLOOKUP(G558,'THP2'!$B$4:$J$8,5,FALSE),'Fuel &amp; Resister'!$B$3:$G$6,4,FALSE)</f>
        <v>1.7552248062015501</v>
      </c>
      <c r="AJ558" s="41">
        <f>HLOOKUP(HLOOKUP(G558,'THP2'!$B$4:$J$8,5,FALSE),'Fuel &amp; Resister'!$B$3:$G$6,3,FALSE)</f>
        <v>6.1345057489290813</v>
      </c>
      <c r="AO558" s="62">
        <v>0</v>
      </c>
      <c r="AP558" s="62">
        <v>0</v>
      </c>
    </row>
    <row r="559" spans="2:42" x14ac:dyDescent="0.15">
      <c r="B559" s="79" t="s">
        <v>596</v>
      </c>
      <c r="C559" s="61">
        <f>VLOOKUP(B559,[1]SYS!$F$5:$G$359,2,FALSE)</f>
        <v>155</v>
      </c>
      <c r="D559" s="1" t="s">
        <v>23</v>
      </c>
      <c r="E559" s="42" t="s">
        <v>89</v>
      </c>
      <c r="F559" s="42"/>
      <c r="G559" s="1">
        <v>5</v>
      </c>
      <c r="H559" s="1">
        <f t="shared" si="136"/>
        <v>0.3</v>
      </c>
      <c r="I559" s="1">
        <f t="shared" si="137"/>
        <v>1</v>
      </c>
      <c r="J559" s="1">
        <f t="shared" si="135"/>
        <v>5.2000000000000046E-2</v>
      </c>
      <c r="K559" s="1">
        <f t="shared" si="138"/>
        <v>2.4611999999999998</v>
      </c>
      <c r="L559" s="1">
        <f t="shared" si="139"/>
        <v>2.0535700000000001</v>
      </c>
      <c r="M559" s="49">
        <f t="shared" si="140"/>
        <v>4.1177196479685652</v>
      </c>
      <c r="N559" s="49">
        <v>15</v>
      </c>
      <c r="O559" s="6">
        <v>305</v>
      </c>
      <c r="P559" s="51">
        <v>0.05</v>
      </c>
      <c r="Q559" s="51">
        <v>8</v>
      </c>
      <c r="R559" s="51">
        <v>1</v>
      </c>
      <c r="S559" s="1">
        <v>1</v>
      </c>
      <c r="T559" s="1">
        <v>0</v>
      </c>
      <c r="U559" s="47">
        <v>0</v>
      </c>
      <c r="V559" s="47">
        <v>56</v>
      </c>
      <c r="W559" s="41">
        <v>300</v>
      </c>
      <c r="X559">
        <v>1000</v>
      </c>
      <c r="Y559">
        <v>0.94799999999999995</v>
      </c>
      <c r="Z559">
        <v>2461.1999999999998</v>
      </c>
      <c r="AA559">
        <v>2053.5700000000002</v>
      </c>
      <c r="AB559">
        <v>1500</v>
      </c>
      <c r="AC559">
        <v>55</v>
      </c>
      <c r="AD559" s="41">
        <f t="shared" si="141"/>
        <v>0.34942304566877952</v>
      </c>
      <c r="AE559" s="41">
        <f t="shared" si="142"/>
        <v>0.41878290002288693</v>
      </c>
      <c r="AF559">
        <f t="shared" si="143"/>
        <v>1.878871428571429</v>
      </c>
      <c r="AG559">
        <f t="shared" si="144"/>
        <v>0.17469857142857115</v>
      </c>
      <c r="AH559">
        <f t="shared" si="145"/>
        <v>15</v>
      </c>
      <c r="AI559">
        <f>HLOOKUP(HLOOKUP(G559,'THP2'!$B$4:$J$8,5,FALSE),'Fuel &amp; Resister'!$B$3:$G$6,4,FALSE)</f>
        <v>1.7552248062015501</v>
      </c>
      <c r="AJ559" s="41">
        <f>HLOOKUP(HLOOKUP(G559,'THP2'!$B$4:$J$8,5,FALSE),'Fuel &amp; Resister'!$B$3:$G$6,3,FALSE)</f>
        <v>6.1345057489290813</v>
      </c>
      <c r="AO559" s="62">
        <v>0</v>
      </c>
      <c r="AP559" s="62">
        <v>0</v>
      </c>
    </row>
    <row r="560" spans="2:42" x14ac:dyDescent="0.15">
      <c r="B560" s="79" t="s">
        <v>596</v>
      </c>
      <c r="C560" s="61">
        <f>VLOOKUP(B560,[1]SYS!$F$5:$G$359,2,FALSE)</f>
        <v>155</v>
      </c>
      <c r="D560" s="1" t="s">
        <v>23</v>
      </c>
      <c r="E560" s="42" t="s">
        <v>89</v>
      </c>
      <c r="F560" s="42"/>
      <c r="G560" s="1">
        <v>5</v>
      </c>
      <c r="H560" s="1">
        <f t="shared" si="136"/>
        <v>0.3</v>
      </c>
      <c r="I560" s="1">
        <f t="shared" si="137"/>
        <v>1</v>
      </c>
      <c r="J560" s="1">
        <f t="shared" si="135"/>
        <v>5.2000000000000046E-2</v>
      </c>
      <c r="K560" s="1">
        <f t="shared" si="138"/>
        <v>2.4611999999999998</v>
      </c>
      <c r="L560" s="1">
        <f t="shared" si="139"/>
        <v>2.0535700000000001</v>
      </c>
      <c r="M560" s="49">
        <f t="shared" si="140"/>
        <v>4.1177196479685652</v>
      </c>
      <c r="N560" s="49">
        <v>15</v>
      </c>
      <c r="O560" s="1">
        <v>906</v>
      </c>
      <c r="P560" s="51">
        <v>0.05</v>
      </c>
      <c r="Q560" s="51">
        <v>8</v>
      </c>
      <c r="R560" s="51">
        <v>1</v>
      </c>
      <c r="S560" s="1">
        <v>1</v>
      </c>
      <c r="T560" s="1">
        <v>0</v>
      </c>
      <c r="U560" s="47">
        <v>0</v>
      </c>
      <c r="V560" s="47">
        <v>57</v>
      </c>
      <c r="W560" s="41">
        <v>300</v>
      </c>
      <c r="X560">
        <v>1000</v>
      </c>
      <c r="Y560">
        <v>0.94799999999999995</v>
      </c>
      <c r="Z560">
        <v>2461.1999999999998</v>
      </c>
      <c r="AA560">
        <v>2053.5700000000002</v>
      </c>
      <c r="AB560">
        <v>1500</v>
      </c>
      <c r="AC560">
        <v>55</v>
      </c>
      <c r="AD560" s="41">
        <f t="shared" si="141"/>
        <v>0.34942304566877952</v>
      </c>
      <c r="AE560" s="41">
        <f t="shared" si="142"/>
        <v>0.41878290002288693</v>
      </c>
      <c r="AF560">
        <f t="shared" si="143"/>
        <v>1.878871428571429</v>
      </c>
      <c r="AG560">
        <f t="shared" si="144"/>
        <v>0.17469857142857115</v>
      </c>
      <c r="AH560">
        <f t="shared" si="145"/>
        <v>15</v>
      </c>
      <c r="AI560">
        <f>HLOOKUP(HLOOKUP(G560,'THP2'!$B$4:$J$8,5,FALSE),'Fuel &amp; Resister'!$B$3:$G$6,4,FALSE)</f>
        <v>1.7552248062015501</v>
      </c>
      <c r="AJ560" s="41">
        <f>HLOOKUP(HLOOKUP(G560,'THP2'!$B$4:$J$8,5,FALSE),'Fuel &amp; Resister'!$B$3:$G$6,3,FALSE)</f>
        <v>6.1345057489290813</v>
      </c>
      <c r="AO560" s="62">
        <v>0</v>
      </c>
      <c r="AP560" s="62">
        <v>0</v>
      </c>
    </row>
    <row r="561" spans="2:42" x14ac:dyDescent="0.15">
      <c r="B561" s="79" t="s">
        <v>596</v>
      </c>
      <c r="C561" s="61">
        <f>VLOOKUP(B561,[1]SYS!$F$5:$G$359,2,FALSE)</f>
        <v>155</v>
      </c>
      <c r="D561" s="1" t="s">
        <v>23</v>
      </c>
      <c r="E561" s="42" t="s">
        <v>89</v>
      </c>
      <c r="F561" s="42"/>
      <c r="G561" s="1">
        <v>5</v>
      </c>
      <c r="H561" s="1">
        <f t="shared" si="136"/>
        <v>0.3</v>
      </c>
      <c r="I561" s="1">
        <f t="shared" si="137"/>
        <v>1</v>
      </c>
      <c r="J561" s="1">
        <f t="shared" si="135"/>
        <v>5.2000000000000046E-2</v>
      </c>
      <c r="K561" s="1">
        <f t="shared" si="138"/>
        <v>2.4611999999999998</v>
      </c>
      <c r="L561" s="1">
        <f t="shared" si="139"/>
        <v>2.0535700000000001</v>
      </c>
      <c r="M561" s="49">
        <f t="shared" si="140"/>
        <v>4.1177196479685652</v>
      </c>
      <c r="N561" s="49">
        <v>15</v>
      </c>
      <c r="O561" s="1">
        <v>504</v>
      </c>
      <c r="P561" s="51">
        <v>0.05</v>
      </c>
      <c r="Q561" s="51">
        <v>8</v>
      </c>
      <c r="R561" s="51">
        <v>1</v>
      </c>
      <c r="S561" s="1">
        <v>1</v>
      </c>
      <c r="T561" s="1">
        <v>0</v>
      </c>
      <c r="U561" s="47">
        <v>0</v>
      </c>
      <c r="V561" s="47">
        <v>58</v>
      </c>
      <c r="W561" s="41">
        <v>300</v>
      </c>
      <c r="X561">
        <v>1000</v>
      </c>
      <c r="Y561">
        <v>0.94799999999999995</v>
      </c>
      <c r="Z561">
        <v>2461.1999999999998</v>
      </c>
      <c r="AA561">
        <v>2053.5700000000002</v>
      </c>
      <c r="AB561">
        <v>1500</v>
      </c>
      <c r="AC561">
        <v>55</v>
      </c>
      <c r="AD561" s="41">
        <f t="shared" si="141"/>
        <v>0.34942304566877952</v>
      </c>
      <c r="AE561" s="41">
        <f t="shared" si="142"/>
        <v>0.41878290002288693</v>
      </c>
      <c r="AF561">
        <f t="shared" si="143"/>
        <v>1.878871428571429</v>
      </c>
      <c r="AG561">
        <f t="shared" si="144"/>
        <v>0.17469857142857115</v>
      </c>
      <c r="AH561">
        <f t="shared" si="145"/>
        <v>15</v>
      </c>
      <c r="AI561">
        <f>HLOOKUP(HLOOKUP(G561,'THP2'!$B$4:$J$8,5,FALSE),'Fuel &amp; Resister'!$B$3:$G$6,4,FALSE)</f>
        <v>1.7552248062015501</v>
      </c>
      <c r="AJ561" s="41">
        <f>HLOOKUP(HLOOKUP(G561,'THP2'!$B$4:$J$8,5,FALSE),'Fuel &amp; Resister'!$B$3:$G$6,3,FALSE)</f>
        <v>6.1345057489290813</v>
      </c>
      <c r="AO561" s="62">
        <v>0</v>
      </c>
      <c r="AP561" s="62">
        <v>0</v>
      </c>
    </row>
    <row r="562" spans="2:42" x14ac:dyDescent="0.15">
      <c r="B562" s="79" t="s">
        <v>596</v>
      </c>
      <c r="C562" s="61">
        <f>VLOOKUP(B562,[1]SYS!$F$5:$G$359,2,FALSE)</f>
        <v>155</v>
      </c>
      <c r="D562" s="1" t="s">
        <v>23</v>
      </c>
      <c r="E562" s="65" t="s">
        <v>90</v>
      </c>
      <c r="F562" s="63" t="s">
        <v>482</v>
      </c>
      <c r="G562" s="1">
        <v>5</v>
      </c>
      <c r="H562" s="1">
        <f t="shared" si="136"/>
        <v>0.3</v>
      </c>
      <c r="I562" s="1">
        <f t="shared" si="137"/>
        <v>1.07</v>
      </c>
      <c r="J562" s="1">
        <f t="shared" si="135"/>
        <v>6.5400000000000014E-2</v>
      </c>
      <c r="K562" s="1">
        <f t="shared" si="138"/>
        <v>2.4110200000000002</v>
      </c>
      <c r="L562" s="1">
        <f t="shared" si="139"/>
        <v>2.0117000000000003</v>
      </c>
      <c r="M562" s="49">
        <f t="shared" si="140"/>
        <v>4.3161274166089534</v>
      </c>
      <c r="N562" s="49">
        <v>16.801300000000001</v>
      </c>
      <c r="O562" s="1">
        <v>401</v>
      </c>
      <c r="P562" s="51">
        <v>0.05</v>
      </c>
      <c r="Q562" s="51">
        <v>8</v>
      </c>
      <c r="R562" s="51">
        <v>1</v>
      </c>
      <c r="S562" s="1">
        <v>1</v>
      </c>
      <c r="T562" s="1">
        <v>0</v>
      </c>
      <c r="U562" s="47">
        <v>1</v>
      </c>
      <c r="V562" s="47">
        <v>59</v>
      </c>
      <c r="W562" s="41">
        <v>321</v>
      </c>
      <c r="X562">
        <v>1070</v>
      </c>
      <c r="Y562">
        <v>0.93459999999999999</v>
      </c>
      <c r="Z562">
        <v>2411.02</v>
      </c>
      <c r="AA562">
        <v>2011.7</v>
      </c>
      <c r="AB562">
        <v>1680.13</v>
      </c>
      <c r="AC562">
        <v>55</v>
      </c>
      <c r="AD562" s="41">
        <f t="shared" si="141"/>
        <v>0.35669550646614295</v>
      </c>
      <c r="AE562" s="41">
        <f t="shared" si="142"/>
        <v>0.4274991300889795</v>
      </c>
      <c r="AF562">
        <f t="shared" si="143"/>
        <v>1.8405628571428576</v>
      </c>
      <c r="AG562">
        <f t="shared" si="144"/>
        <v>0.18311674285714266</v>
      </c>
      <c r="AH562">
        <f t="shared" si="145"/>
        <v>16.801300000000001</v>
      </c>
      <c r="AI562">
        <f>HLOOKUP(HLOOKUP(G562,'THP2'!$B$4:$J$8,5,FALSE),'Fuel &amp; Resister'!$B$3:$G$6,4,FALSE)</f>
        <v>1.7552248062015501</v>
      </c>
      <c r="AJ562" s="41">
        <f>HLOOKUP(HLOOKUP(G562,'THP2'!$B$4:$J$8,5,FALSE),'Fuel &amp; Resister'!$B$3:$G$6,3,FALSE)</f>
        <v>6.1345057489290813</v>
      </c>
      <c r="AO562" s="1">
        <v>1</v>
      </c>
      <c r="AP562" s="1">
        <v>1</v>
      </c>
    </row>
    <row r="563" spans="2:42" x14ac:dyDescent="0.15">
      <c r="B563" s="79" t="s">
        <v>597</v>
      </c>
      <c r="C563" s="61">
        <f>VLOOKUP(B563,[1]SYS!$F$5:$G$359,2,FALSE)</f>
        <v>187</v>
      </c>
      <c r="D563" s="1" t="s">
        <v>23</v>
      </c>
      <c r="E563" s="65" t="s">
        <v>91</v>
      </c>
      <c r="F563" s="63" t="s">
        <v>481</v>
      </c>
      <c r="G563" s="1">
        <v>5</v>
      </c>
      <c r="H563" s="1">
        <f t="shared" si="136"/>
        <v>0.3</v>
      </c>
      <c r="I563" s="1">
        <f t="shared" si="137"/>
        <v>1</v>
      </c>
      <c r="J563" s="1">
        <f t="shared" si="135"/>
        <v>5.2000000000000046E-2</v>
      </c>
      <c r="K563" s="1">
        <f t="shared" si="138"/>
        <v>2.4611999999999998</v>
      </c>
      <c r="L563" s="1">
        <f t="shared" si="139"/>
        <v>2.0535700000000001</v>
      </c>
      <c r="M563" s="49">
        <f t="shared" si="140"/>
        <v>4.1177196479685652</v>
      </c>
      <c r="N563" s="49">
        <v>15</v>
      </c>
      <c r="O563" s="1">
        <v>603</v>
      </c>
      <c r="P563" s="51">
        <v>0.05</v>
      </c>
      <c r="Q563" s="51">
        <v>8</v>
      </c>
      <c r="R563" s="51">
        <v>1</v>
      </c>
      <c r="S563" s="1">
        <v>1</v>
      </c>
      <c r="T563" s="1">
        <v>0</v>
      </c>
      <c r="U563" s="47">
        <v>1</v>
      </c>
      <c r="V563" s="47">
        <v>60</v>
      </c>
      <c r="W563" s="41">
        <v>300</v>
      </c>
      <c r="X563">
        <v>1000</v>
      </c>
      <c r="Y563">
        <v>0.94799999999999995</v>
      </c>
      <c r="Z563">
        <v>2461.1999999999998</v>
      </c>
      <c r="AA563">
        <v>2053.5700000000002</v>
      </c>
      <c r="AB563">
        <v>1500</v>
      </c>
      <c r="AC563">
        <v>55</v>
      </c>
      <c r="AD563" s="41">
        <f t="shared" si="141"/>
        <v>0.34942304566877952</v>
      </c>
      <c r="AE563" s="41">
        <f t="shared" si="142"/>
        <v>0.41878290002288693</v>
      </c>
      <c r="AF563">
        <f t="shared" si="143"/>
        <v>1.878871428571429</v>
      </c>
      <c r="AG563">
        <f t="shared" si="144"/>
        <v>0.17469857142857115</v>
      </c>
      <c r="AH563">
        <f t="shared" si="145"/>
        <v>15</v>
      </c>
      <c r="AI563">
        <f>HLOOKUP(HLOOKUP(G563,'THP2'!$B$4:$J$8,5,FALSE),'Fuel &amp; Resister'!$B$3:$G$6,4,FALSE)</f>
        <v>1.7552248062015501</v>
      </c>
      <c r="AJ563" s="41">
        <f>HLOOKUP(HLOOKUP(G563,'THP2'!$B$4:$J$8,5,FALSE),'Fuel &amp; Resister'!$B$3:$G$6,3,FALSE)</f>
        <v>6.1345057489290813</v>
      </c>
      <c r="AO563" s="1">
        <v>1</v>
      </c>
      <c r="AP563" s="1">
        <v>1</v>
      </c>
    </row>
    <row r="564" spans="2:42" x14ac:dyDescent="0.15">
      <c r="B564" s="79" t="s">
        <v>597</v>
      </c>
      <c r="C564" s="61">
        <f>VLOOKUP(B564,[1]SYS!$F$5:$G$359,2,FALSE)</f>
        <v>187</v>
      </c>
      <c r="D564" s="1" t="s">
        <v>23</v>
      </c>
      <c r="E564" s="65" t="s">
        <v>92</v>
      </c>
      <c r="F564" s="63" t="s">
        <v>481</v>
      </c>
      <c r="G564" s="1">
        <v>5</v>
      </c>
      <c r="H564" s="1">
        <f t="shared" si="136"/>
        <v>0.3</v>
      </c>
      <c r="I564" s="1">
        <f t="shared" si="137"/>
        <v>1</v>
      </c>
      <c r="J564" s="1">
        <f t="shared" si="135"/>
        <v>5.4000000000000048E-2</v>
      </c>
      <c r="K564" s="1">
        <f t="shared" si="138"/>
        <v>2.4691300000000003</v>
      </c>
      <c r="L564" s="1">
        <f t="shared" si="139"/>
        <v>2.0601799999999999</v>
      </c>
      <c r="M564" s="49">
        <f t="shared" si="140"/>
        <v>4.1309737015791415</v>
      </c>
      <c r="N564" s="49">
        <v>15</v>
      </c>
      <c r="O564" s="1">
        <v>401</v>
      </c>
      <c r="P564" s="51">
        <v>0.05</v>
      </c>
      <c r="Q564" s="51">
        <v>8</v>
      </c>
      <c r="R564" s="51">
        <v>1</v>
      </c>
      <c r="S564" s="1">
        <v>1</v>
      </c>
      <c r="T564" s="1">
        <v>0</v>
      </c>
      <c r="U564" s="47">
        <v>1</v>
      </c>
      <c r="V564" s="47">
        <v>61</v>
      </c>
      <c r="W564" s="41">
        <v>300</v>
      </c>
      <c r="X564">
        <v>1000</v>
      </c>
      <c r="Y564">
        <v>0.94599999999999995</v>
      </c>
      <c r="Z564">
        <v>2469.13</v>
      </c>
      <c r="AA564">
        <v>2060.1799999999998</v>
      </c>
      <c r="AB564">
        <v>1500</v>
      </c>
      <c r="AC564">
        <v>55</v>
      </c>
      <c r="AD564" s="41">
        <f t="shared" si="141"/>
        <v>0.34830081850692352</v>
      </c>
      <c r="AE564" s="41">
        <f t="shared" si="142"/>
        <v>0.41743925288081624</v>
      </c>
      <c r="AF564">
        <f t="shared" si="143"/>
        <v>1.8849157142857142</v>
      </c>
      <c r="AG564">
        <f t="shared" si="144"/>
        <v>0.17526428571428565</v>
      </c>
      <c r="AH564">
        <f t="shared" si="145"/>
        <v>15</v>
      </c>
      <c r="AI564">
        <f>HLOOKUP(HLOOKUP(G564,'THP2'!$B$4:$J$8,5,FALSE),'Fuel &amp; Resister'!$B$3:$G$6,4,FALSE)</f>
        <v>1.7552248062015501</v>
      </c>
      <c r="AJ564" s="41">
        <f>HLOOKUP(HLOOKUP(G564,'THP2'!$B$4:$J$8,5,FALSE),'Fuel &amp; Resister'!$B$3:$G$6,3,FALSE)</f>
        <v>6.1345057489290813</v>
      </c>
      <c r="AO564" s="1">
        <v>1</v>
      </c>
      <c r="AP564" s="1">
        <v>1</v>
      </c>
    </row>
    <row r="565" spans="2:42" x14ac:dyDescent="0.15">
      <c r="B565" s="79" t="s">
        <v>598</v>
      </c>
      <c r="C565" s="61">
        <f>VLOOKUP(B565,[1]SYS!$F$5:$G$359,2,FALSE)</f>
        <v>190</v>
      </c>
      <c r="D565" s="1" t="s">
        <v>23</v>
      </c>
      <c r="E565" s="42" t="s">
        <v>93</v>
      </c>
      <c r="F565" s="63" t="s">
        <v>487</v>
      </c>
      <c r="G565" s="1">
        <v>5</v>
      </c>
      <c r="H565" s="1">
        <f t="shared" si="136"/>
        <v>0.29931972789115646</v>
      </c>
      <c r="I565" s="1">
        <f t="shared" si="137"/>
        <v>0.14699999999999999</v>
      </c>
      <c r="J565" s="1">
        <f t="shared" si="135"/>
        <v>8.1600000000000006E-2</v>
      </c>
      <c r="K565" s="1">
        <f t="shared" si="138"/>
        <v>2.5723000000000003</v>
      </c>
      <c r="L565" s="1">
        <f t="shared" si="139"/>
        <v>2.1462600000000003</v>
      </c>
      <c r="M565" s="49">
        <f t="shared" si="140"/>
        <v>0.63262584417984513</v>
      </c>
      <c r="N565" s="49">
        <v>1.1759999999999999</v>
      </c>
      <c r="O565" s="1">
        <v>1004</v>
      </c>
      <c r="P565" s="51">
        <v>0</v>
      </c>
      <c r="Q565" s="51">
        <v>8</v>
      </c>
      <c r="R565" s="51">
        <v>1</v>
      </c>
      <c r="S565" s="1">
        <v>1</v>
      </c>
      <c r="T565" s="1">
        <v>0</v>
      </c>
      <c r="U565" s="47">
        <v>0</v>
      </c>
      <c r="V565" s="47">
        <v>62</v>
      </c>
      <c r="W565" s="41">
        <v>44</v>
      </c>
      <c r="X565">
        <v>147</v>
      </c>
      <c r="Y565">
        <v>0.91839999999999999</v>
      </c>
      <c r="Z565">
        <v>2572.3000000000002</v>
      </c>
      <c r="AA565">
        <v>2146.2600000000002</v>
      </c>
      <c r="AB565">
        <v>117.6</v>
      </c>
      <c r="AC565">
        <v>55</v>
      </c>
      <c r="AD565" s="41">
        <f t="shared" si="141"/>
        <v>0.33433114333475872</v>
      </c>
      <c r="AE565" s="41">
        <f t="shared" si="142"/>
        <v>0.40069702645532224</v>
      </c>
      <c r="AF565">
        <f t="shared" si="143"/>
        <v>1.9642623300970878</v>
      </c>
      <c r="AG565">
        <f t="shared" si="144"/>
        <v>2.6753657475728127E-2</v>
      </c>
      <c r="AH565">
        <f t="shared" si="145"/>
        <v>1.1759999999999999</v>
      </c>
      <c r="AI565">
        <f>HLOOKUP(HLOOKUP(G565,'THP2'!$B$4:$J$8,5,FALSE),'Fuel &amp; Resister'!$B$3:$G$6,4,FALSE)</f>
        <v>1.7552248062015501</v>
      </c>
      <c r="AJ565" s="41">
        <f>HLOOKUP(HLOOKUP(G565,'THP2'!$B$4:$J$8,5,FALSE),'Fuel &amp; Resister'!$B$3:$G$6,3,FALSE)</f>
        <v>6.1345057489290813</v>
      </c>
      <c r="AO565" s="62">
        <v>0</v>
      </c>
      <c r="AP565" s="62">
        <v>0</v>
      </c>
    </row>
    <row r="566" spans="2:42" x14ac:dyDescent="0.15">
      <c r="B566" s="79" t="s">
        <v>598</v>
      </c>
      <c r="C566" s="61">
        <f>VLOOKUP(B566,[1]SYS!$F$5:$G$359,2,FALSE)</f>
        <v>190</v>
      </c>
      <c r="D566" s="1" t="s">
        <v>23</v>
      </c>
      <c r="E566" s="65" t="s">
        <v>94</v>
      </c>
      <c r="F566" s="42"/>
      <c r="G566" s="1">
        <v>5</v>
      </c>
      <c r="H566" s="1">
        <f t="shared" si="136"/>
        <v>0.30357142857142855</v>
      </c>
      <c r="I566" s="1">
        <f t="shared" si="137"/>
        <v>0.112</v>
      </c>
      <c r="J566" s="1">
        <f t="shared" si="135"/>
        <v>6.3999999999999946E-2</v>
      </c>
      <c r="K566" s="1">
        <f t="shared" si="138"/>
        <v>2.5767800000000003</v>
      </c>
      <c r="L566" s="1">
        <f t="shared" si="139"/>
        <v>2.15</v>
      </c>
      <c r="M566" s="49">
        <f t="shared" si="140"/>
        <v>0.48284056118409907</v>
      </c>
      <c r="N566" s="49">
        <v>0.89599999999999991</v>
      </c>
      <c r="O566" s="1">
        <v>1004</v>
      </c>
      <c r="P566" s="51">
        <v>0</v>
      </c>
      <c r="Q566" s="51">
        <v>8</v>
      </c>
      <c r="R566" s="51">
        <v>1</v>
      </c>
      <c r="S566" s="1">
        <v>1</v>
      </c>
      <c r="T566" s="1">
        <v>0</v>
      </c>
      <c r="U566" s="47">
        <v>1</v>
      </c>
      <c r="V566" s="47">
        <v>63</v>
      </c>
      <c r="W566" s="41">
        <v>34</v>
      </c>
      <c r="X566">
        <v>112</v>
      </c>
      <c r="Y566">
        <v>0.93600000000000005</v>
      </c>
      <c r="Z566">
        <v>2576.7800000000002</v>
      </c>
      <c r="AA566">
        <v>2150</v>
      </c>
      <c r="AB566">
        <v>89.6</v>
      </c>
      <c r="AC566">
        <v>55</v>
      </c>
      <c r="AD566" s="41">
        <f t="shared" si="141"/>
        <v>0.33374987387359417</v>
      </c>
      <c r="AE566" s="41">
        <f t="shared" si="142"/>
        <v>0.4</v>
      </c>
      <c r="AF566">
        <f t="shared" si="143"/>
        <v>1.9639676923076921</v>
      </c>
      <c r="AG566">
        <f t="shared" si="144"/>
        <v>2.0835618461538478E-2</v>
      </c>
      <c r="AH566">
        <f t="shared" si="145"/>
        <v>0.89599999999999991</v>
      </c>
      <c r="AI566">
        <f>HLOOKUP(HLOOKUP(G566,'THP2'!$B$4:$J$8,5,FALSE),'Fuel &amp; Resister'!$B$3:$G$6,4,FALSE)</f>
        <v>1.7552248062015501</v>
      </c>
      <c r="AJ566" s="41">
        <f>HLOOKUP(HLOOKUP(G566,'THP2'!$B$4:$J$8,5,FALSE),'Fuel &amp; Resister'!$B$3:$G$6,3,FALSE)</f>
        <v>6.1345057489290813</v>
      </c>
      <c r="AO566" s="1">
        <v>1</v>
      </c>
      <c r="AP566" s="1">
        <v>1</v>
      </c>
    </row>
    <row r="567" spans="2:42" x14ac:dyDescent="0.15">
      <c r="B567" s="79" t="s">
        <v>597</v>
      </c>
      <c r="C567" s="61">
        <f>VLOOKUP(B567,[1]SYS!$F$5:$G$359,2,FALSE)</f>
        <v>187</v>
      </c>
      <c r="D567" s="1" t="s">
        <v>23</v>
      </c>
      <c r="E567" s="42" t="s">
        <v>95</v>
      </c>
      <c r="F567" s="63" t="s">
        <v>481</v>
      </c>
      <c r="G567" s="1">
        <v>5</v>
      </c>
      <c r="H567" s="1">
        <f t="shared" si="136"/>
        <v>0.3</v>
      </c>
      <c r="I567" s="1">
        <f t="shared" si="137"/>
        <v>0.7</v>
      </c>
      <c r="J567" s="1">
        <f t="shared" si="135"/>
        <v>5.6300000000000017E-2</v>
      </c>
      <c r="K567" s="1">
        <f t="shared" si="138"/>
        <v>2.5824699999999998</v>
      </c>
      <c r="L567" s="1">
        <f t="shared" si="139"/>
        <v>2.1547499999999999</v>
      </c>
      <c r="M567" s="49">
        <f t="shared" si="140"/>
        <v>3.0244206372425504</v>
      </c>
      <c r="N567" s="49">
        <v>7.28</v>
      </c>
      <c r="O567" s="1">
        <v>504</v>
      </c>
      <c r="P567" s="51">
        <v>0.05</v>
      </c>
      <c r="Q567" s="51">
        <v>8</v>
      </c>
      <c r="R567" s="51">
        <v>1</v>
      </c>
      <c r="S567" s="1">
        <v>1</v>
      </c>
      <c r="T567" s="1">
        <v>0</v>
      </c>
      <c r="U567" s="47">
        <v>0</v>
      </c>
      <c r="V567" s="47">
        <v>64</v>
      </c>
      <c r="W567" s="41">
        <v>210</v>
      </c>
      <c r="X567">
        <v>700</v>
      </c>
      <c r="Y567">
        <v>0.94369999999999998</v>
      </c>
      <c r="Z567">
        <v>2582.4699999999998</v>
      </c>
      <c r="AA567">
        <v>2154.75</v>
      </c>
      <c r="AB567">
        <v>728</v>
      </c>
      <c r="AC567">
        <v>55</v>
      </c>
      <c r="AD567" s="41">
        <f t="shared" si="141"/>
        <v>0.3330145171095889</v>
      </c>
      <c r="AE567" s="41">
        <f t="shared" si="142"/>
        <v>0.39911822717252582</v>
      </c>
      <c r="AF567">
        <f t="shared" si="143"/>
        <v>1.9714414285714288</v>
      </c>
      <c r="AG567">
        <f t="shared" si="144"/>
        <v>0.12831599999999979</v>
      </c>
      <c r="AH567">
        <f t="shared" si="145"/>
        <v>7.28</v>
      </c>
      <c r="AI567">
        <f>HLOOKUP(HLOOKUP(G567,'THP2'!$B$4:$J$8,5,FALSE),'Fuel &amp; Resister'!$B$3:$G$6,4,FALSE)</f>
        <v>1.7552248062015501</v>
      </c>
      <c r="AJ567" s="41">
        <f>HLOOKUP(HLOOKUP(G567,'THP2'!$B$4:$J$8,5,FALSE),'Fuel &amp; Resister'!$B$3:$G$6,3,FALSE)</f>
        <v>6.1345057489290813</v>
      </c>
      <c r="AO567" s="62">
        <v>0</v>
      </c>
      <c r="AP567" s="62">
        <v>0</v>
      </c>
    </row>
    <row r="568" spans="2:42" x14ac:dyDescent="0.15">
      <c r="B568" s="79" t="s">
        <v>597</v>
      </c>
      <c r="C568" s="61">
        <f>VLOOKUP(B568,[1]SYS!$F$5:$G$359,2,FALSE)</f>
        <v>187</v>
      </c>
      <c r="D568" s="1" t="s">
        <v>23</v>
      </c>
      <c r="E568" s="42" t="s">
        <v>96</v>
      </c>
      <c r="F568" s="63" t="s">
        <v>481</v>
      </c>
      <c r="G568" s="1">
        <v>5</v>
      </c>
      <c r="H568" s="1">
        <f t="shared" si="136"/>
        <v>0.3</v>
      </c>
      <c r="I568" s="1">
        <f t="shared" si="137"/>
        <v>0.7</v>
      </c>
      <c r="J568" s="1">
        <f t="shared" si="135"/>
        <v>5.8100000000000041E-2</v>
      </c>
      <c r="K568" s="1">
        <f t="shared" si="138"/>
        <v>2.5908600000000002</v>
      </c>
      <c r="L568" s="1">
        <f t="shared" si="139"/>
        <v>2.1617500000000001</v>
      </c>
      <c r="M568" s="49">
        <f t="shared" si="140"/>
        <v>3.0342458812201336</v>
      </c>
      <c r="N568" s="49">
        <v>7.28</v>
      </c>
      <c r="O568" s="1">
        <v>903</v>
      </c>
      <c r="P568" s="51">
        <v>0.05</v>
      </c>
      <c r="Q568" s="51">
        <v>8</v>
      </c>
      <c r="R568" s="51">
        <v>1</v>
      </c>
      <c r="S568" s="1">
        <v>1</v>
      </c>
      <c r="T568" s="1">
        <v>0</v>
      </c>
      <c r="U568" s="47">
        <v>0</v>
      </c>
      <c r="V568" s="47">
        <v>65</v>
      </c>
      <c r="W568" s="41">
        <v>210</v>
      </c>
      <c r="X568">
        <v>700</v>
      </c>
      <c r="Y568">
        <v>0.94189999999999996</v>
      </c>
      <c r="Z568">
        <v>2590.86</v>
      </c>
      <c r="AA568">
        <v>2161.75</v>
      </c>
      <c r="AB568">
        <v>728</v>
      </c>
      <c r="AC568">
        <v>55</v>
      </c>
      <c r="AD568" s="41">
        <f t="shared" si="141"/>
        <v>0.33193611387724536</v>
      </c>
      <c r="AE568" s="41">
        <f t="shared" si="142"/>
        <v>0.3978258355499017</v>
      </c>
      <c r="AF568">
        <f t="shared" si="143"/>
        <v>1.9778457142857144</v>
      </c>
      <c r="AG568">
        <f t="shared" si="144"/>
        <v>0.12873299999999993</v>
      </c>
      <c r="AH568">
        <f t="shared" si="145"/>
        <v>7.28</v>
      </c>
      <c r="AI568">
        <f>HLOOKUP(HLOOKUP(G568,'THP2'!$B$4:$J$8,5,FALSE),'Fuel &amp; Resister'!$B$3:$G$6,4,FALSE)</f>
        <v>1.7552248062015501</v>
      </c>
      <c r="AJ568" s="41">
        <f>HLOOKUP(HLOOKUP(G568,'THP2'!$B$4:$J$8,5,FALSE),'Fuel &amp; Resister'!$B$3:$G$6,3,FALSE)</f>
        <v>6.1345057489290813</v>
      </c>
      <c r="AO568" s="62">
        <v>0</v>
      </c>
      <c r="AP568" s="62">
        <v>0</v>
      </c>
    </row>
    <row r="569" spans="2:42" x14ac:dyDescent="0.15">
      <c r="B569" s="79" t="s">
        <v>597</v>
      </c>
      <c r="C569" s="61">
        <f>VLOOKUP(B569,[1]SYS!$F$5:$G$359,2,FALSE)</f>
        <v>187</v>
      </c>
      <c r="D569" s="1" t="s">
        <v>23</v>
      </c>
      <c r="E569" s="42" t="s">
        <v>97</v>
      </c>
      <c r="F569" s="63" t="s">
        <v>481</v>
      </c>
      <c r="G569" s="1">
        <v>5</v>
      </c>
      <c r="H569" s="1">
        <f t="shared" ref="H569:H632" si="146">W569/X569</f>
        <v>0.3</v>
      </c>
      <c r="I569" s="1">
        <f t="shared" ref="I569:I632" si="147">X569/1000</f>
        <v>0.7</v>
      </c>
      <c r="J569" s="1">
        <f t="shared" si="135"/>
        <v>5.8100000000000041E-2</v>
      </c>
      <c r="K569" s="1">
        <f t="shared" ref="K569:K632" si="148">Z569/1000</f>
        <v>2.5908600000000002</v>
      </c>
      <c r="L569" s="1">
        <f t="shared" ref="L569:L632" si="149">AA569/1000</f>
        <v>2.1617500000000001</v>
      </c>
      <c r="M569" s="49">
        <f t="shared" ref="M569:M632" si="150">(I569*10^6*L569/AJ569*AI569/10^6)*24*365/1000*$A$505</f>
        <v>3.0342458812201336</v>
      </c>
      <c r="N569" s="49">
        <v>7.28</v>
      </c>
      <c r="O569" s="1">
        <v>504</v>
      </c>
      <c r="P569" s="51">
        <v>0.05</v>
      </c>
      <c r="Q569" s="51">
        <v>8</v>
      </c>
      <c r="R569" s="51">
        <v>1</v>
      </c>
      <c r="S569" s="1">
        <v>1</v>
      </c>
      <c r="T569" s="1">
        <v>0</v>
      </c>
      <c r="U569" s="47">
        <v>0</v>
      </c>
      <c r="V569" s="47">
        <v>66</v>
      </c>
      <c r="W569" s="41">
        <v>210</v>
      </c>
      <c r="X569">
        <v>700</v>
      </c>
      <c r="Y569">
        <v>0.94189999999999996</v>
      </c>
      <c r="Z569">
        <v>2590.86</v>
      </c>
      <c r="AA569">
        <v>2161.75</v>
      </c>
      <c r="AB569">
        <v>728</v>
      </c>
      <c r="AC569">
        <v>55</v>
      </c>
      <c r="AD569" s="41">
        <f t="shared" ref="AD569:AD632" si="151">1/Z569*860</f>
        <v>0.33193611387724536</v>
      </c>
      <c r="AE569" s="41">
        <f t="shared" ref="AE569:AE632" si="152">1/AA569*860</f>
        <v>0.3978258355499017</v>
      </c>
      <c r="AF569">
        <f t="shared" ref="AF569:AF632" si="153">(L569-H569*K569)/(1-H569)</f>
        <v>1.9778457142857144</v>
      </c>
      <c r="AG569">
        <f t="shared" ref="AG569:AG632" si="154">I569*(L569-AF569)</f>
        <v>0.12873299999999993</v>
      </c>
      <c r="AH569">
        <f t="shared" ref="AH569:AH632" si="155">AB569/100</f>
        <v>7.28</v>
      </c>
      <c r="AI569">
        <f>HLOOKUP(HLOOKUP(G569,'THP2'!$B$4:$J$8,5,FALSE),'Fuel &amp; Resister'!$B$3:$G$6,4,FALSE)</f>
        <v>1.7552248062015501</v>
      </c>
      <c r="AJ569" s="41">
        <f>HLOOKUP(HLOOKUP(G569,'THP2'!$B$4:$J$8,5,FALSE),'Fuel &amp; Resister'!$B$3:$G$6,3,FALSE)</f>
        <v>6.1345057489290813</v>
      </c>
      <c r="AO569" s="62">
        <v>0</v>
      </c>
      <c r="AP569" s="62">
        <v>0</v>
      </c>
    </row>
    <row r="570" spans="2:42" x14ac:dyDescent="0.15">
      <c r="B570" s="79" t="s">
        <v>596</v>
      </c>
      <c r="C570" s="61">
        <f>VLOOKUP(B570,[1]SYS!$F$5:$G$359,2,FALSE)</f>
        <v>155</v>
      </c>
      <c r="D570" s="1" t="s">
        <v>23</v>
      </c>
      <c r="E570" s="65" t="s">
        <v>98</v>
      </c>
      <c r="F570" s="63" t="s">
        <v>486</v>
      </c>
      <c r="G570" s="1">
        <v>5</v>
      </c>
      <c r="H570" s="1">
        <f t="shared" si="146"/>
        <v>0.3</v>
      </c>
      <c r="I570" s="1">
        <f t="shared" si="147"/>
        <v>0.11</v>
      </c>
      <c r="J570" s="1">
        <f t="shared" si="135"/>
        <v>6.4500000000000002E-2</v>
      </c>
      <c r="K570" s="1">
        <f t="shared" si="148"/>
        <v>2.8008500000000001</v>
      </c>
      <c r="L570" s="1">
        <f t="shared" si="149"/>
        <v>2.3369599999999999</v>
      </c>
      <c r="M570" s="49">
        <f t="shared" si="150"/>
        <v>0.51545555882527883</v>
      </c>
      <c r="N570" s="49">
        <v>0.88</v>
      </c>
      <c r="O570" s="1">
        <v>1002</v>
      </c>
      <c r="P570" s="51">
        <v>0</v>
      </c>
      <c r="Q570" s="51">
        <v>8</v>
      </c>
      <c r="R570" s="51">
        <v>1</v>
      </c>
      <c r="S570" s="1">
        <v>1</v>
      </c>
      <c r="T570" s="1">
        <v>0</v>
      </c>
      <c r="U570" s="47">
        <v>1</v>
      </c>
      <c r="V570" s="47">
        <v>67</v>
      </c>
      <c r="W570" s="41">
        <v>33</v>
      </c>
      <c r="X570">
        <v>110</v>
      </c>
      <c r="Y570">
        <v>0.9355</v>
      </c>
      <c r="Z570">
        <v>2800.85</v>
      </c>
      <c r="AA570">
        <v>2336.96</v>
      </c>
      <c r="AB570">
        <v>88</v>
      </c>
      <c r="AC570">
        <v>55</v>
      </c>
      <c r="AD570" s="41">
        <f t="shared" si="151"/>
        <v>0.30704964564328691</v>
      </c>
      <c r="AE570" s="41">
        <f t="shared" si="152"/>
        <v>0.36799945227988495</v>
      </c>
      <c r="AF570">
        <f t="shared" si="153"/>
        <v>2.13815</v>
      </c>
      <c r="AG570">
        <f t="shared" si="154"/>
        <v>2.1869099999999992E-2</v>
      </c>
      <c r="AH570">
        <f t="shared" si="155"/>
        <v>0.88</v>
      </c>
      <c r="AI570">
        <f>HLOOKUP(HLOOKUP(G570,'THP2'!$B$4:$J$8,5,FALSE),'Fuel &amp; Resister'!$B$3:$G$6,4,FALSE)</f>
        <v>1.7552248062015501</v>
      </c>
      <c r="AJ570" s="41">
        <f>HLOOKUP(HLOOKUP(G570,'THP2'!$B$4:$J$8,5,FALSE),'Fuel &amp; Resister'!$B$3:$G$6,3,FALSE)</f>
        <v>6.1345057489290813</v>
      </c>
      <c r="AO570" s="1">
        <v>1</v>
      </c>
      <c r="AP570" s="1">
        <v>1</v>
      </c>
    </row>
    <row r="571" spans="2:42" x14ac:dyDescent="0.15">
      <c r="B571" s="79" t="s">
        <v>596</v>
      </c>
      <c r="C571" s="61">
        <f>VLOOKUP(B571,[1]SYS!$F$5:$G$359,2,FALSE)</f>
        <v>155</v>
      </c>
      <c r="D571" s="1" t="s">
        <v>23</v>
      </c>
      <c r="E571" s="42" t="s">
        <v>99</v>
      </c>
      <c r="F571" s="63" t="s">
        <v>486</v>
      </c>
      <c r="G571" s="1">
        <v>5</v>
      </c>
      <c r="H571" s="1">
        <f t="shared" si="146"/>
        <v>0.30201342281879195</v>
      </c>
      <c r="I571" s="1">
        <f t="shared" si="147"/>
        <v>0.14899999999999999</v>
      </c>
      <c r="J571" s="1">
        <f t="shared" si="135"/>
        <v>6.4500000000000002E-2</v>
      </c>
      <c r="K571" s="1">
        <f t="shared" si="148"/>
        <v>2.8008500000000001</v>
      </c>
      <c r="L571" s="1">
        <f t="shared" si="149"/>
        <v>2.3369599999999999</v>
      </c>
      <c r="M571" s="49">
        <f t="shared" si="150"/>
        <v>0.69820798422696861</v>
      </c>
      <c r="N571" s="49">
        <v>1.1919999999999999</v>
      </c>
      <c r="O571" s="1">
        <v>1002</v>
      </c>
      <c r="P571" s="51">
        <v>0</v>
      </c>
      <c r="Q571" s="51">
        <v>8</v>
      </c>
      <c r="R571" s="51">
        <v>1</v>
      </c>
      <c r="S571" s="1">
        <v>1</v>
      </c>
      <c r="T571" s="1">
        <v>0</v>
      </c>
      <c r="U571" s="47">
        <v>0</v>
      </c>
      <c r="V571" s="47">
        <v>68</v>
      </c>
      <c r="W571" s="41">
        <v>45</v>
      </c>
      <c r="X571">
        <v>149</v>
      </c>
      <c r="Y571">
        <v>0.9355</v>
      </c>
      <c r="Z571">
        <v>2800.85</v>
      </c>
      <c r="AA571">
        <v>2336.96</v>
      </c>
      <c r="AB571">
        <v>119.2</v>
      </c>
      <c r="AC571">
        <v>55</v>
      </c>
      <c r="AD571" s="41">
        <f t="shared" si="151"/>
        <v>0.30704964564328691</v>
      </c>
      <c r="AE571" s="41">
        <f t="shared" si="152"/>
        <v>0.36799945227988495</v>
      </c>
      <c r="AF571">
        <f t="shared" si="153"/>
        <v>2.1362383653846151</v>
      </c>
      <c r="AG571">
        <f t="shared" si="154"/>
        <v>2.9907523557692339E-2</v>
      </c>
      <c r="AH571">
        <f t="shared" si="155"/>
        <v>1.1919999999999999</v>
      </c>
      <c r="AI571">
        <f>HLOOKUP(HLOOKUP(G571,'THP2'!$B$4:$J$8,5,FALSE),'Fuel &amp; Resister'!$B$3:$G$6,4,FALSE)</f>
        <v>1.7552248062015501</v>
      </c>
      <c r="AJ571" s="41">
        <f>HLOOKUP(HLOOKUP(G571,'THP2'!$B$4:$J$8,5,FALSE),'Fuel &amp; Resister'!$B$3:$G$6,3,FALSE)</f>
        <v>6.1345057489290813</v>
      </c>
      <c r="AO571" s="62">
        <v>0</v>
      </c>
      <c r="AP571" s="62">
        <v>0</v>
      </c>
    </row>
    <row r="572" spans="2:42" x14ac:dyDescent="0.15">
      <c r="B572" s="79" t="s">
        <v>599</v>
      </c>
      <c r="C572" s="61">
        <f>VLOOKUP(B572,[1]SYS!$F$5:$G$359,2,FALSE)</f>
        <v>207</v>
      </c>
      <c r="D572" s="1" t="s">
        <v>23</v>
      </c>
      <c r="E572" s="42" t="s">
        <v>100</v>
      </c>
      <c r="F572" s="63" t="s">
        <v>485</v>
      </c>
      <c r="G572" s="1">
        <v>5</v>
      </c>
      <c r="H572" s="1">
        <f t="shared" si="146"/>
        <v>0.2</v>
      </c>
      <c r="I572" s="1">
        <f t="shared" si="147"/>
        <v>0.7</v>
      </c>
      <c r="J572" s="1">
        <f t="shared" si="135"/>
        <v>5.3000000000000047E-2</v>
      </c>
      <c r="K572" s="1">
        <f t="shared" si="148"/>
        <v>2.7547600000000001</v>
      </c>
      <c r="L572" s="1">
        <f t="shared" si="149"/>
        <v>2.0880700000000001</v>
      </c>
      <c r="M572" s="49">
        <f t="shared" si="150"/>
        <v>2.9308281703246557</v>
      </c>
      <c r="N572" s="49">
        <v>7.28</v>
      </c>
      <c r="O572" s="1">
        <v>1004</v>
      </c>
      <c r="P572" s="51">
        <v>0.05</v>
      </c>
      <c r="Q572" s="51">
        <v>8</v>
      </c>
      <c r="R572" s="51">
        <v>1</v>
      </c>
      <c r="S572" s="1">
        <v>1</v>
      </c>
      <c r="T572" s="1">
        <v>0</v>
      </c>
      <c r="U572" s="47">
        <v>0</v>
      </c>
      <c r="V572" s="47">
        <v>69</v>
      </c>
      <c r="W572" s="41">
        <v>140</v>
      </c>
      <c r="X572">
        <v>700</v>
      </c>
      <c r="Y572">
        <v>0.94699999999999995</v>
      </c>
      <c r="Z572">
        <v>2754.76</v>
      </c>
      <c r="AA572">
        <v>2088.0700000000002</v>
      </c>
      <c r="AB572">
        <v>728</v>
      </c>
      <c r="AC572">
        <v>55</v>
      </c>
      <c r="AD572" s="41">
        <f t="shared" si="151"/>
        <v>0.31218690557435125</v>
      </c>
      <c r="AE572" s="41">
        <f t="shared" si="152"/>
        <v>0.41186358694871333</v>
      </c>
      <c r="AF572">
        <f t="shared" si="153"/>
        <v>1.9213974999999999</v>
      </c>
      <c r="AG572">
        <f t="shared" si="154"/>
        <v>0.11667075000000014</v>
      </c>
      <c r="AH572">
        <f t="shared" si="155"/>
        <v>7.28</v>
      </c>
      <c r="AI572">
        <f>HLOOKUP(HLOOKUP(G572,'THP2'!$B$4:$J$8,5,FALSE),'Fuel &amp; Resister'!$B$3:$G$6,4,FALSE)</f>
        <v>1.7552248062015501</v>
      </c>
      <c r="AJ572" s="41">
        <f>HLOOKUP(HLOOKUP(G572,'THP2'!$B$4:$J$8,5,FALSE),'Fuel &amp; Resister'!$B$3:$G$6,3,FALSE)</f>
        <v>6.1345057489290813</v>
      </c>
      <c r="AO572" s="62">
        <v>0</v>
      </c>
      <c r="AP572" s="62">
        <v>0</v>
      </c>
    </row>
    <row r="573" spans="2:42" x14ac:dyDescent="0.15">
      <c r="B573" s="79" t="s">
        <v>600</v>
      </c>
      <c r="C573" s="61">
        <f>VLOOKUP(B573,[1]SYS!$F$5:$G$359,2,FALSE)</f>
        <v>201</v>
      </c>
      <c r="D573" s="1" t="s">
        <v>23</v>
      </c>
      <c r="E573" s="42" t="s">
        <v>101</v>
      </c>
      <c r="F573" s="63" t="s">
        <v>484</v>
      </c>
      <c r="G573" s="1">
        <v>5</v>
      </c>
      <c r="H573" s="1">
        <f t="shared" si="146"/>
        <v>0.2</v>
      </c>
      <c r="I573" s="1">
        <f t="shared" si="147"/>
        <v>0.7</v>
      </c>
      <c r="J573" s="1">
        <f t="shared" si="135"/>
        <v>5.1000000000000045E-2</v>
      </c>
      <c r="K573" s="1">
        <f t="shared" si="148"/>
        <v>2.7918699999999999</v>
      </c>
      <c r="L573" s="1">
        <f t="shared" si="149"/>
        <v>2.1161999999999996</v>
      </c>
      <c r="M573" s="49">
        <f t="shared" si="150"/>
        <v>2.9703116150517155</v>
      </c>
      <c r="N573" s="49">
        <v>7.28</v>
      </c>
      <c r="O573" s="1">
        <v>504</v>
      </c>
      <c r="P573" s="51">
        <v>0.05</v>
      </c>
      <c r="Q573" s="51">
        <v>8</v>
      </c>
      <c r="R573" s="51">
        <v>1</v>
      </c>
      <c r="S573" s="1">
        <v>1</v>
      </c>
      <c r="T573" s="1">
        <v>0</v>
      </c>
      <c r="U573" s="47">
        <v>0</v>
      </c>
      <c r="V573" s="47">
        <v>70</v>
      </c>
      <c r="W573" s="41">
        <v>140</v>
      </c>
      <c r="X573">
        <v>700</v>
      </c>
      <c r="Y573">
        <v>0.94899999999999995</v>
      </c>
      <c r="Z573">
        <v>2791.87</v>
      </c>
      <c r="AA573">
        <v>2116.1999999999998</v>
      </c>
      <c r="AB573">
        <v>728</v>
      </c>
      <c r="AC573">
        <v>55</v>
      </c>
      <c r="AD573" s="41">
        <f t="shared" si="151"/>
        <v>0.30803726534544951</v>
      </c>
      <c r="AE573" s="41">
        <f t="shared" si="152"/>
        <v>0.40638881013136757</v>
      </c>
      <c r="AF573">
        <f t="shared" si="153"/>
        <v>1.9472824999999994</v>
      </c>
      <c r="AG573">
        <f t="shared" si="154"/>
        <v>0.11824225000000019</v>
      </c>
      <c r="AH573">
        <f t="shared" si="155"/>
        <v>7.28</v>
      </c>
      <c r="AI573">
        <f>HLOOKUP(HLOOKUP(G573,'THP2'!$B$4:$J$8,5,FALSE),'Fuel &amp; Resister'!$B$3:$G$6,4,FALSE)</f>
        <v>1.7552248062015501</v>
      </c>
      <c r="AJ573" s="41">
        <f>HLOOKUP(HLOOKUP(G573,'THP2'!$B$4:$J$8,5,FALSE),'Fuel &amp; Resister'!$B$3:$G$6,3,FALSE)</f>
        <v>6.1345057489290813</v>
      </c>
      <c r="AO573" s="62">
        <v>0</v>
      </c>
      <c r="AP573" s="62">
        <v>0</v>
      </c>
    </row>
    <row r="574" spans="2:42" x14ac:dyDescent="0.15">
      <c r="B574" s="79" t="s">
        <v>600</v>
      </c>
      <c r="C574" s="61">
        <f>VLOOKUP(B574,[1]SYS!$F$5:$G$359,2,FALSE)</f>
        <v>201</v>
      </c>
      <c r="D574" s="1" t="s">
        <v>23</v>
      </c>
      <c r="E574" s="42" t="s">
        <v>102</v>
      </c>
      <c r="F574" s="63" t="s">
        <v>484</v>
      </c>
      <c r="G574" s="1">
        <v>5</v>
      </c>
      <c r="H574" s="1">
        <f t="shared" si="146"/>
        <v>0.2</v>
      </c>
      <c r="I574" s="1">
        <f t="shared" si="147"/>
        <v>0.5</v>
      </c>
      <c r="J574" s="1">
        <f t="shared" si="135"/>
        <v>5.3799999999999959E-2</v>
      </c>
      <c r="K574" s="1">
        <f t="shared" si="148"/>
        <v>2.8278099999999999</v>
      </c>
      <c r="L574" s="1">
        <f t="shared" si="149"/>
        <v>2.14344</v>
      </c>
      <c r="M574" s="49">
        <f t="shared" si="150"/>
        <v>2.1489613215623868</v>
      </c>
      <c r="N574" s="49">
        <v>5.01</v>
      </c>
      <c r="O574" s="6">
        <v>305</v>
      </c>
      <c r="P574" s="51">
        <v>0.05</v>
      </c>
      <c r="Q574" s="51">
        <v>8</v>
      </c>
      <c r="R574" s="51">
        <v>1</v>
      </c>
      <c r="S574" s="1">
        <v>1</v>
      </c>
      <c r="T574" s="1">
        <v>0</v>
      </c>
      <c r="U574" s="47">
        <v>0</v>
      </c>
      <c r="V574" s="47">
        <v>71</v>
      </c>
      <c r="W574" s="41">
        <v>100</v>
      </c>
      <c r="X574">
        <v>500</v>
      </c>
      <c r="Y574">
        <v>0.94620000000000004</v>
      </c>
      <c r="Z574">
        <v>2827.81</v>
      </c>
      <c r="AA574">
        <v>2143.44</v>
      </c>
      <c r="AB574">
        <v>501</v>
      </c>
      <c r="AC574">
        <v>55</v>
      </c>
      <c r="AD574" s="41">
        <f t="shared" si="151"/>
        <v>0.30412227129828384</v>
      </c>
      <c r="AE574" s="41">
        <f t="shared" si="152"/>
        <v>0.40122420035083789</v>
      </c>
      <c r="AF574">
        <f t="shared" si="153"/>
        <v>1.9723475000000001</v>
      </c>
      <c r="AG574">
        <f t="shared" si="154"/>
        <v>8.5546249999999935E-2</v>
      </c>
      <c r="AH574">
        <f t="shared" si="155"/>
        <v>5.01</v>
      </c>
      <c r="AI574">
        <f>HLOOKUP(HLOOKUP(G574,'THP2'!$B$4:$J$8,5,FALSE),'Fuel &amp; Resister'!$B$3:$G$6,4,FALSE)</f>
        <v>1.7552248062015501</v>
      </c>
      <c r="AJ574" s="41">
        <f>HLOOKUP(HLOOKUP(G574,'THP2'!$B$4:$J$8,5,FALSE),'Fuel &amp; Resister'!$B$3:$G$6,3,FALSE)</f>
        <v>6.1345057489290813</v>
      </c>
      <c r="AO574" s="62">
        <v>0</v>
      </c>
      <c r="AP574" s="62">
        <v>0</v>
      </c>
    </row>
    <row r="575" spans="2:42" x14ac:dyDescent="0.15">
      <c r="B575" s="79" t="s">
        <v>599</v>
      </c>
      <c r="C575" s="61">
        <f>VLOOKUP(B575,[1]SYS!$F$5:$G$359,2,FALSE)</f>
        <v>207</v>
      </c>
      <c r="D575" s="1" t="s">
        <v>23</v>
      </c>
      <c r="E575" s="42" t="s">
        <v>103</v>
      </c>
      <c r="F575" s="63" t="s">
        <v>485</v>
      </c>
      <c r="G575" s="1">
        <v>5</v>
      </c>
      <c r="H575" s="1">
        <f t="shared" si="146"/>
        <v>0.2</v>
      </c>
      <c r="I575" s="1">
        <f t="shared" si="147"/>
        <v>0.5</v>
      </c>
      <c r="J575" s="1">
        <f t="shared" si="135"/>
        <v>5.9400000000000008E-2</v>
      </c>
      <c r="K575" s="1">
        <f t="shared" si="148"/>
        <v>2.8681300000000003</v>
      </c>
      <c r="L575" s="1">
        <f t="shared" si="149"/>
        <v>2.1739999999999999</v>
      </c>
      <c r="M575" s="49">
        <f t="shared" si="150"/>
        <v>2.1796000415577894</v>
      </c>
      <c r="N575" s="49">
        <v>5.01</v>
      </c>
      <c r="O575" s="1">
        <v>903</v>
      </c>
      <c r="P575" s="51">
        <v>0.05</v>
      </c>
      <c r="Q575" s="51">
        <v>8</v>
      </c>
      <c r="R575" s="51">
        <v>1</v>
      </c>
      <c r="S575" s="1">
        <v>1</v>
      </c>
      <c r="T575" s="1">
        <v>0</v>
      </c>
      <c r="U575" s="47">
        <v>0</v>
      </c>
      <c r="V575" s="47">
        <v>72</v>
      </c>
      <c r="W575" s="41">
        <v>100</v>
      </c>
      <c r="X575">
        <v>500</v>
      </c>
      <c r="Y575">
        <v>0.94059999999999999</v>
      </c>
      <c r="Z575">
        <v>2868.13</v>
      </c>
      <c r="AA575">
        <v>2174</v>
      </c>
      <c r="AB575">
        <v>501</v>
      </c>
      <c r="AC575">
        <v>55</v>
      </c>
      <c r="AD575" s="41">
        <f t="shared" si="151"/>
        <v>0.29984693859762285</v>
      </c>
      <c r="AE575" s="41">
        <f t="shared" si="152"/>
        <v>0.39558417663293466</v>
      </c>
      <c r="AF575">
        <f t="shared" si="153"/>
        <v>2.0004675000000001</v>
      </c>
      <c r="AG575">
        <f t="shared" si="154"/>
        <v>8.6766249999999934E-2</v>
      </c>
      <c r="AH575">
        <f t="shared" si="155"/>
        <v>5.01</v>
      </c>
      <c r="AI575">
        <f>HLOOKUP(HLOOKUP(G575,'THP2'!$B$4:$J$8,5,FALSE),'Fuel &amp; Resister'!$B$3:$G$6,4,FALSE)</f>
        <v>1.7552248062015501</v>
      </c>
      <c r="AJ575" s="41">
        <f>HLOOKUP(HLOOKUP(G575,'THP2'!$B$4:$J$8,5,FALSE),'Fuel &amp; Resister'!$B$3:$G$6,3,FALSE)</f>
        <v>6.1345057489290813</v>
      </c>
      <c r="AO575" s="62">
        <v>0</v>
      </c>
      <c r="AP575" s="62">
        <v>0</v>
      </c>
    </row>
    <row r="576" spans="2:42" x14ac:dyDescent="0.15">
      <c r="B576" s="79" t="s">
        <v>601</v>
      </c>
      <c r="C576" s="61">
        <f>VLOOKUP(B576,[1]SYS!$F$5:$G$359,2,FALSE)</f>
        <v>220</v>
      </c>
      <c r="D576" s="1" t="s">
        <v>23</v>
      </c>
      <c r="E576" s="42" t="s">
        <v>104</v>
      </c>
      <c r="F576" s="42"/>
      <c r="G576" s="1">
        <v>5</v>
      </c>
      <c r="H576" s="1">
        <f t="shared" si="146"/>
        <v>0.3</v>
      </c>
      <c r="I576" s="1">
        <f t="shared" si="147"/>
        <v>0.9</v>
      </c>
      <c r="J576" s="1">
        <f t="shared" si="135"/>
        <v>6.2000000000000055E-2</v>
      </c>
      <c r="K576" s="1">
        <f t="shared" si="148"/>
        <v>2.4110200000000002</v>
      </c>
      <c r="L576" s="1">
        <f t="shared" si="149"/>
        <v>2.0117000000000003</v>
      </c>
      <c r="M576" s="49">
        <f t="shared" si="150"/>
        <v>3.6303875466804287</v>
      </c>
      <c r="N576" s="49">
        <v>12.4267</v>
      </c>
      <c r="O576" s="6">
        <v>305</v>
      </c>
      <c r="P576" s="51">
        <v>0.05</v>
      </c>
      <c r="Q576" s="51">
        <v>8</v>
      </c>
      <c r="R576" s="51">
        <v>1</v>
      </c>
      <c r="S576" s="1">
        <v>1</v>
      </c>
      <c r="T576" s="1">
        <v>0</v>
      </c>
      <c r="U576" s="47">
        <v>0</v>
      </c>
      <c r="V576" s="47">
        <v>73</v>
      </c>
      <c r="W576" s="41">
        <v>270</v>
      </c>
      <c r="X576">
        <v>900</v>
      </c>
      <c r="Y576">
        <v>0.93799999999999994</v>
      </c>
      <c r="Z576">
        <v>2411.02</v>
      </c>
      <c r="AA576">
        <v>2011.7</v>
      </c>
      <c r="AB576">
        <v>1242.67</v>
      </c>
      <c r="AC576">
        <v>55</v>
      </c>
      <c r="AD576" s="41">
        <f t="shared" si="151"/>
        <v>0.35669550646614295</v>
      </c>
      <c r="AE576" s="41">
        <f t="shared" si="152"/>
        <v>0.4274991300889795</v>
      </c>
      <c r="AF576">
        <f t="shared" si="153"/>
        <v>1.8405628571428576</v>
      </c>
      <c r="AG576">
        <f t="shared" si="154"/>
        <v>0.15402342857142839</v>
      </c>
      <c r="AH576">
        <f t="shared" si="155"/>
        <v>12.4267</v>
      </c>
      <c r="AI576">
        <f>HLOOKUP(HLOOKUP(G576,'THP2'!$B$4:$J$8,5,FALSE),'Fuel &amp; Resister'!$B$3:$G$6,4,FALSE)</f>
        <v>1.7552248062015501</v>
      </c>
      <c r="AJ576" s="41">
        <f>HLOOKUP(HLOOKUP(G576,'THP2'!$B$4:$J$8,5,FALSE),'Fuel &amp; Resister'!$B$3:$G$6,3,FALSE)</f>
        <v>6.1345057489290813</v>
      </c>
      <c r="AO576" s="62">
        <v>0</v>
      </c>
      <c r="AP576" s="62">
        <v>0</v>
      </c>
    </row>
    <row r="577" spans="2:42" x14ac:dyDescent="0.15">
      <c r="B577" s="79" t="s">
        <v>601</v>
      </c>
      <c r="C577" s="61">
        <f>VLOOKUP(B577,[1]SYS!$F$5:$G$359,2,FALSE)</f>
        <v>220</v>
      </c>
      <c r="D577" s="1" t="s">
        <v>23</v>
      </c>
      <c r="E577" s="42" t="s">
        <v>104</v>
      </c>
      <c r="F577" s="42"/>
      <c r="G577" s="1">
        <v>5</v>
      </c>
      <c r="H577" s="1">
        <f t="shared" si="146"/>
        <v>0.3</v>
      </c>
      <c r="I577" s="1">
        <f t="shared" si="147"/>
        <v>0.9</v>
      </c>
      <c r="J577" s="1">
        <f t="shared" si="135"/>
        <v>6.2000000000000055E-2</v>
      </c>
      <c r="K577" s="1">
        <f t="shared" si="148"/>
        <v>2.4110200000000002</v>
      </c>
      <c r="L577" s="1">
        <f t="shared" si="149"/>
        <v>2.0117000000000003</v>
      </c>
      <c r="M577" s="49">
        <f t="shared" si="150"/>
        <v>3.6303875466804287</v>
      </c>
      <c r="N577" s="49">
        <v>12.4267</v>
      </c>
      <c r="O577" s="1">
        <v>504</v>
      </c>
      <c r="P577" s="51">
        <v>0.05</v>
      </c>
      <c r="Q577" s="51">
        <v>8</v>
      </c>
      <c r="R577" s="51">
        <v>1</v>
      </c>
      <c r="S577" s="1">
        <v>1</v>
      </c>
      <c r="T577" s="1">
        <v>0</v>
      </c>
      <c r="U577" s="47">
        <v>0</v>
      </c>
      <c r="V577" s="47">
        <v>74</v>
      </c>
      <c r="W577" s="41">
        <v>270</v>
      </c>
      <c r="X577">
        <v>900</v>
      </c>
      <c r="Y577">
        <v>0.93799999999999994</v>
      </c>
      <c r="Z577">
        <v>2411.02</v>
      </c>
      <c r="AA577">
        <v>2011.7</v>
      </c>
      <c r="AB577">
        <v>1242.67</v>
      </c>
      <c r="AC577">
        <v>55</v>
      </c>
      <c r="AD577" s="41">
        <f t="shared" si="151"/>
        <v>0.35669550646614295</v>
      </c>
      <c r="AE577" s="41">
        <f t="shared" si="152"/>
        <v>0.4274991300889795</v>
      </c>
      <c r="AF577">
        <f t="shared" si="153"/>
        <v>1.8405628571428576</v>
      </c>
      <c r="AG577">
        <f t="shared" si="154"/>
        <v>0.15402342857142839</v>
      </c>
      <c r="AH577">
        <f t="shared" si="155"/>
        <v>12.4267</v>
      </c>
      <c r="AI577">
        <f>HLOOKUP(HLOOKUP(G577,'THP2'!$B$4:$J$8,5,FALSE),'Fuel &amp; Resister'!$B$3:$G$6,4,FALSE)</f>
        <v>1.7552248062015501</v>
      </c>
      <c r="AJ577" s="41">
        <f>HLOOKUP(HLOOKUP(G577,'THP2'!$B$4:$J$8,5,FALSE),'Fuel &amp; Resister'!$B$3:$G$6,3,FALSE)</f>
        <v>6.1345057489290813</v>
      </c>
      <c r="AO577" s="62">
        <v>0</v>
      </c>
      <c r="AP577" s="62">
        <v>0</v>
      </c>
    </row>
    <row r="578" spans="2:42" x14ac:dyDescent="0.15">
      <c r="B578" s="79" t="s">
        <v>601</v>
      </c>
      <c r="C578" s="61">
        <f>VLOOKUP(B578,[1]SYS!$F$5:$G$359,2,FALSE)</f>
        <v>220</v>
      </c>
      <c r="D578" s="1" t="s">
        <v>23</v>
      </c>
      <c r="E578" s="42" t="s">
        <v>104</v>
      </c>
      <c r="F578" s="42"/>
      <c r="G578" s="1">
        <v>5</v>
      </c>
      <c r="H578" s="1">
        <f t="shared" si="146"/>
        <v>0.3</v>
      </c>
      <c r="I578" s="1">
        <f t="shared" si="147"/>
        <v>0.9</v>
      </c>
      <c r="J578" s="1">
        <f t="shared" si="135"/>
        <v>6.2000000000000055E-2</v>
      </c>
      <c r="K578" s="1">
        <f t="shared" si="148"/>
        <v>2.4110200000000002</v>
      </c>
      <c r="L578" s="1">
        <f t="shared" si="149"/>
        <v>2.0117000000000003</v>
      </c>
      <c r="M578" s="49">
        <f t="shared" si="150"/>
        <v>3.6303875466804287</v>
      </c>
      <c r="N578" s="49">
        <v>12.4267</v>
      </c>
      <c r="O578" s="6">
        <v>305</v>
      </c>
      <c r="P578" s="51">
        <v>0.05</v>
      </c>
      <c r="Q578" s="51">
        <v>8</v>
      </c>
      <c r="R578" s="51">
        <v>1</v>
      </c>
      <c r="S578" s="1">
        <v>1</v>
      </c>
      <c r="T578" s="1">
        <v>0</v>
      </c>
      <c r="U578" s="47">
        <v>0</v>
      </c>
      <c r="V578" s="47">
        <v>75</v>
      </c>
      <c r="W578" s="41">
        <v>270</v>
      </c>
      <c r="X578">
        <v>900</v>
      </c>
      <c r="Y578">
        <v>0.93799999999999994</v>
      </c>
      <c r="Z578">
        <v>2411.02</v>
      </c>
      <c r="AA578">
        <v>2011.7</v>
      </c>
      <c r="AB578">
        <v>1242.67</v>
      </c>
      <c r="AC578">
        <v>55</v>
      </c>
      <c r="AD578" s="41">
        <f t="shared" si="151"/>
        <v>0.35669550646614295</v>
      </c>
      <c r="AE578" s="41">
        <f t="shared" si="152"/>
        <v>0.4274991300889795</v>
      </c>
      <c r="AF578">
        <f t="shared" si="153"/>
        <v>1.8405628571428576</v>
      </c>
      <c r="AG578">
        <f t="shared" si="154"/>
        <v>0.15402342857142839</v>
      </c>
      <c r="AH578">
        <f t="shared" si="155"/>
        <v>12.4267</v>
      </c>
      <c r="AI578">
        <f>HLOOKUP(HLOOKUP(G578,'THP2'!$B$4:$J$8,5,FALSE),'Fuel &amp; Resister'!$B$3:$G$6,4,FALSE)</f>
        <v>1.7552248062015501</v>
      </c>
      <c r="AJ578" s="41">
        <f>HLOOKUP(HLOOKUP(G578,'THP2'!$B$4:$J$8,5,FALSE),'Fuel &amp; Resister'!$B$3:$G$6,3,FALSE)</f>
        <v>6.1345057489290813</v>
      </c>
      <c r="AO578" s="62">
        <v>0</v>
      </c>
      <c r="AP578" s="62">
        <v>0</v>
      </c>
    </row>
    <row r="579" spans="2:42" x14ac:dyDescent="0.15">
      <c r="B579" s="79" t="s">
        <v>601</v>
      </c>
      <c r="C579" s="61">
        <f>VLOOKUP(B579,[1]SYS!$F$5:$G$359,2,FALSE)</f>
        <v>220</v>
      </c>
      <c r="D579" s="1" t="s">
        <v>23</v>
      </c>
      <c r="E579" s="42" t="s">
        <v>104</v>
      </c>
      <c r="F579" s="42"/>
      <c r="G579" s="1">
        <v>5</v>
      </c>
      <c r="H579" s="1">
        <f t="shared" si="146"/>
        <v>0.3</v>
      </c>
      <c r="I579" s="1">
        <f t="shared" si="147"/>
        <v>0.9</v>
      </c>
      <c r="J579" s="1">
        <f t="shared" si="135"/>
        <v>6.2000000000000055E-2</v>
      </c>
      <c r="K579" s="1">
        <f t="shared" si="148"/>
        <v>2.4110200000000002</v>
      </c>
      <c r="L579" s="1">
        <f t="shared" si="149"/>
        <v>2.0117000000000003</v>
      </c>
      <c r="M579" s="49">
        <f t="shared" si="150"/>
        <v>3.6303875466804287</v>
      </c>
      <c r="N579" s="49">
        <v>12.4267</v>
      </c>
      <c r="O579" s="1">
        <v>504</v>
      </c>
      <c r="P579" s="51">
        <v>0.05</v>
      </c>
      <c r="Q579" s="51">
        <v>8</v>
      </c>
      <c r="R579" s="51">
        <v>1</v>
      </c>
      <c r="S579" s="1">
        <v>1</v>
      </c>
      <c r="T579" s="1">
        <v>0</v>
      </c>
      <c r="U579" s="47">
        <v>0</v>
      </c>
      <c r="V579" s="47">
        <v>76</v>
      </c>
      <c r="W579" s="41">
        <v>270</v>
      </c>
      <c r="X579">
        <v>900</v>
      </c>
      <c r="Y579">
        <v>0.93799999999999994</v>
      </c>
      <c r="Z579">
        <v>2411.02</v>
      </c>
      <c r="AA579">
        <v>2011.7</v>
      </c>
      <c r="AB579">
        <v>1242.67</v>
      </c>
      <c r="AC579">
        <v>55</v>
      </c>
      <c r="AD579" s="41">
        <f t="shared" si="151"/>
        <v>0.35669550646614295</v>
      </c>
      <c r="AE579" s="41">
        <f t="shared" si="152"/>
        <v>0.4274991300889795</v>
      </c>
      <c r="AF579">
        <f t="shared" si="153"/>
        <v>1.8405628571428576</v>
      </c>
      <c r="AG579">
        <f t="shared" si="154"/>
        <v>0.15402342857142839</v>
      </c>
      <c r="AH579">
        <f t="shared" si="155"/>
        <v>12.4267</v>
      </c>
      <c r="AI579">
        <f>HLOOKUP(HLOOKUP(G579,'THP2'!$B$4:$J$8,5,FALSE),'Fuel &amp; Resister'!$B$3:$G$6,4,FALSE)</f>
        <v>1.7552248062015501</v>
      </c>
      <c r="AJ579" s="41">
        <f>HLOOKUP(HLOOKUP(G579,'THP2'!$B$4:$J$8,5,FALSE),'Fuel &amp; Resister'!$B$3:$G$6,3,FALSE)</f>
        <v>6.1345057489290813</v>
      </c>
      <c r="AO579" s="62">
        <v>0</v>
      </c>
      <c r="AP579" s="62">
        <v>0</v>
      </c>
    </row>
    <row r="580" spans="2:42" x14ac:dyDescent="0.15">
      <c r="B580" s="79" t="s">
        <v>601</v>
      </c>
      <c r="C580" s="61">
        <f>VLOOKUP(B580,[1]SYS!$F$5:$G$359,2,FALSE)</f>
        <v>220</v>
      </c>
      <c r="D580" s="1" t="s">
        <v>23</v>
      </c>
      <c r="E580" s="42" t="s">
        <v>104</v>
      </c>
      <c r="F580" s="42"/>
      <c r="G580" s="1">
        <v>5</v>
      </c>
      <c r="H580" s="1">
        <f t="shared" si="146"/>
        <v>0.3</v>
      </c>
      <c r="I580" s="1">
        <f t="shared" si="147"/>
        <v>0.9</v>
      </c>
      <c r="J580" s="1">
        <f t="shared" si="135"/>
        <v>6.2000000000000055E-2</v>
      </c>
      <c r="K580" s="1">
        <f t="shared" si="148"/>
        <v>2.4110200000000002</v>
      </c>
      <c r="L580" s="1">
        <f t="shared" si="149"/>
        <v>2.0117000000000003</v>
      </c>
      <c r="M580" s="49">
        <f t="shared" si="150"/>
        <v>3.6303875466804287</v>
      </c>
      <c r="N580" s="49">
        <v>12.4267</v>
      </c>
      <c r="O580" s="6">
        <v>305</v>
      </c>
      <c r="P580" s="51">
        <v>0.05</v>
      </c>
      <c r="Q580" s="51">
        <v>8</v>
      </c>
      <c r="R580" s="51">
        <v>1</v>
      </c>
      <c r="S580" s="1">
        <v>1</v>
      </c>
      <c r="T580" s="1">
        <v>0</v>
      </c>
      <c r="U580" s="47">
        <v>0</v>
      </c>
      <c r="V580" s="47">
        <v>77</v>
      </c>
      <c r="W580" s="41">
        <v>270</v>
      </c>
      <c r="X580">
        <v>900</v>
      </c>
      <c r="Y580">
        <v>0.93799999999999994</v>
      </c>
      <c r="Z580">
        <v>2411.02</v>
      </c>
      <c r="AA580">
        <v>2011.7</v>
      </c>
      <c r="AB580">
        <v>1242.67</v>
      </c>
      <c r="AC580">
        <v>55</v>
      </c>
      <c r="AD580" s="41">
        <f t="shared" si="151"/>
        <v>0.35669550646614295</v>
      </c>
      <c r="AE580" s="41">
        <f t="shared" si="152"/>
        <v>0.4274991300889795</v>
      </c>
      <c r="AF580">
        <f t="shared" si="153"/>
        <v>1.8405628571428576</v>
      </c>
      <c r="AG580">
        <f t="shared" si="154"/>
        <v>0.15402342857142839</v>
      </c>
      <c r="AH580">
        <f t="shared" si="155"/>
        <v>12.4267</v>
      </c>
      <c r="AI580">
        <f>HLOOKUP(HLOOKUP(G580,'THP2'!$B$4:$J$8,5,FALSE),'Fuel &amp; Resister'!$B$3:$G$6,4,FALSE)</f>
        <v>1.7552248062015501</v>
      </c>
      <c r="AJ580" s="41">
        <f>HLOOKUP(HLOOKUP(G580,'THP2'!$B$4:$J$8,5,FALSE),'Fuel &amp; Resister'!$B$3:$G$6,3,FALSE)</f>
        <v>6.1345057489290813</v>
      </c>
      <c r="AO580" s="62">
        <v>0</v>
      </c>
      <c r="AP580" s="62">
        <v>0</v>
      </c>
    </row>
    <row r="581" spans="2:42" x14ac:dyDescent="0.15">
      <c r="B581" s="79" t="s">
        <v>601</v>
      </c>
      <c r="C581" s="61">
        <f>VLOOKUP(B581,[1]SYS!$F$5:$G$359,2,FALSE)</f>
        <v>220</v>
      </c>
      <c r="D581" s="1" t="s">
        <v>23</v>
      </c>
      <c r="E581" s="42" t="s">
        <v>104</v>
      </c>
      <c r="F581" s="42"/>
      <c r="G581" s="1">
        <v>5</v>
      </c>
      <c r="H581" s="1">
        <f t="shared" si="146"/>
        <v>0.3</v>
      </c>
      <c r="I581" s="1">
        <f t="shared" si="147"/>
        <v>0.9</v>
      </c>
      <c r="J581" s="1">
        <f t="shared" si="135"/>
        <v>6.2000000000000055E-2</v>
      </c>
      <c r="K581" s="1">
        <f t="shared" si="148"/>
        <v>2.4110200000000002</v>
      </c>
      <c r="L581" s="1">
        <f t="shared" si="149"/>
        <v>2.0117000000000003</v>
      </c>
      <c r="M581" s="49">
        <f t="shared" si="150"/>
        <v>3.6303875466804287</v>
      </c>
      <c r="N581" s="49">
        <v>12.4267</v>
      </c>
      <c r="O581" s="1">
        <v>504</v>
      </c>
      <c r="P581" s="51">
        <v>0.05</v>
      </c>
      <c r="Q581" s="51">
        <v>8</v>
      </c>
      <c r="R581" s="51">
        <v>1</v>
      </c>
      <c r="S581" s="1">
        <v>1</v>
      </c>
      <c r="T581" s="1">
        <v>0</v>
      </c>
      <c r="U581" s="47">
        <v>0</v>
      </c>
      <c r="V581" s="47">
        <v>78</v>
      </c>
      <c r="W581" s="41">
        <v>270</v>
      </c>
      <c r="X581">
        <v>900</v>
      </c>
      <c r="Y581">
        <v>0.93799999999999994</v>
      </c>
      <c r="Z581">
        <v>2411.02</v>
      </c>
      <c r="AA581">
        <v>2011.7</v>
      </c>
      <c r="AB581">
        <v>1242.67</v>
      </c>
      <c r="AC581">
        <v>55</v>
      </c>
      <c r="AD581" s="41">
        <f t="shared" si="151"/>
        <v>0.35669550646614295</v>
      </c>
      <c r="AE581" s="41">
        <f t="shared" si="152"/>
        <v>0.4274991300889795</v>
      </c>
      <c r="AF581">
        <f t="shared" si="153"/>
        <v>1.8405628571428576</v>
      </c>
      <c r="AG581">
        <f t="shared" si="154"/>
        <v>0.15402342857142839</v>
      </c>
      <c r="AH581">
        <f t="shared" si="155"/>
        <v>12.4267</v>
      </c>
      <c r="AI581">
        <f>HLOOKUP(HLOOKUP(G581,'THP2'!$B$4:$J$8,5,FALSE),'Fuel &amp; Resister'!$B$3:$G$6,4,FALSE)</f>
        <v>1.7552248062015501</v>
      </c>
      <c r="AJ581" s="41">
        <f>HLOOKUP(HLOOKUP(G581,'THP2'!$B$4:$J$8,5,FALSE),'Fuel &amp; Resister'!$B$3:$G$6,3,FALSE)</f>
        <v>6.1345057489290813</v>
      </c>
      <c r="AO581" s="62">
        <v>0</v>
      </c>
      <c r="AP581" s="62">
        <v>0</v>
      </c>
    </row>
    <row r="582" spans="2:42" x14ac:dyDescent="0.15">
      <c r="B582" s="79" t="s">
        <v>602</v>
      </c>
      <c r="C582" s="61">
        <f>VLOOKUP(B582,[1]SYS!$F$5:$G$359,2,FALSE)</f>
        <v>234</v>
      </c>
      <c r="D582" s="1" t="s">
        <v>23</v>
      </c>
      <c r="E582" s="42" t="s">
        <v>104</v>
      </c>
      <c r="F582" s="42"/>
      <c r="G582" s="1">
        <v>5</v>
      </c>
      <c r="H582" s="1">
        <f t="shared" si="146"/>
        <v>0.3</v>
      </c>
      <c r="I582" s="1">
        <f t="shared" si="147"/>
        <v>0.9</v>
      </c>
      <c r="J582" s="1">
        <f t="shared" si="135"/>
        <v>6.2000000000000055E-2</v>
      </c>
      <c r="K582" s="1">
        <f t="shared" si="148"/>
        <v>2.4110200000000002</v>
      </c>
      <c r="L582" s="1">
        <f t="shared" si="149"/>
        <v>2.0117000000000003</v>
      </c>
      <c r="M582" s="49">
        <f t="shared" si="150"/>
        <v>3.6303875466804287</v>
      </c>
      <c r="N582" s="49">
        <v>12.4267</v>
      </c>
      <c r="O582" s="1">
        <v>403</v>
      </c>
      <c r="P582" s="51">
        <v>0.05</v>
      </c>
      <c r="Q582" s="51">
        <v>8</v>
      </c>
      <c r="R582" s="51">
        <v>1</v>
      </c>
      <c r="S582" s="1">
        <v>1</v>
      </c>
      <c r="T582" s="1">
        <v>0</v>
      </c>
      <c r="U582" s="47">
        <v>0</v>
      </c>
      <c r="V582" s="47">
        <v>79</v>
      </c>
      <c r="W582" s="41">
        <v>270</v>
      </c>
      <c r="X582">
        <v>900</v>
      </c>
      <c r="Y582">
        <v>0.93799999999999994</v>
      </c>
      <c r="Z582">
        <v>2411.02</v>
      </c>
      <c r="AA582">
        <v>2011.7</v>
      </c>
      <c r="AB582">
        <v>1242.67</v>
      </c>
      <c r="AC582">
        <v>55</v>
      </c>
      <c r="AD582" s="41">
        <f t="shared" si="151"/>
        <v>0.35669550646614295</v>
      </c>
      <c r="AE582" s="41">
        <f t="shared" si="152"/>
        <v>0.4274991300889795</v>
      </c>
      <c r="AF582">
        <f t="shared" si="153"/>
        <v>1.8405628571428576</v>
      </c>
      <c r="AG582">
        <f t="shared" si="154"/>
        <v>0.15402342857142839</v>
      </c>
      <c r="AH582">
        <f t="shared" si="155"/>
        <v>12.4267</v>
      </c>
      <c r="AI582">
        <f>HLOOKUP(HLOOKUP(G582,'THP2'!$B$4:$J$8,5,FALSE),'Fuel &amp; Resister'!$B$3:$G$6,4,FALSE)</f>
        <v>1.7552248062015501</v>
      </c>
      <c r="AJ582" s="41">
        <f>HLOOKUP(HLOOKUP(G582,'THP2'!$B$4:$J$8,5,FALSE),'Fuel &amp; Resister'!$B$3:$G$6,3,FALSE)</f>
        <v>6.1345057489290813</v>
      </c>
      <c r="AO582" s="62">
        <v>0</v>
      </c>
      <c r="AP582" s="62">
        <v>0</v>
      </c>
    </row>
    <row r="583" spans="2:42" x14ac:dyDescent="0.15">
      <c r="B583" s="79" t="s">
        <v>602</v>
      </c>
      <c r="C583" s="61">
        <f>VLOOKUP(B583,[1]SYS!$F$5:$G$359,2,FALSE)</f>
        <v>234</v>
      </c>
      <c r="D583" s="1" t="s">
        <v>23</v>
      </c>
      <c r="E583" s="42" t="s">
        <v>104</v>
      </c>
      <c r="F583" s="42"/>
      <c r="G583" s="1">
        <v>5</v>
      </c>
      <c r="H583" s="1">
        <f t="shared" si="146"/>
        <v>0.3</v>
      </c>
      <c r="I583" s="1">
        <f t="shared" si="147"/>
        <v>0.9</v>
      </c>
      <c r="J583" s="1">
        <f t="shared" si="135"/>
        <v>6.2000000000000055E-2</v>
      </c>
      <c r="K583" s="1">
        <f t="shared" si="148"/>
        <v>2.4110200000000002</v>
      </c>
      <c r="L583" s="1">
        <f t="shared" si="149"/>
        <v>2.0117000000000003</v>
      </c>
      <c r="M583" s="49">
        <f t="shared" si="150"/>
        <v>3.6303875466804287</v>
      </c>
      <c r="N583" s="49">
        <v>12.4267</v>
      </c>
      <c r="O583" s="1">
        <v>603</v>
      </c>
      <c r="P583" s="51">
        <v>0.05</v>
      </c>
      <c r="Q583" s="51">
        <v>8</v>
      </c>
      <c r="R583" s="51">
        <v>1</v>
      </c>
      <c r="S583" s="1">
        <v>1</v>
      </c>
      <c r="T583" s="1">
        <v>0</v>
      </c>
      <c r="U583" s="47">
        <v>0</v>
      </c>
      <c r="V583" s="47">
        <v>80</v>
      </c>
      <c r="W583" s="41">
        <v>270</v>
      </c>
      <c r="X583">
        <v>900</v>
      </c>
      <c r="Y583">
        <v>0.93799999999999994</v>
      </c>
      <c r="Z583">
        <v>2411.02</v>
      </c>
      <c r="AA583">
        <v>2011.7</v>
      </c>
      <c r="AB583">
        <v>1242.67</v>
      </c>
      <c r="AC583">
        <v>55</v>
      </c>
      <c r="AD583" s="41">
        <f t="shared" si="151"/>
        <v>0.35669550646614295</v>
      </c>
      <c r="AE583" s="41">
        <f t="shared" si="152"/>
        <v>0.4274991300889795</v>
      </c>
      <c r="AF583">
        <f t="shared" si="153"/>
        <v>1.8405628571428576</v>
      </c>
      <c r="AG583">
        <f t="shared" si="154"/>
        <v>0.15402342857142839</v>
      </c>
      <c r="AH583">
        <f t="shared" si="155"/>
        <v>12.4267</v>
      </c>
      <c r="AI583">
        <f>HLOOKUP(HLOOKUP(G583,'THP2'!$B$4:$J$8,5,FALSE),'Fuel &amp; Resister'!$B$3:$G$6,4,FALSE)</f>
        <v>1.7552248062015501</v>
      </c>
      <c r="AJ583" s="41">
        <f>HLOOKUP(HLOOKUP(G583,'THP2'!$B$4:$J$8,5,FALSE),'Fuel &amp; Resister'!$B$3:$G$6,3,FALSE)</f>
        <v>6.1345057489290813</v>
      </c>
      <c r="AO583" s="62">
        <v>0</v>
      </c>
      <c r="AP583" s="62">
        <v>0</v>
      </c>
    </row>
    <row r="584" spans="2:42" x14ac:dyDescent="0.15">
      <c r="B584" s="79" t="s">
        <v>602</v>
      </c>
      <c r="C584" s="61">
        <f>VLOOKUP(B584,[1]SYS!$F$5:$G$359,2,FALSE)</f>
        <v>234</v>
      </c>
      <c r="D584" s="1" t="s">
        <v>23</v>
      </c>
      <c r="E584" s="42" t="s">
        <v>104</v>
      </c>
      <c r="F584" s="42"/>
      <c r="G584" s="1">
        <v>5</v>
      </c>
      <c r="H584" s="1">
        <f t="shared" si="146"/>
        <v>0.3</v>
      </c>
      <c r="I584" s="1">
        <f t="shared" si="147"/>
        <v>0.9</v>
      </c>
      <c r="J584" s="1">
        <f t="shared" si="135"/>
        <v>6.2000000000000055E-2</v>
      </c>
      <c r="K584" s="1">
        <f t="shared" si="148"/>
        <v>2.4110200000000002</v>
      </c>
      <c r="L584" s="1">
        <f t="shared" si="149"/>
        <v>2.0117000000000003</v>
      </c>
      <c r="M584" s="49">
        <f t="shared" si="150"/>
        <v>3.6303875466804287</v>
      </c>
      <c r="N584" s="49">
        <v>12.4267</v>
      </c>
      <c r="O584" s="1">
        <v>201</v>
      </c>
      <c r="P584" s="51">
        <v>0.05</v>
      </c>
      <c r="Q584" s="51">
        <v>8</v>
      </c>
      <c r="R584" s="51">
        <v>1</v>
      </c>
      <c r="S584" s="1">
        <v>1</v>
      </c>
      <c r="T584" s="1">
        <v>0</v>
      </c>
      <c r="U584" s="47">
        <v>0</v>
      </c>
      <c r="V584" s="47">
        <v>81</v>
      </c>
      <c r="W584" s="41">
        <v>270</v>
      </c>
      <c r="X584">
        <v>900</v>
      </c>
      <c r="Y584">
        <v>0.93799999999999994</v>
      </c>
      <c r="Z584">
        <v>2411.02</v>
      </c>
      <c r="AA584">
        <v>2011.7</v>
      </c>
      <c r="AB584">
        <v>1242.67</v>
      </c>
      <c r="AC584">
        <v>55</v>
      </c>
      <c r="AD584" s="41">
        <f t="shared" si="151"/>
        <v>0.35669550646614295</v>
      </c>
      <c r="AE584" s="41">
        <f t="shared" si="152"/>
        <v>0.4274991300889795</v>
      </c>
      <c r="AF584">
        <f t="shared" si="153"/>
        <v>1.8405628571428576</v>
      </c>
      <c r="AG584">
        <f t="shared" si="154"/>
        <v>0.15402342857142839</v>
      </c>
      <c r="AH584">
        <f t="shared" si="155"/>
        <v>12.4267</v>
      </c>
      <c r="AI584">
        <f>HLOOKUP(HLOOKUP(G584,'THP2'!$B$4:$J$8,5,FALSE),'Fuel &amp; Resister'!$B$3:$G$6,4,FALSE)</f>
        <v>1.7552248062015501</v>
      </c>
      <c r="AJ584" s="41">
        <f>HLOOKUP(HLOOKUP(G584,'THP2'!$B$4:$J$8,5,FALSE),'Fuel &amp; Resister'!$B$3:$G$6,3,FALSE)</f>
        <v>6.1345057489290813</v>
      </c>
      <c r="AO584" s="62">
        <v>0</v>
      </c>
      <c r="AP584" s="62">
        <v>0</v>
      </c>
    </row>
    <row r="585" spans="2:42" x14ac:dyDescent="0.15">
      <c r="B585" s="79" t="s">
        <v>602</v>
      </c>
      <c r="C585" s="61">
        <f>VLOOKUP(B585,[1]SYS!$F$5:$G$359,2,FALSE)</f>
        <v>234</v>
      </c>
      <c r="D585" s="1" t="s">
        <v>23</v>
      </c>
      <c r="E585" s="42" t="s">
        <v>104</v>
      </c>
      <c r="F585" s="42"/>
      <c r="G585" s="1">
        <v>5</v>
      </c>
      <c r="H585" s="1">
        <f t="shared" si="146"/>
        <v>0.3</v>
      </c>
      <c r="I585" s="1">
        <f t="shared" si="147"/>
        <v>0.9</v>
      </c>
      <c r="J585" s="1">
        <f t="shared" si="135"/>
        <v>6.2000000000000055E-2</v>
      </c>
      <c r="K585" s="1">
        <f t="shared" si="148"/>
        <v>2.4110200000000002</v>
      </c>
      <c r="L585" s="1">
        <f t="shared" si="149"/>
        <v>2.0117000000000003</v>
      </c>
      <c r="M585" s="49">
        <f t="shared" si="150"/>
        <v>3.6303875466804287</v>
      </c>
      <c r="N585" s="49">
        <v>12.4267</v>
      </c>
      <c r="O585" s="1">
        <v>1103</v>
      </c>
      <c r="P585" s="51">
        <v>0.05</v>
      </c>
      <c r="Q585" s="51">
        <v>8</v>
      </c>
      <c r="R585" s="51">
        <v>1</v>
      </c>
      <c r="S585" s="1">
        <v>1</v>
      </c>
      <c r="T585" s="1">
        <v>0</v>
      </c>
      <c r="U585" s="47">
        <v>0</v>
      </c>
      <c r="V585" s="47">
        <v>82</v>
      </c>
      <c r="W585" s="41">
        <v>270</v>
      </c>
      <c r="X585">
        <v>900</v>
      </c>
      <c r="Y585">
        <v>0.93799999999999994</v>
      </c>
      <c r="Z585">
        <v>2411.02</v>
      </c>
      <c r="AA585">
        <v>2011.7</v>
      </c>
      <c r="AB585">
        <v>1242.67</v>
      </c>
      <c r="AC585">
        <v>55</v>
      </c>
      <c r="AD585" s="41">
        <f t="shared" si="151"/>
        <v>0.35669550646614295</v>
      </c>
      <c r="AE585" s="41">
        <f t="shared" si="152"/>
        <v>0.4274991300889795</v>
      </c>
      <c r="AF585">
        <f t="shared" si="153"/>
        <v>1.8405628571428576</v>
      </c>
      <c r="AG585">
        <f t="shared" si="154"/>
        <v>0.15402342857142839</v>
      </c>
      <c r="AH585">
        <f t="shared" si="155"/>
        <v>12.4267</v>
      </c>
      <c r="AI585">
        <f>HLOOKUP(HLOOKUP(G585,'THP2'!$B$4:$J$8,5,FALSE),'Fuel &amp; Resister'!$B$3:$G$6,4,FALSE)</f>
        <v>1.7552248062015501</v>
      </c>
      <c r="AJ585" s="41">
        <f>HLOOKUP(HLOOKUP(G585,'THP2'!$B$4:$J$8,5,FALSE),'Fuel &amp; Resister'!$B$3:$G$6,3,FALSE)</f>
        <v>6.1345057489290813</v>
      </c>
      <c r="AO585" s="62">
        <v>0</v>
      </c>
      <c r="AP585" s="62">
        <v>0</v>
      </c>
    </row>
    <row r="586" spans="2:42" x14ac:dyDescent="0.15">
      <c r="B586" s="79" t="s">
        <v>602</v>
      </c>
      <c r="C586" s="61">
        <f>VLOOKUP(B586,[1]SYS!$F$5:$G$359,2,FALSE)</f>
        <v>234</v>
      </c>
      <c r="D586" s="1" t="s">
        <v>23</v>
      </c>
      <c r="E586" s="42" t="s">
        <v>104</v>
      </c>
      <c r="F586" s="42"/>
      <c r="G586" s="1">
        <v>5</v>
      </c>
      <c r="H586" s="1">
        <f t="shared" si="146"/>
        <v>0.3</v>
      </c>
      <c r="I586" s="1">
        <f t="shared" si="147"/>
        <v>0.9</v>
      </c>
      <c r="J586" s="1">
        <f t="shared" si="135"/>
        <v>6.2000000000000055E-2</v>
      </c>
      <c r="K586" s="1">
        <f t="shared" si="148"/>
        <v>2.4110200000000002</v>
      </c>
      <c r="L586" s="1">
        <f t="shared" si="149"/>
        <v>2.0117000000000003</v>
      </c>
      <c r="M586" s="49">
        <f t="shared" si="150"/>
        <v>3.6303875466804287</v>
      </c>
      <c r="N586" s="49">
        <v>12.4267</v>
      </c>
      <c r="O586" s="1">
        <v>903</v>
      </c>
      <c r="P586" s="51">
        <v>0.05</v>
      </c>
      <c r="Q586" s="51">
        <v>8</v>
      </c>
      <c r="R586" s="51">
        <v>1</v>
      </c>
      <c r="S586" s="1">
        <v>1</v>
      </c>
      <c r="T586" s="1">
        <v>0</v>
      </c>
      <c r="U586" s="47">
        <v>0</v>
      </c>
      <c r="V586" s="47">
        <v>83</v>
      </c>
      <c r="W586" s="41">
        <v>270</v>
      </c>
      <c r="X586">
        <v>900</v>
      </c>
      <c r="Y586">
        <v>0.93799999999999994</v>
      </c>
      <c r="Z586">
        <v>2411.02</v>
      </c>
      <c r="AA586">
        <v>2011.7</v>
      </c>
      <c r="AB586">
        <v>1242.67</v>
      </c>
      <c r="AC586">
        <v>55</v>
      </c>
      <c r="AD586" s="41">
        <f t="shared" si="151"/>
        <v>0.35669550646614295</v>
      </c>
      <c r="AE586" s="41">
        <f t="shared" si="152"/>
        <v>0.4274991300889795</v>
      </c>
      <c r="AF586">
        <f t="shared" si="153"/>
        <v>1.8405628571428576</v>
      </c>
      <c r="AG586">
        <f t="shared" si="154"/>
        <v>0.15402342857142839</v>
      </c>
      <c r="AH586">
        <f t="shared" si="155"/>
        <v>12.4267</v>
      </c>
      <c r="AI586">
        <f>HLOOKUP(HLOOKUP(G586,'THP2'!$B$4:$J$8,5,FALSE),'Fuel &amp; Resister'!$B$3:$G$6,4,FALSE)</f>
        <v>1.7552248062015501</v>
      </c>
      <c r="AJ586" s="41">
        <f>HLOOKUP(HLOOKUP(G586,'THP2'!$B$4:$J$8,5,FALSE),'Fuel &amp; Resister'!$B$3:$G$6,3,FALSE)</f>
        <v>6.1345057489290813</v>
      </c>
      <c r="AO586" s="62">
        <v>0</v>
      </c>
      <c r="AP586" s="62">
        <v>0</v>
      </c>
    </row>
    <row r="587" spans="2:42" x14ac:dyDescent="0.15">
      <c r="B587" s="79" t="s">
        <v>602</v>
      </c>
      <c r="C587" s="61">
        <f>VLOOKUP(B587,[1]SYS!$F$5:$G$359,2,FALSE)</f>
        <v>234</v>
      </c>
      <c r="D587" s="1" t="s">
        <v>23</v>
      </c>
      <c r="E587" s="42" t="s">
        <v>104</v>
      </c>
      <c r="F587" s="42"/>
      <c r="G587" s="1">
        <v>5</v>
      </c>
      <c r="H587" s="1">
        <f t="shared" si="146"/>
        <v>0.3</v>
      </c>
      <c r="I587" s="1">
        <f t="shared" si="147"/>
        <v>0.9</v>
      </c>
      <c r="J587" s="1">
        <f t="shared" si="135"/>
        <v>6.2000000000000055E-2</v>
      </c>
      <c r="K587" s="1">
        <f t="shared" si="148"/>
        <v>2.4110200000000002</v>
      </c>
      <c r="L587" s="1">
        <f t="shared" si="149"/>
        <v>2.0117000000000003</v>
      </c>
      <c r="M587" s="49">
        <f t="shared" si="150"/>
        <v>3.6303875466804287</v>
      </c>
      <c r="N587" s="49">
        <v>12.4267</v>
      </c>
      <c r="O587" s="1">
        <v>403</v>
      </c>
      <c r="P587" s="51">
        <v>0.05</v>
      </c>
      <c r="Q587" s="51">
        <v>8</v>
      </c>
      <c r="R587" s="51">
        <v>1</v>
      </c>
      <c r="S587" s="1">
        <v>1</v>
      </c>
      <c r="T587" s="1">
        <v>0</v>
      </c>
      <c r="U587" s="47">
        <v>0</v>
      </c>
      <c r="V587" s="47">
        <v>84</v>
      </c>
      <c r="W587" s="41">
        <v>270</v>
      </c>
      <c r="X587">
        <v>900</v>
      </c>
      <c r="Y587">
        <v>0.93799999999999994</v>
      </c>
      <c r="Z587">
        <v>2411.02</v>
      </c>
      <c r="AA587">
        <v>2011.7</v>
      </c>
      <c r="AB587">
        <v>1242.67</v>
      </c>
      <c r="AC587">
        <v>55</v>
      </c>
      <c r="AD587" s="41">
        <f t="shared" si="151"/>
        <v>0.35669550646614295</v>
      </c>
      <c r="AE587" s="41">
        <f t="shared" si="152"/>
        <v>0.4274991300889795</v>
      </c>
      <c r="AF587">
        <f t="shared" si="153"/>
        <v>1.8405628571428576</v>
      </c>
      <c r="AG587">
        <f t="shared" si="154"/>
        <v>0.15402342857142839</v>
      </c>
      <c r="AH587">
        <f t="shared" si="155"/>
        <v>12.4267</v>
      </c>
      <c r="AI587">
        <f>HLOOKUP(HLOOKUP(G587,'THP2'!$B$4:$J$8,5,FALSE),'Fuel &amp; Resister'!$B$3:$G$6,4,FALSE)</f>
        <v>1.7552248062015501</v>
      </c>
      <c r="AJ587" s="41">
        <f>HLOOKUP(HLOOKUP(G587,'THP2'!$B$4:$J$8,5,FALSE),'Fuel &amp; Resister'!$B$3:$G$6,3,FALSE)</f>
        <v>6.1345057489290813</v>
      </c>
      <c r="AO587" s="62">
        <v>0</v>
      </c>
      <c r="AP587" s="62">
        <v>0</v>
      </c>
    </row>
    <row r="588" spans="2:42" x14ac:dyDescent="0.15">
      <c r="B588" s="79" t="s">
        <v>603</v>
      </c>
      <c r="C588" s="61">
        <f>VLOOKUP(B588,[1]SYS!$F$5:$G$359,2,FALSE)</f>
        <v>209</v>
      </c>
      <c r="D588" s="1" t="s">
        <v>23</v>
      </c>
      <c r="E588" s="65" t="s">
        <v>105</v>
      </c>
      <c r="F588" s="63" t="s">
        <v>517</v>
      </c>
      <c r="G588" s="1">
        <v>5</v>
      </c>
      <c r="H588" s="1">
        <f t="shared" si="146"/>
        <v>0.3</v>
      </c>
      <c r="I588" s="1">
        <f t="shared" si="147"/>
        <v>0.65</v>
      </c>
      <c r="J588" s="1">
        <f t="shared" si="135"/>
        <v>6.0799999999999965E-2</v>
      </c>
      <c r="K588" s="1">
        <f t="shared" si="148"/>
        <v>2.3969999999999998</v>
      </c>
      <c r="L588" s="1">
        <f t="shared" si="149"/>
        <v>2</v>
      </c>
      <c r="M588" s="49">
        <f t="shared" si="150"/>
        <v>2.6066973818078445</v>
      </c>
      <c r="N588" s="49">
        <v>6.7125000000000004</v>
      </c>
      <c r="O588" s="6">
        <v>305</v>
      </c>
      <c r="P588" s="51">
        <v>0.05</v>
      </c>
      <c r="Q588" s="51">
        <v>8</v>
      </c>
      <c r="R588" s="51">
        <v>1</v>
      </c>
      <c r="S588" s="1">
        <v>1</v>
      </c>
      <c r="T588" s="1">
        <v>0</v>
      </c>
      <c r="U588" s="47">
        <v>1</v>
      </c>
      <c r="V588" s="47">
        <v>85</v>
      </c>
      <c r="W588" s="41">
        <v>195</v>
      </c>
      <c r="X588">
        <v>650</v>
      </c>
      <c r="Y588">
        <v>0.93920000000000003</v>
      </c>
      <c r="Z588">
        <v>2397</v>
      </c>
      <c r="AA588">
        <v>2000</v>
      </c>
      <c r="AB588">
        <v>671.25</v>
      </c>
      <c r="AC588">
        <v>55</v>
      </c>
      <c r="AD588" s="41">
        <f t="shared" si="151"/>
        <v>0.35878181059657904</v>
      </c>
      <c r="AE588" s="41">
        <f t="shared" si="152"/>
        <v>0.43</v>
      </c>
      <c r="AF588">
        <f t="shared" si="153"/>
        <v>1.8298571428571428</v>
      </c>
      <c r="AG588">
        <f t="shared" si="154"/>
        <v>0.11059285714285715</v>
      </c>
      <c r="AH588">
        <f t="shared" si="155"/>
        <v>6.7125000000000004</v>
      </c>
      <c r="AI588">
        <f>HLOOKUP(HLOOKUP(G588,'THP2'!$B$4:$J$8,5,FALSE),'Fuel &amp; Resister'!$B$3:$G$6,4,FALSE)</f>
        <v>1.7552248062015501</v>
      </c>
      <c r="AJ588" s="41">
        <f>HLOOKUP(HLOOKUP(G588,'THP2'!$B$4:$J$8,5,FALSE),'Fuel &amp; Resister'!$B$3:$G$6,3,FALSE)</f>
        <v>6.1345057489290813</v>
      </c>
      <c r="AO588" s="1">
        <v>1</v>
      </c>
      <c r="AP588" s="1">
        <v>1</v>
      </c>
    </row>
    <row r="589" spans="2:42" x14ac:dyDescent="0.15">
      <c r="B589" s="79" t="s">
        <v>603</v>
      </c>
      <c r="C589" s="61">
        <f>VLOOKUP(B589,[1]SYS!$F$5:$G$359,2,FALSE)</f>
        <v>209</v>
      </c>
      <c r="D589" s="1" t="s">
        <v>23</v>
      </c>
      <c r="E589" s="65" t="s">
        <v>106</v>
      </c>
      <c r="F589" s="63" t="s">
        <v>517</v>
      </c>
      <c r="G589" s="1">
        <v>5</v>
      </c>
      <c r="H589" s="1">
        <f t="shared" si="146"/>
        <v>0.3</v>
      </c>
      <c r="I589" s="1">
        <f t="shared" si="147"/>
        <v>0.65</v>
      </c>
      <c r="J589" s="1">
        <f t="shared" si="135"/>
        <v>6.0799999999999965E-2</v>
      </c>
      <c r="K589" s="1">
        <f t="shared" si="148"/>
        <v>2.3969999999999998</v>
      </c>
      <c r="L589" s="1">
        <f t="shared" si="149"/>
        <v>2</v>
      </c>
      <c r="M589" s="49">
        <f t="shared" si="150"/>
        <v>2.6066973818078445</v>
      </c>
      <c r="N589" s="49">
        <v>6.7125000000000004</v>
      </c>
      <c r="O589" s="1">
        <v>504</v>
      </c>
      <c r="P589" s="51">
        <v>0.05</v>
      </c>
      <c r="Q589" s="51">
        <v>8</v>
      </c>
      <c r="R589" s="51">
        <v>1</v>
      </c>
      <c r="S589" s="1">
        <v>1</v>
      </c>
      <c r="T589" s="1">
        <v>0</v>
      </c>
      <c r="U589" s="47">
        <v>1</v>
      </c>
      <c r="V589" s="47">
        <v>86</v>
      </c>
      <c r="W589" s="41">
        <v>195</v>
      </c>
      <c r="X589">
        <v>650</v>
      </c>
      <c r="Y589">
        <v>0.93920000000000003</v>
      </c>
      <c r="Z589">
        <v>2397</v>
      </c>
      <c r="AA589">
        <v>2000</v>
      </c>
      <c r="AB589">
        <v>671.25</v>
      </c>
      <c r="AC589">
        <v>55</v>
      </c>
      <c r="AD589" s="41">
        <f t="shared" si="151"/>
        <v>0.35878181059657904</v>
      </c>
      <c r="AE589" s="41">
        <f t="shared" si="152"/>
        <v>0.43</v>
      </c>
      <c r="AF589">
        <f t="shared" si="153"/>
        <v>1.8298571428571428</v>
      </c>
      <c r="AG589">
        <f t="shared" si="154"/>
        <v>0.11059285714285715</v>
      </c>
      <c r="AH589">
        <f t="shared" si="155"/>
        <v>6.7125000000000004</v>
      </c>
      <c r="AI589">
        <f>HLOOKUP(HLOOKUP(G589,'THP2'!$B$4:$J$8,5,FALSE),'Fuel &amp; Resister'!$B$3:$G$6,4,FALSE)</f>
        <v>1.7552248062015501</v>
      </c>
      <c r="AJ589" s="41">
        <f>HLOOKUP(HLOOKUP(G589,'THP2'!$B$4:$J$8,5,FALSE),'Fuel &amp; Resister'!$B$3:$G$6,3,FALSE)</f>
        <v>6.1345057489290813</v>
      </c>
      <c r="AO589" s="1">
        <v>1</v>
      </c>
      <c r="AP589" s="1">
        <v>1</v>
      </c>
    </row>
    <row r="590" spans="2:42" x14ac:dyDescent="0.15">
      <c r="B590" s="79" t="s">
        <v>601</v>
      </c>
      <c r="C590" s="61">
        <f>VLOOKUP(B590,[1]SYS!$F$5:$G$359,2,FALSE)</f>
        <v>220</v>
      </c>
      <c r="D590" s="1" t="s">
        <v>23</v>
      </c>
      <c r="E590" s="65" t="s">
        <v>107</v>
      </c>
      <c r="F590" s="42" t="s">
        <v>462</v>
      </c>
      <c r="G590" s="1">
        <v>5</v>
      </c>
      <c r="H590" s="1">
        <f t="shared" si="146"/>
        <v>0.3</v>
      </c>
      <c r="I590" s="1">
        <f t="shared" si="147"/>
        <v>0.9</v>
      </c>
      <c r="J590" s="1">
        <f t="shared" si="135"/>
        <v>6.2000000000000055E-2</v>
      </c>
      <c r="K590" s="1">
        <f t="shared" si="148"/>
        <v>2.4110200000000002</v>
      </c>
      <c r="L590" s="1">
        <f t="shared" si="149"/>
        <v>2.0117000000000003</v>
      </c>
      <c r="M590" s="49">
        <f t="shared" si="150"/>
        <v>3.6303875466804287</v>
      </c>
      <c r="N590" s="49">
        <v>12.4267</v>
      </c>
      <c r="O590" s="1">
        <v>403</v>
      </c>
      <c r="P590" s="51">
        <v>0.05</v>
      </c>
      <c r="Q590" s="51">
        <v>8</v>
      </c>
      <c r="R590" s="51">
        <v>1</v>
      </c>
      <c r="S590" s="1">
        <v>1</v>
      </c>
      <c r="T590" s="1">
        <v>0</v>
      </c>
      <c r="U590" s="47">
        <v>1</v>
      </c>
      <c r="V590" s="47">
        <v>87</v>
      </c>
      <c r="W590" s="41">
        <v>270</v>
      </c>
      <c r="X590">
        <v>900</v>
      </c>
      <c r="Y590">
        <v>0.93799999999999994</v>
      </c>
      <c r="Z590">
        <v>2411.02</v>
      </c>
      <c r="AA590">
        <v>2011.7</v>
      </c>
      <c r="AB590">
        <v>1242.67</v>
      </c>
      <c r="AC590">
        <v>55</v>
      </c>
      <c r="AD590" s="41">
        <f t="shared" si="151"/>
        <v>0.35669550646614295</v>
      </c>
      <c r="AE590" s="41">
        <f t="shared" si="152"/>
        <v>0.4274991300889795</v>
      </c>
      <c r="AF590">
        <f t="shared" si="153"/>
        <v>1.8405628571428576</v>
      </c>
      <c r="AG590">
        <f t="shared" si="154"/>
        <v>0.15402342857142839</v>
      </c>
      <c r="AH590">
        <f t="shared" si="155"/>
        <v>12.4267</v>
      </c>
      <c r="AI590">
        <f>HLOOKUP(HLOOKUP(G590,'THP2'!$B$4:$J$8,5,FALSE),'Fuel &amp; Resister'!$B$3:$G$6,4,FALSE)</f>
        <v>1.7552248062015501</v>
      </c>
      <c r="AJ590" s="41">
        <f>HLOOKUP(HLOOKUP(G590,'THP2'!$B$4:$J$8,5,FALSE),'Fuel &amp; Resister'!$B$3:$G$6,3,FALSE)</f>
        <v>6.1345057489290813</v>
      </c>
      <c r="AO590" s="1">
        <v>1</v>
      </c>
      <c r="AP590" s="1">
        <v>1</v>
      </c>
    </row>
    <row r="591" spans="2:42" x14ac:dyDescent="0.15">
      <c r="B591" s="79" t="s">
        <v>601</v>
      </c>
      <c r="C591" s="61">
        <f>VLOOKUP(B591,[1]SYS!$F$5:$G$359,2,FALSE)</f>
        <v>220</v>
      </c>
      <c r="D591" s="1" t="s">
        <v>23</v>
      </c>
      <c r="E591" s="65" t="s">
        <v>108</v>
      </c>
      <c r="F591" s="42" t="s">
        <v>462</v>
      </c>
      <c r="G591" s="1">
        <v>5</v>
      </c>
      <c r="H591" s="1">
        <f t="shared" si="146"/>
        <v>0.3</v>
      </c>
      <c r="I591" s="1">
        <f t="shared" si="147"/>
        <v>0.9</v>
      </c>
      <c r="J591" s="1">
        <f t="shared" si="135"/>
        <v>6.2000000000000055E-2</v>
      </c>
      <c r="K591" s="1">
        <f t="shared" si="148"/>
        <v>2.4110200000000002</v>
      </c>
      <c r="L591" s="1">
        <f t="shared" si="149"/>
        <v>2.0117000000000003</v>
      </c>
      <c r="M591" s="49">
        <f t="shared" si="150"/>
        <v>3.6303875466804287</v>
      </c>
      <c r="N591" s="49">
        <v>12.4267</v>
      </c>
      <c r="O591" s="1">
        <v>403</v>
      </c>
      <c r="P591" s="51">
        <v>0.05</v>
      </c>
      <c r="Q591" s="51">
        <v>8</v>
      </c>
      <c r="R591" s="51">
        <v>1</v>
      </c>
      <c r="S591" s="1">
        <v>1</v>
      </c>
      <c r="T591" s="1">
        <v>0</v>
      </c>
      <c r="U591" s="47">
        <v>1</v>
      </c>
      <c r="V591" s="47">
        <v>88</v>
      </c>
      <c r="W591" s="41">
        <v>270</v>
      </c>
      <c r="X591">
        <v>900</v>
      </c>
      <c r="Y591">
        <v>0.93799999999999994</v>
      </c>
      <c r="Z591">
        <v>2411.02</v>
      </c>
      <c r="AA591">
        <v>2011.7</v>
      </c>
      <c r="AB591">
        <v>1242.67</v>
      </c>
      <c r="AC591">
        <v>55</v>
      </c>
      <c r="AD591" s="41">
        <f t="shared" si="151"/>
        <v>0.35669550646614295</v>
      </c>
      <c r="AE591" s="41">
        <f t="shared" si="152"/>
        <v>0.4274991300889795</v>
      </c>
      <c r="AF591">
        <f t="shared" si="153"/>
        <v>1.8405628571428576</v>
      </c>
      <c r="AG591">
        <f t="shared" si="154"/>
        <v>0.15402342857142839</v>
      </c>
      <c r="AH591">
        <f t="shared" si="155"/>
        <v>12.4267</v>
      </c>
      <c r="AI591">
        <f>HLOOKUP(HLOOKUP(G591,'THP2'!$B$4:$J$8,5,FALSE),'Fuel &amp; Resister'!$B$3:$G$6,4,FALSE)</f>
        <v>1.7552248062015501</v>
      </c>
      <c r="AJ591" s="41">
        <f>HLOOKUP(HLOOKUP(G591,'THP2'!$B$4:$J$8,5,FALSE),'Fuel &amp; Resister'!$B$3:$G$6,3,FALSE)</f>
        <v>6.1345057489290813</v>
      </c>
      <c r="AO591" s="1">
        <v>1</v>
      </c>
      <c r="AP591" s="1">
        <v>1</v>
      </c>
    </row>
    <row r="592" spans="2:42" x14ac:dyDescent="0.15">
      <c r="B592" s="79" t="s">
        <v>603</v>
      </c>
      <c r="C592" s="61">
        <f>VLOOKUP(B592,[1]SYS!$F$5:$G$359,2,FALSE)</f>
        <v>209</v>
      </c>
      <c r="D592" s="1" t="s">
        <v>23</v>
      </c>
      <c r="E592" s="65" t="s">
        <v>109</v>
      </c>
      <c r="F592" s="63" t="s">
        <v>517</v>
      </c>
      <c r="G592" s="1">
        <v>5</v>
      </c>
      <c r="H592" s="1">
        <f t="shared" si="146"/>
        <v>0.3007518796992481</v>
      </c>
      <c r="I592" s="1">
        <f t="shared" si="147"/>
        <v>0.66500000000000004</v>
      </c>
      <c r="J592" s="1">
        <f t="shared" si="135"/>
        <v>6.0000000000000053E-2</v>
      </c>
      <c r="K592" s="1">
        <f t="shared" si="148"/>
        <v>2.5767800000000003</v>
      </c>
      <c r="L592" s="1">
        <f t="shared" si="149"/>
        <v>2.15</v>
      </c>
      <c r="M592" s="49">
        <f t="shared" si="150"/>
        <v>2.8668658320305882</v>
      </c>
      <c r="N592" s="49">
        <v>6.8827999999999996</v>
      </c>
      <c r="O592" s="1">
        <v>504</v>
      </c>
      <c r="P592" s="51">
        <v>0.05</v>
      </c>
      <c r="Q592" s="51">
        <v>8</v>
      </c>
      <c r="R592" s="51">
        <v>1</v>
      </c>
      <c r="S592" s="1">
        <v>1</v>
      </c>
      <c r="T592" s="1">
        <v>0</v>
      </c>
      <c r="U592" s="47">
        <v>1</v>
      </c>
      <c r="V592" s="47">
        <v>89</v>
      </c>
      <c r="W592" s="41">
        <v>200</v>
      </c>
      <c r="X592">
        <v>665</v>
      </c>
      <c r="Y592">
        <v>0.94</v>
      </c>
      <c r="Z592">
        <v>2576.7800000000002</v>
      </c>
      <c r="AA592">
        <v>2150</v>
      </c>
      <c r="AB592">
        <v>688.28</v>
      </c>
      <c r="AC592">
        <v>55</v>
      </c>
      <c r="AD592" s="41">
        <f t="shared" si="151"/>
        <v>0.33374987387359417</v>
      </c>
      <c r="AE592" s="41">
        <f t="shared" si="152"/>
        <v>0.4</v>
      </c>
      <c r="AF592">
        <f t="shared" si="153"/>
        <v>1.9664387096774192</v>
      </c>
      <c r="AG592">
        <f t="shared" si="154"/>
        <v>0.1220682580645162</v>
      </c>
      <c r="AH592">
        <f t="shared" si="155"/>
        <v>6.8827999999999996</v>
      </c>
      <c r="AI592">
        <f>HLOOKUP(HLOOKUP(G592,'THP2'!$B$4:$J$8,5,FALSE),'Fuel &amp; Resister'!$B$3:$G$6,4,FALSE)</f>
        <v>1.7552248062015501</v>
      </c>
      <c r="AJ592" s="41">
        <f>HLOOKUP(HLOOKUP(G592,'THP2'!$B$4:$J$8,5,FALSE),'Fuel &amp; Resister'!$B$3:$G$6,3,FALSE)</f>
        <v>6.1345057489290813</v>
      </c>
      <c r="AO592" s="1">
        <v>1</v>
      </c>
      <c r="AP592" s="1">
        <v>1</v>
      </c>
    </row>
    <row r="593" spans="2:42" x14ac:dyDescent="0.15">
      <c r="B593" s="79" t="s">
        <v>603</v>
      </c>
      <c r="C593" s="61">
        <f>VLOOKUP(B593,[1]SYS!$F$5:$G$359,2,FALSE)</f>
        <v>209</v>
      </c>
      <c r="D593" s="1" t="s">
        <v>23</v>
      </c>
      <c r="E593" s="65" t="s">
        <v>110</v>
      </c>
      <c r="F593" s="63" t="s">
        <v>517</v>
      </c>
      <c r="G593" s="1">
        <v>5</v>
      </c>
      <c r="H593" s="1">
        <f t="shared" si="146"/>
        <v>0.3007518796992481</v>
      </c>
      <c r="I593" s="1">
        <f t="shared" si="147"/>
        <v>0.66500000000000004</v>
      </c>
      <c r="J593" s="1">
        <f t="shared" si="135"/>
        <v>5.1400000000000001E-2</v>
      </c>
      <c r="K593" s="1">
        <f t="shared" si="148"/>
        <v>2.6003499999999997</v>
      </c>
      <c r="L593" s="1">
        <f t="shared" si="149"/>
        <v>2.16967</v>
      </c>
      <c r="M593" s="49">
        <f t="shared" si="150"/>
        <v>2.8930943208287476</v>
      </c>
      <c r="N593" s="49">
        <v>6.8827999999999996</v>
      </c>
      <c r="O593" s="6">
        <v>305</v>
      </c>
      <c r="P593" s="51">
        <v>0.05</v>
      </c>
      <c r="Q593" s="51">
        <v>8</v>
      </c>
      <c r="R593" s="51">
        <v>1</v>
      </c>
      <c r="S593" s="1">
        <v>1</v>
      </c>
      <c r="T593" s="1">
        <v>0</v>
      </c>
      <c r="U593" s="47">
        <v>1</v>
      </c>
      <c r="V593" s="47">
        <v>90</v>
      </c>
      <c r="W593" s="41">
        <v>200</v>
      </c>
      <c r="X593">
        <v>665</v>
      </c>
      <c r="Y593">
        <v>0.9486</v>
      </c>
      <c r="Z593">
        <v>2600.35</v>
      </c>
      <c r="AA593">
        <v>2169.67</v>
      </c>
      <c r="AB593">
        <v>688.28</v>
      </c>
      <c r="AC593">
        <v>55</v>
      </c>
      <c r="AD593" s="41">
        <f t="shared" si="151"/>
        <v>0.33072471013517413</v>
      </c>
      <c r="AE593" s="41">
        <f t="shared" si="152"/>
        <v>0.39637364207460118</v>
      </c>
      <c r="AF593">
        <f t="shared" si="153"/>
        <v>1.9844312903225809</v>
      </c>
      <c r="AG593">
        <f t="shared" si="154"/>
        <v>0.12318374193548369</v>
      </c>
      <c r="AH593">
        <f t="shared" si="155"/>
        <v>6.8827999999999996</v>
      </c>
      <c r="AI593">
        <f>HLOOKUP(HLOOKUP(G593,'THP2'!$B$4:$J$8,5,FALSE),'Fuel &amp; Resister'!$B$3:$G$6,4,FALSE)</f>
        <v>1.7552248062015501</v>
      </c>
      <c r="AJ593" s="41">
        <f>HLOOKUP(HLOOKUP(G593,'THP2'!$B$4:$J$8,5,FALSE),'Fuel &amp; Resister'!$B$3:$G$6,3,FALSE)</f>
        <v>6.1345057489290813</v>
      </c>
      <c r="AO593" s="1">
        <v>1</v>
      </c>
      <c r="AP593" s="1">
        <v>1</v>
      </c>
    </row>
    <row r="594" spans="2:42" x14ac:dyDescent="0.15">
      <c r="B594" s="79" t="s">
        <v>604</v>
      </c>
      <c r="C594" s="61">
        <f>VLOOKUP(B594,[1]SYS!$F$5:$G$359,2,FALSE)</f>
        <v>226</v>
      </c>
      <c r="D594" s="1" t="s">
        <v>23</v>
      </c>
      <c r="E594" s="42" t="s">
        <v>111</v>
      </c>
      <c r="F594" s="63" t="s">
        <v>518</v>
      </c>
      <c r="G594" s="1">
        <v>5</v>
      </c>
      <c r="H594" s="1">
        <f t="shared" si="146"/>
        <v>0.3007518796992481</v>
      </c>
      <c r="I594" s="1">
        <f t="shared" si="147"/>
        <v>0.13300000000000001</v>
      </c>
      <c r="J594" s="1">
        <f t="shared" si="135"/>
        <v>6.0000000000000053E-2</v>
      </c>
      <c r="K594" s="1">
        <f t="shared" si="148"/>
        <v>2.6328</v>
      </c>
      <c r="L594" s="1">
        <f t="shared" si="149"/>
        <v>2.1967399999999997</v>
      </c>
      <c r="M594" s="49">
        <f t="shared" si="150"/>
        <v>0.585838032358593</v>
      </c>
      <c r="N594" s="49">
        <v>1.0640000000000001</v>
      </c>
      <c r="O594" s="1">
        <v>903</v>
      </c>
      <c r="P594" s="51">
        <v>0</v>
      </c>
      <c r="Q594" s="51">
        <v>8</v>
      </c>
      <c r="R594" s="51">
        <v>1</v>
      </c>
      <c r="S594" s="1">
        <v>1</v>
      </c>
      <c r="T594" s="1">
        <v>0</v>
      </c>
      <c r="U594" s="47">
        <v>0</v>
      </c>
      <c r="V594" s="47">
        <v>91</v>
      </c>
      <c r="W594" s="41">
        <v>40</v>
      </c>
      <c r="X594">
        <v>133</v>
      </c>
      <c r="Y594">
        <v>0.94</v>
      </c>
      <c r="Z594">
        <v>2632.8</v>
      </c>
      <c r="AA594">
        <v>2196.7399999999998</v>
      </c>
      <c r="AB594">
        <v>106.4</v>
      </c>
      <c r="AC594">
        <v>55</v>
      </c>
      <c r="AD594" s="41">
        <f t="shared" si="151"/>
        <v>0.32664843512610148</v>
      </c>
      <c r="AE594" s="41">
        <f t="shared" si="152"/>
        <v>0.39148920673361437</v>
      </c>
      <c r="AF594">
        <f t="shared" si="153"/>
        <v>2.0091873118279566</v>
      </c>
      <c r="AG594">
        <f t="shared" si="154"/>
        <v>2.494450752688173E-2</v>
      </c>
      <c r="AH594">
        <f t="shared" si="155"/>
        <v>1.0640000000000001</v>
      </c>
      <c r="AI594">
        <f>HLOOKUP(HLOOKUP(G594,'THP2'!$B$4:$J$8,5,FALSE),'Fuel &amp; Resister'!$B$3:$G$6,4,FALSE)</f>
        <v>1.7552248062015501</v>
      </c>
      <c r="AJ594" s="41">
        <f>HLOOKUP(HLOOKUP(G594,'THP2'!$B$4:$J$8,5,FALSE),'Fuel &amp; Resister'!$B$3:$G$6,3,FALSE)</f>
        <v>6.1345057489290813</v>
      </c>
      <c r="AO594" s="62">
        <v>0</v>
      </c>
      <c r="AP594" s="62">
        <v>0</v>
      </c>
    </row>
    <row r="595" spans="2:42" x14ac:dyDescent="0.15">
      <c r="B595" s="79" t="s">
        <v>602</v>
      </c>
      <c r="C595" s="61">
        <f>VLOOKUP(B595,[1]SYS!$F$5:$G$359,2,FALSE)</f>
        <v>234</v>
      </c>
      <c r="D595" s="1" t="s">
        <v>23</v>
      </c>
      <c r="E595" s="65" t="s">
        <v>112</v>
      </c>
      <c r="F595" s="42"/>
      <c r="G595" s="1">
        <v>5</v>
      </c>
      <c r="H595" s="1">
        <f t="shared" si="146"/>
        <v>0.30337078651685395</v>
      </c>
      <c r="I595" s="1">
        <f t="shared" si="147"/>
        <v>8.8999999999999996E-2</v>
      </c>
      <c r="J595" s="1">
        <f t="shared" si="135"/>
        <v>0</v>
      </c>
      <c r="K595" s="1">
        <f t="shared" si="148"/>
        <v>2.9647299999999999</v>
      </c>
      <c r="L595" s="1">
        <f t="shared" si="149"/>
        <v>2.4737</v>
      </c>
      <c r="M595" s="49">
        <f t="shared" si="150"/>
        <v>0.44145282376203659</v>
      </c>
      <c r="N595" s="49">
        <v>0.71200000000000008</v>
      </c>
      <c r="O595" s="1">
        <v>1202</v>
      </c>
      <c r="P595" s="51">
        <v>0</v>
      </c>
      <c r="Q595" s="51">
        <v>8</v>
      </c>
      <c r="R595" s="51">
        <v>1</v>
      </c>
      <c r="S595" s="1">
        <v>1</v>
      </c>
      <c r="T595" s="1">
        <v>0</v>
      </c>
      <c r="U595" s="47">
        <v>1</v>
      </c>
      <c r="V595" s="47">
        <v>92</v>
      </c>
      <c r="W595" s="41">
        <v>27</v>
      </c>
      <c r="X595">
        <v>89</v>
      </c>
      <c r="Y595">
        <v>1</v>
      </c>
      <c r="Z595">
        <v>2964.73</v>
      </c>
      <c r="AA595">
        <v>2473.6999999999998</v>
      </c>
      <c r="AB595">
        <v>71.2</v>
      </c>
      <c r="AC595">
        <v>55</v>
      </c>
      <c r="AD595" s="41">
        <f t="shared" si="151"/>
        <v>0.29007700532594877</v>
      </c>
      <c r="AE595" s="41">
        <f t="shared" si="152"/>
        <v>0.34765735537858272</v>
      </c>
      <c r="AF595">
        <f t="shared" si="153"/>
        <v>2.2598643548387098</v>
      </c>
      <c r="AG595">
        <f t="shared" si="154"/>
        <v>1.9031372419354823E-2</v>
      </c>
      <c r="AH595">
        <f t="shared" si="155"/>
        <v>0.71200000000000008</v>
      </c>
      <c r="AI595">
        <f>HLOOKUP(HLOOKUP(G595,'THP2'!$B$4:$J$8,5,FALSE),'Fuel &amp; Resister'!$B$3:$G$6,4,FALSE)</f>
        <v>1.7552248062015501</v>
      </c>
      <c r="AJ595" s="41">
        <f>HLOOKUP(HLOOKUP(G595,'THP2'!$B$4:$J$8,5,FALSE),'Fuel &amp; Resister'!$B$3:$G$6,3,FALSE)</f>
        <v>6.1345057489290813</v>
      </c>
      <c r="AO595" s="1">
        <v>1</v>
      </c>
      <c r="AP595" s="1">
        <v>1</v>
      </c>
    </row>
    <row r="596" spans="2:42" x14ac:dyDescent="0.15">
      <c r="B596" s="79" t="s">
        <v>605</v>
      </c>
      <c r="C596" s="61">
        <f>VLOOKUP(B596,[1]SYS!$F$5:$G$359,2,FALSE)</f>
        <v>266</v>
      </c>
      <c r="D596" s="1" t="s">
        <v>23</v>
      </c>
      <c r="E596" s="65" t="s">
        <v>113</v>
      </c>
      <c r="F596" s="63" t="s">
        <v>444</v>
      </c>
      <c r="G596" s="1">
        <v>5</v>
      </c>
      <c r="H596" s="1">
        <f t="shared" si="146"/>
        <v>0.3</v>
      </c>
      <c r="I596" s="1">
        <f t="shared" si="147"/>
        <v>0.5</v>
      </c>
      <c r="J596" s="1">
        <f t="shared" si="135"/>
        <v>6.2000000000000055E-2</v>
      </c>
      <c r="K596" s="1">
        <f t="shared" si="148"/>
        <v>2.3969999999999998</v>
      </c>
      <c r="L596" s="1">
        <f t="shared" si="149"/>
        <v>2</v>
      </c>
      <c r="M596" s="49">
        <f t="shared" si="150"/>
        <v>2.0051518321598798</v>
      </c>
      <c r="N596" s="49">
        <v>5.01</v>
      </c>
      <c r="O596" s="1">
        <v>903</v>
      </c>
      <c r="P596" s="51">
        <v>0.05</v>
      </c>
      <c r="Q596" s="51">
        <v>8</v>
      </c>
      <c r="R596" s="51">
        <v>1</v>
      </c>
      <c r="S596" s="1">
        <v>1</v>
      </c>
      <c r="T596" s="1">
        <v>0</v>
      </c>
      <c r="U596" s="47">
        <v>1</v>
      </c>
      <c r="V596" s="47">
        <v>93</v>
      </c>
      <c r="W596" s="41">
        <v>150</v>
      </c>
      <c r="X596">
        <v>500</v>
      </c>
      <c r="Y596">
        <v>0.93799999999999994</v>
      </c>
      <c r="Z596">
        <v>2397</v>
      </c>
      <c r="AA596">
        <v>2000</v>
      </c>
      <c r="AB596">
        <v>501</v>
      </c>
      <c r="AC596">
        <v>55</v>
      </c>
      <c r="AD596" s="41">
        <f t="shared" si="151"/>
        <v>0.35878181059657904</v>
      </c>
      <c r="AE596" s="41">
        <f t="shared" si="152"/>
        <v>0.43</v>
      </c>
      <c r="AF596">
        <f t="shared" si="153"/>
        <v>1.8298571428571428</v>
      </c>
      <c r="AG596">
        <f t="shared" si="154"/>
        <v>8.5071428571428576E-2</v>
      </c>
      <c r="AH596">
        <f t="shared" si="155"/>
        <v>5.01</v>
      </c>
      <c r="AI596">
        <f>HLOOKUP(HLOOKUP(G596,'THP2'!$B$4:$J$8,5,FALSE),'Fuel &amp; Resister'!$B$3:$G$6,4,FALSE)</f>
        <v>1.7552248062015501</v>
      </c>
      <c r="AJ596" s="41">
        <f>HLOOKUP(HLOOKUP(G596,'THP2'!$B$4:$J$8,5,FALSE),'Fuel &amp; Resister'!$B$3:$G$6,3,FALSE)</f>
        <v>6.1345057489290813</v>
      </c>
      <c r="AO596" s="1">
        <v>1</v>
      </c>
      <c r="AP596" s="1">
        <v>1</v>
      </c>
    </row>
    <row r="597" spans="2:42" x14ac:dyDescent="0.15">
      <c r="B597" s="79" t="s">
        <v>606</v>
      </c>
      <c r="C597" s="61">
        <f>VLOOKUP(B597,[1]SYS!$F$5:$G$359,2,FALSE)</f>
        <v>260</v>
      </c>
      <c r="D597" s="1" t="s">
        <v>23</v>
      </c>
      <c r="E597" s="42" t="s">
        <v>114</v>
      </c>
      <c r="F597" s="64" t="s">
        <v>439</v>
      </c>
      <c r="G597" s="1">
        <v>5</v>
      </c>
      <c r="H597" s="1">
        <f t="shared" si="146"/>
        <v>0.25714285714285712</v>
      </c>
      <c r="I597" s="1">
        <f t="shared" si="147"/>
        <v>0.7</v>
      </c>
      <c r="J597" s="1">
        <f t="shared" si="135"/>
        <v>5.600000000000005E-2</v>
      </c>
      <c r="K597" s="1">
        <f t="shared" si="148"/>
        <v>2.6216300000000001</v>
      </c>
      <c r="L597" s="1">
        <f t="shared" si="149"/>
        <v>2.1218900000000001</v>
      </c>
      <c r="M597" s="49">
        <f t="shared" si="150"/>
        <v>2.9782981347992092</v>
      </c>
      <c r="N597" s="49">
        <v>7.28</v>
      </c>
      <c r="O597" s="1">
        <v>601</v>
      </c>
      <c r="P597" s="51">
        <v>0.05</v>
      </c>
      <c r="Q597" s="51">
        <v>8</v>
      </c>
      <c r="R597" s="51">
        <v>1</v>
      </c>
      <c r="S597" s="1">
        <v>1</v>
      </c>
      <c r="T597" s="1">
        <v>0</v>
      </c>
      <c r="U597" s="47">
        <v>0</v>
      </c>
      <c r="V597" s="47">
        <v>94</v>
      </c>
      <c r="W597" s="41">
        <v>180</v>
      </c>
      <c r="X597">
        <v>700</v>
      </c>
      <c r="Y597">
        <v>0.94399999999999995</v>
      </c>
      <c r="Z597">
        <v>2621.63</v>
      </c>
      <c r="AA597">
        <v>2121.89</v>
      </c>
      <c r="AB597">
        <v>728</v>
      </c>
      <c r="AC597">
        <v>55</v>
      </c>
      <c r="AD597" s="41">
        <f t="shared" si="151"/>
        <v>0.32804018873754115</v>
      </c>
      <c r="AE597" s="41">
        <f t="shared" si="152"/>
        <v>0.40529904943234568</v>
      </c>
      <c r="AF597">
        <f t="shared" si="153"/>
        <v>1.9489030769230771</v>
      </c>
      <c r="AG597">
        <f t="shared" si="154"/>
        <v>0.12109084615384608</v>
      </c>
      <c r="AH597">
        <f t="shared" si="155"/>
        <v>7.28</v>
      </c>
      <c r="AI597">
        <f>HLOOKUP(HLOOKUP(G597,'THP2'!$B$4:$J$8,5,FALSE),'Fuel &amp; Resister'!$B$3:$G$6,4,FALSE)</f>
        <v>1.7552248062015501</v>
      </c>
      <c r="AJ597" s="41">
        <f>HLOOKUP(HLOOKUP(G597,'THP2'!$B$4:$J$8,5,FALSE),'Fuel &amp; Resister'!$B$3:$G$6,3,FALSE)</f>
        <v>6.1345057489290813</v>
      </c>
      <c r="AO597" s="62">
        <v>0</v>
      </c>
      <c r="AP597" s="62">
        <v>0</v>
      </c>
    </row>
    <row r="598" spans="2:42" x14ac:dyDescent="0.15">
      <c r="B598" s="79" t="s">
        <v>606</v>
      </c>
      <c r="C598" s="61">
        <f>VLOOKUP(B598,[1]SYS!$F$5:$G$359,2,FALSE)</f>
        <v>260</v>
      </c>
      <c r="D598" s="1" t="s">
        <v>23</v>
      </c>
      <c r="E598" s="42" t="s">
        <v>115</v>
      </c>
      <c r="F598" s="63" t="s">
        <v>438</v>
      </c>
      <c r="G598" s="1">
        <v>5</v>
      </c>
      <c r="H598" s="1">
        <f t="shared" si="146"/>
        <v>0.3</v>
      </c>
      <c r="I598" s="1">
        <f t="shared" si="147"/>
        <v>1.05</v>
      </c>
      <c r="J598" s="1">
        <f t="shared" si="135"/>
        <v>5.3899999999999948E-2</v>
      </c>
      <c r="K598" s="1">
        <f t="shared" si="148"/>
        <v>2.5963699999999998</v>
      </c>
      <c r="L598" s="1">
        <f t="shared" si="149"/>
        <v>2.1663399999999999</v>
      </c>
      <c r="M598" s="49">
        <f t="shared" si="150"/>
        <v>4.5610326510852959</v>
      </c>
      <c r="N598" s="49">
        <v>16.2867</v>
      </c>
      <c r="O598" s="1">
        <v>403</v>
      </c>
      <c r="P598" s="51">
        <v>0.05</v>
      </c>
      <c r="Q598" s="51">
        <v>8</v>
      </c>
      <c r="R598" s="51">
        <v>1</v>
      </c>
      <c r="S598" s="1">
        <v>1</v>
      </c>
      <c r="T598" s="1">
        <v>0</v>
      </c>
      <c r="U598" s="47">
        <v>0</v>
      </c>
      <c r="V598" s="47">
        <v>95</v>
      </c>
      <c r="W598" s="41">
        <v>315</v>
      </c>
      <c r="X598">
        <v>1050</v>
      </c>
      <c r="Y598">
        <v>0.94610000000000005</v>
      </c>
      <c r="Z598">
        <v>2596.37</v>
      </c>
      <c r="AA598">
        <v>2166.34</v>
      </c>
      <c r="AB598">
        <v>1628.67</v>
      </c>
      <c r="AC598">
        <v>55</v>
      </c>
      <c r="AD598" s="41">
        <f t="shared" si="151"/>
        <v>0.33123168115484308</v>
      </c>
      <c r="AE598" s="41">
        <f t="shared" si="152"/>
        <v>0.39698292973402144</v>
      </c>
      <c r="AF598">
        <f t="shared" si="153"/>
        <v>1.9820414285714287</v>
      </c>
      <c r="AG598">
        <f t="shared" si="154"/>
        <v>0.19351349999999976</v>
      </c>
      <c r="AH598">
        <f t="shared" si="155"/>
        <v>16.2867</v>
      </c>
      <c r="AI598">
        <f>HLOOKUP(HLOOKUP(G598,'THP2'!$B$4:$J$8,5,FALSE),'Fuel &amp; Resister'!$B$3:$G$6,4,FALSE)</f>
        <v>1.7552248062015501</v>
      </c>
      <c r="AJ598" s="41">
        <f>HLOOKUP(HLOOKUP(G598,'THP2'!$B$4:$J$8,5,FALSE),'Fuel &amp; Resister'!$B$3:$G$6,3,FALSE)</f>
        <v>6.1345057489290813</v>
      </c>
      <c r="AO598" s="62">
        <v>0</v>
      </c>
      <c r="AP598" s="62">
        <v>0</v>
      </c>
    </row>
    <row r="599" spans="2:42" x14ac:dyDescent="0.15">
      <c r="B599" s="79" t="s">
        <v>606</v>
      </c>
      <c r="C599" s="61">
        <f>VLOOKUP(B599,[1]SYS!$F$5:$G$359,2,FALSE)</f>
        <v>260</v>
      </c>
      <c r="D599" s="1" t="s">
        <v>23</v>
      </c>
      <c r="E599" s="42" t="s">
        <v>116</v>
      </c>
      <c r="F599" s="63" t="s">
        <v>438</v>
      </c>
      <c r="G599" s="1">
        <v>5</v>
      </c>
      <c r="H599" s="1">
        <f t="shared" si="146"/>
        <v>0.3</v>
      </c>
      <c r="I599" s="1">
        <f t="shared" si="147"/>
        <v>1.05</v>
      </c>
      <c r="J599" s="1">
        <f t="shared" si="135"/>
        <v>5.2100000000000035E-2</v>
      </c>
      <c r="K599" s="1">
        <f t="shared" si="148"/>
        <v>2.5963699999999998</v>
      </c>
      <c r="L599" s="1">
        <f t="shared" si="149"/>
        <v>2.1663399999999999</v>
      </c>
      <c r="M599" s="49">
        <f t="shared" si="150"/>
        <v>4.5610326510852959</v>
      </c>
      <c r="N599" s="49">
        <v>16.2867</v>
      </c>
      <c r="O599" s="1">
        <v>1004</v>
      </c>
      <c r="P599" s="51">
        <v>0.05</v>
      </c>
      <c r="Q599" s="51">
        <v>8</v>
      </c>
      <c r="R599" s="51">
        <v>1</v>
      </c>
      <c r="S599" s="1">
        <v>1</v>
      </c>
      <c r="T599" s="1">
        <v>0</v>
      </c>
      <c r="U599" s="47">
        <v>0</v>
      </c>
      <c r="V599" s="47">
        <v>96</v>
      </c>
      <c r="W599" s="41">
        <v>315</v>
      </c>
      <c r="X599">
        <v>1050</v>
      </c>
      <c r="Y599">
        <v>0.94789999999999996</v>
      </c>
      <c r="Z599">
        <v>2596.37</v>
      </c>
      <c r="AA599">
        <v>2166.34</v>
      </c>
      <c r="AB599">
        <v>1628.67</v>
      </c>
      <c r="AC599">
        <v>55</v>
      </c>
      <c r="AD599" s="41">
        <f t="shared" si="151"/>
        <v>0.33123168115484308</v>
      </c>
      <c r="AE599" s="41">
        <f t="shared" si="152"/>
        <v>0.39698292973402144</v>
      </c>
      <c r="AF599">
        <f t="shared" si="153"/>
        <v>1.9820414285714287</v>
      </c>
      <c r="AG599">
        <f t="shared" si="154"/>
        <v>0.19351349999999976</v>
      </c>
      <c r="AH599">
        <f t="shared" si="155"/>
        <v>16.2867</v>
      </c>
      <c r="AI599">
        <f>HLOOKUP(HLOOKUP(G599,'THP2'!$B$4:$J$8,5,FALSE),'Fuel &amp; Resister'!$B$3:$G$6,4,FALSE)</f>
        <v>1.7552248062015501</v>
      </c>
      <c r="AJ599" s="41">
        <f>HLOOKUP(HLOOKUP(G599,'THP2'!$B$4:$J$8,5,FALSE),'Fuel &amp; Resister'!$B$3:$G$6,3,FALSE)</f>
        <v>6.1345057489290813</v>
      </c>
      <c r="AO599" s="62">
        <v>0</v>
      </c>
      <c r="AP599" s="62">
        <v>0</v>
      </c>
    </row>
    <row r="600" spans="2:42" x14ac:dyDescent="0.15">
      <c r="B600" s="79" t="s">
        <v>607</v>
      </c>
      <c r="C600" s="61">
        <f>VLOOKUP(B600,[1]SYS!$F$5:$G$359,2,FALSE)</f>
        <v>268</v>
      </c>
      <c r="D600" s="1" t="s">
        <v>23</v>
      </c>
      <c r="E600" s="65" t="s">
        <v>117</v>
      </c>
      <c r="F600" s="63" t="s">
        <v>525</v>
      </c>
      <c r="G600" s="1">
        <v>5</v>
      </c>
      <c r="H600" s="1">
        <f t="shared" si="146"/>
        <v>0.31428571428571428</v>
      </c>
      <c r="I600" s="1">
        <f t="shared" si="147"/>
        <v>3.5000000000000003E-2</v>
      </c>
      <c r="J600" s="1">
        <f t="shared" si="135"/>
        <v>6.3999999999999946E-2</v>
      </c>
      <c r="K600" s="1">
        <f t="shared" si="148"/>
        <v>2.6215900000000003</v>
      </c>
      <c r="L600" s="1">
        <f t="shared" si="149"/>
        <v>2.1873899999999997</v>
      </c>
      <c r="M600" s="49">
        <f t="shared" si="150"/>
        <v>0.15351171731518698</v>
      </c>
      <c r="N600" s="49">
        <v>0.28000000000000003</v>
      </c>
      <c r="O600" s="1">
        <v>903</v>
      </c>
      <c r="P600" s="51">
        <v>0</v>
      </c>
      <c r="Q600" s="51">
        <v>8</v>
      </c>
      <c r="R600" s="51">
        <v>1</v>
      </c>
      <c r="S600" s="1">
        <v>1</v>
      </c>
      <c r="T600" s="1">
        <v>0</v>
      </c>
      <c r="U600" s="47">
        <v>1</v>
      </c>
      <c r="V600" s="47">
        <v>97</v>
      </c>
      <c r="W600" s="41">
        <v>11</v>
      </c>
      <c r="X600">
        <v>35</v>
      </c>
      <c r="Y600">
        <v>0.93600000000000005</v>
      </c>
      <c r="Z600">
        <v>2621.59</v>
      </c>
      <c r="AA600">
        <v>2187.39</v>
      </c>
      <c r="AB600">
        <v>28</v>
      </c>
      <c r="AC600">
        <v>55</v>
      </c>
      <c r="AD600" s="41">
        <f t="shared" si="151"/>
        <v>0.32804519394718468</v>
      </c>
      <c r="AE600" s="41">
        <f t="shared" si="152"/>
        <v>0.39316262760641679</v>
      </c>
      <c r="AF600">
        <f t="shared" si="153"/>
        <v>1.988381666666666</v>
      </c>
      <c r="AG600">
        <f t="shared" si="154"/>
        <v>6.9652916666666795E-3</v>
      </c>
      <c r="AH600">
        <f t="shared" si="155"/>
        <v>0.28000000000000003</v>
      </c>
      <c r="AI600">
        <f>HLOOKUP(HLOOKUP(G600,'THP2'!$B$4:$J$8,5,FALSE),'Fuel &amp; Resister'!$B$3:$G$6,4,FALSE)</f>
        <v>1.7552248062015501</v>
      </c>
      <c r="AJ600" s="41">
        <f>HLOOKUP(HLOOKUP(G600,'THP2'!$B$4:$J$8,5,FALSE),'Fuel &amp; Resister'!$B$3:$G$6,3,FALSE)</f>
        <v>6.1345057489290813</v>
      </c>
      <c r="AO600" s="1">
        <v>1</v>
      </c>
      <c r="AP600" s="1">
        <v>1</v>
      </c>
    </row>
    <row r="601" spans="2:42" x14ac:dyDescent="0.15">
      <c r="B601" s="79" t="s">
        <v>605</v>
      </c>
      <c r="C601" s="61">
        <f>VLOOKUP(B601,[1]SYS!$F$5:$G$359,2,FALSE)</f>
        <v>266</v>
      </c>
      <c r="D601" s="1" t="s">
        <v>23</v>
      </c>
      <c r="E601" s="65" t="s">
        <v>118</v>
      </c>
      <c r="F601" s="63" t="s">
        <v>446</v>
      </c>
      <c r="G601" s="1">
        <v>5</v>
      </c>
      <c r="H601" s="1">
        <f t="shared" si="146"/>
        <v>0.30222222222222223</v>
      </c>
      <c r="I601" s="1">
        <f t="shared" si="147"/>
        <v>0.22500000000000001</v>
      </c>
      <c r="J601" s="1">
        <f t="shared" si="135"/>
        <v>6.3999999999999946E-2</v>
      </c>
      <c r="K601" s="1">
        <f t="shared" si="148"/>
        <v>2.6215900000000003</v>
      </c>
      <c r="L601" s="1">
        <f t="shared" si="149"/>
        <v>2.1873899999999997</v>
      </c>
      <c r="M601" s="49">
        <f t="shared" si="150"/>
        <v>0.98686103988334473</v>
      </c>
      <c r="N601" s="49">
        <v>1.8841999999999999</v>
      </c>
      <c r="O601" s="1">
        <v>504</v>
      </c>
      <c r="P601" s="51">
        <v>0</v>
      </c>
      <c r="Q601" s="51">
        <v>8</v>
      </c>
      <c r="R601" s="51">
        <v>1</v>
      </c>
      <c r="S601" s="1">
        <v>1</v>
      </c>
      <c r="T601" s="1">
        <v>0</v>
      </c>
      <c r="U601" s="47">
        <v>1</v>
      </c>
      <c r="V601" s="47">
        <v>98</v>
      </c>
      <c r="W601" s="41">
        <v>68</v>
      </c>
      <c r="X601">
        <v>225</v>
      </c>
      <c r="Y601">
        <v>0.93600000000000005</v>
      </c>
      <c r="Z601">
        <v>2621.59</v>
      </c>
      <c r="AA601">
        <v>2187.39</v>
      </c>
      <c r="AB601">
        <v>188.42</v>
      </c>
      <c r="AC601">
        <v>55</v>
      </c>
      <c r="AD601" s="41">
        <f t="shared" si="151"/>
        <v>0.32804519394718468</v>
      </c>
      <c r="AE601" s="41">
        <f t="shared" si="152"/>
        <v>0.39316262760641679</v>
      </c>
      <c r="AF601">
        <f t="shared" si="153"/>
        <v>1.9993288535031839</v>
      </c>
      <c r="AG601">
        <f t="shared" si="154"/>
        <v>4.2313757961783563E-2</v>
      </c>
      <c r="AH601">
        <f t="shared" si="155"/>
        <v>1.8841999999999999</v>
      </c>
      <c r="AI601">
        <f>HLOOKUP(HLOOKUP(G601,'THP2'!$B$4:$J$8,5,FALSE),'Fuel &amp; Resister'!$B$3:$G$6,4,FALSE)</f>
        <v>1.7552248062015501</v>
      </c>
      <c r="AJ601" s="41">
        <f>HLOOKUP(HLOOKUP(G601,'THP2'!$B$4:$J$8,5,FALSE),'Fuel &amp; Resister'!$B$3:$G$6,3,FALSE)</f>
        <v>6.1345057489290813</v>
      </c>
      <c r="AO601" s="1">
        <v>1</v>
      </c>
      <c r="AP601" s="1">
        <v>1</v>
      </c>
    </row>
    <row r="602" spans="2:42" x14ac:dyDescent="0.15">
      <c r="B602" s="79" t="s">
        <v>607</v>
      </c>
      <c r="C602" s="61">
        <f>VLOOKUP(B602,[1]SYS!$F$5:$G$359,2,FALSE)</f>
        <v>268</v>
      </c>
      <c r="D602" s="1" t="s">
        <v>23</v>
      </c>
      <c r="E602" s="65" t="s">
        <v>119</v>
      </c>
      <c r="F602" s="63" t="s">
        <v>448</v>
      </c>
      <c r="G602" s="1">
        <v>5</v>
      </c>
      <c r="H602" s="1">
        <f t="shared" si="146"/>
        <v>0.29940119760479039</v>
      </c>
      <c r="I602" s="1">
        <f t="shared" si="147"/>
        <v>0.16700000000000001</v>
      </c>
      <c r="J602" s="1">
        <f t="shared" si="135"/>
        <v>6.0000000000000053E-2</v>
      </c>
      <c r="K602" s="1">
        <f t="shared" si="148"/>
        <v>2.7124000000000001</v>
      </c>
      <c r="L602" s="1">
        <f t="shared" si="149"/>
        <v>2.2631600000000001</v>
      </c>
      <c r="M602" s="49">
        <f t="shared" si="150"/>
        <v>0.7578425632186494</v>
      </c>
      <c r="N602" s="49">
        <v>1.3359999999999999</v>
      </c>
      <c r="O602" s="1">
        <v>201</v>
      </c>
      <c r="P602" s="51">
        <v>0</v>
      </c>
      <c r="Q602" s="51">
        <v>8</v>
      </c>
      <c r="R602" s="51">
        <v>1</v>
      </c>
      <c r="S602" s="1">
        <v>1</v>
      </c>
      <c r="T602" s="1">
        <v>0</v>
      </c>
      <c r="U602" s="47">
        <v>1</v>
      </c>
      <c r="V602" s="47">
        <v>99</v>
      </c>
      <c r="W602" s="41">
        <v>50</v>
      </c>
      <c r="X602">
        <v>167</v>
      </c>
      <c r="Y602">
        <v>0.94</v>
      </c>
      <c r="Z602">
        <v>2712.4</v>
      </c>
      <c r="AA602">
        <v>2263.16</v>
      </c>
      <c r="AB602">
        <v>133.6</v>
      </c>
      <c r="AC602">
        <v>55</v>
      </c>
      <c r="AD602" s="41">
        <f t="shared" si="151"/>
        <v>0.31706238017991445</v>
      </c>
      <c r="AE602" s="41">
        <f t="shared" si="152"/>
        <v>0.37999964651195672</v>
      </c>
      <c r="AF602">
        <f t="shared" si="153"/>
        <v>2.0711770940170942</v>
      </c>
      <c r="AG602">
        <f t="shared" si="154"/>
        <v>3.2061145299145291E-2</v>
      </c>
      <c r="AH602">
        <f t="shared" si="155"/>
        <v>1.3359999999999999</v>
      </c>
      <c r="AI602">
        <f>HLOOKUP(HLOOKUP(G602,'THP2'!$B$4:$J$8,5,FALSE),'Fuel &amp; Resister'!$B$3:$G$6,4,FALSE)</f>
        <v>1.7552248062015501</v>
      </c>
      <c r="AJ602" s="41">
        <f>HLOOKUP(HLOOKUP(G602,'THP2'!$B$4:$J$8,5,FALSE),'Fuel &amp; Resister'!$B$3:$G$6,3,FALSE)</f>
        <v>6.1345057489290813</v>
      </c>
      <c r="AO602" s="1">
        <v>1</v>
      </c>
      <c r="AP602" s="1">
        <v>1</v>
      </c>
    </row>
    <row r="603" spans="2:42" x14ac:dyDescent="0.15">
      <c r="B603" s="79" t="s">
        <v>608</v>
      </c>
      <c r="C603" s="61">
        <f>VLOOKUP(B603,[1]SYS!$F$5:$G$359,2,FALSE)</f>
        <v>271</v>
      </c>
      <c r="D603" s="1" t="s">
        <v>23</v>
      </c>
      <c r="E603" s="65" t="s">
        <v>120</v>
      </c>
      <c r="F603" s="63" t="s">
        <v>520</v>
      </c>
      <c r="G603" s="1">
        <v>5</v>
      </c>
      <c r="H603" s="1">
        <f t="shared" si="146"/>
        <v>0.30158730158730157</v>
      </c>
      <c r="I603" s="1">
        <f t="shared" si="147"/>
        <v>0.189</v>
      </c>
      <c r="J603" s="1">
        <f t="shared" si="135"/>
        <v>6.2000000000000055E-2</v>
      </c>
      <c r="K603" s="1">
        <f t="shared" si="148"/>
        <v>2.7411699999999999</v>
      </c>
      <c r="L603" s="1">
        <f t="shared" si="149"/>
        <v>2.2871599999999996</v>
      </c>
      <c r="M603" s="49">
        <f t="shared" si="150"/>
        <v>0.86677347917968728</v>
      </c>
      <c r="N603" s="49">
        <v>1.5119999999999998</v>
      </c>
      <c r="O603" s="1">
        <v>1106</v>
      </c>
      <c r="P603" s="51">
        <v>0</v>
      </c>
      <c r="Q603" s="51">
        <v>8</v>
      </c>
      <c r="R603" s="51">
        <v>1</v>
      </c>
      <c r="S603" s="1">
        <v>1</v>
      </c>
      <c r="T603" s="1">
        <v>0</v>
      </c>
      <c r="U603" s="47">
        <v>1</v>
      </c>
      <c r="V603" s="47">
        <v>100</v>
      </c>
      <c r="W603" s="41">
        <v>57</v>
      </c>
      <c r="X603">
        <v>189</v>
      </c>
      <c r="Y603">
        <v>0.93799999999999994</v>
      </c>
      <c r="Z603">
        <v>2741.17</v>
      </c>
      <c r="AA603">
        <v>2287.16</v>
      </c>
      <c r="AB603">
        <v>151.19999999999999</v>
      </c>
      <c r="AC603">
        <v>55</v>
      </c>
      <c r="AD603" s="41">
        <f t="shared" si="151"/>
        <v>0.31373464615474411</v>
      </c>
      <c r="AE603" s="41">
        <f t="shared" si="152"/>
        <v>0.37601217230101963</v>
      </c>
      <c r="AF603">
        <f t="shared" si="153"/>
        <v>2.0911102272727269</v>
      </c>
      <c r="AG603">
        <f t="shared" si="154"/>
        <v>3.7053407045454553E-2</v>
      </c>
      <c r="AH603">
        <f t="shared" si="155"/>
        <v>1.5119999999999998</v>
      </c>
      <c r="AI603">
        <f>HLOOKUP(HLOOKUP(G603,'THP2'!$B$4:$J$8,5,FALSE),'Fuel &amp; Resister'!$B$3:$G$6,4,FALSE)</f>
        <v>1.7552248062015501</v>
      </c>
      <c r="AJ603" s="41">
        <f>HLOOKUP(HLOOKUP(G603,'THP2'!$B$4:$J$8,5,FALSE),'Fuel &amp; Resister'!$B$3:$G$6,3,FALSE)</f>
        <v>6.1345057489290813</v>
      </c>
      <c r="AO603" s="1">
        <v>1</v>
      </c>
      <c r="AP603" s="1">
        <v>1</v>
      </c>
    </row>
    <row r="604" spans="2:42" x14ac:dyDescent="0.15">
      <c r="B604" s="79" t="s">
        <v>608</v>
      </c>
      <c r="C604" s="61">
        <f>VLOOKUP(B604,[1]SYS!$F$5:$G$359,2,FALSE)</f>
        <v>271</v>
      </c>
      <c r="D604" s="1" t="s">
        <v>23</v>
      </c>
      <c r="E604" s="65" t="s">
        <v>121</v>
      </c>
      <c r="F604" s="63" t="s">
        <v>445</v>
      </c>
      <c r="G604" s="1">
        <v>5</v>
      </c>
      <c r="H604" s="1">
        <f t="shared" si="146"/>
        <v>0.30057803468208094</v>
      </c>
      <c r="I604" s="1">
        <f t="shared" si="147"/>
        <v>0.51900000000000002</v>
      </c>
      <c r="J604" s="1">
        <f t="shared" si="135"/>
        <v>6.2000000000000055E-2</v>
      </c>
      <c r="K604" s="1">
        <f t="shared" si="148"/>
        <v>2.7411699999999999</v>
      </c>
      <c r="L604" s="1">
        <f t="shared" si="149"/>
        <v>2.2871599999999996</v>
      </c>
      <c r="M604" s="49">
        <f t="shared" si="150"/>
        <v>2.3801874904458082</v>
      </c>
      <c r="N604" s="49">
        <v>5.2257000000000007</v>
      </c>
      <c r="O604" s="1">
        <v>1103</v>
      </c>
      <c r="P604" s="51">
        <v>0</v>
      </c>
      <c r="Q604" s="51">
        <v>8</v>
      </c>
      <c r="R604" s="51">
        <v>1</v>
      </c>
      <c r="S604" s="1">
        <v>1</v>
      </c>
      <c r="T604" s="1">
        <v>0</v>
      </c>
      <c r="U604" s="47">
        <v>1</v>
      </c>
      <c r="V604" s="47">
        <v>101</v>
      </c>
      <c r="W604" s="41">
        <v>156</v>
      </c>
      <c r="X604">
        <v>519</v>
      </c>
      <c r="Y604">
        <v>0.93799999999999994</v>
      </c>
      <c r="Z604">
        <v>2741.17</v>
      </c>
      <c r="AA604">
        <v>2287.16</v>
      </c>
      <c r="AB604">
        <v>522.57000000000005</v>
      </c>
      <c r="AC604">
        <v>55</v>
      </c>
      <c r="AD604" s="41">
        <f t="shared" si="151"/>
        <v>0.31373464615474411</v>
      </c>
      <c r="AE604" s="41">
        <f t="shared" si="152"/>
        <v>0.37601217230101963</v>
      </c>
      <c r="AF604">
        <f t="shared" si="153"/>
        <v>2.0920482644628096</v>
      </c>
      <c r="AG604">
        <f t="shared" si="154"/>
        <v>0.10126299074380166</v>
      </c>
      <c r="AH604">
        <f t="shared" si="155"/>
        <v>5.2257000000000007</v>
      </c>
      <c r="AI604">
        <f>HLOOKUP(HLOOKUP(G604,'THP2'!$B$4:$J$8,5,FALSE),'Fuel &amp; Resister'!$B$3:$G$6,4,FALSE)</f>
        <v>1.7552248062015501</v>
      </c>
      <c r="AJ604" s="41">
        <f>HLOOKUP(HLOOKUP(G604,'THP2'!$B$4:$J$8,5,FALSE),'Fuel &amp; Resister'!$B$3:$G$6,3,FALSE)</f>
        <v>6.1345057489290813</v>
      </c>
      <c r="AO604" s="1">
        <v>1</v>
      </c>
      <c r="AP604" s="1">
        <v>1</v>
      </c>
    </row>
    <row r="605" spans="2:42" x14ac:dyDescent="0.15">
      <c r="B605" s="79" t="s">
        <v>606</v>
      </c>
      <c r="C605" s="61">
        <f>VLOOKUP(B605,[1]SYS!$F$5:$G$359,2,FALSE)</f>
        <v>260</v>
      </c>
      <c r="D605" s="1" t="s">
        <v>23</v>
      </c>
      <c r="E605" s="65" t="s">
        <v>122</v>
      </c>
      <c r="F605" s="63" t="s">
        <v>519</v>
      </c>
      <c r="G605" s="1">
        <v>5</v>
      </c>
      <c r="H605" s="1">
        <f t="shared" si="146"/>
        <v>0.30158730158730157</v>
      </c>
      <c r="I605" s="1">
        <f t="shared" si="147"/>
        <v>0.126</v>
      </c>
      <c r="J605" s="1">
        <f t="shared" si="135"/>
        <v>6.2000000000000055E-2</v>
      </c>
      <c r="K605" s="1">
        <f t="shared" si="148"/>
        <v>2.7411699999999999</v>
      </c>
      <c r="L605" s="1">
        <f t="shared" si="149"/>
        <v>2.2871599999999996</v>
      </c>
      <c r="M605" s="49">
        <f t="shared" si="150"/>
        <v>0.57784898611979163</v>
      </c>
      <c r="N605" s="49">
        <v>1.008</v>
      </c>
      <c r="O605" s="1">
        <v>200</v>
      </c>
      <c r="P605" s="51">
        <v>0</v>
      </c>
      <c r="Q605" s="51">
        <v>8</v>
      </c>
      <c r="R605" s="51">
        <v>1</v>
      </c>
      <c r="S605" s="1">
        <v>1</v>
      </c>
      <c r="T605" s="1">
        <v>0</v>
      </c>
      <c r="U605" s="47">
        <v>1</v>
      </c>
      <c r="V605" s="47">
        <v>102</v>
      </c>
      <c r="W605" s="41">
        <v>38</v>
      </c>
      <c r="X605">
        <v>126</v>
      </c>
      <c r="Y605">
        <v>0.93799999999999994</v>
      </c>
      <c r="Z605">
        <v>2741.17</v>
      </c>
      <c r="AA605">
        <v>2287.16</v>
      </c>
      <c r="AB605">
        <v>100.8</v>
      </c>
      <c r="AC605">
        <v>55</v>
      </c>
      <c r="AD605" s="41">
        <f t="shared" si="151"/>
        <v>0.31373464615474411</v>
      </c>
      <c r="AE605" s="41">
        <f t="shared" si="152"/>
        <v>0.37601217230101963</v>
      </c>
      <c r="AF605">
        <f t="shared" si="153"/>
        <v>2.0911102272727269</v>
      </c>
      <c r="AG605">
        <f t="shared" si="154"/>
        <v>2.4702271363636365E-2</v>
      </c>
      <c r="AH605">
        <f t="shared" si="155"/>
        <v>1.008</v>
      </c>
      <c r="AI605">
        <f>HLOOKUP(HLOOKUP(G605,'THP2'!$B$4:$J$8,5,FALSE),'Fuel &amp; Resister'!$B$3:$G$6,4,FALSE)</f>
        <v>1.7552248062015501</v>
      </c>
      <c r="AJ605" s="41">
        <f>HLOOKUP(HLOOKUP(G605,'THP2'!$B$4:$J$8,5,FALSE),'Fuel &amp; Resister'!$B$3:$G$6,3,FALSE)</f>
        <v>6.1345057489290813</v>
      </c>
      <c r="AO605" s="1">
        <v>1</v>
      </c>
      <c r="AP605" s="1">
        <v>1</v>
      </c>
    </row>
    <row r="606" spans="2:42" x14ac:dyDescent="0.15">
      <c r="B606" s="79" t="s">
        <v>607</v>
      </c>
      <c r="C606" s="61">
        <f>VLOOKUP(B606,[1]SYS!$F$5:$G$359,2,FALSE)</f>
        <v>268</v>
      </c>
      <c r="D606" s="1" t="s">
        <v>23</v>
      </c>
      <c r="E606" s="65" t="s">
        <v>123</v>
      </c>
      <c r="F606" s="63" t="s">
        <v>524</v>
      </c>
      <c r="G606" s="1">
        <v>5</v>
      </c>
      <c r="H606" s="1">
        <f t="shared" si="146"/>
        <v>0.29411764705882354</v>
      </c>
      <c r="I606" s="1">
        <f t="shared" si="147"/>
        <v>6.8000000000000005E-2</v>
      </c>
      <c r="J606" s="1">
        <f t="shared" si="135"/>
        <v>0</v>
      </c>
      <c r="K606" s="1">
        <f t="shared" si="148"/>
        <v>2.8008500000000001</v>
      </c>
      <c r="L606" s="1">
        <f t="shared" si="149"/>
        <v>2.3369599999999999</v>
      </c>
      <c r="M606" s="49">
        <f t="shared" si="150"/>
        <v>0.31864525454653603</v>
      </c>
      <c r="N606" s="49">
        <v>0.54400000000000004</v>
      </c>
      <c r="O606" s="1">
        <v>1103</v>
      </c>
      <c r="P606" s="51">
        <v>0</v>
      </c>
      <c r="Q606" s="51">
        <v>8</v>
      </c>
      <c r="R606" s="51">
        <v>1</v>
      </c>
      <c r="S606" s="1">
        <v>1</v>
      </c>
      <c r="T606" s="1">
        <v>0</v>
      </c>
      <c r="U606" s="47">
        <v>1</v>
      </c>
      <c r="V606" s="47">
        <v>103</v>
      </c>
      <c r="W606" s="41">
        <v>20</v>
      </c>
      <c r="X606">
        <v>68</v>
      </c>
      <c r="Y606">
        <v>1</v>
      </c>
      <c r="Z606">
        <v>2800.85</v>
      </c>
      <c r="AA606">
        <v>2336.96</v>
      </c>
      <c r="AB606">
        <v>54.4</v>
      </c>
      <c r="AC606">
        <v>55</v>
      </c>
      <c r="AD606" s="41">
        <f t="shared" si="151"/>
        <v>0.30704964564328691</v>
      </c>
      <c r="AE606" s="41">
        <f t="shared" si="152"/>
        <v>0.36799945227988495</v>
      </c>
      <c r="AF606">
        <f t="shared" si="153"/>
        <v>2.1436725000000001</v>
      </c>
      <c r="AG606">
        <f t="shared" si="154"/>
        <v>1.314354999999999E-2</v>
      </c>
      <c r="AH606">
        <f t="shared" si="155"/>
        <v>0.54400000000000004</v>
      </c>
      <c r="AI606">
        <f>HLOOKUP(HLOOKUP(G606,'THP2'!$B$4:$J$8,5,FALSE),'Fuel &amp; Resister'!$B$3:$G$6,4,FALSE)</f>
        <v>1.7552248062015501</v>
      </c>
      <c r="AJ606" s="41">
        <f>HLOOKUP(HLOOKUP(G606,'THP2'!$B$4:$J$8,5,FALSE),'Fuel &amp; Resister'!$B$3:$G$6,3,FALSE)</f>
        <v>6.1345057489290813</v>
      </c>
      <c r="AO606" s="1">
        <v>1</v>
      </c>
      <c r="AP606" s="1">
        <v>1</v>
      </c>
    </row>
    <row r="607" spans="2:42" x14ac:dyDescent="0.15">
      <c r="B607" s="79" t="s">
        <v>607</v>
      </c>
      <c r="C607" s="61">
        <f>VLOOKUP(B607,[1]SYS!$F$5:$G$359,2,FALSE)</f>
        <v>268</v>
      </c>
      <c r="D607" s="1" t="s">
        <v>23</v>
      </c>
      <c r="E607" s="65" t="s">
        <v>124</v>
      </c>
      <c r="F607" s="63" t="s">
        <v>524</v>
      </c>
      <c r="G607" s="1">
        <v>5</v>
      </c>
      <c r="H607" s="1">
        <f t="shared" si="146"/>
        <v>0.3048780487804878</v>
      </c>
      <c r="I607" s="1">
        <f t="shared" si="147"/>
        <v>8.2000000000000003E-2</v>
      </c>
      <c r="J607" s="1">
        <f t="shared" si="135"/>
        <v>0</v>
      </c>
      <c r="K607" s="1">
        <f t="shared" si="148"/>
        <v>2.8008500000000001</v>
      </c>
      <c r="L607" s="1">
        <f t="shared" si="149"/>
        <v>2.3369599999999999</v>
      </c>
      <c r="M607" s="49">
        <f t="shared" si="150"/>
        <v>0.384248689306117</v>
      </c>
      <c r="N607" s="49">
        <v>0.65599999999999992</v>
      </c>
      <c r="O607" s="1">
        <v>1204</v>
      </c>
      <c r="P607" s="51">
        <v>0</v>
      </c>
      <c r="Q607" s="51">
        <v>8</v>
      </c>
      <c r="R607" s="51">
        <v>1</v>
      </c>
      <c r="S607" s="1">
        <v>1</v>
      </c>
      <c r="T607" s="1">
        <v>0</v>
      </c>
      <c r="U607" s="47">
        <v>1</v>
      </c>
      <c r="V607" s="47">
        <v>104</v>
      </c>
      <c r="W607" s="41">
        <v>25</v>
      </c>
      <c r="X607">
        <v>82</v>
      </c>
      <c r="Y607">
        <v>1</v>
      </c>
      <c r="Z607">
        <v>2800.85</v>
      </c>
      <c r="AA607">
        <v>2336.96</v>
      </c>
      <c r="AB607">
        <v>65.599999999999994</v>
      </c>
      <c r="AC607">
        <v>55</v>
      </c>
      <c r="AD607" s="41">
        <f t="shared" si="151"/>
        <v>0.30704964564328691</v>
      </c>
      <c r="AE607" s="41">
        <f t="shared" si="152"/>
        <v>0.36799945227988495</v>
      </c>
      <c r="AF607">
        <f t="shared" si="153"/>
        <v>2.1334994736842106</v>
      </c>
      <c r="AG607">
        <f t="shared" si="154"/>
        <v>1.6683763157894729E-2</v>
      </c>
      <c r="AH607">
        <f t="shared" si="155"/>
        <v>0.65599999999999992</v>
      </c>
      <c r="AI607">
        <f>HLOOKUP(HLOOKUP(G607,'THP2'!$B$4:$J$8,5,FALSE),'Fuel &amp; Resister'!$B$3:$G$6,4,FALSE)</f>
        <v>1.7552248062015501</v>
      </c>
      <c r="AJ607" s="41">
        <f>HLOOKUP(HLOOKUP(G607,'THP2'!$B$4:$J$8,5,FALSE),'Fuel &amp; Resister'!$B$3:$G$6,3,FALSE)</f>
        <v>6.1345057489290813</v>
      </c>
      <c r="AO607" s="1">
        <v>1</v>
      </c>
      <c r="AP607" s="1">
        <v>1</v>
      </c>
    </row>
    <row r="608" spans="2:42" x14ac:dyDescent="0.15">
      <c r="B608" s="79" t="s">
        <v>605</v>
      </c>
      <c r="C608" s="61">
        <f>VLOOKUP(B608,[1]SYS!$F$5:$G$359,2,FALSE)</f>
        <v>266</v>
      </c>
      <c r="D608" s="1" t="s">
        <v>23</v>
      </c>
      <c r="E608" s="65" t="s">
        <v>125</v>
      </c>
      <c r="F608" s="63" t="s">
        <v>447</v>
      </c>
      <c r="G608" s="1">
        <v>5</v>
      </c>
      <c r="H608" s="1">
        <f t="shared" si="146"/>
        <v>0.3</v>
      </c>
      <c r="I608" s="1">
        <f t="shared" si="147"/>
        <v>0.15</v>
      </c>
      <c r="J608" s="1">
        <f t="shared" si="135"/>
        <v>6.2000000000000055E-2</v>
      </c>
      <c r="K608" s="1">
        <f t="shared" si="148"/>
        <v>2.8197100000000002</v>
      </c>
      <c r="L608" s="1">
        <f t="shared" si="149"/>
        <v>2.3527</v>
      </c>
      <c r="M608" s="49">
        <f t="shared" si="150"/>
        <v>0.70762810732838244</v>
      </c>
      <c r="N608" s="49">
        <v>1.2</v>
      </c>
      <c r="O608" s="1">
        <v>403</v>
      </c>
      <c r="P608" s="51">
        <v>0.05</v>
      </c>
      <c r="Q608" s="51">
        <v>8</v>
      </c>
      <c r="R608" s="51">
        <v>1</v>
      </c>
      <c r="S608" s="1">
        <v>1</v>
      </c>
      <c r="T608" s="1">
        <v>0</v>
      </c>
      <c r="U608" s="47">
        <v>1</v>
      </c>
      <c r="V608" s="47">
        <v>105</v>
      </c>
      <c r="W608" s="41">
        <v>45</v>
      </c>
      <c r="X608">
        <v>150</v>
      </c>
      <c r="Y608">
        <v>0.93799999999999994</v>
      </c>
      <c r="Z608">
        <v>2819.71</v>
      </c>
      <c r="AA608">
        <v>2352.6999999999998</v>
      </c>
      <c r="AB608">
        <v>120</v>
      </c>
      <c r="AC608">
        <v>55</v>
      </c>
      <c r="AD608" s="41">
        <f t="shared" si="151"/>
        <v>0.3049959038340822</v>
      </c>
      <c r="AE608" s="41">
        <f t="shared" si="152"/>
        <v>0.36553746759042804</v>
      </c>
      <c r="AF608">
        <f t="shared" si="153"/>
        <v>2.1525528571428576</v>
      </c>
      <c r="AG608">
        <f t="shared" si="154"/>
        <v>3.002207142857136E-2</v>
      </c>
      <c r="AH608">
        <f t="shared" si="155"/>
        <v>1.2</v>
      </c>
      <c r="AI608">
        <f>HLOOKUP(HLOOKUP(G608,'THP2'!$B$4:$J$8,5,FALSE),'Fuel &amp; Resister'!$B$3:$G$6,4,FALSE)</f>
        <v>1.7552248062015501</v>
      </c>
      <c r="AJ608" s="41">
        <f>HLOOKUP(HLOOKUP(G608,'THP2'!$B$4:$J$8,5,FALSE),'Fuel &amp; Resister'!$B$3:$G$6,3,FALSE)</f>
        <v>6.1345057489290813</v>
      </c>
      <c r="AO608" s="1">
        <v>1</v>
      </c>
      <c r="AP608" s="1">
        <v>1</v>
      </c>
    </row>
    <row r="609" spans="2:72" x14ac:dyDescent="0.15">
      <c r="B609" s="79" t="s">
        <v>609</v>
      </c>
      <c r="C609" s="61">
        <f>VLOOKUP(B609,[1]SYS!$F$5:$G$359,2,FALSE)</f>
        <v>279</v>
      </c>
      <c r="D609" s="1" t="s">
        <v>23</v>
      </c>
      <c r="E609" s="65" t="s">
        <v>126</v>
      </c>
      <c r="F609" s="63" t="s">
        <v>454</v>
      </c>
      <c r="G609" s="1">
        <v>5</v>
      </c>
      <c r="H609" s="1">
        <f t="shared" si="146"/>
        <v>0.3</v>
      </c>
      <c r="I609" s="1">
        <f t="shared" si="147"/>
        <v>1</v>
      </c>
      <c r="J609" s="1">
        <f t="shared" si="135"/>
        <v>6.2000000000000055E-2</v>
      </c>
      <c r="K609" s="1">
        <f t="shared" si="148"/>
        <v>2.34253</v>
      </c>
      <c r="L609" s="1">
        <f t="shared" si="149"/>
        <v>1.95455</v>
      </c>
      <c r="M609" s="49">
        <f t="shared" si="150"/>
        <v>3.9191695135480931</v>
      </c>
      <c r="N609" s="49">
        <v>15</v>
      </c>
      <c r="O609" s="1">
        <v>504</v>
      </c>
      <c r="P609" s="51">
        <v>0.05</v>
      </c>
      <c r="Q609" s="51">
        <v>8</v>
      </c>
      <c r="R609" s="51">
        <v>1</v>
      </c>
      <c r="S609" s="1">
        <v>1</v>
      </c>
      <c r="T609" s="1">
        <v>0</v>
      </c>
      <c r="U609" s="47">
        <v>1</v>
      </c>
      <c r="V609" s="47">
        <v>106</v>
      </c>
      <c r="W609" s="41">
        <v>300</v>
      </c>
      <c r="X609">
        <v>1000</v>
      </c>
      <c r="Y609">
        <v>0.93799999999999994</v>
      </c>
      <c r="Z609">
        <v>2342.5300000000002</v>
      </c>
      <c r="AA609">
        <v>1954.55</v>
      </c>
      <c r="AB609">
        <v>1500</v>
      </c>
      <c r="AC609">
        <v>55</v>
      </c>
      <c r="AD609" s="41">
        <f t="shared" si="151"/>
        <v>0.36712443383862747</v>
      </c>
      <c r="AE609" s="41">
        <f t="shared" si="152"/>
        <v>0.43999897674656568</v>
      </c>
      <c r="AF609">
        <f t="shared" si="153"/>
        <v>1.788272857142857</v>
      </c>
      <c r="AG609">
        <f t="shared" si="154"/>
        <v>0.16627714285714301</v>
      </c>
      <c r="AH609">
        <f t="shared" si="155"/>
        <v>15</v>
      </c>
      <c r="AI609">
        <f>HLOOKUP(HLOOKUP(G609,'THP2'!$B$4:$J$8,5,FALSE),'Fuel &amp; Resister'!$B$3:$G$6,4,FALSE)</f>
        <v>1.7552248062015501</v>
      </c>
      <c r="AJ609" s="41">
        <f>HLOOKUP(HLOOKUP(G609,'THP2'!$B$4:$J$8,5,FALSE),'Fuel &amp; Resister'!$B$3:$G$6,3,FALSE)</f>
        <v>6.1345057489290813</v>
      </c>
      <c r="AO609" s="1">
        <v>1</v>
      </c>
      <c r="AP609" s="1">
        <v>1</v>
      </c>
    </row>
    <row r="610" spans="2:72" x14ac:dyDescent="0.15">
      <c r="B610" s="79" t="s">
        <v>610</v>
      </c>
      <c r="C610" s="61">
        <f>VLOOKUP(B610,[1]SYS!$F$5:$G$359,2,FALSE)</f>
        <v>288</v>
      </c>
      <c r="D610" s="1" t="s">
        <v>23</v>
      </c>
      <c r="E610" s="65" t="s">
        <v>127</v>
      </c>
      <c r="F610" s="63" t="s">
        <v>521</v>
      </c>
      <c r="G610" s="1">
        <v>5</v>
      </c>
      <c r="H610" s="1">
        <f t="shared" si="146"/>
        <v>0.3</v>
      </c>
      <c r="I610" s="1">
        <f t="shared" si="147"/>
        <v>0.6</v>
      </c>
      <c r="J610" s="1">
        <f t="shared" si="135"/>
        <v>6.2000000000000055E-2</v>
      </c>
      <c r="K610" s="1">
        <f t="shared" si="148"/>
        <v>2.3969999999999998</v>
      </c>
      <c r="L610" s="1">
        <f t="shared" si="149"/>
        <v>2</v>
      </c>
      <c r="M610" s="49">
        <f t="shared" si="150"/>
        <v>2.4061821985918561</v>
      </c>
      <c r="N610" s="49">
        <v>6.1449999999999996</v>
      </c>
      <c r="O610" s="1">
        <v>903</v>
      </c>
      <c r="P610" s="51">
        <v>0.05</v>
      </c>
      <c r="Q610" s="51">
        <v>8</v>
      </c>
      <c r="R610" s="51">
        <v>1</v>
      </c>
      <c r="S610" s="1">
        <v>1</v>
      </c>
      <c r="T610" s="1">
        <v>0</v>
      </c>
      <c r="U610" s="47">
        <v>1</v>
      </c>
      <c r="V610" s="47">
        <v>107</v>
      </c>
      <c r="W610" s="41">
        <v>180</v>
      </c>
      <c r="X610">
        <v>600</v>
      </c>
      <c r="Y610">
        <v>0.93799999999999994</v>
      </c>
      <c r="Z610">
        <v>2397</v>
      </c>
      <c r="AA610">
        <v>2000</v>
      </c>
      <c r="AB610">
        <v>614.5</v>
      </c>
      <c r="AC610">
        <v>55</v>
      </c>
      <c r="AD610" s="41">
        <f t="shared" si="151"/>
        <v>0.35878181059657904</v>
      </c>
      <c r="AE610" s="41">
        <f t="shared" si="152"/>
        <v>0.43</v>
      </c>
      <c r="AF610">
        <f t="shared" si="153"/>
        <v>1.8298571428571428</v>
      </c>
      <c r="AG610">
        <f t="shared" si="154"/>
        <v>0.10208571428571429</v>
      </c>
      <c r="AH610">
        <f t="shared" si="155"/>
        <v>6.1449999999999996</v>
      </c>
      <c r="AI610">
        <f>HLOOKUP(HLOOKUP(G610,'THP2'!$B$4:$J$8,5,FALSE),'Fuel &amp; Resister'!$B$3:$G$6,4,FALSE)</f>
        <v>1.7552248062015501</v>
      </c>
      <c r="AJ610" s="41">
        <f>HLOOKUP(HLOOKUP(G610,'THP2'!$B$4:$J$8,5,FALSE),'Fuel &amp; Resister'!$B$3:$G$6,3,FALSE)</f>
        <v>6.1345057489290813</v>
      </c>
      <c r="AO610" s="1">
        <v>1</v>
      </c>
      <c r="AP610" s="1">
        <v>1</v>
      </c>
    </row>
    <row r="611" spans="2:72" x14ac:dyDescent="0.15">
      <c r="B611" s="79" t="s">
        <v>610</v>
      </c>
      <c r="C611" s="61">
        <f>VLOOKUP(B611,[1]SYS!$F$5:$G$359,2,FALSE)</f>
        <v>288</v>
      </c>
      <c r="D611" s="1" t="s">
        <v>23</v>
      </c>
      <c r="E611" s="65" t="s">
        <v>128</v>
      </c>
      <c r="F611" s="63" t="s">
        <v>521</v>
      </c>
      <c r="G611" s="1">
        <v>5</v>
      </c>
      <c r="H611" s="1">
        <f t="shared" si="146"/>
        <v>0.3</v>
      </c>
      <c r="I611" s="1">
        <f t="shared" si="147"/>
        <v>0.6</v>
      </c>
      <c r="J611" s="1">
        <f t="shared" si="135"/>
        <v>6.2000000000000055E-2</v>
      </c>
      <c r="K611" s="1">
        <f t="shared" si="148"/>
        <v>2.3969999999999998</v>
      </c>
      <c r="L611" s="1">
        <f t="shared" si="149"/>
        <v>2</v>
      </c>
      <c r="M611" s="49">
        <f t="shared" si="150"/>
        <v>2.4061821985918561</v>
      </c>
      <c r="N611" s="49">
        <v>6.1449999999999996</v>
      </c>
      <c r="O611" s="1">
        <v>1004</v>
      </c>
      <c r="P611" s="51">
        <v>0.05</v>
      </c>
      <c r="Q611" s="51">
        <v>8</v>
      </c>
      <c r="R611" s="51">
        <v>1</v>
      </c>
      <c r="S611" s="1">
        <v>1</v>
      </c>
      <c r="T611" s="1">
        <v>0</v>
      </c>
      <c r="U611" s="47">
        <v>1</v>
      </c>
      <c r="V611" s="47">
        <v>108</v>
      </c>
      <c r="W611" s="41">
        <v>180</v>
      </c>
      <c r="X611">
        <v>600</v>
      </c>
      <c r="Y611">
        <v>0.93799999999999994</v>
      </c>
      <c r="Z611">
        <v>2397</v>
      </c>
      <c r="AA611">
        <v>2000</v>
      </c>
      <c r="AB611">
        <v>614.5</v>
      </c>
      <c r="AC611">
        <v>55</v>
      </c>
      <c r="AD611" s="41">
        <f t="shared" si="151"/>
        <v>0.35878181059657904</v>
      </c>
      <c r="AE611" s="41">
        <f t="shared" si="152"/>
        <v>0.43</v>
      </c>
      <c r="AF611">
        <f t="shared" si="153"/>
        <v>1.8298571428571428</v>
      </c>
      <c r="AG611">
        <f t="shared" si="154"/>
        <v>0.10208571428571429</v>
      </c>
      <c r="AH611">
        <f t="shared" si="155"/>
        <v>6.1449999999999996</v>
      </c>
      <c r="AI611">
        <f>HLOOKUP(HLOOKUP(G611,'THP2'!$B$4:$J$8,5,FALSE),'Fuel &amp; Resister'!$B$3:$G$6,4,FALSE)</f>
        <v>1.7552248062015501</v>
      </c>
      <c r="AJ611" s="41">
        <f>HLOOKUP(HLOOKUP(G611,'THP2'!$B$4:$J$8,5,FALSE),'Fuel &amp; Resister'!$B$3:$G$6,3,FALSE)</f>
        <v>6.1345057489290813</v>
      </c>
      <c r="AO611" s="1">
        <v>1</v>
      </c>
      <c r="AP611" s="1">
        <v>1</v>
      </c>
    </row>
    <row r="612" spans="2:72" x14ac:dyDescent="0.15">
      <c r="B612" s="79" t="s">
        <v>610</v>
      </c>
      <c r="C612" s="61">
        <f>VLOOKUP(B612,[1]SYS!$F$5:$G$359,2,FALSE)</f>
        <v>288</v>
      </c>
      <c r="D612" s="1" t="s">
        <v>23</v>
      </c>
      <c r="E612" s="65" t="s">
        <v>129</v>
      </c>
      <c r="F612" s="42"/>
      <c r="G612" s="1">
        <v>5</v>
      </c>
      <c r="H612" s="1">
        <f t="shared" si="146"/>
        <v>0.40119760479041916</v>
      </c>
      <c r="I612" s="1">
        <f t="shared" si="147"/>
        <v>0.16700000000000001</v>
      </c>
      <c r="J612" s="1">
        <f t="shared" si="135"/>
        <v>0.10809999999999997</v>
      </c>
      <c r="K612" s="1">
        <f t="shared" si="148"/>
        <v>2.4706599999999996</v>
      </c>
      <c r="L612" s="1">
        <f t="shared" si="149"/>
        <v>1.89391</v>
      </c>
      <c r="M612" s="49">
        <f t="shared" si="150"/>
        <v>0.63419537677646831</v>
      </c>
      <c r="N612" s="49">
        <v>1.3359999999999999</v>
      </c>
      <c r="O612" s="1">
        <v>1103</v>
      </c>
      <c r="P612" s="51">
        <v>0.05</v>
      </c>
      <c r="Q612" s="51">
        <v>8</v>
      </c>
      <c r="R612" s="51">
        <v>1</v>
      </c>
      <c r="S612" s="1">
        <v>1</v>
      </c>
      <c r="T612" s="1">
        <v>0</v>
      </c>
      <c r="U612" s="47">
        <v>1</v>
      </c>
      <c r="V612" s="47">
        <v>109</v>
      </c>
      <c r="W612" s="41">
        <v>67</v>
      </c>
      <c r="X612">
        <v>167</v>
      </c>
      <c r="Y612">
        <v>0.89190000000000003</v>
      </c>
      <c r="Z612">
        <v>2470.66</v>
      </c>
      <c r="AA612">
        <v>1893.91</v>
      </c>
      <c r="AB612">
        <v>133.6</v>
      </c>
      <c r="AC612">
        <v>55</v>
      </c>
      <c r="AD612" s="41">
        <f t="shared" si="151"/>
        <v>0.34808512705107136</v>
      </c>
      <c r="AE612" s="41">
        <f t="shared" si="152"/>
        <v>0.45408704743097605</v>
      </c>
      <c r="AF612">
        <f t="shared" si="153"/>
        <v>1.5074875000000001</v>
      </c>
      <c r="AG612">
        <f t="shared" si="154"/>
        <v>6.453255749999999E-2</v>
      </c>
      <c r="AH612">
        <f t="shared" si="155"/>
        <v>1.3359999999999999</v>
      </c>
      <c r="AI612">
        <f>HLOOKUP(HLOOKUP(G612,'THP2'!$B$4:$J$8,5,FALSE),'Fuel &amp; Resister'!$B$3:$G$6,4,FALSE)</f>
        <v>1.7552248062015501</v>
      </c>
      <c r="AJ612" s="41">
        <f>HLOOKUP(HLOOKUP(G612,'THP2'!$B$4:$J$8,5,FALSE),'Fuel &amp; Resister'!$B$3:$G$6,3,FALSE)</f>
        <v>6.1345057489290813</v>
      </c>
      <c r="AO612" s="1">
        <v>1</v>
      </c>
      <c r="AP612" s="1">
        <v>1</v>
      </c>
    </row>
    <row r="613" spans="2:72" x14ac:dyDescent="0.15">
      <c r="B613" s="79" t="s">
        <v>611</v>
      </c>
      <c r="C613" s="61">
        <f>VLOOKUP(B613,[1]SYS!$F$5:$G$359,2,FALSE)</f>
        <v>284</v>
      </c>
      <c r="D613" s="1" t="s">
        <v>23</v>
      </c>
      <c r="E613" s="65" t="s">
        <v>130</v>
      </c>
      <c r="F613" s="63" t="s">
        <v>455</v>
      </c>
      <c r="G613" s="1">
        <v>5</v>
      </c>
      <c r="H613" s="1">
        <f t="shared" si="146"/>
        <v>0.3</v>
      </c>
      <c r="I613" s="1">
        <f t="shared" si="147"/>
        <v>0.6</v>
      </c>
      <c r="J613" s="1">
        <f t="shared" si="135"/>
        <v>6.2000000000000055E-2</v>
      </c>
      <c r="K613" s="1">
        <f t="shared" si="148"/>
        <v>2.44143</v>
      </c>
      <c r="L613" s="1">
        <f t="shared" si="149"/>
        <v>2.0370699999999999</v>
      </c>
      <c r="M613" s="49">
        <f t="shared" si="150"/>
        <v>2.4507807856427561</v>
      </c>
      <c r="N613" s="49">
        <v>6.1449999999999996</v>
      </c>
      <c r="O613" s="1">
        <v>1004</v>
      </c>
      <c r="P613" s="51">
        <v>0.05</v>
      </c>
      <c r="Q613" s="51">
        <v>8</v>
      </c>
      <c r="R613" s="51">
        <v>1</v>
      </c>
      <c r="S613" s="1">
        <v>1</v>
      </c>
      <c r="T613" s="1">
        <v>0</v>
      </c>
      <c r="U613" s="47">
        <v>1</v>
      </c>
      <c r="V613" s="47">
        <v>110</v>
      </c>
      <c r="W613" s="41">
        <v>180</v>
      </c>
      <c r="X613">
        <v>600</v>
      </c>
      <c r="Y613">
        <v>0.93799999999999994</v>
      </c>
      <c r="Z613">
        <v>2441.4299999999998</v>
      </c>
      <c r="AA613">
        <v>2037.07</v>
      </c>
      <c r="AB613">
        <v>614.5</v>
      </c>
      <c r="AC613">
        <v>55</v>
      </c>
      <c r="AD613" s="41">
        <f t="shared" si="151"/>
        <v>0.35225257328696707</v>
      </c>
      <c r="AE613" s="41">
        <f t="shared" si="152"/>
        <v>0.42217498662294373</v>
      </c>
      <c r="AF613">
        <f t="shared" si="153"/>
        <v>1.8637728571428571</v>
      </c>
      <c r="AG613">
        <f t="shared" si="154"/>
        <v>0.10397828571428569</v>
      </c>
      <c r="AH613">
        <f t="shared" si="155"/>
        <v>6.1449999999999996</v>
      </c>
      <c r="AI613">
        <f>HLOOKUP(HLOOKUP(G613,'THP2'!$B$4:$J$8,5,FALSE),'Fuel &amp; Resister'!$B$3:$G$6,4,FALSE)</f>
        <v>1.7552248062015501</v>
      </c>
      <c r="AJ613" s="41">
        <f>HLOOKUP(HLOOKUP(G613,'THP2'!$B$4:$J$8,5,FALSE),'Fuel &amp; Resister'!$B$3:$G$6,3,FALSE)</f>
        <v>6.1345057489290813</v>
      </c>
      <c r="AO613" s="1">
        <v>1</v>
      </c>
      <c r="AP613" s="1">
        <v>1</v>
      </c>
    </row>
    <row r="614" spans="2:72" x14ac:dyDescent="0.15">
      <c r="B614" s="79" t="s">
        <v>609</v>
      </c>
      <c r="C614" s="61">
        <f>VLOOKUP(B614,[1]SYS!$F$5:$G$359,2,FALSE)</f>
        <v>279</v>
      </c>
      <c r="D614" s="1" t="s">
        <v>23</v>
      </c>
      <c r="E614" s="42" t="s">
        <v>131</v>
      </c>
      <c r="F614" s="63" t="s">
        <v>454</v>
      </c>
      <c r="G614" s="1">
        <v>5</v>
      </c>
      <c r="H614" s="1">
        <f t="shared" si="146"/>
        <v>0.3</v>
      </c>
      <c r="I614" s="1">
        <f t="shared" si="147"/>
        <v>1</v>
      </c>
      <c r="J614" s="1">
        <f t="shared" si="135"/>
        <v>5.0000000000000044E-2</v>
      </c>
      <c r="K614" s="1">
        <f t="shared" si="148"/>
        <v>2.4431100000000003</v>
      </c>
      <c r="L614" s="1">
        <f t="shared" si="149"/>
        <v>2.0384700000000002</v>
      </c>
      <c r="M614" s="49">
        <f t="shared" si="150"/>
        <v>4.0874418553029512</v>
      </c>
      <c r="N614" s="49">
        <v>15</v>
      </c>
      <c r="O614" s="1">
        <v>401</v>
      </c>
      <c r="P614" s="51">
        <v>0.05</v>
      </c>
      <c r="Q614" s="51">
        <v>8</v>
      </c>
      <c r="R614" s="51">
        <v>1</v>
      </c>
      <c r="S614" s="1">
        <v>1</v>
      </c>
      <c r="T614" s="1">
        <v>0</v>
      </c>
      <c r="U614" s="47">
        <v>0</v>
      </c>
      <c r="V614" s="47">
        <v>111</v>
      </c>
      <c r="W614" s="41">
        <v>300</v>
      </c>
      <c r="X614">
        <v>1000</v>
      </c>
      <c r="Y614">
        <v>0.95</v>
      </c>
      <c r="Z614">
        <v>2443.11</v>
      </c>
      <c r="AA614">
        <v>2038.47</v>
      </c>
      <c r="AB614">
        <v>1500</v>
      </c>
      <c r="AC614">
        <v>55</v>
      </c>
      <c r="AD614" s="41">
        <f t="shared" si="151"/>
        <v>0.35201034746695808</v>
      </c>
      <c r="AE614" s="41">
        <f t="shared" si="152"/>
        <v>0.42188504123190435</v>
      </c>
      <c r="AF614">
        <f t="shared" si="153"/>
        <v>1.8650528571428575</v>
      </c>
      <c r="AG614">
        <f t="shared" si="154"/>
        <v>0.17341714285714271</v>
      </c>
      <c r="AH614">
        <f t="shared" si="155"/>
        <v>15</v>
      </c>
      <c r="AI614">
        <f>HLOOKUP(HLOOKUP(G614,'THP2'!$B$4:$J$8,5,FALSE),'Fuel &amp; Resister'!$B$3:$G$6,4,FALSE)</f>
        <v>1.7552248062015501</v>
      </c>
      <c r="AJ614" s="41">
        <f>HLOOKUP(HLOOKUP(G614,'THP2'!$B$4:$J$8,5,FALSE),'Fuel &amp; Resister'!$B$3:$G$6,3,FALSE)</f>
        <v>6.1345057489290813</v>
      </c>
      <c r="AO614" s="62">
        <v>0</v>
      </c>
      <c r="AP614" s="62">
        <v>0</v>
      </c>
    </row>
    <row r="615" spans="2:72" x14ac:dyDescent="0.15">
      <c r="B615" s="79" t="s">
        <v>612</v>
      </c>
      <c r="C615" s="61">
        <f>VLOOKUP(B615,[1]SYS!$F$5:$G$359,2,FALSE)</f>
        <v>290</v>
      </c>
      <c r="D615" s="1" t="s">
        <v>23</v>
      </c>
      <c r="E615" s="65" t="s">
        <v>132</v>
      </c>
      <c r="F615" s="63" t="s">
        <v>457</v>
      </c>
      <c r="G615" s="1">
        <v>5</v>
      </c>
      <c r="H615" s="1">
        <f t="shared" si="146"/>
        <v>0.30092592592592593</v>
      </c>
      <c r="I615" s="1">
        <f t="shared" si="147"/>
        <v>0.216</v>
      </c>
      <c r="J615" s="1">
        <f t="shared" si="135"/>
        <v>6.0000000000000053E-2</v>
      </c>
      <c r="K615" s="1">
        <f t="shared" si="148"/>
        <v>2.5767800000000003</v>
      </c>
      <c r="L615" s="1">
        <f t="shared" si="149"/>
        <v>2.15</v>
      </c>
      <c r="M615" s="49">
        <f t="shared" si="150"/>
        <v>0.93119251085504851</v>
      </c>
      <c r="N615" s="49">
        <v>1.7819</v>
      </c>
      <c r="O615" s="1">
        <v>1103</v>
      </c>
      <c r="P615" s="51">
        <v>0</v>
      </c>
      <c r="Q615" s="51">
        <v>8</v>
      </c>
      <c r="R615" s="51">
        <v>1</v>
      </c>
      <c r="S615" s="1">
        <v>1</v>
      </c>
      <c r="T615" s="1">
        <v>0</v>
      </c>
      <c r="U615" s="47">
        <v>1</v>
      </c>
      <c r="V615" s="47">
        <v>112</v>
      </c>
      <c r="W615" s="41">
        <v>65</v>
      </c>
      <c r="X615">
        <v>216</v>
      </c>
      <c r="Y615">
        <v>0.94</v>
      </c>
      <c r="Z615">
        <v>2576.7800000000002</v>
      </c>
      <c r="AA615">
        <v>2150</v>
      </c>
      <c r="AB615">
        <v>178.19</v>
      </c>
      <c r="AC615">
        <v>55</v>
      </c>
      <c r="AD615" s="41">
        <f t="shared" si="151"/>
        <v>0.33374987387359417</v>
      </c>
      <c r="AE615" s="41">
        <f t="shared" si="152"/>
        <v>0.4</v>
      </c>
      <c r="AF615">
        <f t="shared" si="153"/>
        <v>1.9662867549668872</v>
      </c>
      <c r="AG615">
        <f t="shared" si="154"/>
        <v>3.9682060927152346E-2</v>
      </c>
      <c r="AH615">
        <f t="shared" si="155"/>
        <v>1.7819</v>
      </c>
      <c r="AI615">
        <f>HLOOKUP(HLOOKUP(G615,'THP2'!$B$4:$J$8,5,FALSE),'Fuel &amp; Resister'!$B$3:$G$6,4,FALSE)</f>
        <v>1.7552248062015501</v>
      </c>
      <c r="AJ615" s="41">
        <f>HLOOKUP(HLOOKUP(G615,'THP2'!$B$4:$J$8,5,FALSE),'Fuel &amp; Resister'!$B$3:$G$6,3,FALSE)</f>
        <v>6.1345057489290813</v>
      </c>
      <c r="AO615" s="1">
        <v>1</v>
      </c>
      <c r="AP615" s="1">
        <v>1</v>
      </c>
    </row>
    <row r="616" spans="2:72" x14ac:dyDescent="0.15">
      <c r="B616" s="79" t="s">
        <v>613</v>
      </c>
      <c r="C616" s="61">
        <f>VLOOKUP(B616,[1]SYS!$F$5:$G$359,2,FALSE)</f>
        <v>293</v>
      </c>
      <c r="D616" s="1" t="s">
        <v>23</v>
      </c>
      <c r="E616" s="65" t="s">
        <v>133</v>
      </c>
      <c r="F616" s="42"/>
      <c r="G616" s="1">
        <v>5</v>
      </c>
      <c r="H616" s="1">
        <f t="shared" si="146"/>
        <v>0.29770992366412213</v>
      </c>
      <c r="I616" s="1">
        <f t="shared" si="147"/>
        <v>0.13100000000000001</v>
      </c>
      <c r="J616" s="1">
        <f t="shared" si="135"/>
        <v>6.2000000000000055E-2</v>
      </c>
      <c r="K616" s="1">
        <f t="shared" si="148"/>
        <v>2.6005400000000001</v>
      </c>
      <c r="L616" s="1">
        <f t="shared" si="149"/>
        <v>2.1698300000000001</v>
      </c>
      <c r="M616" s="49">
        <f t="shared" si="150"/>
        <v>0.56995985659678694</v>
      </c>
      <c r="N616" s="49">
        <v>1.048</v>
      </c>
      <c r="O616" s="1">
        <v>201</v>
      </c>
      <c r="P616" s="51">
        <v>0</v>
      </c>
      <c r="Q616" s="51">
        <v>8</v>
      </c>
      <c r="R616" s="51">
        <v>1</v>
      </c>
      <c r="S616" s="1">
        <v>1</v>
      </c>
      <c r="T616" s="1">
        <v>0</v>
      </c>
      <c r="U616" s="47">
        <v>1</v>
      </c>
      <c r="V616" s="47">
        <v>113</v>
      </c>
      <c r="W616" s="41">
        <v>39</v>
      </c>
      <c r="X616">
        <v>131</v>
      </c>
      <c r="Y616">
        <v>0.93799999999999994</v>
      </c>
      <c r="Z616">
        <v>2600.54</v>
      </c>
      <c r="AA616">
        <v>2169.83</v>
      </c>
      <c r="AB616">
        <v>104.8</v>
      </c>
      <c r="AC616">
        <v>55</v>
      </c>
      <c r="AD616" s="41">
        <f t="shared" si="151"/>
        <v>0.33070054680950883</v>
      </c>
      <c r="AE616" s="41">
        <f t="shared" si="152"/>
        <v>0.39634441407852228</v>
      </c>
      <c r="AF616">
        <f t="shared" si="153"/>
        <v>1.9872464130434784</v>
      </c>
      <c r="AG616">
        <f t="shared" si="154"/>
        <v>2.3918449891304355E-2</v>
      </c>
      <c r="AH616">
        <f t="shared" si="155"/>
        <v>1.048</v>
      </c>
      <c r="AI616">
        <f>HLOOKUP(HLOOKUP(G616,'THP2'!$B$4:$J$8,5,FALSE),'Fuel &amp; Resister'!$B$3:$G$6,4,FALSE)</f>
        <v>1.7552248062015501</v>
      </c>
      <c r="AJ616" s="41">
        <f>HLOOKUP(HLOOKUP(G616,'THP2'!$B$4:$J$8,5,FALSE),'Fuel &amp; Resister'!$B$3:$G$6,3,FALSE)</f>
        <v>6.1345057489290813</v>
      </c>
      <c r="AO616" s="1">
        <v>1</v>
      </c>
      <c r="AP616" s="1">
        <v>1</v>
      </c>
    </row>
    <row r="617" spans="2:72" x14ac:dyDescent="0.15">
      <c r="B617" s="79" t="s">
        <v>614</v>
      </c>
      <c r="C617" s="61">
        <f>VLOOKUP(B617,[1]SYS!$F$5:$G$359,2,FALSE)</f>
        <v>282</v>
      </c>
      <c r="D617" s="1" t="s">
        <v>23</v>
      </c>
      <c r="E617" s="65" t="s">
        <v>134</v>
      </c>
      <c r="F617" s="42"/>
      <c r="G617" s="1">
        <v>5</v>
      </c>
      <c r="H617" s="1">
        <f t="shared" si="146"/>
        <v>0.3</v>
      </c>
      <c r="I617" s="1">
        <f t="shared" si="147"/>
        <v>0.22</v>
      </c>
      <c r="J617" s="1">
        <f t="shared" si="135"/>
        <v>6.2000000000000055E-2</v>
      </c>
      <c r="K617" s="1">
        <f t="shared" si="148"/>
        <v>2.6005400000000001</v>
      </c>
      <c r="L617" s="1">
        <f t="shared" si="149"/>
        <v>2.1698300000000001</v>
      </c>
      <c r="M617" s="49">
        <f t="shared" si="150"/>
        <v>0.95718449199460398</v>
      </c>
      <c r="N617" s="49">
        <v>1.8272999999999999</v>
      </c>
      <c r="O617" s="1">
        <v>603</v>
      </c>
      <c r="P617" s="51">
        <v>0</v>
      </c>
      <c r="Q617" s="51">
        <v>8</v>
      </c>
      <c r="R617" s="51">
        <v>1</v>
      </c>
      <c r="S617" s="1">
        <v>1</v>
      </c>
      <c r="T617" s="1">
        <v>0</v>
      </c>
      <c r="U617" s="47">
        <v>1</v>
      </c>
      <c r="V617" s="47">
        <v>114</v>
      </c>
      <c r="W617" s="41">
        <v>66</v>
      </c>
      <c r="X617">
        <v>220</v>
      </c>
      <c r="Y617">
        <v>0.93799999999999994</v>
      </c>
      <c r="Z617">
        <v>2600.54</v>
      </c>
      <c r="AA617">
        <v>2169.83</v>
      </c>
      <c r="AB617">
        <v>182.73</v>
      </c>
      <c r="AC617">
        <v>55</v>
      </c>
      <c r="AD617" s="41">
        <f t="shared" si="151"/>
        <v>0.33070054680950883</v>
      </c>
      <c r="AE617" s="41">
        <f t="shared" si="152"/>
        <v>0.39634441407852228</v>
      </c>
      <c r="AF617">
        <f t="shared" si="153"/>
        <v>1.9852400000000003</v>
      </c>
      <c r="AG617">
        <f t="shared" si="154"/>
        <v>4.060979999999996E-2</v>
      </c>
      <c r="AH617">
        <f t="shared" si="155"/>
        <v>1.8272999999999999</v>
      </c>
      <c r="AI617">
        <f>HLOOKUP(HLOOKUP(G617,'THP2'!$B$4:$J$8,5,FALSE),'Fuel &amp; Resister'!$B$3:$G$6,4,FALSE)</f>
        <v>1.7552248062015501</v>
      </c>
      <c r="AJ617" s="41">
        <f>HLOOKUP(HLOOKUP(G617,'THP2'!$B$4:$J$8,5,FALSE),'Fuel &amp; Resister'!$B$3:$G$6,3,FALSE)</f>
        <v>6.1345057489290813</v>
      </c>
      <c r="AO617" s="1">
        <v>1</v>
      </c>
      <c r="AP617" s="1">
        <v>1</v>
      </c>
    </row>
    <row r="618" spans="2:72" x14ac:dyDescent="0.15">
      <c r="B618" s="79" t="s">
        <v>614</v>
      </c>
      <c r="C618" s="61">
        <f>VLOOKUP(B618,[1]SYS!$F$5:$G$359,2,FALSE)</f>
        <v>282</v>
      </c>
      <c r="D618" s="1" t="s">
        <v>23</v>
      </c>
      <c r="E618" s="65" t="s">
        <v>135</v>
      </c>
      <c r="F618" s="42"/>
      <c r="G618" s="1">
        <v>5</v>
      </c>
      <c r="H618" s="1">
        <f t="shared" si="146"/>
        <v>0.29629629629629628</v>
      </c>
      <c r="I618" s="1">
        <f t="shared" si="147"/>
        <v>8.1000000000000003E-2</v>
      </c>
      <c r="J618" s="1">
        <f t="shared" si="135"/>
        <v>6.2000000000000055E-2</v>
      </c>
      <c r="K618" s="1">
        <f t="shared" si="148"/>
        <v>2.6005400000000001</v>
      </c>
      <c r="L618" s="1">
        <f t="shared" si="149"/>
        <v>2.1698300000000001</v>
      </c>
      <c r="M618" s="49">
        <f t="shared" si="150"/>
        <v>0.35241792659801324</v>
      </c>
      <c r="N618" s="49">
        <v>0.64800000000000002</v>
      </c>
      <c r="O618" s="1">
        <v>1004</v>
      </c>
      <c r="P618" s="51">
        <v>0</v>
      </c>
      <c r="Q618" s="51">
        <v>8</v>
      </c>
      <c r="R618" s="51">
        <v>1</v>
      </c>
      <c r="S618" s="1">
        <v>1</v>
      </c>
      <c r="T618" s="1">
        <v>0</v>
      </c>
      <c r="U618" s="47">
        <v>1</v>
      </c>
      <c r="V618" s="47">
        <v>115</v>
      </c>
      <c r="W618" s="41">
        <v>24</v>
      </c>
      <c r="X618">
        <v>81</v>
      </c>
      <c r="Y618">
        <v>0.93799999999999994</v>
      </c>
      <c r="Z618">
        <v>2600.54</v>
      </c>
      <c r="AA618">
        <v>2169.83</v>
      </c>
      <c r="AB618">
        <v>64.8</v>
      </c>
      <c r="AC618">
        <v>55</v>
      </c>
      <c r="AD618" s="41">
        <f t="shared" si="151"/>
        <v>0.33070054680950883</v>
      </c>
      <c r="AE618" s="41">
        <f t="shared" si="152"/>
        <v>0.39634441407852228</v>
      </c>
      <c r="AF618">
        <f t="shared" si="153"/>
        <v>1.9884784210526318</v>
      </c>
      <c r="AG618">
        <f t="shared" si="154"/>
        <v>1.4689477894736833E-2</v>
      </c>
      <c r="AH618">
        <f t="shared" si="155"/>
        <v>0.64800000000000002</v>
      </c>
      <c r="AI618">
        <f>HLOOKUP(HLOOKUP(G618,'THP2'!$B$4:$J$8,5,FALSE),'Fuel &amp; Resister'!$B$3:$G$6,4,FALSE)</f>
        <v>1.7552248062015501</v>
      </c>
      <c r="AJ618" s="41">
        <f>HLOOKUP(HLOOKUP(G618,'THP2'!$B$4:$J$8,5,FALSE),'Fuel &amp; Resister'!$B$3:$G$6,3,FALSE)</f>
        <v>6.1345057489290813</v>
      </c>
      <c r="AO618" s="1">
        <v>1</v>
      </c>
      <c r="AP618" s="1">
        <v>1</v>
      </c>
    </row>
    <row r="619" spans="2:72" x14ac:dyDescent="0.15">
      <c r="B619" s="79" t="s">
        <v>614</v>
      </c>
      <c r="C619" s="61">
        <f>VLOOKUP(B619,[1]SYS!$F$5:$G$359,2,FALSE)</f>
        <v>282</v>
      </c>
      <c r="D619" s="1" t="s">
        <v>23</v>
      </c>
      <c r="E619" s="65" t="s">
        <v>136</v>
      </c>
      <c r="F619" s="42"/>
      <c r="G619" s="1">
        <v>5</v>
      </c>
      <c r="H619" s="1">
        <f t="shared" si="146"/>
        <v>0.3</v>
      </c>
      <c r="I619" s="1">
        <f t="shared" si="147"/>
        <v>0.04</v>
      </c>
      <c r="J619" s="1">
        <f t="shared" si="135"/>
        <v>6.2000000000000055E-2</v>
      </c>
      <c r="K619" s="1">
        <f t="shared" si="148"/>
        <v>2.6271900000000001</v>
      </c>
      <c r="L619" s="1">
        <f t="shared" si="149"/>
        <v>2.1920700000000002</v>
      </c>
      <c r="M619" s="49">
        <f t="shared" si="150"/>
        <v>0.17581732706890829</v>
      </c>
      <c r="N619" s="49">
        <v>0.32</v>
      </c>
      <c r="O619" s="1">
        <v>401</v>
      </c>
      <c r="P619" s="51">
        <v>0</v>
      </c>
      <c r="Q619" s="51">
        <v>8</v>
      </c>
      <c r="R619" s="51">
        <v>1</v>
      </c>
      <c r="S619" s="1">
        <v>1</v>
      </c>
      <c r="T619" s="1">
        <v>0</v>
      </c>
      <c r="U619" s="47">
        <v>1</v>
      </c>
      <c r="V619" s="47">
        <v>116</v>
      </c>
      <c r="W619" s="41">
        <v>12</v>
      </c>
      <c r="X619">
        <v>40</v>
      </c>
      <c r="Y619">
        <v>0.93799999999999994</v>
      </c>
      <c r="Z619">
        <v>2627.19</v>
      </c>
      <c r="AA619">
        <v>2192.0700000000002</v>
      </c>
      <c r="AB619">
        <v>32</v>
      </c>
      <c r="AC619">
        <v>55</v>
      </c>
      <c r="AD619" s="41">
        <f t="shared" si="151"/>
        <v>0.32734594757135954</v>
      </c>
      <c r="AE619" s="41">
        <f t="shared" si="152"/>
        <v>0.39232323785280576</v>
      </c>
      <c r="AF619">
        <f t="shared" si="153"/>
        <v>2.0055900000000002</v>
      </c>
      <c r="AG619">
        <f t="shared" si="154"/>
        <v>7.4591999999999992E-3</v>
      </c>
      <c r="AH619">
        <f t="shared" si="155"/>
        <v>0.32</v>
      </c>
      <c r="AI619">
        <f>HLOOKUP(HLOOKUP(G619,'THP2'!$B$4:$J$8,5,FALSE),'Fuel &amp; Resister'!$B$3:$G$6,4,FALSE)</f>
        <v>1.7552248062015501</v>
      </c>
      <c r="AJ619" s="41">
        <f>HLOOKUP(HLOOKUP(G619,'THP2'!$B$4:$J$8,5,FALSE),'Fuel &amp; Resister'!$B$3:$G$6,3,FALSE)</f>
        <v>6.1345057489290813</v>
      </c>
      <c r="AO619" s="1">
        <v>1</v>
      </c>
      <c r="AP619" s="1">
        <v>1</v>
      </c>
    </row>
    <row r="620" spans="2:72" x14ac:dyDescent="0.15">
      <c r="B620" s="79" t="s">
        <v>612</v>
      </c>
      <c r="C620" s="61">
        <f>VLOOKUP(B620,[1]SYS!$F$5:$G$359,2,FALSE)</f>
        <v>290</v>
      </c>
      <c r="D620" s="1" t="s">
        <v>23</v>
      </c>
      <c r="E620" s="65" t="s">
        <v>137</v>
      </c>
      <c r="F620" s="42"/>
      <c r="G620" s="1">
        <v>5</v>
      </c>
      <c r="H620" s="1">
        <f t="shared" si="146"/>
        <v>0.30198019801980197</v>
      </c>
      <c r="I620" s="1">
        <f t="shared" si="147"/>
        <v>0.20200000000000001</v>
      </c>
      <c r="J620" s="1">
        <f t="shared" si="135"/>
        <v>6.2000000000000055E-2</v>
      </c>
      <c r="K620" s="1">
        <f t="shared" si="148"/>
        <v>2.7485599999999999</v>
      </c>
      <c r="L620" s="1">
        <f t="shared" si="149"/>
        <v>2.2933300000000001</v>
      </c>
      <c r="M620" s="49">
        <f t="shared" si="150"/>
        <v>0.92889191995193776</v>
      </c>
      <c r="N620" s="49">
        <v>1.6227</v>
      </c>
      <c r="O620" s="1">
        <v>1103</v>
      </c>
      <c r="P620" s="51">
        <v>0</v>
      </c>
      <c r="Q620" s="51">
        <v>8</v>
      </c>
      <c r="R620" s="51">
        <v>1</v>
      </c>
      <c r="S620" s="1">
        <v>1</v>
      </c>
      <c r="T620" s="1">
        <v>0</v>
      </c>
      <c r="U620" s="47">
        <v>1</v>
      </c>
      <c r="V620" s="47">
        <v>117</v>
      </c>
      <c r="W620" s="41">
        <v>61</v>
      </c>
      <c r="X620">
        <v>202</v>
      </c>
      <c r="Y620">
        <v>0.93799999999999994</v>
      </c>
      <c r="Z620">
        <v>2748.56</v>
      </c>
      <c r="AA620">
        <v>2293.33</v>
      </c>
      <c r="AB620">
        <v>162.27000000000001</v>
      </c>
      <c r="AC620">
        <v>55</v>
      </c>
      <c r="AD620" s="41">
        <f t="shared" si="151"/>
        <v>0.31289111389236546</v>
      </c>
      <c r="AE620" s="41">
        <f t="shared" si="152"/>
        <v>0.37500054505893177</v>
      </c>
      <c r="AF620">
        <f t="shared" si="153"/>
        <v>2.0963865248226954</v>
      </c>
      <c r="AG620">
        <f t="shared" si="154"/>
        <v>3.9782581985815552E-2</v>
      </c>
      <c r="AH620">
        <f t="shared" si="155"/>
        <v>1.6227</v>
      </c>
      <c r="AI620">
        <f>HLOOKUP(HLOOKUP(G620,'THP2'!$B$4:$J$8,5,FALSE),'Fuel &amp; Resister'!$B$3:$G$6,4,FALSE)</f>
        <v>1.7552248062015501</v>
      </c>
      <c r="AJ620" s="41">
        <f>HLOOKUP(HLOOKUP(G620,'THP2'!$B$4:$J$8,5,FALSE),'Fuel &amp; Resister'!$B$3:$G$6,3,FALSE)</f>
        <v>6.1345057489290813</v>
      </c>
      <c r="AO620" s="1">
        <v>1</v>
      </c>
      <c r="AP620" s="1">
        <v>1</v>
      </c>
    </row>
    <row r="621" spans="2:72" x14ac:dyDescent="0.15">
      <c r="B621" s="79" t="s">
        <v>611</v>
      </c>
      <c r="C621" s="61">
        <f>VLOOKUP(B621,[1]SYS!$F$5:$G$359,2,FALSE)</f>
        <v>284</v>
      </c>
      <c r="D621" s="1" t="s">
        <v>23</v>
      </c>
      <c r="E621" s="65" t="s">
        <v>138</v>
      </c>
      <c r="F621" s="63" t="s">
        <v>522</v>
      </c>
      <c r="G621" s="1">
        <v>5</v>
      </c>
      <c r="H621" s="1">
        <f t="shared" si="146"/>
        <v>0.30054644808743169</v>
      </c>
      <c r="I621" s="1">
        <f t="shared" si="147"/>
        <v>0.183</v>
      </c>
      <c r="J621" s="1">
        <f t="shared" si="135"/>
        <v>6.2000000000000055E-2</v>
      </c>
      <c r="K621" s="1">
        <f t="shared" si="148"/>
        <v>2.83229</v>
      </c>
      <c r="L621" s="1">
        <f t="shared" si="149"/>
        <v>2.3631899999999999</v>
      </c>
      <c r="M621" s="49">
        <f t="shared" si="150"/>
        <v>0.86715552075826885</v>
      </c>
      <c r="N621" s="49">
        <v>1.464</v>
      </c>
      <c r="O621" s="6">
        <v>307</v>
      </c>
      <c r="P621" s="51">
        <v>0</v>
      </c>
      <c r="Q621" s="51">
        <v>8</v>
      </c>
      <c r="R621" s="51">
        <v>1</v>
      </c>
      <c r="S621" s="1">
        <v>1</v>
      </c>
      <c r="T621" s="1">
        <v>0</v>
      </c>
      <c r="U621" s="47">
        <v>1</v>
      </c>
      <c r="V621" s="47">
        <v>118</v>
      </c>
      <c r="W621" s="41">
        <v>55</v>
      </c>
      <c r="X621">
        <v>183</v>
      </c>
      <c r="Y621">
        <v>0.93799999999999994</v>
      </c>
      <c r="Z621">
        <v>2832.29</v>
      </c>
      <c r="AA621">
        <v>2363.19</v>
      </c>
      <c r="AB621">
        <v>146.4</v>
      </c>
      <c r="AC621">
        <v>55</v>
      </c>
      <c r="AD621" s="41">
        <f t="shared" si="151"/>
        <v>0.30364122317982978</v>
      </c>
      <c r="AE621" s="41">
        <f t="shared" si="152"/>
        <v>0.36391487777114834</v>
      </c>
      <c r="AF621">
        <f t="shared" si="153"/>
        <v>2.1616235937499999</v>
      </c>
      <c r="AG621">
        <f t="shared" si="154"/>
        <v>3.688665234375E-2</v>
      </c>
      <c r="AH621">
        <f t="shared" si="155"/>
        <v>1.464</v>
      </c>
      <c r="AI621">
        <f>HLOOKUP(HLOOKUP(G621,'THP2'!$B$4:$J$8,5,FALSE),'Fuel &amp; Resister'!$B$3:$G$6,4,FALSE)</f>
        <v>1.7552248062015501</v>
      </c>
      <c r="AJ621" s="41">
        <f>HLOOKUP(HLOOKUP(G621,'THP2'!$B$4:$J$8,5,FALSE),'Fuel &amp; Resister'!$B$3:$G$6,3,FALSE)</f>
        <v>6.1345057489290813</v>
      </c>
      <c r="AO621" s="1">
        <v>1</v>
      </c>
      <c r="AP621" s="1">
        <v>1</v>
      </c>
    </row>
    <row r="622" spans="2:72" x14ac:dyDescent="0.15">
      <c r="B622" s="79" t="s">
        <v>611</v>
      </c>
      <c r="C622" s="61">
        <f>VLOOKUP(B622,[1]SYS!$F$5:$G$359,2,FALSE)</f>
        <v>284</v>
      </c>
      <c r="D622" s="1" t="s">
        <v>23</v>
      </c>
      <c r="E622" s="65" t="s">
        <v>139</v>
      </c>
      <c r="F622" s="42"/>
      <c r="G622" s="1">
        <v>5</v>
      </c>
      <c r="H622" s="1">
        <f t="shared" si="146"/>
        <v>0.29411764705882354</v>
      </c>
      <c r="I622" s="1">
        <f t="shared" si="147"/>
        <v>1.7000000000000001E-2</v>
      </c>
      <c r="J622" s="1">
        <f t="shared" si="135"/>
        <v>0</v>
      </c>
      <c r="K622" s="1">
        <f t="shared" si="148"/>
        <v>2.9647299999999999</v>
      </c>
      <c r="L622" s="1">
        <f t="shared" si="149"/>
        <v>2.4737</v>
      </c>
      <c r="M622" s="49">
        <f t="shared" si="150"/>
        <v>8.432244948263623E-2</v>
      </c>
      <c r="N622" s="49">
        <v>0.13600000000000001</v>
      </c>
      <c r="O622" s="1">
        <v>106</v>
      </c>
      <c r="P622" s="51">
        <v>0</v>
      </c>
      <c r="Q622" s="51">
        <v>8</v>
      </c>
      <c r="R622" s="51">
        <v>1</v>
      </c>
      <c r="S622" s="1">
        <v>1</v>
      </c>
      <c r="T622" s="1">
        <v>0</v>
      </c>
      <c r="U622" s="47">
        <v>1</v>
      </c>
      <c r="V622" s="47">
        <v>119</v>
      </c>
      <c r="W622" s="41">
        <v>5</v>
      </c>
      <c r="X622">
        <v>17</v>
      </c>
      <c r="Y622">
        <v>1</v>
      </c>
      <c r="Z622">
        <v>2964.73</v>
      </c>
      <c r="AA622">
        <v>2473.6999999999998</v>
      </c>
      <c r="AB622">
        <v>13.6</v>
      </c>
      <c r="AC622">
        <v>55</v>
      </c>
      <c r="AD622" s="41">
        <f t="shared" si="151"/>
        <v>0.29007700532594877</v>
      </c>
      <c r="AE622" s="41">
        <f t="shared" si="152"/>
        <v>0.34765735537858272</v>
      </c>
      <c r="AF622">
        <f t="shared" si="153"/>
        <v>2.2691041666666667</v>
      </c>
      <c r="AG622">
        <f t="shared" si="154"/>
        <v>3.4781291666666665E-3</v>
      </c>
      <c r="AH622">
        <f t="shared" si="155"/>
        <v>0.13600000000000001</v>
      </c>
      <c r="AI622">
        <f>HLOOKUP(HLOOKUP(G622,'THP2'!$B$4:$J$8,5,FALSE),'Fuel &amp; Resister'!$B$3:$G$6,4,FALSE)</f>
        <v>1.7552248062015501</v>
      </c>
      <c r="AJ622" s="41">
        <f>HLOOKUP(HLOOKUP(G622,'THP2'!$B$4:$J$8,5,FALSE),'Fuel &amp; Resister'!$B$3:$G$6,3,FALSE)</f>
        <v>6.1345057489290813</v>
      </c>
      <c r="AM622"/>
      <c r="AN622"/>
      <c r="AO622" s="1">
        <v>1</v>
      </c>
      <c r="AP622" s="1">
        <v>1</v>
      </c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</row>
    <row r="623" spans="2:72" x14ac:dyDescent="0.15">
      <c r="B623" s="79" t="s">
        <v>612</v>
      </c>
      <c r="C623" s="61">
        <f>VLOOKUP(B623,[1]SYS!$F$5:$G$359,2,FALSE)</f>
        <v>290</v>
      </c>
      <c r="D623" s="1" t="s">
        <v>23</v>
      </c>
      <c r="E623" s="65" t="s">
        <v>140</v>
      </c>
      <c r="F623" s="63" t="s">
        <v>456</v>
      </c>
      <c r="G623" s="1">
        <v>5</v>
      </c>
      <c r="H623" s="1">
        <f t="shared" si="146"/>
        <v>0.3</v>
      </c>
      <c r="I623" s="1">
        <f t="shared" si="147"/>
        <v>0.3</v>
      </c>
      <c r="J623" s="1">
        <f t="shared" si="135"/>
        <v>6.2000000000000055E-2</v>
      </c>
      <c r="K623" s="1">
        <f t="shared" si="148"/>
        <v>2.9647299999999999</v>
      </c>
      <c r="L623" s="1">
        <f t="shared" si="149"/>
        <v>2.4737</v>
      </c>
      <c r="M623" s="49">
        <f t="shared" si="150"/>
        <v>1.4880432261641685</v>
      </c>
      <c r="N623" s="49">
        <v>2.7367000000000004</v>
      </c>
      <c r="O623" s="1">
        <v>603</v>
      </c>
      <c r="P623" s="51">
        <v>0</v>
      </c>
      <c r="Q623" s="51">
        <v>8</v>
      </c>
      <c r="R623" s="51">
        <v>1</v>
      </c>
      <c r="S623" s="1">
        <v>1</v>
      </c>
      <c r="T623" s="1">
        <v>0</v>
      </c>
      <c r="U623" s="47">
        <v>1</v>
      </c>
      <c r="V623" s="47">
        <v>120</v>
      </c>
      <c r="W623" s="41">
        <v>90</v>
      </c>
      <c r="X623">
        <v>300</v>
      </c>
      <c r="Y623">
        <v>0.93799999999999994</v>
      </c>
      <c r="Z623">
        <v>2964.73</v>
      </c>
      <c r="AA623">
        <v>2473.6999999999998</v>
      </c>
      <c r="AB623">
        <v>273.67</v>
      </c>
      <c r="AC623">
        <v>55</v>
      </c>
      <c r="AD623" s="41">
        <f t="shared" si="151"/>
        <v>0.29007700532594877</v>
      </c>
      <c r="AE623" s="41">
        <f t="shared" si="152"/>
        <v>0.34765735537858272</v>
      </c>
      <c r="AF623">
        <f t="shared" si="153"/>
        <v>2.2632585714285716</v>
      </c>
      <c r="AG623">
        <f t="shared" si="154"/>
        <v>6.3132428571428534E-2</v>
      </c>
      <c r="AH623">
        <f t="shared" si="155"/>
        <v>2.7367000000000004</v>
      </c>
      <c r="AI623">
        <f>HLOOKUP(HLOOKUP(G623,'THP2'!$B$4:$J$8,5,FALSE),'Fuel &amp; Resister'!$B$3:$G$6,4,FALSE)</f>
        <v>1.7552248062015501</v>
      </c>
      <c r="AJ623" s="41">
        <f>HLOOKUP(HLOOKUP(G623,'THP2'!$B$4:$J$8,5,FALSE),'Fuel &amp; Resister'!$B$3:$G$6,3,FALSE)</f>
        <v>6.1345057489290813</v>
      </c>
      <c r="AO623" s="1">
        <v>1</v>
      </c>
      <c r="AP623" s="1">
        <v>1</v>
      </c>
    </row>
    <row r="624" spans="2:72" x14ac:dyDescent="0.15">
      <c r="B624" s="79" t="s">
        <v>612</v>
      </c>
      <c r="C624" s="61">
        <f>VLOOKUP(B624,[1]SYS!$F$5:$G$359,2,FALSE)</f>
        <v>290</v>
      </c>
      <c r="D624" s="1" t="s">
        <v>23</v>
      </c>
      <c r="E624" s="65" t="s">
        <v>141</v>
      </c>
      <c r="F624" s="42"/>
      <c r="G624" s="1">
        <v>5</v>
      </c>
      <c r="H624" s="1">
        <f t="shared" si="146"/>
        <v>0.27272727272727271</v>
      </c>
      <c r="I624" s="1">
        <f t="shared" si="147"/>
        <v>1.0999999999999999E-2</v>
      </c>
      <c r="J624" s="1">
        <f t="shared" si="135"/>
        <v>0</v>
      </c>
      <c r="K624" s="1">
        <f t="shared" si="148"/>
        <v>3.0563099999999999</v>
      </c>
      <c r="L624" s="1">
        <f t="shared" si="149"/>
        <v>2.4737</v>
      </c>
      <c r="M624" s="49">
        <f t="shared" si="150"/>
        <v>5.456158495935285E-2</v>
      </c>
      <c r="N624" s="49">
        <v>8.8000000000000009E-2</v>
      </c>
      <c r="O624" s="1">
        <v>903</v>
      </c>
      <c r="P624" s="51">
        <v>0</v>
      </c>
      <c r="Q624" s="51">
        <v>8</v>
      </c>
      <c r="R624" s="51">
        <v>1</v>
      </c>
      <c r="S624" s="1">
        <v>1</v>
      </c>
      <c r="T624" s="1">
        <v>0</v>
      </c>
      <c r="U624" s="47">
        <v>1</v>
      </c>
      <c r="V624" s="47">
        <v>121</v>
      </c>
      <c r="W624" s="41">
        <v>3</v>
      </c>
      <c r="X624">
        <v>11</v>
      </c>
      <c r="Y624">
        <v>1</v>
      </c>
      <c r="Z624">
        <v>3056.31</v>
      </c>
      <c r="AA624">
        <v>2473.6999999999998</v>
      </c>
      <c r="AB624">
        <v>8.8000000000000007</v>
      </c>
      <c r="AC624">
        <v>55</v>
      </c>
      <c r="AD624" s="41">
        <f t="shared" si="151"/>
        <v>0.28138506892298232</v>
      </c>
      <c r="AE624" s="41">
        <f t="shared" si="152"/>
        <v>0.34765735537858272</v>
      </c>
      <c r="AF624">
        <f t="shared" si="153"/>
        <v>2.25522125</v>
      </c>
      <c r="AG624">
        <f t="shared" si="154"/>
        <v>2.4032662500000006E-3</v>
      </c>
      <c r="AH624">
        <f t="shared" si="155"/>
        <v>8.8000000000000009E-2</v>
      </c>
      <c r="AI624">
        <f>HLOOKUP(HLOOKUP(G624,'THP2'!$B$4:$J$8,5,FALSE),'Fuel &amp; Resister'!$B$3:$G$6,4,FALSE)</f>
        <v>1.7552248062015501</v>
      </c>
      <c r="AJ624" s="41">
        <f>HLOOKUP(HLOOKUP(G624,'THP2'!$B$4:$J$8,5,FALSE),'Fuel &amp; Resister'!$B$3:$G$6,3,FALSE)</f>
        <v>6.1345057489290813</v>
      </c>
      <c r="AO624" s="1">
        <v>1</v>
      </c>
      <c r="AP624" s="1">
        <v>1</v>
      </c>
    </row>
    <row r="625" spans="1:42" x14ac:dyDescent="0.15">
      <c r="B625" s="79" t="s">
        <v>615</v>
      </c>
      <c r="C625" s="61">
        <f>VLOOKUP(B625,[1]SYS!$F$5:$G$359,2,FALSE)</f>
        <v>332</v>
      </c>
      <c r="D625" s="1" t="s">
        <v>23</v>
      </c>
      <c r="E625" s="65" t="s">
        <v>142</v>
      </c>
      <c r="F625" s="63" t="s">
        <v>433</v>
      </c>
      <c r="G625" s="1">
        <v>5</v>
      </c>
      <c r="H625" s="1">
        <f t="shared" si="146"/>
        <v>0.3</v>
      </c>
      <c r="I625" s="1">
        <f t="shared" si="147"/>
        <v>1</v>
      </c>
      <c r="J625" s="1">
        <f t="shared" si="135"/>
        <v>6.2000000000000055E-2</v>
      </c>
      <c r="K625" s="1">
        <f t="shared" si="148"/>
        <v>2.3969999999999998</v>
      </c>
      <c r="L625" s="1">
        <f t="shared" si="149"/>
        <v>2</v>
      </c>
      <c r="M625" s="49">
        <f t="shared" si="150"/>
        <v>4.0103036643197596</v>
      </c>
      <c r="N625" s="49">
        <v>15</v>
      </c>
      <c r="O625" s="1">
        <v>1004</v>
      </c>
      <c r="P625" s="51">
        <v>0.05</v>
      </c>
      <c r="Q625" s="51">
        <v>8</v>
      </c>
      <c r="R625" s="51">
        <v>1</v>
      </c>
      <c r="S625" s="1">
        <v>1</v>
      </c>
      <c r="T625" s="1">
        <v>0</v>
      </c>
      <c r="U625" s="47">
        <v>1</v>
      </c>
      <c r="V625" s="47">
        <v>122</v>
      </c>
      <c r="W625" s="41">
        <v>300</v>
      </c>
      <c r="X625">
        <v>1000</v>
      </c>
      <c r="Y625">
        <v>0.93799999999999994</v>
      </c>
      <c r="Z625">
        <v>2397</v>
      </c>
      <c r="AA625">
        <v>2000</v>
      </c>
      <c r="AB625">
        <v>1500</v>
      </c>
      <c r="AC625">
        <v>55</v>
      </c>
      <c r="AD625" s="41">
        <f t="shared" si="151"/>
        <v>0.35878181059657904</v>
      </c>
      <c r="AE625" s="41">
        <f t="shared" si="152"/>
        <v>0.43</v>
      </c>
      <c r="AF625">
        <f t="shared" si="153"/>
        <v>1.8298571428571428</v>
      </c>
      <c r="AG625">
        <f t="shared" si="154"/>
        <v>0.17014285714285715</v>
      </c>
      <c r="AH625">
        <f t="shared" si="155"/>
        <v>15</v>
      </c>
      <c r="AI625">
        <f>HLOOKUP(HLOOKUP(G625,'THP2'!$B$4:$J$8,5,FALSE),'Fuel &amp; Resister'!$B$3:$G$6,4,FALSE)</f>
        <v>1.7552248062015501</v>
      </c>
      <c r="AJ625" s="41">
        <f>HLOOKUP(HLOOKUP(G625,'THP2'!$B$4:$J$8,5,FALSE),'Fuel &amp; Resister'!$B$3:$G$6,3,FALSE)</f>
        <v>6.1345057489290813</v>
      </c>
      <c r="AO625" s="1">
        <v>1</v>
      </c>
      <c r="AP625" s="1">
        <v>1</v>
      </c>
    </row>
    <row r="626" spans="1:42" x14ac:dyDescent="0.15">
      <c r="B626" s="79" t="s">
        <v>616</v>
      </c>
      <c r="C626" s="61">
        <f>VLOOKUP(B626,[1]SYS!$F$5:$G$359,2,FALSE)</f>
        <v>341</v>
      </c>
      <c r="D626" s="1" t="s">
        <v>23</v>
      </c>
      <c r="E626" s="65" t="s">
        <v>143</v>
      </c>
      <c r="F626" s="42" t="s">
        <v>421</v>
      </c>
      <c r="G626" s="1">
        <v>5</v>
      </c>
      <c r="H626" s="1">
        <f t="shared" si="146"/>
        <v>0.15</v>
      </c>
      <c r="I626" s="1">
        <f t="shared" si="147"/>
        <v>0.7</v>
      </c>
      <c r="J626" s="1">
        <f t="shared" si="135"/>
        <v>6.2000000000000055E-2</v>
      </c>
      <c r="K626" s="1">
        <f t="shared" si="148"/>
        <v>2.8436900000000001</v>
      </c>
      <c r="L626" s="1">
        <f t="shared" si="149"/>
        <v>2.00935</v>
      </c>
      <c r="M626" s="49">
        <f t="shared" si="150"/>
        <v>2.8203362837653181</v>
      </c>
      <c r="N626" s="49">
        <v>7.28</v>
      </c>
      <c r="O626" s="1">
        <v>1103</v>
      </c>
      <c r="P626" s="51">
        <v>0.05</v>
      </c>
      <c r="Q626" s="51">
        <v>8</v>
      </c>
      <c r="R626" s="51">
        <v>1</v>
      </c>
      <c r="S626" s="1">
        <v>1</v>
      </c>
      <c r="T626" s="1">
        <v>0</v>
      </c>
      <c r="U626" s="47">
        <v>1</v>
      </c>
      <c r="V626" s="47">
        <v>123</v>
      </c>
      <c r="W626" s="41">
        <v>105</v>
      </c>
      <c r="X626">
        <v>700</v>
      </c>
      <c r="Y626">
        <v>0.93799999999999994</v>
      </c>
      <c r="Z626">
        <v>2843.69</v>
      </c>
      <c r="AA626">
        <v>2009.35</v>
      </c>
      <c r="AB626">
        <v>728</v>
      </c>
      <c r="AC626">
        <v>55</v>
      </c>
      <c r="AD626" s="41">
        <f t="shared" si="151"/>
        <v>0.30242396323087256</v>
      </c>
      <c r="AE626" s="41">
        <f t="shared" si="152"/>
        <v>0.42799910418792142</v>
      </c>
      <c r="AF626">
        <f t="shared" si="153"/>
        <v>1.8621135294117648</v>
      </c>
      <c r="AG626">
        <f t="shared" si="154"/>
        <v>0.10306552941176463</v>
      </c>
      <c r="AH626">
        <f t="shared" si="155"/>
        <v>7.28</v>
      </c>
      <c r="AI626">
        <f>HLOOKUP(HLOOKUP(G626,'THP2'!$B$4:$J$8,5,FALSE),'Fuel &amp; Resister'!$B$3:$G$6,4,FALSE)</f>
        <v>1.7552248062015501</v>
      </c>
      <c r="AJ626" s="41">
        <f>HLOOKUP(HLOOKUP(G626,'THP2'!$B$4:$J$8,5,FALSE),'Fuel &amp; Resister'!$B$3:$G$6,3,FALSE)</f>
        <v>6.1345057489290813</v>
      </c>
      <c r="AO626" s="1">
        <v>1</v>
      </c>
      <c r="AP626" s="1">
        <v>1</v>
      </c>
    </row>
    <row r="627" spans="1:42" x14ac:dyDescent="0.15">
      <c r="B627" s="79" t="s">
        <v>616</v>
      </c>
      <c r="C627" s="61">
        <f>VLOOKUP(B627,[1]SYS!$F$5:$G$359,2,FALSE)</f>
        <v>341</v>
      </c>
      <c r="D627" s="1" t="s">
        <v>23</v>
      </c>
      <c r="E627" s="42" t="s">
        <v>144</v>
      </c>
      <c r="F627" s="63" t="s">
        <v>435</v>
      </c>
      <c r="G627" s="1">
        <v>5</v>
      </c>
      <c r="H627" s="1">
        <f t="shared" si="146"/>
        <v>0.30120481927710846</v>
      </c>
      <c r="I627" s="1">
        <f t="shared" si="147"/>
        <v>0.16600000000000001</v>
      </c>
      <c r="J627" s="1">
        <f t="shared" si="135"/>
        <v>6.0000000000000053E-2</v>
      </c>
      <c r="K627" s="1">
        <f t="shared" si="148"/>
        <v>2.4563099999999998</v>
      </c>
      <c r="L627" s="1">
        <f t="shared" si="149"/>
        <v>2.04948</v>
      </c>
      <c r="M627" s="49">
        <f t="shared" si="150"/>
        <v>0.68218008377785511</v>
      </c>
      <c r="N627" s="49">
        <v>1.3280000000000001</v>
      </c>
      <c r="O627" s="1">
        <v>504</v>
      </c>
      <c r="P627" s="51">
        <v>0</v>
      </c>
      <c r="Q627" s="51">
        <v>8</v>
      </c>
      <c r="R627" s="51">
        <v>1</v>
      </c>
      <c r="S627" s="1">
        <v>1</v>
      </c>
      <c r="T627" s="1">
        <v>0</v>
      </c>
      <c r="U627" s="47">
        <v>0</v>
      </c>
      <c r="V627" s="47">
        <v>124</v>
      </c>
      <c r="W627" s="41">
        <v>50</v>
      </c>
      <c r="X627">
        <v>166</v>
      </c>
      <c r="Y627">
        <v>0.94</v>
      </c>
      <c r="Z627">
        <v>2456.31</v>
      </c>
      <c r="AA627">
        <v>2049.48</v>
      </c>
      <c r="AB627">
        <v>132.80000000000001</v>
      </c>
      <c r="AC627">
        <v>55</v>
      </c>
      <c r="AD627" s="41">
        <f t="shared" si="151"/>
        <v>0.35011867394587814</v>
      </c>
      <c r="AE627" s="41">
        <f t="shared" si="152"/>
        <v>0.41961863497082186</v>
      </c>
      <c r="AF627">
        <f t="shared" si="153"/>
        <v>1.8741222413793104</v>
      </c>
      <c r="AG627">
        <f t="shared" si="154"/>
        <v>2.9109387931034472E-2</v>
      </c>
      <c r="AH627">
        <f t="shared" si="155"/>
        <v>1.3280000000000001</v>
      </c>
      <c r="AI627">
        <f>HLOOKUP(HLOOKUP(G627,'THP2'!$B$4:$J$8,5,FALSE),'Fuel &amp; Resister'!$B$3:$G$6,4,FALSE)</f>
        <v>1.7552248062015501</v>
      </c>
      <c r="AJ627" s="41">
        <f>HLOOKUP(HLOOKUP(G627,'THP2'!$B$4:$J$8,5,FALSE),'Fuel &amp; Resister'!$B$3:$G$6,3,FALSE)</f>
        <v>6.1345057489290813</v>
      </c>
      <c r="AO627" s="62">
        <v>0</v>
      </c>
      <c r="AP627" s="62">
        <v>0</v>
      </c>
    </row>
    <row r="628" spans="1:42" x14ac:dyDescent="0.15">
      <c r="B628" s="79" t="s">
        <v>616</v>
      </c>
      <c r="C628" s="61">
        <f>VLOOKUP(B628,[1]SYS!$F$5:$G$359,2,FALSE)</f>
        <v>341</v>
      </c>
      <c r="D628" s="1" t="s">
        <v>23</v>
      </c>
      <c r="E628" s="42" t="s">
        <v>145</v>
      </c>
      <c r="F628" s="42" t="s">
        <v>421</v>
      </c>
      <c r="G628" s="1">
        <v>5</v>
      </c>
      <c r="H628" s="1">
        <f t="shared" si="146"/>
        <v>0.15</v>
      </c>
      <c r="I628" s="1">
        <f t="shared" si="147"/>
        <v>0.7</v>
      </c>
      <c r="J628" s="1">
        <f t="shared" si="135"/>
        <v>5.8000000000000052E-2</v>
      </c>
      <c r="K628" s="1">
        <f t="shared" si="148"/>
        <v>2.91106</v>
      </c>
      <c r="L628" s="1">
        <f t="shared" si="149"/>
        <v>2.0569499999999996</v>
      </c>
      <c r="M628" s="49">
        <f t="shared" si="150"/>
        <v>2.8871479428128848</v>
      </c>
      <c r="N628" s="49">
        <v>7.28</v>
      </c>
      <c r="O628" s="1">
        <v>401</v>
      </c>
      <c r="P628" s="51">
        <v>0.05</v>
      </c>
      <c r="Q628" s="51">
        <v>8</v>
      </c>
      <c r="R628" s="51">
        <v>1</v>
      </c>
      <c r="S628" s="1">
        <v>1</v>
      </c>
      <c r="T628" s="1">
        <v>0</v>
      </c>
      <c r="U628" s="47">
        <v>0</v>
      </c>
      <c r="V628" s="47">
        <v>125</v>
      </c>
      <c r="W628" s="41">
        <v>105</v>
      </c>
      <c r="X628">
        <v>700</v>
      </c>
      <c r="Y628">
        <v>0.94199999999999995</v>
      </c>
      <c r="Z628">
        <v>2911.06</v>
      </c>
      <c r="AA628">
        <v>2056.9499999999998</v>
      </c>
      <c r="AB628">
        <v>728</v>
      </c>
      <c r="AC628">
        <v>55</v>
      </c>
      <c r="AD628" s="41">
        <f t="shared" si="151"/>
        <v>0.29542503417998944</v>
      </c>
      <c r="AE628" s="41">
        <f t="shared" si="152"/>
        <v>0.41809475193854984</v>
      </c>
      <c r="AF628">
        <f t="shared" si="153"/>
        <v>1.9062247058823527</v>
      </c>
      <c r="AG628">
        <f t="shared" si="154"/>
        <v>0.10550770588235282</v>
      </c>
      <c r="AH628">
        <f t="shared" si="155"/>
        <v>7.28</v>
      </c>
      <c r="AI628">
        <f>HLOOKUP(HLOOKUP(G628,'THP2'!$B$4:$J$8,5,FALSE),'Fuel &amp; Resister'!$B$3:$G$6,4,FALSE)</f>
        <v>1.7552248062015501</v>
      </c>
      <c r="AJ628" s="41">
        <f>HLOOKUP(HLOOKUP(G628,'THP2'!$B$4:$J$8,5,FALSE),'Fuel &amp; Resister'!$B$3:$G$6,3,FALSE)</f>
        <v>6.1345057489290813</v>
      </c>
      <c r="AO628" s="62">
        <v>0</v>
      </c>
      <c r="AP628" s="62">
        <v>0</v>
      </c>
    </row>
    <row r="629" spans="1:42" x14ac:dyDescent="0.15">
      <c r="B629" s="79" t="s">
        <v>615</v>
      </c>
      <c r="C629" s="61">
        <f>VLOOKUP(B629,[1]SYS!$F$5:$G$359,2,FALSE)</f>
        <v>332</v>
      </c>
      <c r="D629" s="1" t="s">
        <v>23</v>
      </c>
      <c r="E629" s="42" t="s">
        <v>146</v>
      </c>
      <c r="F629" s="63" t="s">
        <v>434</v>
      </c>
      <c r="G629" s="1">
        <v>5</v>
      </c>
      <c r="H629" s="1">
        <f t="shared" si="146"/>
        <v>0.35</v>
      </c>
      <c r="I629" s="1">
        <f t="shared" si="147"/>
        <v>1</v>
      </c>
      <c r="J629" s="1">
        <f t="shared" si="135"/>
        <v>5.149999999999999E-2</v>
      </c>
      <c r="K629" s="1">
        <f t="shared" si="148"/>
        <v>2.4436499999999999</v>
      </c>
      <c r="L629" s="1">
        <f t="shared" si="149"/>
        <v>2.1000100000000002</v>
      </c>
      <c r="M629" s="49">
        <f t="shared" si="150"/>
        <v>4.2108388990540702</v>
      </c>
      <c r="N629" s="49">
        <v>15</v>
      </c>
      <c r="O629" s="1">
        <v>403</v>
      </c>
      <c r="P629" s="51">
        <v>0.05</v>
      </c>
      <c r="Q629" s="51">
        <v>8</v>
      </c>
      <c r="R629" s="51">
        <v>1</v>
      </c>
      <c r="S629" s="1">
        <v>1</v>
      </c>
      <c r="T629" s="1">
        <v>0</v>
      </c>
      <c r="U629" s="47">
        <v>0</v>
      </c>
      <c r="V629" s="47">
        <v>126</v>
      </c>
      <c r="W629" s="41">
        <v>350</v>
      </c>
      <c r="X629">
        <v>1000</v>
      </c>
      <c r="Y629">
        <v>0.94850000000000001</v>
      </c>
      <c r="Z629">
        <v>2443.65</v>
      </c>
      <c r="AA629">
        <v>2100.0100000000002</v>
      </c>
      <c r="AB629">
        <v>1500</v>
      </c>
      <c r="AC629">
        <v>55</v>
      </c>
      <c r="AD629" s="41">
        <f t="shared" si="151"/>
        <v>0.35193255990014938</v>
      </c>
      <c r="AE629" s="41">
        <f t="shared" si="152"/>
        <v>0.40952185941971697</v>
      </c>
      <c r="AF629">
        <f t="shared" si="153"/>
        <v>1.9149730769230773</v>
      </c>
      <c r="AG629">
        <f t="shared" si="154"/>
        <v>0.18503692307692288</v>
      </c>
      <c r="AH629">
        <f t="shared" si="155"/>
        <v>15</v>
      </c>
      <c r="AI629">
        <f>HLOOKUP(HLOOKUP(G629,'THP2'!$B$4:$J$8,5,FALSE),'Fuel &amp; Resister'!$B$3:$G$6,4,FALSE)</f>
        <v>1.7552248062015501</v>
      </c>
      <c r="AJ629" s="41">
        <f>HLOOKUP(HLOOKUP(G629,'THP2'!$B$4:$J$8,5,FALSE),'Fuel &amp; Resister'!$B$3:$G$6,3,FALSE)</f>
        <v>6.1345057489290813</v>
      </c>
      <c r="AO629" s="62">
        <v>0</v>
      </c>
      <c r="AP629" s="62">
        <v>0</v>
      </c>
    </row>
    <row r="630" spans="1:42" x14ac:dyDescent="0.15">
      <c r="B630" s="79" t="s">
        <v>617</v>
      </c>
      <c r="C630" s="61">
        <f>VLOOKUP(B630,[1]SYS!$F$5:$G$359,2,FALSE)</f>
        <v>324</v>
      </c>
      <c r="D630" s="1" t="s">
        <v>23</v>
      </c>
      <c r="E630" s="65" t="s">
        <v>39</v>
      </c>
      <c r="F630" s="63" t="s">
        <v>436</v>
      </c>
      <c r="G630" s="1">
        <v>5</v>
      </c>
      <c r="H630" s="1">
        <f t="shared" si="146"/>
        <v>0.3</v>
      </c>
      <c r="I630" s="1">
        <f t="shared" si="147"/>
        <v>0.3</v>
      </c>
      <c r="J630" s="1">
        <f t="shared" si="135"/>
        <v>6.0000000000000053E-2</v>
      </c>
      <c r="K630" s="1">
        <f t="shared" si="148"/>
        <v>2.5767800000000003</v>
      </c>
      <c r="L630" s="1">
        <f t="shared" si="149"/>
        <v>2.15</v>
      </c>
      <c r="M630" s="49">
        <f t="shared" si="150"/>
        <v>1.2933229317431225</v>
      </c>
      <c r="N630" s="49">
        <v>2.7367000000000004</v>
      </c>
      <c r="O630" s="1">
        <v>1103</v>
      </c>
      <c r="P630" s="51">
        <v>0.05</v>
      </c>
      <c r="Q630" s="51">
        <v>8</v>
      </c>
      <c r="R630" s="51">
        <v>1</v>
      </c>
      <c r="S630" s="1">
        <v>1</v>
      </c>
      <c r="T630" s="1">
        <v>0</v>
      </c>
      <c r="U630" s="47">
        <v>1</v>
      </c>
      <c r="V630" s="47">
        <v>127</v>
      </c>
      <c r="W630" s="41">
        <v>90</v>
      </c>
      <c r="X630">
        <v>300</v>
      </c>
      <c r="Y630">
        <v>0.94</v>
      </c>
      <c r="Z630">
        <v>2576.7800000000002</v>
      </c>
      <c r="AA630">
        <v>2150</v>
      </c>
      <c r="AB630">
        <v>273.67</v>
      </c>
      <c r="AC630">
        <v>55</v>
      </c>
      <c r="AD630" s="41">
        <f t="shared" si="151"/>
        <v>0.33374987387359417</v>
      </c>
      <c r="AE630" s="41">
        <f t="shared" si="152"/>
        <v>0.4</v>
      </c>
      <c r="AF630">
        <f t="shared" si="153"/>
        <v>1.9670942857142857</v>
      </c>
      <c r="AG630">
        <f t="shared" si="154"/>
        <v>5.4871714285714267E-2</v>
      </c>
      <c r="AH630">
        <f t="shared" si="155"/>
        <v>2.7367000000000004</v>
      </c>
      <c r="AI630">
        <f>HLOOKUP(HLOOKUP(G630,'THP2'!$B$4:$J$8,5,FALSE),'Fuel &amp; Resister'!$B$3:$G$6,4,FALSE)</f>
        <v>1.7552248062015501</v>
      </c>
      <c r="AJ630" s="41">
        <f>HLOOKUP(HLOOKUP(G630,'THP2'!$B$4:$J$8,5,FALSE),'Fuel &amp; Resister'!$B$3:$G$6,3,FALSE)</f>
        <v>6.1345057489290813</v>
      </c>
      <c r="AO630" s="1">
        <v>1</v>
      </c>
      <c r="AP630" s="1">
        <v>1</v>
      </c>
    </row>
    <row r="631" spans="1:42" x14ac:dyDescent="0.15">
      <c r="B631" s="79" t="s">
        <v>618</v>
      </c>
      <c r="C631" s="61">
        <f>VLOOKUP(B631,[1]SYS!$F$5:$G$359,2,FALSE)</f>
        <v>308</v>
      </c>
      <c r="D631" s="1" t="s">
        <v>23</v>
      </c>
      <c r="E631" s="42" t="s">
        <v>40</v>
      </c>
      <c r="F631" s="63" t="s">
        <v>437</v>
      </c>
      <c r="G631" s="1">
        <v>5</v>
      </c>
      <c r="H631" s="1">
        <f t="shared" si="146"/>
        <v>0.30434782608695654</v>
      </c>
      <c r="I631" s="1">
        <f t="shared" si="147"/>
        <v>9.1999999999999998E-2</v>
      </c>
      <c r="J631" s="1">
        <f t="shared" si="135"/>
        <v>6.3999999999999946E-2</v>
      </c>
      <c r="K631" s="1">
        <f t="shared" si="148"/>
        <v>2.6005400000000001</v>
      </c>
      <c r="L631" s="1">
        <f t="shared" si="149"/>
        <v>2.1698300000000001</v>
      </c>
      <c r="M631" s="49">
        <f t="shared" si="150"/>
        <v>0.40027715119774343</v>
      </c>
      <c r="N631" s="49">
        <v>0.73599999999999999</v>
      </c>
      <c r="O631" s="1">
        <v>603</v>
      </c>
      <c r="P631" s="51">
        <v>0.05</v>
      </c>
      <c r="Q631" s="51">
        <v>8</v>
      </c>
      <c r="R631" s="51">
        <v>1</v>
      </c>
      <c r="S631" s="1">
        <v>1</v>
      </c>
      <c r="T631" s="1">
        <v>0</v>
      </c>
      <c r="U631" s="47">
        <v>0</v>
      </c>
      <c r="V631" s="47">
        <v>128</v>
      </c>
      <c r="W631" s="41">
        <v>28</v>
      </c>
      <c r="X631">
        <v>92</v>
      </c>
      <c r="Y631">
        <v>0.93600000000000005</v>
      </c>
      <c r="Z631">
        <v>2600.54</v>
      </c>
      <c r="AA631">
        <v>2169.83</v>
      </c>
      <c r="AB631">
        <v>73.599999999999994</v>
      </c>
      <c r="AC631">
        <v>55</v>
      </c>
      <c r="AD631" s="41">
        <f t="shared" si="151"/>
        <v>0.33070054680950883</v>
      </c>
      <c r="AE631" s="41">
        <f t="shared" si="152"/>
        <v>0.39634441407852228</v>
      </c>
      <c r="AF631">
        <f t="shared" si="153"/>
        <v>1.9813943749999998</v>
      </c>
      <c r="AG631">
        <f t="shared" si="154"/>
        <v>1.7336077500000029E-2</v>
      </c>
      <c r="AH631">
        <f t="shared" si="155"/>
        <v>0.73599999999999999</v>
      </c>
      <c r="AI631">
        <f>HLOOKUP(HLOOKUP(G631,'THP2'!$B$4:$J$8,5,FALSE),'Fuel &amp; Resister'!$B$3:$G$6,4,FALSE)</f>
        <v>1.7552248062015501</v>
      </c>
      <c r="AJ631" s="41">
        <f>HLOOKUP(HLOOKUP(G631,'THP2'!$B$4:$J$8,5,FALSE),'Fuel &amp; Resister'!$B$3:$G$6,3,FALSE)</f>
        <v>6.1345057489290813</v>
      </c>
      <c r="AO631" s="62">
        <v>0</v>
      </c>
      <c r="AP631" s="62">
        <v>0</v>
      </c>
    </row>
    <row r="632" spans="1:42" x14ac:dyDescent="0.15">
      <c r="B632" s="79" t="s">
        <v>619</v>
      </c>
      <c r="C632" s="61">
        <f>VLOOKUP(B632,[1]SYS!$F$5:$G$359,2,FALSE)</f>
        <v>321</v>
      </c>
      <c r="D632" s="1" t="s">
        <v>23</v>
      </c>
      <c r="E632" s="65" t="s">
        <v>41</v>
      </c>
      <c r="F632" s="63" t="s">
        <v>528</v>
      </c>
      <c r="G632" s="1">
        <v>5</v>
      </c>
      <c r="H632" s="1">
        <f t="shared" si="146"/>
        <v>0.30434782608695654</v>
      </c>
      <c r="I632" s="1">
        <f t="shared" si="147"/>
        <v>0.115</v>
      </c>
      <c r="J632" s="1">
        <f t="shared" si="135"/>
        <v>6.3999999999999946E-2</v>
      </c>
      <c r="K632" s="1">
        <f t="shared" si="148"/>
        <v>2.6005400000000001</v>
      </c>
      <c r="L632" s="1">
        <f t="shared" si="149"/>
        <v>2.1698300000000001</v>
      </c>
      <c r="M632" s="49">
        <f t="shared" si="150"/>
        <v>0.50034643899717934</v>
      </c>
      <c r="N632" s="49">
        <v>0.92</v>
      </c>
      <c r="O632" s="1">
        <v>201</v>
      </c>
      <c r="P632" s="51">
        <v>0</v>
      </c>
      <c r="Q632" s="51">
        <v>8</v>
      </c>
      <c r="R632" s="51">
        <v>1</v>
      </c>
      <c r="S632" s="1">
        <v>1</v>
      </c>
      <c r="T632" s="1">
        <v>0</v>
      </c>
      <c r="U632" s="47">
        <v>1</v>
      </c>
      <c r="V632" s="47">
        <v>129</v>
      </c>
      <c r="W632" s="41">
        <v>35</v>
      </c>
      <c r="X632">
        <v>115</v>
      </c>
      <c r="Y632">
        <v>0.93600000000000005</v>
      </c>
      <c r="Z632">
        <v>2600.54</v>
      </c>
      <c r="AA632">
        <v>2169.83</v>
      </c>
      <c r="AB632">
        <v>92</v>
      </c>
      <c r="AC632">
        <v>55</v>
      </c>
      <c r="AD632" s="41">
        <f t="shared" si="151"/>
        <v>0.33070054680950883</v>
      </c>
      <c r="AE632" s="41">
        <f t="shared" si="152"/>
        <v>0.39634441407852228</v>
      </c>
      <c r="AF632">
        <f t="shared" si="153"/>
        <v>1.9813943749999998</v>
      </c>
      <c r="AG632">
        <f t="shared" si="154"/>
        <v>2.1670096875000038E-2</v>
      </c>
      <c r="AH632">
        <f t="shared" si="155"/>
        <v>0.92</v>
      </c>
      <c r="AI632">
        <f>HLOOKUP(HLOOKUP(G632,'THP2'!$B$4:$J$8,5,FALSE),'Fuel &amp; Resister'!$B$3:$G$6,4,FALSE)</f>
        <v>1.7552248062015501</v>
      </c>
      <c r="AJ632" s="41">
        <f>HLOOKUP(HLOOKUP(G632,'THP2'!$B$4:$J$8,5,FALSE),'Fuel &amp; Resister'!$B$3:$G$6,3,FALSE)</f>
        <v>6.1345057489290813</v>
      </c>
      <c r="AO632" s="1">
        <v>1</v>
      </c>
      <c r="AP632" s="1">
        <v>1</v>
      </c>
    </row>
    <row r="633" spans="1:42" x14ac:dyDescent="0.15">
      <c r="B633" s="79" t="s">
        <v>618</v>
      </c>
      <c r="C633" s="61">
        <f>VLOOKUP(B633,[1]SYS!$F$5:$G$359,2,FALSE)</f>
        <v>308</v>
      </c>
      <c r="D633" s="1" t="s">
        <v>23</v>
      </c>
      <c r="E633" s="65" t="s">
        <v>42</v>
      </c>
      <c r="F633" s="63" t="s">
        <v>471</v>
      </c>
      <c r="G633" s="1">
        <v>5</v>
      </c>
      <c r="H633" s="1">
        <f t="shared" ref="H633:H636" si="156">W633/X633</f>
        <v>0.30476190476190479</v>
      </c>
      <c r="I633" s="1">
        <f t="shared" ref="I633:I636" si="157">X633/1000</f>
        <v>0.105</v>
      </c>
      <c r="J633" s="1">
        <f t="shared" si="135"/>
        <v>6.3999999999999946E-2</v>
      </c>
      <c r="K633" s="1">
        <f t="shared" ref="K633:K636" si="158">Z633/1000</f>
        <v>2.6005400000000001</v>
      </c>
      <c r="L633" s="1">
        <f t="shared" ref="L633:L636" si="159">AA633/1000</f>
        <v>2.1698300000000001</v>
      </c>
      <c r="M633" s="49">
        <f t="shared" ref="M633:M636" si="160">(I633*10^6*L633/AJ633*AI633/10^6)*24*365/1000*$A$505</f>
        <v>0.45683805299742464</v>
      </c>
      <c r="N633" s="49">
        <v>0.84</v>
      </c>
      <c r="O633" s="1">
        <v>1103</v>
      </c>
      <c r="P633" s="51">
        <v>0</v>
      </c>
      <c r="Q633" s="51">
        <v>8</v>
      </c>
      <c r="R633" s="51">
        <v>1</v>
      </c>
      <c r="S633" s="1">
        <v>1</v>
      </c>
      <c r="T633" s="1">
        <v>0</v>
      </c>
      <c r="U633" s="47">
        <v>1</v>
      </c>
      <c r="V633" s="47">
        <v>130</v>
      </c>
      <c r="W633" s="41">
        <v>32</v>
      </c>
      <c r="X633">
        <v>105</v>
      </c>
      <c r="Y633">
        <v>0.93600000000000005</v>
      </c>
      <c r="Z633">
        <v>2600.54</v>
      </c>
      <c r="AA633">
        <v>2169.83</v>
      </c>
      <c r="AB633">
        <v>84</v>
      </c>
      <c r="AC633">
        <v>55</v>
      </c>
      <c r="AD633" s="41">
        <f t="shared" ref="AD633:AD636" si="161">1/Z633*860</f>
        <v>0.33070054680950883</v>
      </c>
      <c r="AE633" s="41">
        <f t="shared" ref="AE633:AE636" si="162">1/AA633*860</f>
        <v>0.39634441407852228</v>
      </c>
      <c r="AF633">
        <f t="shared" ref="AF633:AF636" si="163">(L633-H633*K633)/(1-H633)</f>
        <v>1.9810256164383564</v>
      </c>
      <c r="AG633">
        <f t="shared" ref="AG633:AG636" si="164">I633*(L633-AF633)</f>
        <v>1.9824460273972593E-2</v>
      </c>
      <c r="AH633">
        <f t="shared" ref="AH633:AH636" si="165">AB633/100</f>
        <v>0.84</v>
      </c>
      <c r="AI633">
        <f>HLOOKUP(HLOOKUP(G633,'THP2'!$B$4:$J$8,5,FALSE),'Fuel &amp; Resister'!$B$3:$G$6,4,FALSE)</f>
        <v>1.7552248062015501</v>
      </c>
      <c r="AJ633" s="41">
        <f>HLOOKUP(HLOOKUP(G633,'THP2'!$B$4:$J$8,5,FALSE),'Fuel &amp; Resister'!$B$3:$G$6,3,FALSE)</f>
        <v>6.1345057489290813</v>
      </c>
      <c r="AO633" s="1">
        <v>1</v>
      </c>
      <c r="AP633" s="1">
        <v>1</v>
      </c>
    </row>
    <row r="634" spans="1:42" x14ac:dyDescent="0.15">
      <c r="B634" s="79" t="s">
        <v>619</v>
      </c>
      <c r="C634" s="61">
        <f>VLOOKUP(B634,[1]SYS!$F$5:$G$359,2,FALSE)</f>
        <v>321</v>
      </c>
      <c r="D634" s="1" t="s">
        <v>23</v>
      </c>
      <c r="E634" s="65" t="s">
        <v>147</v>
      </c>
      <c r="F634" s="63" t="s">
        <v>470</v>
      </c>
      <c r="G634" s="1">
        <v>5</v>
      </c>
      <c r="H634" s="1">
        <f t="shared" si="156"/>
        <v>0.5</v>
      </c>
      <c r="I634" s="1">
        <f t="shared" si="157"/>
        <v>0.36</v>
      </c>
      <c r="J634" s="1">
        <f t="shared" si="135"/>
        <v>7.1999999999999953E-2</v>
      </c>
      <c r="K634" s="1">
        <f t="shared" si="158"/>
        <v>2.45506</v>
      </c>
      <c r="L634" s="1">
        <f t="shared" si="159"/>
        <v>2.2939499999999997</v>
      </c>
      <c r="M634" s="49">
        <f t="shared" si="160"/>
        <v>1.655898496337936</v>
      </c>
      <c r="N634" s="49">
        <v>3.4186999999999999</v>
      </c>
      <c r="O634" s="1">
        <v>1004</v>
      </c>
      <c r="P634" s="51">
        <v>0.05</v>
      </c>
      <c r="Q634" s="51">
        <v>8</v>
      </c>
      <c r="R634" s="51">
        <v>1</v>
      </c>
      <c r="S634" s="1">
        <v>1</v>
      </c>
      <c r="T634" s="1">
        <v>0</v>
      </c>
      <c r="U634" s="47">
        <v>1</v>
      </c>
      <c r="V634" s="47">
        <v>131</v>
      </c>
      <c r="W634" s="41">
        <v>180</v>
      </c>
      <c r="X634">
        <v>360</v>
      </c>
      <c r="Y634">
        <v>0.92800000000000005</v>
      </c>
      <c r="Z634">
        <v>2455.06</v>
      </c>
      <c r="AA634">
        <v>2293.9499999999998</v>
      </c>
      <c r="AB634">
        <v>341.87</v>
      </c>
      <c r="AC634">
        <v>55</v>
      </c>
      <c r="AD634" s="41">
        <f t="shared" si="161"/>
        <v>0.35029693775304882</v>
      </c>
      <c r="AE634" s="41">
        <f t="shared" si="162"/>
        <v>0.37489919135116284</v>
      </c>
      <c r="AF634">
        <f t="shared" si="163"/>
        <v>2.1328399999999994</v>
      </c>
      <c r="AG634">
        <f t="shared" si="164"/>
        <v>5.7999600000000109E-2</v>
      </c>
      <c r="AH634">
        <f t="shared" si="165"/>
        <v>3.4186999999999999</v>
      </c>
      <c r="AI634">
        <f>HLOOKUP(HLOOKUP(G634,'THP2'!$B$4:$J$8,5,FALSE),'Fuel &amp; Resister'!$B$3:$G$6,4,FALSE)</f>
        <v>1.7552248062015501</v>
      </c>
      <c r="AJ634" s="41">
        <f>HLOOKUP(HLOOKUP(G634,'THP2'!$B$4:$J$8,5,FALSE),'Fuel &amp; Resister'!$B$3:$G$6,3,FALSE)</f>
        <v>6.1345057489290813</v>
      </c>
      <c r="AO634" s="1">
        <v>1</v>
      </c>
      <c r="AP634" s="1">
        <v>1</v>
      </c>
    </row>
    <row r="635" spans="1:42" x14ac:dyDescent="0.15">
      <c r="B635" s="79" t="s">
        <v>618</v>
      </c>
      <c r="C635" s="61">
        <f>VLOOKUP(B635,[1]SYS!$F$5:$G$359,2,FALSE)</f>
        <v>308</v>
      </c>
      <c r="D635" s="1" t="s">
        <v>23</v>
      </c>
      <c r="E635" s="65" t="s">
        <v>43</v>
      </c>
      <c r="F635" s="42"/>
      <c r="G635" s="1">
        <v>5</v>
      </c>
      <c r="H635" s="1">
        <f t="shared" si="156"/>
        <v>0.3</v>
      </c>
      <c r="I635" s="1">
        <f t="shared" si="157"/>
        <v>0.05</v>
      </c>
      <c r="J635" s="1">
        <f t="shared" si="135"/>
        <v>6.0000000000000053E-2</v>
      </c>
      <c r="K635" s="1">
        <f t="shared" si="158"/>
        <v>2.7485599999999999</v>
      </c>
      <c r="L635" s="1">
        <f t="shared" si="159"/>
        <v>2.2933300000000001</v>
      </c>
      <c r="M635" s="49">
        <f t="shared" si="160"/>
        <v>0.22992374256236092</v>
      </c>
      <c r="N635" s="49">
        <v>0.4</v>
      </c>
      <c r="O635" s="1">
        <v>901</v>
      </c>
      <c r="P635" s="51">
        <v>0</v>
      </c>
      <c r="Q635" s="51">
        <v>8</v>
      </c>
      <c r="R635" s="51">
        <v>1</v>
      </c>
      <c r="S635" s="1">
        <v>1</v>
      </c>
      <c r="T635" s="1">
        <v>0</v>
      </c>
      <c r="U635" s="47">
        <v>1</v>
      </c>
      <c r="V635" s="47">
        <v>132</v>
      </c>
      <c r="W635" s="41">
        <v>15</v>
      </c>
      <c r="X635">
        <v>50</v>
      </c>
      <c r="Y635">
        <v>0.94</v>
      </c>
      <c r="Z635">
        <v>2748.56</v>
      </c>
      <c r="AA635">
        <v>2293.33</v>
      </c>
      <c r="AB635">
        <v>40</v>
      </c>
      <c r="AC635">
        <v>55</v>
      </c>
      <c r="AD635" s="41">
        <f t="shared" si="161"/>
        <v>0.31289111389236546</v>
      </c>
      <c r="AE635" s="41">
        <f t="shared" si="162"/>
        <v>0.37500054505893177</v>
      </c>
      <c r="AF635">
        <f t="shared" si="163"/>
        <v>2.0982314285714287</v>
      </c>
      <c r="AG635">
        <f t="shared" si="164"/>
        <v>9.7549285714285672E-3</v>
      </c>
      <c r="AH635">
        <f t="shared" si="165"/>
        <v>0.4</v>
      </c>
      <c r="AI635">
        <f>HLOOKUP(HLOOKUP(G635,'THP2'!$B$4:$J$8,5,FALSE),'Fuel &amp; Resister'!$B$3:$G$6,4,FALSE)</f>
        <v>1.7552248062015501</v>
      </c>
      <c r="AJ635" s="41">
        <f>HLOOKUP(HLOOKUP(G635,'THP2'!$B$4:$J$8,5,FALSE),'Fuel &amp; Resister'!$B$3:$G$6,3,FALSE)</f>
        <v>6.1345057489290813</v>
      </c>
      <c r="AO635" s="1">
        <v>1</v>
      </c>
      <c r="AP635" s="1">
        <v>1</v>
      </c>
    </row>
    <row r="636" spans="1:42" x14ac:dyDescent="0.15">
      <c r="B636" s="79" t="s">
        <v>618</v>
      </c>
      <c r="C636" s="61">
        <f>VLOOKUP(B636,[1]SYS!$F$5:$G$359,2,FALSE)</f>
        <v>308</v>
      </c>
      <c r="D636" s="1" t="s">
        <v>23</v>
      </c>
      <c r="E636" s="65" t="s">
        <v>44</v>
      </c>
      <c r="F636" s="63" t="s">
        <v>469</v>
      </c>
      <c r="G636" s="1">
        <v>5</v>
      </c>
      <c r="H636" s="1">
        <f t="shared" si="156"/>
        <v>0.30201342281879195</v>
      </c>
      <c r="I636" s="1">
        <f t="shared" si="157"/>
        <v>0.14899999999999999</v>
      </c>
      <c r="J636" s="1">
        <f t="shared" si="135"/>
        <v>7.6400000000000023E-2</v>
      </c>
      <c r="K636" s="1">
        <f t="shared" si="158"/>
        <v>3.0049899999999998</v>
      </c>
      <c r="L636" s="1">
        <f t="shared" si="159"/>
        <v>2.5072899999999998</v>
      </c>
      <c r="M636" s="49">
        <f t="shared" si="160"/>
        <v>0.74909707345116561</v>
      </c>
      <c r="N636" s="49">
        <v>1.1919999999999999</v>
      </c>
      <c r="O636" s="1">
        <v>403</v>
      </c>
      <c r="P636" s="51">
        <v>0</v>
      </c>
      <c r="Q636" s="51">
        <v>8</v>
      </c>
      <c r="R636" s="51">
        <v>1</v>
      </c>
      <c r="S636" s="1">
        <v>1</v>
      </c>
      <c r="T636" s="1">
        <v>0</v>
      </c>
      <c r="U636" s="47">
        <v>1</v>
      </c>
      <c r="V636" s="47">
        <v>133</v>
      </c>
      <c r="W636" s="41">
        <v>45</v>
      </c>
      <c r="X636">
        <v>149</v>
      </c>
      <c r="Y636">
        <v>0.92359999999999998</v>
      </c>
      <c r="Z636">
        <v>3004.99</v>
      </c>
      <c r="AA636">
        <v>2507.29</v>
      </c>
      <c r="AB636">
        <v>119.2</v>
      </c>
      <c r="AC636">
        <v>55</v>
      </c>
      <c r="AD636" s="41">
        <f t="shared" si="161"/>
        <v>0.28619063624171798</v>
      </c>
      <c r="AE636" s="41">
        <f t="shared" si="162"/>
        <v>0.34299981254661405</v>
      </c>
      <c r="AF636">
        <f t="shared" si="163"/>
        <v>2.2919390384615381</v>
      </c>
      <c r="AG636">
        <f t="shared" si="164"/>
        <v>3.2087293269230786E-2</v>
      </c>
      <c r="AH636">
        <f t="shared" si="165"/>
        <v>1.1919999999999999</v>
      </c>
      <c r="AI636">
        <f>HLOOKUP(HLOOKUP(G636,'THP2'!$B$4:$J$8,5,FALSE),'Fuel &amp; Resister'!$B$3:$G$6,4,FALSE)</f>
        <v>1.7552248062015501</v>
      </c>
      <c r="AJ636" s="41">
        <f>HLOOKUP(HLOOKUP(G636,'THP2'!$B$4:$J$8,5,FALSE),'Fuel &amp; Resister'!$B$3:$G$6,3,FALSE)</f>
        <v>6.1345057489290813</v>
      </c>
      <c r="AO636" s="1">
        <v>1</v>
      </c>
      <c r="AP636" s="1">
        <v>1</v>
      </c>
    </row>
    <row r="637" spans="1:42" x14ac:dyDescent="0.15">
      <c r="A637" s="41" t="s">
        <v>691</v>
      </c>
      <c r="B637" s="80" t="s">
        <v>581</v>
      </c>
      <c r="C637" s="61">
        <f>VLOOKUP(B637,[1]SYS!$F$5:$G$359,2,FALSE)</f>
        <v>3</v>
      </c>
      <c r="D637" s="1" t="s">
        <v>23</v>
      </c>
      <c r="E637" s="65" t="s">
        <v>51</v>
      </c>
      <c r="F637" s="63" t="s">
        <v>496</v>
      </c>
      <c r="G637" s="1">
        <v>6</v>
      </c>
      <c r="H637" s="1">
        <f>W637/X637</f>
        <v>0.15</v>
      </c>
      <c r="I637" s="1">
        <f>X637/1000</f>
        <v>0.7</v>
      </c>
      <c r="J637" s="1">
        <f t="shared" ref="J637:J700" si="166">1-Y637</f>
        <v>5.0000000000000044E-2</v>
      </c>
      <c r="K637" s="1">
        <f>Z637/1000</f>
        <v>2.82944</v>
      </c>
      <c r="L637" s="1">
        <f>AA637/1000</f>
        <v>1.9992699999999999</v>
      </c>
      <c r="M637" s="49">
        <f>(I637*10^6*L637/AJ637*AI637/10^6)*24*365/1000*$A$638</f>
        <v>1.1022234086698626</v>
      </c>
      <c r="N637" s="49">
        <v>7.28</v>
      </c>
      <c r="O637" s="1">
        <v>403</v>
      </c>
      <c r="P637" s="51">
        <v>0.05</v>
      </c>
      <c r="Q637" s="51">
        <v>8</v>
      </c>
      <c r="R637" s="51">
        <v>1</v>
      </c>
      <c r="S637" s="1">
        <v>1</v>
      </c>
      <c r="T637" s="1">
        <v>0</v>
      </c>
      <c r="U637" s="47">
        <v>1</v>
      </c>
      <c r="V637" s="47">
        <v>1</v>
      </c>
      <c r="W637" s="41">
        <v>105</v>
      </c>
      <c r="X637">
        <v>700</v>
      </c>
      <c r="Y637">
        <v>0.95</v>
      </c>
      <c r="Z637">
        <v>2829.44</v>
      </c>
      <c r="AA637">
        <v>1999.27</v>
      </c>
      <c r="AB637">
        <v>728</v>
      </c>
      <c r="AC637">
        <v>55</v>
      </c>
      <c r="AD637" s="41">
        <f>1/Z637*860</f>
        <v>0.30394707079846189</v>
      </c>
      <c r="AE637" s="41">
        <f>1/AA637*860</f>
        <v>0.43015700730766732</v>
      </c>
      <c r="AF637">
        <f>(L637-H637*K637)/(1-H637)</f>
        <v>1.852769411764706</v>
      </c>
      <c r="AG637">
        <f>I637*(L637-AF637)</f>
        <v>0.10255041176470571</v>
      </c>
      <c r="AH637">
        <f>AB637/100</f>
        <v>7.28</v>
      </c>
      <c r="AI637">
        <f>HLOOKUP(HLOOKUP(G637,'THP2'!$B$4:$J$8,5,FALSE),'Fuel &amp; Resister'!$B$3:$G$6,4,FALSE)</f>
        <v>1.048259259259259</v>
      </c>
      <c r="AJ637" s="41">
        <f>HLOOKUP(HLOOKUP(G637,'THP2'!$B$4:$J$8,5,FALSE),'Fuel &amp; Resister'!$B$3:$G$6,3,FALSE)</f>
        <v>5.829652622441694</v>
      </c>
      <c r="AO637" s="1"/>
      <c r="AP637" s="1"/>
    </row>
    <row r="638" spans="1:42" x14ac:dyDescent="0.15">
      <c r="A638" s="41">
        <v>0.5</v>
      </c>
      <c r="B638" s="80" t="s">
        <v>581</v>
      </c>
      <c r="C638" s="61">
        <f>VLOOKUP(B638,[1]SYS!$F$5:$G$359,2,FALSE)</f>
        <v>3</v>
      </c>
      <c r="D638" s="1" t="s">
        <v>23</v>
      </c>
      <c r="E638" s="65" t="s">
        <v>52</v>
      </c>
      <c r="F638" s="42"/>
      <c r="G638" s="1">
        <v>6</v>
      </c>
      <c r="H638" s="1">
        <f t="shared" ref="H638:H701" si="167">W638/X638</f>
        <v>0.3</v>
      </c>
      <c r="I638" s="1">
        <f t="shared" ref="I638:I701" si="168">X638/1000</f>
        <v>0.02</v>
      </c>
      <c r="J638" s="1">
        <f t="shared" si="166"/>
        <v>0</v>
      </c>
      <c r="K638" s="1">
        <f t="shared" ref="K638:K701" si="169">Z638/1000</f>
        <v>2.6005400000000001</v>
      </c>
      <c r="L638" s="1">
        <f t="shared" ref="L638:L701" si="170">AA638/1000</f>
        <v>2.1698300000000001</v>
      </c>
      <c r="M638" s="49">
        <f t="shared" ref="M638:M701" si="171">(I638*10^6*L638/AJ638*AI638/10^6)*24*365/1000*$A$638</f>
        <v>3.4178724074774833E-2</v>
      </c>
      <c r="N638" s="49">
        <v>0.16</v>
      </c>
      <c r="O638" s="1">
        <v>903</v>
      </c>
      <c r="P638" s="51">
        <v>0.05</v>
      </c>
      <c r="Q638" s="51">
        <v>8</v>
      </c>
      <c r="R638" s="51">
        <v>1</v>
      </c>
      <c r="S638" s="1">
        <v>1</v>
      </c>
      <c r="T638" s="1">
        <v>0</v>
      </c>
      <c r="U638" s="47">
        <v>1</v>
      </c>
      <c r="V638" s="47">
        <v>2</v>
      </c>
      <c r="W638" s="41">
        <v>6</v>
      </c>
      <c r="X638">
        <v>20</v>
      </c>
      <c r="Y638">
        <v>1</v>
      </c>
      <c r="Z638">
        <v>2600.54</v>
      </c>
      <c r="AA638">
        <v>2169.83</v>
      </c>
      <c r="AB638">
        <v>16</v>
      </c>
      <c r="AC638">
        <v>55</v>
      </c>
      <c r="AD638" s="41">
        <f t="shared" ref="AD638:AD701" si="172">1/Z638*860</f>
        <v>0.33070054680950883</v>
      </c>
      <c r="AE638" s="41">
        <f t="shared" ref="AE638:AE701" si="173">1/AA638*860</f>
        <v>0.39634441407852228</v>
      </c>
      <c r="AF638">
        <f t="shared" ref="AF638:AF701" si="174">(L638-H638*K638)/(1-H638)</f>
        <v>1.9852400000000003</v>
      </c>
      <c r="AG638">
        <f t="shared" ref="AG638:AG701" si="175">I638*(L638-AF638)</f>
        <v>3.6917999999999964E-3</v>
      </c>
      <c r="AH638">
        <f t="shared" ref="AH638:AH701" si="176">AB638/100</f>
        <v>0.16</v>
      </c>
      <c r="AI638">
        <f>HLOOKUP(HLOOKUP(G638,'THP2'!$B$4:$J$8,5,FALSE),'Fuel &amp; Resister'!$B$3:$G$6,4,FALSE)</f>
        <v>1.048259259259259</v>
      </c>
      <c r="AJ638" s="41">
        <f>HLOOKUP(HLOOKUP(G638,'THP2'!$B$4:$J$8,5,FALSE),'Fuel &amp; Resister'!$B$3:$G$6,3,FALSE)</f>
        <v>5.829652622441694</v>
      </c>
      <c r="AO638" s="1">
        <v>1</v>
      </c>
      <c r="AP638" s="1">
        <v>1</v>
      </c>
    </row>
    <row r="639" spans="1:42" x14ac:dyDescent="0.15">
      <c r="B639" s="80" t="s">
        <v>581</v>
      </c>
      <c r="C639" s="61">
        <f>VLOOKUP(B639,[1]SYS!$F$5:$G$359,2,FALSE)</f>
        <v>3</v>
      </c>
      <c r="D639" s="1" t="s">
        <v>23</v>
      </c>
      <c r="E639" s="65" t="s">
        <v>53</v>
      </c>
      <c r="F639" s="63" t="s">
        <v>529</v>
      </c>
      <c r="G639" s="1">
        <v>6</v>
      </c>
      <c r="H639" s="1">
        <f t="shared" si="167"/>
        <v>0.3</v>
      </c>
      <c r="I639" s="1">
        <f t="shared" si="168"/>
        <v>0.1</v>
      </c>
      <c r="J639" s="1">
        <f t="shared" si="166"/>
        <v>6.0000000000000053E-2</v>
      </c>
      <c r="K639" s="1">
        <f t="shared" si="169"/>
        <v>2.6328</v>
      </c>
      <c r="L639" s="1">
        <f t="shared" si="170"/>
        <v>2.1967399999999997</v>
      </c>
      <c r="M639" s="49">
        <f t="shared" si="171"/>
        <v>0.17301302480844319</v>
      </c>
      <c r="N639" s="49">
        <v>0.8</v>
      </c>
      <c r="O639" s="1">
        <v>1004</v>
      </c>
      <c r="P639" s="51">
        <v>0</v>
      </c>
      <c r="Q639" s="51">
        <v>8</v>
      </c>
      <c r="R639" s="51">
        <v>1</v>
      </c>
      <c r="S639" s="1">
        <v>1</v>
      </c>
      <c r="T639" s="1">
        <v>0</v>
      </c>
      <c r="U639" s="47">
        <v>1</v>
      </c>
      <c r="V639" s="47">
        <v>3</v>
      </c>
      <c r="W639" s="41">
        <v>30</v>
      </c>
      <c r="X639">
        <v>100</v>
      </c>
      <c r="Y639">
        <v>0.94</v>
      </c>
      <c r="Z639">
        <v>2632.8</v>
      </c>
      <c r="AA639">
        <v>2196.7399999999998</v>
      </c>
      <c r="AB639">
        <v>80</v>
      </c>
      <c r="AC639">
        <v>55</v>
      </c>
      <c r="AD639" s="41">
        <f t="shared" si="172"/>
        <v>0.32664843512610148</v>
      </c>
      <c r="AE639" s="41">
        <f t="shared" si="173"/>
        <v>0.39148920673361437</v>
      </c>
      <c r="AF639">
        <f t="shared" si="174"/>
        <v>2.0098571428571428</v>
      </c>
      <c r="AG639">
        <f t="shared" si="175"/>
        <v>1.8688285714285692E-2</v>
      </c>
      <c r="AH639">
        <f t="shared" si="176"/>
        <v>0.8</v>
      </c>
      <c r="AI639">
        <f>HLOOKUP(HLOOKUP(G639,'THP2'!$B$4:$J$8,5,FALSE),'Fuel &amp; Resister'!$B$3:$G$6,4,FALSE)</f>
        <v>1.048259259259259</v>
      </c>
      <c r="AJ639" s="41">
        <f>HLOOKUP(HLOOKUP(G639,'THP2'!$B$4:$J$8,5,FALSE),'Fuel &amp; Resister'!$B$3:$G$6,3,FALSE)</f>
        <v>5.829652622441694</v>
      </c>
      <c r="AO639" s="1">
        <v>1</v>
      </c>
      <c r="AP639" s="1">
        <v>1</v>
      </c>
    </row>
    <row r="640" spans="1:42" x14ac:dyDescent="0.15">
      <c r="B640" s="80" t="s">
        <v>581</v>
      </c>
      <c r="C640" s="61">
        <f>VLOOKUP(B640,[1]SYS!$F$5:$G$359,2,FALSE)</f>
        <v>3</v>
      </c>
      <c r="D640" s="1" t="s">
        <v>23</v>
      </c>
      <c r="E640" s="65" t="s">
        <v>54</v>
      </c>
      <c r="F640" s="63" t="s">
        <v>530</v>
      </c>
      <c r="G640" s="1">
        <v>6</v>
      </c>
      <c r="H640" s="1">
        <f t="shared" si="167"/>
        <v>0.3</v>
      </c>
      <c r="I640" s="1">
        <f t="shared" si="168"/>
        <v>0.18</v>
      </c>
      <c r="J640" s="1">
        <f t="shared" si="166"/>
        <v>6.0000000000000053E-2</v>
      </c>
      <c r="K640" s="1">
        <f t="shared" si="169"/>
        <v>2.6328</v>
      </c>
      <c r="L640" s="1">
        <f t="shared" si="170"/>
        <v>2.1967399999999997</v>
      </c>
      <c r="M640" s="49">
        <f t="shared" si="171"/>
        <v>0.31142344465519772</v>
      </c>
      <c r="N640" s="49">
        <v>1.44</v>
      </c>
      <c r="O640" s="1">
        <v>903</v>
      </c>
      <c r="P640" s="51">
        <v>0</v>
      </c>
      <c r="Q640" s="51">
        <v>8</v>
      </c>
      <c r="R640" s="51">
        <v>1</v>
      </c>
      <c r="S640" s="1">
        <v>1</v>
      </c>
      <c r="T640" s="1">
        <v>0</v>
      </c>
      <c r="U640" s="47">
        <v>1</v>
      </c>
      <c r="V640" s="47">
        <v>4</v>
      </c>
      <c r="W640" s="41">
        <v>54</v>
      </c>
      <c r="X640">
        <v>180</v>
      </c>
      <c r="Y640">
        <v>0.94</v>
      </c>
      <c r="Z640">
        <v>2632.8</v>
      </c>
      <c r="AA640">
        <v>2196.7399999999998</v>
      </c>
      <c r="AB640">
        <v>144</v>
      </c>
      <c r="AC640">
        <v>55</v>
      </c>
      <c r="AD640" s="41">
        <f t="shared" si="172"/>
        <v>0.32664843512610148</v>
      </c>
      <c r="AE640" s="41">
        <f t="shared" si="173"/>
        <v>0.39148920673361437</v>
      </c>
      <c r="AF640">
        <f t="shared" si="174"/>
        <v>2.0098571428571428</v>
      </c>
      <c r="AG640">
        <f t="shared" si="175"/>
        <v>3.3638914285714243E-2</v>
      </c>
      <c r="AH640">
        <f t="shared" si="176"/>
        <v>1.44</v>
      </c>
      <c r="AI640">
        <f>HLOOKUP(HLOOKUP(G640,'THP2'!$B$4:$J$8,5,FALSE),'Fuel &amp; Resister'!$B$3:$G$6,4,FALSE)</f>
        <v>1.048259259259259</v>
      </c>
      <c r="AJ640" s="41">
        <f>HLOOKUP(HLOOKUP(G640,'THP2'!$B$4:$J$8,5,FALSE),'Fuel &amp; Resister'!$B$3:$G$6,3,FALSE)</f>
        <v>5.829652622441694</v>
      </c>
      <c r="AO640" s="1">
        <v>1</v>
      </c>
      <c r="AP640" s="1">
        <v>1</v>
      </c>
    </row>
    <row r="641" spans="1:42" x14ac:dyDescent="0.15">
      <c r="A641"/>
      <c r="B641" s="80" t="s">
        <v>582</v>
      </c>
      <c r="C641" s="61">
        <f>VLOOKUP(B641,[1]SYS!$F$5:$G$359,2,FALSE)</f>
        <v>40</v>
      </c>
      <c r="D641" s="1" t="s">
        <v>23</v>
      </c>
      <c r="E641" s="65" t="s">
        <v>55</v>
      </c>
      <c r="F641" s="63" t="s">
        <v>509</v>
      </c>
      <c r="G641" s="1">
        <v>6</v>
      </c>
      <c r="H641" s="1">
        <f t="shared" si="167"/>
        <v>0.3</v>
      </c>
      <c r="I641" s="1">
        <f t="shared" si="168"/>
        <v>0.65</v>
      </c>
      <c r="J641" s="1">
        <f t="shared" si="166"/>
        <v>6.2000000000000055E-2</v>
      </c>
      <c r="K641" s="1">
        <f t="shared" si="169"/>
        <v>2.3969999999999998</v>
      </c>
      <c r="L641" s="1">
        <f t="shared" si="170"/>
        <v>2</v>
      </c>
      <c r="M641" s="49">
        <f t="shared" si="171"/>
        <v>1.023866876603404</v>
      </c>
      <c r="N641" s="49">
        <v>6.7125000000000004</v>
      </c>
      <c r="O641" s="1">
        <v>403</v>
      </c>
      <c r="P641" s="51">
        <v>0.05</v>
      </c>
      <c r="Q641" s="51">
        <v>8</v>
      </c>
      <c r="R641" s="51">
        <v>1</v>
      </c>
      <c r="S641" s="1">
        <v>1</v>
      </c>
      <c r="T641" s="1">
        <v>0</v>
      </c>
      <c r="U641" s="47">
        <v>1</v>
      </c>
      <c r="V641" s="47">
        <v>5</v>
      </c>
      <c r="W641" s="41">
        <v>195</v>
      </c>
      <c r="X641">
        <v>650</v>
      </c>
      <c r="Y641">
        <v>0.93799999999999994</v>
      </c>
      <c r="Z641">
        <v>2397</v>
      </c>
      <c r="AA641">
        <v>2000</v>
      </c>
      <c r="AB641">
        <v>671.25</v>
      </c>
      <c r="AC641">
        <v>55</v>
      </c>
      <c r="AD641" s="41">
        <f t="shared" si="172"/>
        <v>0.35878181059657904</v>
      </c>
      <c r="AE641" s="41">
        <f t="shared" si="173"/>
        <v>0.43</v>
      </c>
      <c r="AF641">
        <f t="shared" si="174"/>
        <v>1.8298571428571428</v>
      </c>
      <c r="AG641">
        <f t="shared" si="175"/>
        <v>0.11059285714285715</v>
      </c>
      <c r="AH641">
        <f t="shared" si="176"/>
        <v>6.7125000000000004</v>
      </c>
      <c r="AI641">
        <f>HLOOKUP(HLOOKUP(G641,'THP2'!$B$4:$J$8,5,FALSE),'Fuel &amp; Resister'!$B$3:$G$6,4,FALSE)</f>
        <v>1.048259259259259</v>
      </c>
      <c r="AJ641" s="41">
        <f>HLOOKUP(HLOOKUP(G641,'THP2'!$B$4:$J$8,5,FALSE),'Fuel &amp; Resister'!$B$3:$G$6,3,FALSE)</f>
        <v>5.829652622441694</v>
      </c>
      <c r="AO641" s="1">
        <v>1</v>
      </c>
      <c r="AP641" s="1">
        <v>1</v>
      </c>
    </row>
    <row r="642" spans="1:42" x14ac:dyDescent="0.15">
      <c r="A642"/>
      <c r="B642" s="80" t="s">
        <v>582</v>
      </c>
      <c r="C642" s="61">
        <f>VLOOKUP(B642,[1]SYS!$F$5:$G$359,2,FALSE)</f>
        <v>40</v>
      </c>
      <c r="D642" s="1" t="s">
        <v>23</v>
      </c>
      <c r="E642" s="65" t="s">
        <v>56</v>
      </c>
      <c r="F642" s="63" t="s">
        <v>510</v>
      </c>
      <c r="G642" s="1">
        <v>6</v>
      </c>
      <c r="H642" s="1">
        <f t="shared" si="167"/>
        <v>0.3</v>
      </c>
      <c r="I642" s="1">
        <f t="shared" si="168"/>
        <v>0.65</v>
      </c>
      <c r="J642" s="1">
        <f t="shared" si="166"/>
        <v>6.2000000000000055E-2</v>
      </c>
      <c r="K642" s="1">
        <f t="shared" si="169"/>
        <v>2.3969999999999998</v>
      </c>
      <c r="L642" s="1">
        <f t="shared" si="170"/>
        <v>2</v>
      </c>
      <c r="M642" s="49">
        <f t="shared" si="171"/>
        <v>1.023866876603404</v>
      </c>
      <c r="N642" s="49">
        <v>6.7125000000000004</v>
      </c>
      <c r="O642" s="1">
        <v>903</v>
      </c>
      <c r="P642" s="51">
        <v>0.05</v>
      </c>
      <c r="Q642" s="51">
        <v>8</v>
      </c>
      <c r="R642" s="51">
        <v>1</v>
      </c>
      <c r="S642" s="1">
        <v>1</v>
      </c>
      <c r="T642" s="1">
        <v>0</v>
      </c>
      <c r="U642" s="47">
        <v>1</v>
      </c>
      <c r="V642" s="47">
        <v>6</v>
      </c>
      <c r="W642" s="41">
        <v>195</v>
      </c>
      <c r="X642">
        <v>650</v>
      </c>
      <c r="Y642">
        <v>0.93799999999999994</v>
      </c>
      <c r="Z642">
        <v>2397</v>
      </c>
      <c r="AA642">
        <v>2000</v>
      </c>
      <c r="AB642">
        <v>671.25</v>
      </c>
      <c r="AC642">
        <v>55</v>
      </c>
      <c r="AD642" s="41">
        <f t="shared" si="172"/>
        <v>0.35878181059657904</v>
      </c>
      <c r="AE642" s="41">
        <f t="shared" si="173"/>
        <v>0.43</v>
      </c>
      <c r="AF642">
        <f t="shared" si="174"/>
        <v>1.8298571428571428</v>
      </c>
      <c r="AG642">
        <f t="shared" si="175"/>
        <v>0.11059285714285715</v>
      </c>
      <c r="AH642">
        <f t="shared" si="176"/>
        <v>6.7125000000000004</v>
      </c>
      <c r="AI642">
        <f>HLOOKUP(HLOOKUP(G642,'THP2'!$B$4:$J$8,5,FALSE),'Fuel &amp; Resister'!$B$3:$G$6,4,FALSE)</f>
        <v>1.048259259259259</v>
      </c>
      <c r="AJ642" s="41">
        <f>HLOOKUP(HLOOKUP(G642,'THP2'!$B$4:$J$8,5,FALSE),'Fuel &amp; Resister'!$B$3:$G$6,3,FALSE)</f>
        <v>5.829652622441694</v>
      </c>
      <c r="AO642" s="1">
        <v>1</v>
      </c>
      <c r="AP642" s="62">
        <v>0</v>
      </c>
    </row>
    <row r="643" spans="1:42" x14ac:dyDescent="0.15">
      <c r="A643"/>
      <c r="B643" s="80" t="s">
        <v>583</v>
      </c>
      <c r="C643" s="61">
        <f>VLOOKUP(B643,[1]SYS!$F$5:$G$359,2,FALSE)</f>
        <v>39</v>
      </c>
      <c r="D643" s="1" t="s">
        <v>23</v>
      </c>
      <c r="E643" s="65" t="s">
        <v>57</v>
      </c>
      <c r="F643" s="63" t="s">
        <v>488</v>
      </c>
      <c r="G643" s="1">
        <v>6</v>
      </c>
      <c r="H643" s="1">
        <f t="shared" si="167"/>
        <v>0.3</v>
      </c>
      <c r="I643" s="1">
        <f t="shared" si="168"/>
        <v>0.6</v>
      </c>
      <c r="J643" s="1">
        <f t="shared" si="166"/>
        <v>5.1699999999999968E-2</v>
      </c>
      <c r="K643" s="1">
        <f t="shared" si="169"/>
        <v>2.3969999999999998</v>
      </c>
      <c r="L643" s="1">
        <f t="shared" si="170"/>
        <v>2</v>
      </c>
      <c r="M643" s="49">
        <f t="shared" si="171"/>
        <v>0.94510788609545004</v>
      </c>
      <c r="N643" s="49">
        <v>6.1449999999999996</v>
      </c>
      <c r="O643" s="1">
        <v>903</v>
      </c>
      <c r="P643" s="51">
        <v>0.05</v>
      </c>
      <c r="Q643" s="51">
        <v>8</v>
      </c>
      <c r="R643" s="51">
        <v>1</v>
      </c>
      <c r="S643" s="1">
        <v>1</v>
      </c>
      <c r="T643" s="1">
        <v>0</v>
      </c>
      <c r="U643" s="47">
        <v>1</v>
      </c>
      <c r="V643" s="47">
        <v>7</v>
      </c>
      <c r="W643" s="41">
        <v>180</v>
      </c>
      <c r="X643">
        <v>600</v>
      </c>
      <c r="Y643">
        <v>0.94830000000000003</v>
      </c>
      <c r="Z643">
        <v>2397</v>
      </c>
      <c r="AA643">
        <v>2000</v>
      </c>
      <c r="AB643">
        <v>614.5</v>
      </c>
      <c r="AC643">
        <v>55</v>
      </c>
      <c r="AD643" s="41">
        <f t="shared" si="172"/>
        <v>0.35878181059657904</v>
      </c>
      <c r="AE643" s="41">
        <f t="shared" si="173"/>
        <v>0.43</v>
      </c>
      <c r="AF643">
        <f t="shared" si="174"/>
        <v>1.8298571428571428</v>
      </c>
      <c r="AG643">
        <f t="shared" si="175"/>
        <v>0.10208571428571429</v>
      </c>
      <c r="AH643">
        <f t="shared" si="176"/>
        <v>6.1449999999999996</v>
      </c>
      <c r="AI643">
        <f>HLOOKUP(HLOOKUP(G643,'THP2'!$B$4:$J$8,5,FALSE),'Fuel &amp; Resister'!$B$3:$G$6,4,FALSE)</f>
        <v>1.048259259259259</v>
      </c>
      <c r="AJ643" s="41">
        <f>HLOOKUP(HLOOKUP(G643,'THP2'!$B$4:$J$8,5,FALSE),'Fuel &amp; Resister'!$B$3:$G$6,3,FALSE)</f>
        <v>5.829652622441694</v>
      </c>
      <c r="AO643" s="1">
        <v>1</v>
      </c>
      <c r="AP643" s="62">
        <v>0</v>
      </c>
    </row>
    <row r="644" spans="1:42" x14ac:dyDescent="0.15">
      <c r="A644"/>
      <c r="B644" s="80" t="s">
        <v>584</v>
      </c>
      <c r="C644" s="61">
        <f>VLOOKUP(B644,[1]SYS!$F$5:$G$359,2,FALSE)</f>
        <v>62</v>
      </c>
      <c r="D644" s="1" t="s">
        <v>23</v>
      </c>
      <c r="E644" s="42" t="s">
        <v>58</v>
      </c>
      <c r="F644" s="63" t="s">
        <v>497</v>
      </c>
      <c r="G644" s="1">
        <v>6</v>
      </c>
      <c r="H644" s="1">
        <f t="shared" si="167"/>
        <v>0.187</v>
      </c>
      <c r="I644" s="1">
        <f t="shared" si="168"/>
        <v>1</v>
      </c>
      <c r="J644" s="1">
        <f t="shared" si="166"/>
        <v>5.3000000000000047E-2</v>
      </c>
      <c r="K644" s="1">
        <f t="shared" si="169"/>
        <v>2.6754199999999999</v>
      </c>
      <c r="L644" s="1">
        <f t="shared" si="170"/>
        <v>2.02793</v>
      </c>
      <c r="M644" s="49">
        <f t="shared" si="171"/>
        <v>1.5971771962079546</v>
      </c>
      <c r="N644" s="49">
        <v>15</v>
      </c>
      <c r="O644" s="1">
        <v>403</v>
      </c>
      <c r="P644" s="51">
        <v>0.05</v>
      </c>
      <c r="Q644" s="51">
        <v>8</v>
      </c>
      <c r="R644" s="51">
        <v>1</v>
      </c>
      <c r="S644" s="1">
        <v>1</v>
      </c>
      <c r="T644" s="1">
        <v>0</v>
      </c>
      <c r="U644" s="47">
        <v>0</v>
      </c>
      <c r="V644" s="47">
        <v>8</v>
      </c>
      <c r="W644" s="41">
        <v>187</v>
      </c>
      <c r="X644">
        <v>1000</v>
      </c>
      <c r="Y644">
        <v>0.94699999999999995</v>
      </c>
      <c r="Z644">
        <v>2675.42</v>
      </c>
      <c r="AA644">
        <v>2027.93</v>
      </c>
      <c r="AB644">
        <v>1500</v>
      </c>
      <c r="AC644">
        <v>55</v>
      </c>
      <c r="AD644" s="41">
        <f t="shared" si="172"/>
        <v>0.32144485725605698</v>
      </c>
      <c r="AE644" s="41">
        <f t="shared" si="173"/>
        <v>0.42407775416311211</v>
      </c>
      <c r="AF644">
        <f t="shared" si="174"/>
        <v>1.8789993357933581</v>
      </c>
      <c r="AG644">
        <f t="shared" si="175"/>
        <v>0.14893066420664192</v>
      </c>
      <c r="AH644">
        <f t="shared" si="176"/>
        <v>15</v>
      </c>
      <c r="AI644">
        <f>HLOOKUP(HLOOKUP(G644,'THP2'!$B$4:$J$8,5,FALSE),'Fuel &amp; Resister'!$B$3:$G$6,4,FALSE)</f>
        <v>1.048259259259259</v>
      </c>
      <c r="AJ644" s="41">
        <f>HLOOKUP(HLOOKUP(G644,'THP2'!$B$4:$J$8,5,FALSE),'Fuel &amp; Resister'!$B$3:$G$6,3,FALSE)</f>
        <v>5.829652622441694</v>
      </c>
      <c r="AO644" s="62">
        <v>0</v>
      </c>
      <c r="AP644" s="62">
        <v>0</v>
      </c>
    </row>
    <row r="645" spans="1:42" x14ac:dyDescent="0.15">
      <c r="A645"/>
      <c r="B645" s="80" t="s">
        <v>584</v>
      </c>
      <c r="C645" s="61">
        <f>VLOOKUP(B645,[1]SYS!$F$5:$G$359,2,FALSE)</f>
        <v>62</v>
      </c>
      <c r="D645" s="1" t="s">
        <v>23</v>
      </c>
      <c r="E645" s="42" t="s">
        <v>59</v>
      </c>
      <c r="F645" s="63" t="s">
        <v>497</v>
      </c>
      <c r="G645" s="1">
        <v>6</v>
      </c>
      <c r="H645" s="1">
        <f t="shared" si="167"/>
        <v>0.16200000000000001</v>
      </c>
      <c r="I645" s="1">
        <f t="shared" si="168"/>
        <v>1</v>
      </c>
      <c r="J645" s="1">
        <f t="shared" si="166"/>
        <v>5.600000000000005E-2</v>
      </c>
      <c r="K645" s="1">
        <f t="shared" si="169"/>
        <v>2.87622</v>
      </c>
      <c r="L645" s="1">
        <f t="shared" si="170"/>
        <v>2.03233</v>
      </c>
      <c r="M645" s="49">
        <f t="shared" si="171"/>
        <v>1.6006425917903047</v>
      </c>
      <c r="N645" s="49">
        <v>15</v>
      </c>
      <c r="O645" s="1">
        <v>504</v>
      </c>
      <c r="P645" s="51">
        <v>0.05</v>
      </c>
      <c r="Q645" s="51">
        <v>8</v>
      </c>
      <c r="R645" s="51">
        <v>1</v>
      </c>
      <c r="S645" s="1">
        <v>1</v>
      </c>
      <c r="T645" s="1">
        <v>0</v>
      </c>
      <c r="U645" s="47">
        <v>0</v>
      </c>
      <c r="V645" s="47">
        <v>9</v>
      </c>
      <c r="W645" s="41">
        <v>162</v>
      </c>
      <c r="X645">
        <v>1000</v>
      </c>
      <c r="Y645">
        <v>0.94399999999999995</v>
      </c>
      <c r="Z645">
        <v>2876.22</v>
      </c>
      <c r="AA645">
        <v>2032.33</v>
      </c>
      <c r="AB645">
        <v>1500</v>
      </c>
      <c r="AC645">
        <v>55</v>
      </c>
      <c r="AD645" s="41">
        <f t="shared" si="172"/>
        <v>0.29900355327478428</v>
      </c>
      <c r="AE645" s="41">
        <f t="shared" si="173"/>
        <v>0.42315962466725388</v>
      </c>
      <c r="AF645">
        <f t="shared" si="174"/>
        <v>1.8691913603818615</v>
      </c>
      <c r="AG645">
        <f t="shared" si="175"/>
        <v>0.16313863961813846</v>
      </c>
      <c r="AH645">
        <f t="shared" si="176"/>
        <v>15</v>
      </c>
      <c r="AI645">
        <f>HLOOKUP(HLOOKUP(G645,'THP2'!$B$4:$J$8,5,FALSE),'Fuel &amp; Resister'!$B$3:$G$6,4,FALSE)</f>
        <v>1.048259259259259</v>
      </c>
      <c r="AJ645" s="41">
        <f>HLOOKUP(HLOOKUP(G645,'THP2'!$B$4:$J$8,5,FALSE),'Fuel &amp; Resister'!$B$3:$G$6,3,FALSE)</f>
        <v>5.829652622441694</v>
      </c>
      <c r="AO645" s="62">
        <v>0</v>
      </c>
      <c r="AP645" s="62">
        <v>0</v>
      </c>
    </row>
    <row r="646" spans="1:42" x14ac:dyDescent="0.15">
      <c r="A646"/>
      <c r="B646" s="80" t="s">
        <v>583</v>
      </c>
      <c r="C646" s="61">
        <f>VLOOKUP(B646,[1]SYS!$F$5:$G$359,2,FALSE)</f>
        <v>39</v>
      </c>
      <c r="D646" s="1" t="s">
        <v>23</v>
      </c>
      <c r="E646" s="42" t="s">
        <v>60</v>
      </c>
      <c r="F646" s="63" t="s">
        <v>488</v>
      </c>
      <c r="G646" s="1">
        <v>6</v>
      </c>
      <c r="H646" s="1">
        <f t="shared" si="167"/>
        <v>0.3</v>
      </c>
      <c r="I646" s="1">
        <f t="shared" si="168"/>
        <v>0.6</v>
      </c>
      <c r="J646" s="1">
        <f t="shared" si="166"/>
        <v>5.4000000000000048E-2</v>
      </c>
      <c r="K646" s="1">
        <f t="shared" si="169"/>
        <v>2.4974699999999999</v>
      </c>
      <c r="L646" s="1">
        <f t="shared" si="170"/>
        <v>2.0838200000000002</v>
      </c>
      <c r="M646" s="49">
        <f t="shared" si="171"/>
        <v>0.98471735760171031</v>
      </c>
      <c r="N646" s="49">
        <v>6.1449999999999996</v>
      </c>
      <c r="O646" s="6">
        <v>305</v>
      </c>
      <c r="P646" s="51">
        <v>0.05</v>
      </c>
      <c r="Q646" s="51">
        <v>8</v>
      </c>
      <c r="R646" s="51">
        <v>1</v>
      </c>
      <c r="S646" s="1">
        <v>1</v>
      </c>
      <c r="T646" s="1">
        <v>0</v>
      </c>
      <c r="U646" s="47">
        <v>0</v>
      </c>
      <c r="V646" s="47">
        <v>10</v>
      </c>
      <c r="W646" s="41">
        <v>180</v>
      </c>
      <c r="X646">
        <v>600</v>
      </c>
      <c r="Y646">
        <v>0.94599999999999995</v>
      </c>
      <c r="Z646">
        <v>2497.4699999999998</v>
      </c>
      <c r="AA646">
        <v>2083.8200000000002</v>
      </c>
      <c r="AB646">
        <v>614.5</v>
      </c>
      <c r="AC646">
        <v>55</v>
      </c>
      <c r="AD646" s="41">
        <f t="shared" si="172"/>
        <v>0.3443484806624304</v>
      </c>
      <c r="AE646" s="41">
        <f t="shared" si="173"/>
        <v>0.41270359244080579</v>
      </c>
      <c r="AF646">
        <f t="shared" si="174"/>
        <v>1.9065414285714291</v>
      </c>
      <c r="AG646">
        <f t="shared" si="175"/>
        <v>0.1063671428571427</v>
      </c>
      <c r="AH646">
        <f t="shared" si="176"/>
        <v>6.1449999999999996</v>
      </c>
      <c r="AI646">
        <f>HLOOKUP(HLOOKUP(G646,'THP2'!$B$4:$J$8,5,FALSE),'Fuel &amp; Resister'!$B$3:$G$6,4,FALSE)</f>
        <v>1.048259259259259</v>
      </c>
      <c r="AJ646" s="41">
        <f>HLOOKUP(HLOOKUP(G646,'THP2'!$B$4:$J$8,5,FALSE),'Fuel &amp; Resister'!$B$3:$G$6,3,FALSE)</f>
        <v>5.829652622441694</v>
      </c>
      <c r="AO646" s="62">
        <v>0</v>
      </c>
      <c r="AP646" s="62">
        <v>0</v>
      </c>
    </row>
    <row r="647" spans="1:42" x14ac:dyDescent="0.15">
      <c r="A647"/>
      <c r="B647" s="80" t="s">
        <v>583</v>
      </c>
      <c r="C647" s="61">
        <f>VLOOKUP(B647,[1]SYS!$F$5:$G$359,2,FALSE)</f>
        <v>39</v>
      </c>
      <c r="D647" s="1" t="s">
        <v>23</v>
      </c>
      <c r="E647" s="42" t="s">
        <v>61</v>
      </c>
      <c r="F647" s="63" t="s">
        <v>488</v>
      </c>
      <c r="G647" s="1">
        <v>6</v>
      </c>
      <c r="H647" s="1">
        <f t="shared" si="167"/>
        <v>0.35</v>
      </c>
      <c r="I647" s="1">
        <f t="shared" si="168"/>
        <v>0.6</v>
      </c>
      <c r="J647" s="1">
        <f t="shared" si="166"/>
        <v>5.589999999999995E-2</v>
      </c>
      <c r="K647" s="1">
        <f t="shared" si="169"/>
        <v>2.44598</v>
      </c>
      <c r="L647" s="1">
        <f t="shared" si="170"/>
        <v>2.1020100000000004</v>
      </c>
      <c r="M647" s="49">
        <f t="shared" si="171"/>
        <v>0.99331311382574849</v>
      </c>
      <c r="N647" s="49">
        <v>6.1449999999999996</v>
      </c>
      <c r="O647" s="6">
        <v>305</v>
      </c>
      <c r="P647" s="51">
        <v>0.05</v>
      </c>
      <c r="Q647" s="51">
        <v>8</v>
      </c>
      <c r="R647" s="51">
        <v>1</v>
      </c>
      <c r="S647" s="1">
        <v>1</v>
      </c>
      <c r="T647" s="1">
        <v>0</v>
      </c>
      <c r="U647" s="47">
        <v>0</v>
      </c>
      <c r="V647" s="47">
        <v>11</v>
      </c>
      <c r="W647" s="41">
        <v>210</v>
      </c>
      <c r="X647">
        <v>600</v>
      </c>
      <c r="Y647">
        <v>0.94410000000000005</v>
      </c>
      <c r="Z647">
        <v>2445.98</v>
      </c>
      <c r="AA647">
        <v>2102.0100000000002</v>
      </c>
      <c r="AB647">
        <v>614.5</v>
      </c>
      <c r="AC647">
        <v>55</v>
      </c>
      <c r="AD647" s="41">
        <f t="shared" si="172"/>
        <v>0.35159731477771689</v>
      </c>
      <c r="AE647" s="41">
        <f t="shared" si="173"/>
        <v>0.40913221154989748</v>
      </c>
      <c r="AF647">
        <f t="shared" si="174"/>
        <v>1.9167953846153851</v>
      </c>
      <c r="AG647">
        <f t="shared" si="175"/>
        <v>0.11112876923076916</v>
      </c>
      <c r="AH647">
        <f t="shared" si="176"/>
        <v>6.1449999999999996</v>
      </c>
      <c r="AI647">
        <f>HLOOKUP(HLOOKUP(G647,'THP2'!$B$4:$J$8,5,FALSE),'Fuel &amp; Resister'!$B$3:$G$6,4,FALSE)</f>
        <v>1.048259259259259</v>
      </c>
      <c r="AJ647" s="41">
        <f>HLOOKUP(HLOOKUP(G647,'THP2'!$B$4:$J$8,5,FALSE),'Fuel &amp; Resister'!$B$3:$G$6,3,FALSE)</f>
        <v>5.829652622441694</v>
      </c>
      <c r="AO647" s="62">
        <v>0</v>
      </c>
      <c r="AP647" s="62">
        <v>0</v>
      </c>
    </row>
    <row r="648" spans="1:42" x14ac:dyDescent="0.15">
      <c r="A648"/>
      <c r="B648" s="80" t="s">
        <v>585</v>
      </c>
      <c r="C648" s="61">
        <f>VLOOKUP(B648,[1]SYS!$F$5:$G$359,2,FALSE)</f>
        <v>37</v>
      </c>
      <c r="D648" s="1" t="s">
        <v>23</v>
      </c>
      <c r="E648" s="42" t="s">
        <v>62</v>
      </c>
      <c r="F648" s="63" t="s">
        <v>475</v>
      </c>
      <c r="G648" s="1">
        <v>6</v>
      </c>
      <c r="H648" s="1">
        <f t="shared" si="167"/>
        <v>0.16400000000000001</v>
      </c>
      <c r="I648" s="1">
        <f t="shared" si="168"/>
        <v>1</v>
      </c>
      <c r="J648" s="1">
        <f t="shared" si="166"/>
        <v>5.6100000000000039E-2</v>
      </c>
      <c r="K648" s="1">
        <f t="shared" si="169"/>
        <v>2.9920999999999998</v>
      </c>
      <c r="L648" s="1">
        <f t="shared" si="170"/>
        <v>2.1142099999999999</v>
      </c>
      <c r="M648" s="49">
        <f t="shared" si="171"/>
        <v>1.6651304532182178</v>
      </c>
      <c r="N648" s="49">
        <v>15</v>
      </c>
      <c r="O648" s="1">
        <v>903</v>
      </c>
      <c r="P648" s="51">
        <v>0.05</v>
      </c>
      <c r="Q648" s="51">
        <v>8</v>
      </c>
      <c r="R648" s="51">
        <v>1</v>
      </c>
      <c r="S648" s="1">
        <v>1</v>
      </c>
      <c r="T648" s="1">
        <v>0</v>
      </c>
      <c r="U648" s="47">
        <v>0</v>
      </c>
      <c r="V648" s="47">
        <v>12</v>
      </c>
      <c r="W648" s="41">
        <v>164</v>
      </c>
      <c r="X648">
        <v>1000</v>
      </c>
      <c r="Y648">
        <v>0.94389999999999996</v>
      </c>
      <c r="Z648">
        <v>2992.1</v>
      </c>
      <c r="AA648">
        <v>2114.21</v>
      </c>
      <c r="AB648">
        <v>1500</v>
      </c>
      <c r="AC648">
        <v>55</v>
      </c>
      <c r="AD648" s="41">
        <f t="shared" si="172"/>
        <v>0.28742354867818587</v>
      </c>
      <c r="AE648" s="41">
        <f t="shared" si="173"/>
        <v>0.40677132356766826</v>
      </c>
      <c r="AF648">
        <f t="shared" si="174"/>
        <v>1.9419923444976075</v>
      </c>
      <c r="AG648">
        <f t="shared" si="175"/>
        <v>0.17221765550239243</v>
      </c>
      <c r="AH648">
        <f t="shared" si="176"/>
        <v>15</v>
      </c>
      <c r="AI648">
        <f>HLOOKUP(HLOOKUP(G648,'THP2'!$B$4:$J$8,5,FALSE),'Fuel &amp; Resister'!$B$3:$G$6,4,FALSE)</f>
        <v>1.048259259259259</v>
      </c>
      <c r="AJ648" s="41">
        <f>HLOOKUP(HLOOKUP(G648,'THP2'!$B$4:$J$8,5,FALSE),'Fuel &amp; Resister'!$B$3:$G$6,3,FALSE)</f>
        <v>5.829652622441694</v>
      </c>
      <c r="AO648" s="1">
        <v>1</v>
      </c>
      <c r="AP648" s="1">
        <v>1</v>
      </c>
    </row>
    <row r="649" spans="1:42" x14ac:dyDescent="0.15">
      <c r="A649"/>
      <c r="B649" s="80" t="s">
        <v>585</v>
      </c>
      <c r="C649" s="61">
        <f>VLOOKUP(B649,[1]SYS!$F$5:$G$359,2,FALSE)</f>
        <v>37</v>
      </c>
      <c r="D649" s="1" t="s">
        <v>23</v>
      </c>
      <c r="E649" s="42" t="s">
        <v>63</v>
      </c>
      <c r="F649" s="63" t="s">
        <v>475</v>
      </c>
      <c r="G649" s="1">
        <v>6</v>
      </c>
      <c r="H649" s="1">
        <f t="shared" si="167"/>
        <v>0.16400000000000001</v>
      </c>
      <c r="I649" s="1">
        <f t="shared" si="168"/>
        <v>1</v>
      </c>
      <c r="J649" s="1">
        <f t="shared" si="166"/>
        <v>5.7899999999999952E-2</v>
      </c>
      <c r="K649" s="1">
        <f t="shared" si="169"/>
        <v>3.0019899999999997</v>
      </c>
      <c r="L649" s="1">
        <f t="shared" si="170"/>
        <v>2.1212</v>
      </c>
      <c r="M649" s="49">
        <f t="shared" si="171"/>
        <v>1.6706357066547235</v>
      </c>
      <c r="N649" s="49">
        <v>15</v>
      </c>
      <c r="O649" s="1">
        <v>403</v>
      </c>
      <c r="P649" s="51">
        <v>0.05</v>
      </c>
      <c r="Q649" s="51">
        <v>8</v>
      </c>
      <c r="R649" s="51">
        <v>1</v>
      </c>
      <c r="S649" s="1">
        <v>1</v>
      </c>
      <c r="T649" s="1">
        <v>0</v>
      </c>
      <c r="U649" s="47">
        <v>0</v>
      </c>
      <c r="V649" s="47">
        <v>13</v>
      </c>
      <c r="W649" s="41">
        <v>164</v>
      </c>
      <c r="X649">
        <v>1000</v>
      </c>
      <c r="Y649">
        <v>0.94210000000000005</v>
      </c>
      <c r="Z649">
        <v>3001.99</v>
      </c>
      <c r="AA649">
        <v>2121.1999999999998</v>
      </c>
      <c r="AB649">
        <v>1500</v>
      </c>
      <c r="AC649">
        <v>55</v>
      </c>
      <c r="AD649" s="41">
        <f t="shared" si="172"/>
        <v>0.28647663716401456</v>
      </c>
      <c r="AE649" s="41">
        <f t="shared" si="173"/>
        <v>0.40543088817650391</v>
      </c>
      <c r="AF649">
        <f t="shared" si="174"/>
        <v>1.9484134449760768</v>
      </c>
      <c r="AG649">
        <f t="shared" si="175"/>
        <v>0.17278655502392315</v>
      </c>
      <c r="AH649">
        <f t="shared" si="176"/>
        <v>15</v>
      </c>
      <c r="AI649">
        <f>HLOOKUP(HLOOKUP(G649,'THP2'!$B$4:$J$8,5,FALSE),'Fuel &amp; Resister'!$B$3:$G$6,4,FALSE)</f>
        <v>1.048259259259259</v>
      </c>
      <c r="AJ649" s="41">
        <f>HLOOKUP(HLOOKUP(G649,'THP2'!$B$4:$J$8,5,FALSE),'Fuel &amp; Resister'!$B$3:$G$6,3,FALSE)</f>
        <v>5.829652622441694</v>
      </c>
      <c r="AO649" s="1">
        <v>1</v>
      </c>
      <c r="AP649" s="1">
        <v>1</v>
      </c>
    </row>
    <row r="650" spans="1:42" x14ac:dyDescent="0.15">
      <c r="A650"/>
      <c r="B650" s="80" t="s">
        <v>586</v>
      </c>
      <c r="C650" s="61">
        <f>VLOOKUP(B650,[1]SYS!$F$5:$G$359,2,FALSE)</f>
        <v>46</v>
      </c>
      <c r="D650" s="1" t="s">
        <v>23</v>
      </c>
      <c r="E650" s="65" t="s">
        <v>64</v>
      </c>
      <c r="F650" s="63" t="s">
        <v>532</v>
      </c>
      <c r="G650" s="1">
        <v>6</v>
      </c>
      <c r="H650" s="1">
        <f t="shared" si="167"/>
        <v>0.30201342281879195</v>
      </c>
      <c r="I650" s="1">
        <f t="shared" si="168"/>
        <v>0.14899999999999999</v>
      </c>
      <c r="J650" s="1">
        <f t="shared" si="166"/>
        <v>6.2000000000000055E-2</v>
      </c>
      <c r="K650" s="1">
        <f t="shared" si="169"/>
        <v>2.5709899999999997</v>
      </c>
      <c r="L650" s="1">
        <f t="shared" si="170"/>
        <v>2.1451700000000002</v>
      </c>
      <c r="M650" s="49">
        <f t="shared" si="171"/>
        <v>0.25173762126524257</v>
      </c>
      <c r="N650" s="49">
        <v>1.1919999999999999</v>
      </c>
      <c r="O650" s="1">
        <v>200</v>
      </c>
      <c r="P650" s="51">
        <v>0</v>
      </c>
      <c r="Q650" s="51">
        <v>8</v>
      </c>
      <c r="R650" s="51">
        <v>1</v>
      </c>
      <c r="S650" s="1">
        <v>1</v>
      </c>
      <c r="T650" s="1">
        <v>0</v>
      </c>
      <c r="U650" s="47">
        <v>1</v>
      </c>
      <c r="V650" s="47">
        <v>14</v>
      </c>
      <c r="W650" s="41">
        <v>45</v>
      </c>
      <c r="X650">
        <v>149</v>
      </c>
      <c r="Y650">
        <v>0.93799999999999994</v>
      </c>
      <c r="Z650">
        <v>2570.9899999999998</v>
      </c>
      <c r="AA650">
        <v>2145.17</v>
      </c>
      <c r="AB650">
        <v>119.2</v>
      </c>
      <c r="AC650">
        <v>55</v>
      </c>
      <c r="AD650" s="41">
        <f t="shared" si="172"/>
        <v>0.33450149553284925</v>
      </c>
      <c r="AE650" s="41">
        <f t="shared" si="173"/>
        <v>0.40090062792226255</v>
      </c>
      <c r="AF650">
        <f t="shared" si="174"/>
        <v>1.9609209615384622</v>
      </c>
      <c r="AG650">
        <f t="shared" si="175"/>
        <v>2.7453106730769169E-2</v>
      </c>
      <c r="AH650">
        <f t="shared" si="176"/>
        <v>1.1919999999999999</v>
      </c>
      <c r="AI650">
        <f>HLOOKUP(HLOOKUP(G650,'THP2'!$B$4:$J$8,5,FALSE),'Fuel &amp; Resister'!$B$3:$G$6,4,FALSE)</f>
        <v>1.048259259259259</v>
      </c>
      <c r="AJ650" s="41">
        <f>HLOOKUP(HLOOKUP(G650,'THP2'!$B$4:$J$8,5,FALSE),'Fuel &amp; Resister'!$B$3:$G$6,3,FALSE)</f>
        <v>5.829652622441694</v>
      </c>
      <c r="AO650" s="1">
        <v>1</v>
      </c>
      <c r="AP650" s="1">
        <v>1</v>
      </c>
    </row>
    <row r="651" spans="1:42" x14ac:dyDescent="0.15">
      <c r="A651"/>
      <c r="B651" s="80" t="s">
        <v>587</v>
      </c>
      <c r="C651" s="61">
        <f>VLOOKUP(B651,[1]SYS!$F$5:$G$359,2,FALSE)</f>
        <v>47</v>
      </c>
      <c r="D651" s="1" t="s">
        <v>23</v>
      </c>
      <c r="E651" s="65" t="s">
        <v>65</v>
      </c>
      <c r="F651" s="63" t="s">
        <v>534</v>
      </c>
      <c r="G651" s="1">
        <v>6</v>
      </c>
      <c r="H651" s="1">
        <f t="shared" si="167"/>
        <v>0.30097087378640774</v>
      </c>
      <c r="I651" s="1">
        <f t="shared" si="168"/>
        <v>0.10299999999999999</v>
      </c>
      <c r="J651" s="1">
        <f t="shared" si="166"/>
        <v>0</v>
      </c>
      <c r="K651" s="1">
        <f t="shared" si="169"/>
        <v>2.6005400000000001</v>
      </c>
      <c r="L651" s="1">
        <f t="shared" si="170"/>
        <v>2.1698300000000001</v>
      </c>
      <c r="M651" s="49">
        <f t="shared" si="171"/>
        <v>0.1760204289850904</v>
      </c>
      <c r="N651" s="49">
        <v>0.82400000000000007</v>
      </c>
      <c r="O651" s="1">
        <v>504</v>
      </c>
      <c r="P651" s="51">
        <v>0</v>
      </c>
      <c r="Q651" s="51">
        <v>8</v>
      </c>
      <c r="R651" s="51">
        <v>1</v>
      </c>
      <c r="S651" s="1">
        <v>1</v>
      </c>
      <c r="T651" s="1">
        <v>0</v>
      </c>
      <c r="U651" s="47">
        <v>1</v>
      </c>
      <c r="V651" s="47">
        <v>15</v>
      </c>
      <c r="W651" s="41">
        <v>31</v>
      </c>
      <c r="X651">
        <v>103</v>
      </c>
      <c r="Y651">
        <v>1</v>
      </c>
      <c r="Z651">
        <v>2600.54</v>
      </c>
      <c r="AA651">
        <v>2169.83</v>
      </c>
      <c r="AB651">
        <v>82.4</v>
      </c>
      <c r="AC651">
        <v>55</v>
      </c>
      <c r="AD651" s="41">
        <f t="shared" si="172"/>
        <v>0.33070054680950883</v>
      </c>
      <c r="AE651" s="41">
        <f t="shared" si="173"/>
        <v>0.39634441407852228</v>
      </c>
      <c r="AF651">
        <f t="shared" si="174"/>
        <v>1.984385416666667</v>
      </c>
      <c r="AG651">
        <f t="shared" si="175"/>
        <v>1.9100792083333311E-2</v>
      </c>
      <c r="AH651">
        <f t="shared" si="176"/>
        <v>0.82400000000000007</v>
      </c>
      <c r="AI651">
        <f>HLOOKUP(HLOOKUP(G651,'THP2'!$B$4:$J$8,5,FALSE),'Fuel &amp; Resister'!$B$3:$G$6,4,FALSE)</f>
        <v>1.048259259259259</v>
      </c>
      <c r="AJ651" s="41">
        <f>HLOOKUP(HLOOKUP(G651,'THP2'!$B$4:$J$8,5,FALSE),'Fuel &amp; Resister'!$B$3:$G$6,3,FALSE)</f>
        <v>5.829652622441694</v>
      </c>
      <c r="AO651" s="1">
        <v>1</v>
      </c>
      <c r="AP651" s="1">
        <v>1</v>
      </c>
    </row>
    <row r="652" spans="1:42" x14ac:dyDescent="0.15">
      <c r="A652"/>
      <c r="B652" s="80" t="s">
        <v>587</v>
      </c>
      <c r="C652" s="61">
        <f>VLOOKUP(B652,[1]SYS!$F$5:$G$359,2,FALSE)</f>
        <v>47</v>
      </c>
      <c r="D652" s="1" t="s">
        <v>23</v>
      </c>
      <c r="E652" s="65" t="s">
        <v>66</v>
      </c>
      <c r="F652" s="42"/>
      <c r="G652" s="1">
        <v>6</v>
      </c>
      <c r="H652" s="1">
        <f t="shared" si="167"/>
        <v>0.30476190476190479</v>
      </c>
      <c r="I652" s="1">
        <f t="shared" si="168"/>
        <v>0.105</v>
      </c>
      <c r="J652" s="1">
        <f t="shared" si="166"/>
        <v>0</v>
      </c>
      <c r="K652" s="1">
        <f t="shared" si="169"/>
        <v>2.6005400000000001</v>
      </c>
      <c r="L652" s="1">
        <f t="shared" si="170"/>
        <v>2.1698300000000001</v>
      </c>
      <c r="M652" s="49">
        <f t="shared" si="171"/>
        <v>0.17943830139256792</v>
      </c>
      <c r="N652" s="49">
        <v>0.84</v>
      </c>
      <c r="O652" s="1">
        <v>1106</v>
      </c>
      <c r="P652" s="51">
        <v>0</v>
      </c>
      <c r="Q652" s="51">
        <v>8</v>
      </c>
      <c r="R652" s="51">
        <v>1</v>
      </c>
      <c r="S652" s="1">
        <v>1</v>
      </c>
      <c r="T652" s="1">
        <v>0</v>
      </c>
      <c r="U652" s="47">
        <v>1</v>
      </c>
      <c r="V652" s="47">
        <v>16</v>
      </c>
      <c r="W652" s="41">
        <v>32</v>
      </c>
      <c r="X652">
        <v>105</v>
      </c>
      <c r="Y652">
        <v>1</v>
      </c>
      <c r="Z652">
        <v>2600.54</v>
      </c>
      <c r="AA652">
        <v>2169.83</v>
      </c>
      <c r="AB652">
        <v>84</v>
      </c>
      <c r="AC652">
        <v>55</v>
      </c>
      <c r="AD652" s="41">
        <f t="shared" si="172"/>
        <v>0.33070054680950883</v>
      </c>
      <c r="AE652" s="41">
        <f t="shared" si="173"/>
        <v>0.39634441407852228</v>
      </c>
      <c r="AF652">
        <f t="shared" si="174"/>
        <v>1.9810256164383564</v>
      </c>
      <c r="AG652">
        <f t="shared" si="175"/>
        <v>1.9824460273972593E-2</v>
      </c>
      <c r="AH652">
        <f t="shared" si="176"/>
        <v>0.84</v>
      </c>
      <c r="AI652">
        <f>HLOOKUP(HLOOKUP(G652,'THP2'!$B$4:$J$8,5,FALSE),'Fuel &amp; Resister'!$B$3:$G$6,4,FALSE)</f>
        <v>1.048259259259259</v>
      </c>
      <c r="AJ652" s="41">
        <f>HLOOKUP(HLOOKUP(G652,'THP2'!$B$4:$J$8,5,FALSE),'Fuel &amp; Resister'!$B$3:$G$6,3,FALSE)</f>
        <v>5.829652622441694</v>
      </c>
      <c r="AO652" s="1">
        <v>1</v>
      </c>
      <c r="AP652" s="1">
        <v>1</v>
      </c>
    </row>
    <row r="653" spans="1:42" x14ac:dyDescent="0.15">
      <c r="A653"/>
      <c r="B653" s="80" t="s">
        <v>588</v>
      </c>
      <c r="C653" s="61">
        <f>VLOOKUP(B653,[1]SYS!$F$5:$G$359,2,FALSE)</f>
        <v>43</v>
      </c>
      <c r="D653" s="1" t="s">
        <v>23</v>
      </c>
      <c r="E653" s="42" t="s">
        <v>67</v>
      </c>
      <c r="F653" s="63" t="s">
        <v>531</v>
      </c>
      <c r="G653" s="1">
        <v>6</v>
      </c>
      <c r="H653" s="1">
        <f t="shared" si="167"/>
        <v>0.3014705882352941</v>
      </c>
      <c r="I653" s="1">
        <f t="shared" si="168"/>
        <v>0.13600000000000001</v>
      </c>
      <c r="J653" s="1">
        <f t="shared" si="166"/>
        <v>6.3999999999999946E-2</v>
      </c>
      <c r="K653" s="1">
        <f t="shared" si="169"/>
        <v>2.6215900000000003</v>
      </c>
      <c r="L653" s="1">
        <f t="shared" si="170"/>
        <v>2.1873899999999997</v>
      </c>
      <c r="M653" s="49">
        <f t="shared" si="171"/>
        <v>0.23429621441618362</v>
      </c>
      <c r="N653" s="49">
        <v>1.0880000000000001</v>
      </c>
      <c r="O653" s="1">
        <v>903</v>
      </c>
      <c r="P653" s="51">
        <v>0</v>
      </c>
      <c r="Q653" s="51">
        <v>8</v>
      </c>
      <c r="R653" s="51">
        <v>1</v>
      </c>
      <c r="S653" s="1">
        <v>1</v>
      </c>
      <c r="T653" s="1">
        <v>0</v>
      </c>
      <c r="U653" s="47">
        <v>0</v>
      </c>
      <c r="V653" s="47">
        <v>17</v>
      </c>
      <c r="W653" s="41">
        <v>41</v>
      </c>
      <c r="X653">
        <v>136</v>
      </c>
      <c r="Y653">
        <v>0.93600000000000005</v>
      </c>
      <c r="Z653">
        <v>2621.59</v>
      </c>
      <c r="AA653">
        <v>2187.39</v>
      </c>
      <c r="AB653">
        <v>108.8</v>
      </c>
      <c r="AC653">
        <v>55</v>
      </c>
      <c r="AD653" s="41">
        <f t="shared" si="172"/>
        <v>0.32804519394718468</v>
      </c>
      <c r="AE653" s="41">
        <f t="shared" si="173"/>
        <v>0.39316262760641679</v>
      </c>
      <c r="AF653">
        <f t="shared" si="174"/>
        <v>1.9999984210526314</v>
      </c>
      <c r="AG653">
        <f t="shared" si="175"/>
        <v>2.5485254736842097E-2</v>
      </c>
      <c r="AH653">
        <f t="shared" si="176"/>
        <v>1.0880000000000001</v>
      </c>
      <c r="AI653">
        <f>HLOOKUP(HLOOKUP(G653,'THP2'!$B$4:$J$8,5,FALSE),'Fuel &amp; Resister'!$B$3:$G$6,4,FALSE)</f>
        <v>1.048259259259259</v>
      </c>
      <c r="AJ653" s="41">
        <f>HLOOKUP(HLOOKUP(G653,'THP2'!$B$4:$J$8,5,FALSE),'Fuel &amp; Resister'!$B$3:$G$6,3,FALSE)</f>
        <v>5.829652622441694</v>
      </c>
      <c r="AO653" s="1">
        <v>1</v>
      </c>
      <c r="AP653" s="1">
        <v>1</v>
      </c>
    </row>
    <row r="654" spans="1:42" x14ac:dyDescent="0.15">
      <c r="A654"/>
      <c r="B654" s="80" t="s">
        <v>586</v>
      </c>
      <c r="C654" s="61">
        <f>VLOOKUP(B654,[1]SYS!$F$5:$G$359,2,FALSE)</f>
        <v>46</v>
      </c>
      <c r="D654" s="1" t="s">
        <v>23</v>
      </c>
      <c r="E654" s="65" t="s">
        <v>68</v>
      </c>
      <c r="F654" s="63" t="s">
        <v>533</v>
      </c>
      <c r="G654" s="1">
        <v>6</v>
      </c>
      <c r="H654" s="1">
        <f t="shared" si="167"/>
        <v>0.30181818181818182</v>
      </c>
      <c r="I654" s="1">
        <f t="shared" si="168"/>
        <v>0.27500000000000002</v>
      </c>
      <c r="J654" s="1">
        <f t="shared" si="166"/>
        <v>6.2000000000000055E-2</v>
      </c>
      <c r="K654" s="1">
        <f t="shared" si="169"/>
        <v>2.6271900000000001</v>
      </c>
      <c r="L654" s="1">
        <f t="shared" si="170"/>
        <v>2.1920700000000002</v>
      </c>
      <c r="M654" s="49">
        <f t="shared" si="171"/>
        <v>0.4747743558876204</v>
      </c>
      <c r="N654" s="49">
        <v>2.4525000000000001</v>
      </c>
      <c r="O654" s="1">
        <v>1202</v>
      </c>
      <c r="P654" s="51">
        <v>0</v>
      </c>
      <c r="Q654" s="51">
        <v>8</v>
      </c>
      <c r="R654" s="51">
        <v>1</v>
      </c>
      <c r="S654" s="1">
        <v>1</v>
      </c>
      <c r="T654" s="1">
        <v>0</v>
      </c>
      <c r="U654" s="47">
        <v>1</v>
      </c>
      <c r="V654" s="47">
        <v>18</v>
      </c>
      <c r="W654" s="41">
        <v>83</v>
      </c>
      <c r="X654">
        <v>275</v>
      </c>
      <c r="Y654">
        <v>0.93799999999999994</v>
      </c>
      <c r="Z654">
        <v>2627.19</v>
      </c>
      <c r="AA654">
        <v>2192.0700000000002</v>
      </c>
      <c r="AB654">
        <v>245.25</v>
      </c>
      <c r="AC654">
        <v>55</v>
      </c>
      <c r="AD654" s="41">
        <f t="shared" si="172"/>
        <v>0.32734594757135954</v>
      </c>
      <c r="AE654" s="41">
        <f t="shared" si="173"/>
        <v>0.39232323785280576</v>
      </c>
      <c r="AF654">
        <f t="shared" si="174"/>
        <v>2.0039712499999998</v>
      </c>
      <c r="AG654">
        <f t="shared" si="175"/>
        <v>5.1727156250000121E-2</v>
      </c>
      <c r="AH654">
        <f t="shared" si="176"/>
        <v>2.4525000000000001</v>
      </c>
      <c r="AI654">
        <f>HLOOKUP(HLOOKUP(G654,'THP2'!$B$4:$J$8,5,FALSE),'Fuel &amp; Resister'!$B$3:$G$6,4,FALSE)</f>
        <v>1.048259259259259</v>
      </c>
      <c r="AJ654" s="41">
        <f>HLOOKUP(HLOOKUP(G654,'THP2'!$B$4:$J$8,5,FALSE),'Fuel &amp; Resister'!$B$3:$G$6,3,FALSE)</f>
        <v>5.829652622441694</v>
      </c>
      <c r="AO654" s="1">
        <v>1</v>
      </c>
      <c r="AP654" s="1">
        <v>1</v>
      </c>
    </row>
    <row r="655" spans="1:42" x14ac:dyDescent="0.15">
      <c r="A655"/>
      <c r="B655" s="80" t="s">
        <v>589</v>
      </c>
      <c r="C655" s="61">
        <f>VLOOKUP(B655,[1]SYS!$F$5:$G$359,2,FALSE)</f>
        <v>59</v>
      </c>
      <c r="D655" s="1" t="s">
        <v>23</v>
      </c>
      <c r="E655" s="65" t="s">
        <v>69</v>
      </c>
      <c r="F655" s="63" t="s">
        <v>498</v>
      </c>
      <c r="G655" s="1">
        <v>6</v>
      </c>
      <c r="H655" s="1">
        <f t="shared" si="167"/>
        <v>0.30201342281879195</v>
      </c>
      <c r="I655" s="1">
        <f t="shared" si="168"/>
        <v>0.14899999999999999</v>
      </c>
      <c r="J655" s="1">
        <f t="shared" si="166"/>
        <v>6.0000000000000053E-2</v>
      </c>
      <c r="K655" s="1">
        <f t="shared" si="169"/>
        <v>2.6328</v>
      </c>
      <c r="L655" s="1">
        <f t="shared" si="170"/>
        <v>2.1967399999999997</v>
      </c>
      <c r="M655" s="49">
        <f t="shared" si="171"/>
        <v>0.25778940696458041</v>
      </c>
      <c r="N655" s="49">
        <v>1.1919999999999999</v>
      </c>
      <c r="O655" s="1">
        <v>603</v>
      </c>
      <c r="P655" s="51">
        <v>0</v>
      </c>
      <c r="Q655" s="51">
        <v>8</v>
      </c>
      <c r="R655" s="51">
        <v>1</v>
      </c>
      <c r="S655" s="1">
        <v>1</v>
      </c>
      <c r="T655" s="1">
        <v>0</v>
      </c>
      <c r="U655" s="47">
        <v>1</v>
      </c>
      <c r="V655" s="47">
        <v>19</v>
      </c>
      <c r="W655" s="41">
        <v>45</v>
      </c>
      <c r="X655">
        <v>149</v>
      </c>
      <c r="Y655">
        <v>0.94</v>
      </c>
      <c r="Z655">
        <v>2632.8</v>
      </c>
      <c r="AA655">
        <v>2196.7399999999998</v>
      </c>
      <c r="AB655">
        <v>119.2</v>
      </c>
      <c r="AC655">
        <v>55</v>
      </c>
      <c r="AD655" s="41">
        <f t="shared" si="172"/>
        <v>0.32664843512610148</v>
      </c>
      <c r="AE655" s="41">
        <f t="shared" si="173"/>
        <v>0.39148920673361437</v>
      </c>
      <c r="AF655">
        <f t="shared" si="174"/>
        <v>2.0080601923076919</v>
      </c>
      <c r="AG655">
        <f t="shared" si="175"/>
        <v>2.8113291346153854E-2</v>
      </c>
      <c r="AH655">
        <f t="shared" si="176"/>
        <v>1.1919999999999999</v>
      </c>
      <c r="AI655">
        <f>HLOOKUP(HLOOKUP(G655,'THP2'!$B$4:$J$8,5,FALSE),'Fuel &amp; Resister'!$B$3:$G$6,4,FALSE)</f>
        <v>1.048259259259259</v>
      </c>
      <c r="AJ655" s="41">
        <f>HLOOKUP(HLOOKUP(G655,'THP2'!$B$4:$J$8,5,FALSE),'Fuel &amp; Resister'!$B$3:$G$6,3,FALSE)</f>
        <v>5.829652622441694</v>
      </c>
      <c r="AO655" s="1">
        <v>1</v>
      </c>
      <c r="AP655" s="1">
        <v>1</v>
      </c>
    </row>
    <row r="656" spans="1:42" x14ac:dyDescent="0.15">
      <c r="A656"/>
      <c r="B656" s="80" t="s">
        <v>587</v>
      </c>
      <c r="C656" s="61">
        <f>VLOOKUP(B656,[1]SYS!$F$5:$G$359,2,FALSE)</f>
        <v>47</v>
      </c>
      <c r="D656" s="1" t="s">
        <v>23</v>
      </c>
      <c r="E656" s="65" t="s">
        <v>70</v>
      </c>
      <c r="F656" s="63" t="s">
        <v>502</v>
      </c>
      <c r="G656" s="1">
        <v>6</v>
      </c>
      <c r="H656" s="1">
        <f t="shared" si="167"/>
        <v>0.30357142857142855</v>
      </c>
      <c r="I656" s="1">
        <f t="shared" si="168"/>
        <v>5.6000000000000001E-2</v>
      </c>
      <c r="J656" s="1">
        <f t="shared" si="166"/>
        <v>0.4</v>
      </c>
      <c r="K656" s="1">
        <f t="shared" si="169"/>
        <v>2.94489</v>
      </c>
      <c r="L656" s="1">
        <f t="shared" si="170"/>
        <v>2.4571399999999999</v>
      </c>
      <c r="M656" s="49">
        <f t="shared" si="171"/>
        <v>0.10837224492456009</v>
      </c>
      <c r="N656" s="49">
        <v>0.44799999999999995</v>
      </c>
      <c r="O656" s="1">
        <v>601</v>
      </c>
      <c r="P656" s="51">
        <v>0</v>
      </c>
      <c r="Q656" s="51">
        <v>8</v>
      </c>
      <c r="R656" s="51">
        <v>1</v>
      </c>
      <c r="S656" s="1">
        <v>1</v>
      </c>
      <c r="T656" s="1">
        <v>0</v>
      </c>
      <c r="U656" s="47">
        <v>1</v>
      </c>
      <c r="V656" s="47">
        <v>20</v>
      </c>
      <c r="W656" s="41">
        <v>17</v>
      </c>
      <c r="X656">
        <v>56</v>
      </c>
      <c r="Y656">
        <v>0.6</v>
      </c>
      <c r="Z656">
        <v>2944.89</v>
      </c>
      <c r="AA656">
        <v>2457.14</v>
      </c>
      <c r="AB656">
        <v>44.8</v>
      </c>
      <c r="AC656">
        <v>55</v>
      </c>
      <c r="AD656" s="41">
        <f t="shared" si="172"/>
        <v>0.29203128130422529</v>
      </c>
      <c r="AE656" s="41">
        <f t="shared" si="173"/>
        <v>0.35000040697721746</v>
      </c>
      <c r="AF656">
        <f t="shared" si="174"/>
        <v>2.2445310256410256</v>
      </c>
      <c r="AG656">
        <f t="shared" si="175"/>
        <v>1.1906102564102562E-2</v>
      </c>
      <c r="AH656">
        <f t="shared" si="176"/>
        <v>0.44799999999999995</v>
      </c>
      <c r="AI656">
        <f>HLOOKUP(HLOOKUP(G656,'THP2'!$B$4:$J$8,5,FALSE),'Fuel &amp; Resister'!$B$3:$G$6,4,FALSE)</f>
        <v>1.048259259259259</v>
      </c>
      <c r="AJ656" s="41">
        <f>HLOOKUP(HLOOKUP(G656,'THP2'!$B$4:$J$8,5,FALSE),'Fuel &amp; Resister'!$B$3:$G$6,3,FALSE)</f>
        <v>5.829652622441694</v>
      </c>
      <c r="AO656" s="1">
        <v>1</v>
      </c>
      <c r="AP656" s="62">
        <v>0</v>
      </c>
    </row>
    <row r="657" spans="1:42" x14ac:dyDescent="0.15">
      <c r="A657"/>
      <c r="B657" s="80" t="s">
        <v>590</v>
      </c>
      <c r="C657" s="61">
        <f>VLOOKUP(B657,[1]SYS!$F$5:$G$359,2,FALSE)</f>
        <v>64</v>
      </c>
      <c r="D657" s="1" t="s">
        <v>23</v>
      </c>
      <c r="E657" s="42" t="s">
        <v>71</v>
      </c>
      <c r="F657" s="42"/>
      <c r="G657" s="1">
        <v>6</v>
      </c>
      <c r="H657" s="1">
        <f t="shared" si="167"/>
        <v>0.3</v>
      </c>
      <c r="I657" s="1">
        <f t="shared" si="168"/>
        <v>1</v>
      </c>
      <c r="J657" s="1">
        <f t="shared" si="166"/>
        <v>6.2000000000000055E-2</v>
      </c>
      <c r="K657" s="1">
        <f t="shared" si="169"/>
        <v>2.40035</v>
      </c>
      <c r="L657" s="1">
        <f t="shared" si="170"/>
        <v>2.0027900000000001</v>
      </c>
      <c r="M657" s="49">
        <f t="shared" si="171"/>
        <v>1.5773771859942549</v>
      </c>
      <c r="N657" s="49">
        <v>15</v>
      </c>
      <c r="O657" s="1">
        <v>403</v>
      </c>
      <c r="P657" s="51">
        <v>0.05</v>
      </c>
      <c r="Q657" s="51">
        <v>8</v>
      </c>
      <c r="R657" s="51">
        <v>1</v>
      </c>
      <c r="S657" s="1">
        <v>1</v>
      </c>
      <c r="T657" s="1">
        <v>0</v>
      </c>
      <c r="U657" s="47">
        <v>0</v>
      </c>
      <c r="V657" s="47">
        <v>21</v>
      </c>
      <c r="W657" s="41">
        <v>300</v>
      </c>
      <c r="X657">
        <v>1000</v>
      </c>
      <c r="Y657">
        <v>0.93799999999999994</v>
      </c>
      <c r="Z657">
        <v>2400.35</v>
      </c>
      <c r="AA657">
        <v>2002.79</v>
      </c>
      <c r="AB657">
        <v>1500</v>
      </c>
      <c r="AC657">
        <v>55</v>
      </c>
      <c r="AD657" s="41">
        <f t="shared" si="172"/>
        <v>0.35828108400858211</v>
      </c>
      <c r="AE657" s="41">
        <f t="shared" si="173"/>
        <v>0.42940098562505302</v>
      </c>
      <c r="AF657">
        <f t="shared" si="174"/>
        <v>1.8324071428571431</v>
      </c>
      <c r="AG657">
        <f t="shared" si="175"/>
        <v>0.17038285714285695</v>
      </c>
      <c r="AH657">
        <f t="shared" si="176"/>
        <v>15</v>
      </c>
      <c r="AI657">
        <f>HLOOKUP(HLOOKUP(G657,'THP2'!$B$4:$J$8,5,FALSE),'Fuel &amp; Resister'!$B$3:$G$6,4,FALSE)</f>
        <v>1.048259259259259</v>
      </c>
      <c r="AJ657" s="41">
        <f>HLOOKUP(HLOOKUP(G657,'THP2'!$B$4:$J$8,5,FALSE),'Fuel &amp; Resister'!$B$3:$G$6,3,FALSE)</f>
        <v>5.829652622441694</v>
      </c>
      <c r="AO657" s="1">
        <v>1</v>
      </c>
      <c r="AP657" s="62">
        <v>0</v>
      </c>
    </row>
    <row r="658" spans="1:42" x14ac:dyDescent="0.15">
      <c r="A658"/>
      <c r="B658" s="80" t="s">
        <v>590</v>
      </c>
      <c r="C658" s="61">
        <f>VLOOKUP(B658,[1]SYS!$F$5:$G$359,2,FALSE)</f>
        <v>64</v>
      </c>
      <c r="D658" s="1" t="s">
        <v>23</v>
      </c>
      <c r="E658" s="42" t="s">
        <v>71</v>
      </c>
      <c r="F658" s="42"/>
      <c r="G658" s="1">
        <v>6</v>
      </c>
      <c r="H658" s="1">
        <f t="shared" si="167"/>
        <v>0.3</v>
      </c>
      <c r="I658" s="1">
        <f t="shared" si="168"/>
        <v>1</v>
      </c>
      <c r="J658" s="1">
        <f t="shared" si="166"/>
        <v>6.2000000000000055E-2</v>
      </c>
      <c r="K658" s="1">
        <f t="shared" si="169"/>
        <v>2.40035</v>
      </c>
      <c r="L658" s="1">
        <f t="shared" si="170"/>
        <v>2.0027900000000001</v>
      </c>
      <c r="M658" s="49">
        <f t="shared" si="171"/>
        <v>1.5773771859942549</v>
      </c>
      <c r="N658" s="49">
        <v>15</v>
      </c>
      <c r="O658" s="1">
        <v>504</v>
      </c>
      <c r="P658" s="51">
        <v>0.05</v>
      </c>
      <c r="Q658" s="51">
        <v>8</v>
      </c>
      <c r="R658" s="51">
        <v>1</v>
      </c>
      <c r="S658" s="1">
        <v>1</v>
      </c>
      <c r="T658" s="1">
        <v>0</v>
      </c>
      <c r="U658" s="47">
        <v>0</v>
      </c>
      <c r="V658" s="47">
        <v>22</v>
      </c>
      <c r="W658" s="41">
        <v>300</v>
      </c>
      <c r="X658">
        <v>1000</v>
      </c>
      <c r="Y658">
        <v>0.93799999999999994</v>
      </c>
      <c r="Z658">
        <v>2400.35</v>
      </c>
      <c r="AA658">
        <v>2002.79</v>
      </c>
      <c r="AB658">
        <v>1500</v>
      </c>
      <c r="AC658">
        <v>55</v>
      </c>
      <c r="AD658" s="41">
        <f t="shared" si="172"/>
        <v>0.35828108400858211</v>
      </c>
      <c r="AE658" s="41">
        <f t="shared" si="173"/>
        <v>0.42940098562505302</v>
      </c>
      <c r="AF658">
        <f t="shared" si="174"/>
        <v>1.8324071428571431</v>
      </c>
      <c r="AG658">
        <f t="shared" si="175"/>
        <v>0.17038285714285695</v>
      </c>
      <c r="AH658">
        <f t="shared" si="176"/>
        <v>15</v>
      </c>
      <c r="AI658">
        <f>HLOOKUP(HLOOKUP(G658,'THP2'!$B$4:$J$8,5,FALSE),'Fuel &amp; Resister'!$B$3:$G$6,4,FALSE)</f>
        <v>1.048259259259259</v>
      </c>
      <c r="AJ658" s="41">
        <f>HLOOKUP(HLOOKUP(G658,'THP2'!$B$4:$J$8,5,FALSE),'Fuel &amp; Resister'!$B$3:$G$6,3,FALSE)</f>
        <v>5.829652622441694</v>
      </c>
      <c r="AO658" s="1">
        <v>1</v>
      </c>
      <c r="AP658" s="1">
        <v>1</v>
      </c>
    </row>
    <row r="659" spans="1:42" x14ac:dyDescent="0.15">
      <c r="A659"/>
      <c r="B659" s="80" t="s">
        <v>590</v>
      </c>
      <c r="C659" s="61">
        <f>VLOOKUP(B659,[1]SYS!$F$5:$G$359,2,FALSE)</f>
        <v>64</v>
      </c>
      <c r="D659" s="1" t="s">
        <v>23</v>
      </c>
      <c r="E659" s="42" t="s">
        <v>71</v>
      </c>
      <c r="F659" s="42"/>
      <c r="G659" s="1">
        <v>6</v>
      </c>
      <c r="H659" s="1">
        <f t="shared" si="167"/>
        <v>0.3</v>
      </c>
      <c r="I659" s="1">
        <f t="shared" si="168"/>
        <v>1</v>
      </c>
      <c r="J659" s="1">
        <f t="shared" si="166"/>
        <v>6.2000000000000055E-2</v>
      </c>
      <c r="K659" s="1">
        <f t="shared" si="169"/>
        <v>2.40035</v>
      </c>
      <c r="L659" s="1">
        <f t="shared" si="170"/>
        <v>2.0027900000000001</v>
      </c>
      <c r="M659" s="49">
        <f t="shared" si="171"/>
        <v>1.5773771859942549</v>
      </c>
      <c r="N659" s="49">
        <v>15</v>
      </c>
      <c r="O659" s="1">
        <v>403</v>
      </c>
      <c r="P659" s="51">
        <v>0.05</v>
      </c>
      <c r="Q659" s="51">
        <v>8</v>
      </c>
      <c r="R659" s="51">
        <v>1</v>
      </c>
      <c r="S659" s="1">
        <v>1</v>
      </c>
      <c r="T659" s="1">
        <v>0</v>
      </c>
      <c r="U659" s="47">
        <v>0</v>
      </c>
      <c r="V659" s="47">
        <v>23</v>
      </c>
      <c r="W659" s="41">
        <v>300</v>
      </c>
      <c r="X659">
        <v>1000</v>
      </c>
      <c r="Y659">
        <v>0.93799999999999994</v>
      </c>
      <c r="Z659">
        <v>2400.35</v>
      </c>
      <c r="AA659">
        <v>2002.79</v>
      </c>
      <c r="AB659">
        <v>1500</v>
      </c>
      <c r="AC659">
        <v>55</v>
      </c>
      <c r="AD659" s="41">
        <f t="shared" si="172"/>
        <v>0.35828108400858211</v>
      </c>
      <c r="AE659" s="41">
        <f t="shared" si="173"/>
        <v>0.42940098562505302</v>
      </c>
      <c r="AF659">
        <f t="shared" si="174"/>
        <v>1.8324071428571431</v>
      </c>
      <c r="AG659">
        <f t="shared" si="175"/>
        <v>0.17038285714285695</v>
      </c>
      <c r="AH659">
        <f t="shared" si="176"/>
        <v>15</v>
      </c>
      <c r="AI659">
        <f>HLOOKUP(HLOOKUP(G659,'THP2'!$B$4:$J$8,5,FALSE),'Fuel &amp; Resister'!$B$3:$G$6,4,FALSE)</f>
        <v>1.048259259259259</v>
      </c>
      <c r="AJ659" s="41">
        <f>HLOOKUP(HLOOKUP(G659,'THP2'!$B$4:$J$8,5,FALSE),'Fuel &amp; Resister'!$B$3:$G$6,3,FALSE)</f>
        <v>5.829652622441694</v>
      </c>
      <c r="AO659" s="1">
        <v>1</v>
      </c>
      <c r="AP659" s="1">
        <v>1</v>
      </c>
    </row>
    <row r="660" spans="1:42" x14ac:dyDescent="0.15">
      <c r="A660"/>
      <c r="B660" s="80" t="s">
        <v>590</v>
      </c>
      <c r="C660" s="61">
        <f>VLOOKUP(B660,[1]SYS!$F$5:$G$359,2,FALSE)</f>
        <v>64</v>
      </c>
      <c r="D660" s="1" t="s">
        <v>23</v>
      </c>
      <c r="E660" s="42" t="s">
        <v>71</v>
      </c>
      <c r="F660" s="42"/>
      <c r="G660" s="1">
        <v>6</v>
      </c>
      <c r="H660" s="1">
        <f t="shared" si="167"/>
        <v>0.3</v>
      </c>
      <c r="I660" s="1">
        <f t="shared" si="168"/>
        <v>1</v>
      </c>
      <c r="J660" s="1">
        <f t="shared" si="166"/>
        <v>6.2000000000000055E-2</v>
      </c>
      <c r="K660" s="1">
        <f t="shared" si="169"/>
        <v>2.40035</v>
      </c>
      <c r="L660" s="1">
        <f t="shared" si="170"/>
        <v>2.0027900000000001</v>
      </c>
      <c r="M660" s="49">
        <f t="shared" si="171"/>
        <v>1.5773771859942549</v>
      </c>
      <c r="N660" s="49">
        <v>15</v>
      </c>
      <c r="O660" s="1">
        <v>504</v>
      </c>
      <c r="P660" s="51">
        <v>0.05</v>
      </c>
      <c r="Q660" s="51">
        <v>8</v>
      </c>
      <c r="R660" s="51">
        <v>1</v>
      </c>
      <c r="S660" s="1">
        <v>1</v>
      </c>
      <c r="T660" s="1">
        <v>0</v>
      </c>
      <c r="U660" s="47">
        <v>0</v>
      </c>
      <c r="V660" s="47">
        <v>24</v>
      </c>
      <c r="W660" s="41">
        <v>300</v>
      </c>
      <c r="X660">
        <v>1000</v>
      </c>
      <c r="Y660">
        <v>0.93799999999999994</v>
      </c>
      <c r="Z660">
        <v>2400.35</v>
      </c>
      <c r="AA660">
        <v>2002.79</v>
      </c>
      <c r="AB660">
        <v>1500</v>
      </c>
      <c r="AC660">
        <v>55</v>
      </c>
      <c r="AD660" s="41">
        <f t="shared" si="172"/>
        <v>0.35828108400858211</v>
      </c>
      <c r="AE660" s="41">
        <f t="shared" si="173"/>
        <v>0.42940098562505302</v>
      </c>
      <c r="AF660">
        <f t="shared" si="174"/>
        <v>1.8324071428571431</v>
      </c>
      <c r="AG660">
        <f t="shared" si="175"/>
        <v>0.17038285714285695</v>
      </c>
      <c r="AH660">
        <f t="shared" si="176"/>
        <v>15</v>
      </c>
      <c r="AI660">
        <f>HLOOKUP(HLOOKUP(G660,'THP2'!$B$4:$J$8,5,FALSE),'Fuel &amp; Resister'!$B$3:$G$6,4,FALSE)</f>
        <v>1.048259259259259</v>
      </c>
      <c r="AJ660" s="41">
        <f>HLOOKUP(HLOOKUP(G660,'THP2'!$B$4:$J$8,5,FALSE),'Fuel &amp; Resister'!$B$3:$G$6,3,FALSE)</f>
        <v>5.829652622441694</v>
      </c>
      <c r="AO660" s="1">
        <v>1</v>
      </c>
      <c r="AP660" s="1">
        <v>1</v>
      </c>
    </row>
    <row r="661" spans="1:42" x14ac:dyDescent="0.15">
      <c r="A661"/>
      <c r="B661" s="80" t="s">
        <v>590</v>
      </c>
      <c r="C661" s="61">
        <f>VLOOKUP(B661,[1]SYS!$F$5:$G$359,2,FALSE)</f>
        <v>64</v>
      </c>
      <c r="D661" s="1" t="s">
        <v>23</v>
      </c>
      <c r="E661" s="42" t="s">
        <v>71</v>
      </c>
      <c r="F661" s="42"/>
      <c r="G661" s="1">
        <v>6</v>
      </c>
      <c r="H661" s="1">
        <f t="shared" si="167"/>
        <v>0.3</v>
      </c>
      <c r="I661" s="1">
        <f t="shared" si="168"/>
        <v>1</v>
      </c>
      <c r="J661" s="1">
        <f t="shared" si="166"/>
        <v>6.2000000000000055E-2</v>
      </c>
      <c r="K661" s="1">
        <f t="shared" si="169"/>
        <v>2.40035</v>
      </c>
      <c r="L661" s="1">
        <f t="shared" si="170"/>
        <v>2.0027900000000001</v>
      </c>
      <c r="M661" s="49">
        <f t="shared" si="171"/>
        <v>1.5773771859942549</v>
      </c>
      <c r="N661" s="49">
        <v>15</v>
      </c>
      <c r="O661" s="1">
        <v>403</v>
      </c>
      <c r="P661" s="51">
        <v>0.05</v>
      </c>
      <c r="Q661" s="51">
        <v>8</v>
      </c>
      <c r="R661" s="51">
        <v>1</v>
      </c>
      <c r="S661" s="1">
        <v>1</v>
      </c>
      <c r="T661" s="1">
        <v>0</v>
      </c>
      <c r="U661" s="47">
        <v>0</v>
      </c>
      <c r="V661" s="47">
        <v>25</v>
      </c>
      <c r="W661" s="41">
        <v>300</v>
      </c>
      <c r="X661">
        <v>1000</v>
      </c>
      <c r="Y661">
        <v>0.93799999999999994</v>
      </c>
      <c r="Z661">
        <v>2400.35</v>
      </c>
      <c r="AA661">
        <v>2002.79</v>
      </c>
      <c r="AB661">
        <v>1500</v>
      </c>
      <c r="AC661">
        <v>55</v>
      </c>
      <c r="AD661" s="41">
        <f t="shared" si="172"/>
        <v>0.35828108400858211</v>
      </c>
      <c r="AE661" s="41">
        <f t="shared" si="173"/>
        <v>0.42940098562505302</v>
      </c>
      <c r="AF661">
        <f t="shared" si="174"/>
        <v>1.8324071428571431</v>
      </c>
      <c r="AG661">
        <f t="shared" si="175"/>
        <v>0.17038285714285695</v>
      </c>
      <c r="AH661">
        <f t="shared" si="176"/>
        <v>15</v>
      </c>
      <c r="AI661">
        <f>HLOOKUP(HLOOKUP(G661,'THP2'!$B$4:$J$8,5,FALSE),'Fuel &amp; Resister'!$B$3:$G$6,4,FALSE)</f>
        <v>1.048259259259259</v>
      </c>
      <c r="AJ661" s="41">
        <f>HLOOKUP(HLOOKUP(G661,'THP2'!$B$4:$J$8,5,FALSE),'Fuel &amp; Resister'!$B$3:$G$6,3,FALSE)</f>
        <v>5.829652622441694</v>
      </c>
      <c r="AO661" s="1">
        <v>1</v>
      </c>
      <c r="AP661" s="1">
        <v>1</v>
      </c>
    </row>
    <row r="662" spans="1:42" x14ac:dyDescent="0.15">
      <c r="A662"/>
      <c r="B662" s="80" t="s">
        <v>590</v>
      </c>
      <c r="C662" s="61">
        <f>VLOOKUP(B662,[1]SYS!$F$5:$G$359,2,FALSE)</f>
        <v>64</v>
      </c>
      <c r="D662" s="1" t="s">
        <v>23</v>
      </c>
      <c r="E662" s="42" t="s">
        <v>71</v>
      </c>
      <c r="F662" s="42"/>
      <c r="G662" s="1">
        <v>6</v>
      </c>
      <c r="H662" s="1">
        <f t="shared" si="167"/>
        <v>0.3</v>
      </c>
      <c r="I662" s="1">
        <f t="shared" si="168"/>
        <v>1</v>
      </c>
      <c r="J662" s="1">
        <f t="shared" si="166"/>
        <v>6.2000000000000055E-2</v>
      </c>
      <c r="K662" s="1">
        <f t="shared" si="169"/>
        <v>2.40035</v>
      </c>
      <c r="L662" s="1">
        <f t="shared" si="170"/>
        <v>2.0027900000000001</v>
      </c>
      <c r="M662" s="49">
        <f t="shared" si="171"/>
        <v>1.5773771859942549</v>
      </c>
      <c r="N662" s="49">
        <v>15</v>
      </c>
      <c r="O662" s="1">
        <v>504</v>
      </c>
      <c r="P662" s="51">
        <v>0.05</v>
      </c>
      <c r="Q662" s="51">
        <v>8</v>
      </c>
      <c r="R662" s="51">
        <v>1</v>
      </c>
      <c r="S662" s="1">
        <v>1</v>
      </c>
      <c r="T662" s="1">
        <v>0</v>
      </c>
      <c r="U662" s="47">
        <v>0</v>
      </c>
      <c r="V662" s="47">
        <v>26</v>
      </c>
      <c r="W662" s="41">
        <v>300</v>
      </c>
      <c r="X662">
        <v>1000</v>
      </c>
      <c r="Y662">
        <v>0.93799999999999994</v>
      </c>
      <c r="Z662">
        <v>2400.35</v>
      </c>
      <c r="AA662">
        <v>2002.79</v>
      </c>
      <c r="AB662">
        <v>1500</v>
      </c>
      <c r="AC662">
        <v>55</v>
      </c>
      <c r="AD662" s="41">
        <f t="shared" si="172"/>
        <v>0.35828108400858211</v>
      </c>
      <c r="AE662" s="41">
        <f t="shared" si="173"/>
        <v>0.42940098562505302</v>
      </c>
      <c r="AF662">
        <f t="shared" si="174"/>
        <v>1.8324071428571431</v>
      </c>
      <c r="AG662">
        <f t="shared" si="175"/>
        <v>0.17038285714285695</v>
      </c>
      <c r="AH662">
        <f t="shared" si="176"/>
        <v>15</v>
      </c>
      <c r="AI662">
        <f>HLOOKUP(HLOOKUP(G662,'THP2'!$B$4:$J$8,5,FALSE),'Fuel &amp; Resister'!$B$3:$G$6,4,FALSE)</f>
        <v>1.048259259259259</v>
      </c>
      <c r="AJ662" s="41">
        <f>HLOOKUP(HLOOKUP(G662,'THP2'!$B$4:$J$8,5,FALSE),'Fuel &amp; Resister'!$B$3:$G$6,3,FALSE)</f>
        <v>5.829652622441694</v>
      </c>
      <c r="AO662" s="1">
        <v>1</v>
      </c>
      <c r="AP662" s="1">
        <v>1</v>
      </c>
    </row>
    <row r="663" spans="1:42" x14ac:dyDescent="0.15">
      <c r="A663"/>
      <c r="B663" s="80" t="s">
        <v>590</v>
      </c>
      <c r="C663" s="61">
        <f>VLOOKUP(B663,[1]SYS!$F$5:$G$359,2,FALSE)</f>
        <v>64</v>
      </c>
      <c r="D663" s="1" t="s">
        <v>23</v>
      </c>
      <c r="E663" s="42" t="s">
        <v>71</v>
      </c>
      <c r="F663" s="42"/>
      <c r="G663" s="1">
        <v>6</v>
      </c>
      <c r="H663" s="1">
        <f t="shared" si="167"/>
        <v>0.3</v>
      </c>
      <c r="I663" s="1">
        <f t="shared" si="168"/>
        <v>1</v>
      </c>
      <c r="J663" s="1">
        <f t="shared" si="166"/>
        <v>6.2000000000000055E-2</v>
      </c>
      <c r="K663" s="1">
        <f t="shared" si="169"/>
        <v>2.40035</v>
      </c>
      <c r="L663" s="1">
        <f t="shared" si="170"/>
        <v>2.0027900000000001</v>
      </c>
      <c r="M663" s="49">
        <f t="shared" si="171"/>
        <v>1.5773771859942549</v>
      </c>
      <c r="N663" s="49">
        <v>15</v>
      </c>
      <c r="O663" s="1">
        <v>403</v>
      </c>
      <c r="P663" s="51">
        <v>0.05</v>
      </c>
      <c r="Q663" s="51">
        <v>8</v>
      </c>
      <c r="R663" s="51">
        <v>1</v>
      </c>
      <c r="S663" s="1">
        <v>1</v>
      </c>
      <c r="T663" s="1">
        <v>0</v>
      </c>
      <c r="U663" s="47">
        <v>0</v>
      </c>
      <c r="V663" s="47">
        <v>27</v>
      </c>
      <c r="W663" s="41">
        <v>300</v>
      </c>
      <c r="X663">
        <v>1000</v>
      </c>
      <c r="Y663">
        <v>0.93799999999999994</v>
      </c>
      <c r="Z663">
        <v>2400.35</v>
      </c>
      <c r="AA663">
        <v>2002.79</v>
      </c>
      <c r="AB663">
        <v>1500</v>
      </c>
      <c r="AC663">
        <v>55</v>
      </c>
      <c r="AD663" s="41">
        <f t="shared" si="172"/>
        <v>0.35828108400858211</v>
      </c>
      <c r="AE663" s="41">
        <f t="shared" si="173"/>
        <v>0.42940098562505302</v>
      </c>
      <c r="AF663">
        <f t="shared" si="174"/>
        <v>1.8324071428571431</v>
      </c>
      <c r="AG663">
        <f t="shared" si="175"/>
        <v>0.17038285714285695</v>
      </c>
      <c r="AH663">
        <f t="shared" si="176"/>
        <v>15</v>
      </c>
      <c r="AI663">
        <f>HLOOKUP(HLOOKUP(G663,'THP2'!$B$4:$J$8,5,FALSE),'Fuel &amp; Resister'!$B$3:$G$6,4,FALSE)</f>
        <v>1.048259259259259</v>
      </c>
      <c r="AJ663" s="41">
        <f>HLOOKUP(HLOOKUP(G663,'THP2'!$B$4:$J$8,5,FALSE),'Fuel &amp; Resister'!$B$3:$G$6,3,FALSE)</f>
        <v>5.829652622441694</v>
      </c>
      <c r="AO663" s="1">
        <v>1</v>
      </c>
      <c r="AP663" s="1">
        <v>1</v>
      </c>
    </row>
    <row r="664" spans="1:42" x14ac:dyDescent="0.15">
      <c r="A664"/>
      <c r="B664" s="80" t="s">
        <v>590</v>
      </c>
      <c r="C664" s="61">
        <f>VLOOKUP(B664,[1]SYS!$F$5:$G$359,2,FALSE)</f>
        <v>64</v>
      </c>
      <c r="D664" s="1" t="s">
        <v>23</v>
      </c>
      <c r="E664" s="42" t="s">
        <v>71</v>
      </c>
      <c r="F664" s="42"/>
      <c r="G664" s="1">
        <v>6</v>
      </c>
      <c r="H664" s="1">
        <f t="shared" si="167"/>
        <v>0.3</v>
      </c>
      <c r="I664" s="1">
        <f t="shared" si="168"/>
        <v>1</v>
      </c>
      <c r="J664" s="1">
        <f t="shared" si="166"/>
        <v>6.2000000000000055E-2</v>
      </c>
      <c r="K664" s="1">
        <f t="shared" si="169"/>
        <v>2.40035</v>
      </c>
      <c r="L664" s="1">
        <f t="shared" si="170"/>
        <v>2.0027900000000001</v>
      </c>
      <c r="M664" s="49">
        <f t="shared" si="171"/>
        <v>1.5773771859942549</v>
      </c>
      <c r="N664" s="49">
        <v>15</v>
      </c>
      <c r="O664" s="1">
        <v>403</v>
      </c>
      <c r="P664" s="51">
        <v>0.05</v>
      </c>
      <c r="Q664" s="51">
        <v>8</v>
      </c>
      <c r="R664" s="51">
        <v>1</v>
      </c>
      <c r="S664" s="1">
        <v>1</v>
      </c>
      <c r="T664" s="1">
        <v>0</v>
      </c>
      <c r="U664" s="47">
        <v>0</v>
      </c>
      <c r="V664" s="47">
        <v>28</v>
      </c>
      <c r="W664" s="41">
        <v>300</v>
      </c>
      <c r="X664">
        <v>1000</v>
      </c>
      <c r="Y664">
        <v>0.93799999999999994</v>
      </c>
      <c r="Z664">
        <v>2400.35</v>
      </c>
      <c r="AA664">
        <v>2002.79</v>
      </c>
      <c r="AB664">
        <v>1500</v>
      </c>
      <c r="AC664">
        <v>55</v>
      </c>
      <c r="AD664" s="41">
        <f t="shared" si="172"/>
        <v>0.35828108400858211</v>
      </c>
      <c r="AE664" s="41">
        <f t="shared" si="173"/>
        <v>0.42940098562505302</v>
      </c>
      <c r="AF664">
        <f t="shared" si="174"/>
        <v>1.8324071428571431</v>
      </c>
      <c r="AG664">
        <f t="shared" si="175"/>
        <v>0.17038285714285695</v>
      </c>
      <c r="AH664">
        <f t="shared" si="176"/>
        <v>15</v>
      </c>
      <c r="AI664">
        <f>HLOOKUP(HLOOKUP(G664,'THP2'!$B$4:$J$8,5,FALSE),'Fuel &amp; Resister'!$B$3:$G$6,4,FALSE)</f>
        <v>1.048259259259259</v>
      </c>
      <c r="AJ664" s="41">
        <f>HLOOKUP(HLOOKUP(G664,'THP2'!$B$4:$J$8,5,FALSE),'Fuel &amp; Resister'!$B$3:$G$6,3,FALSE)</f>
        <v>5.829652622441694</v>
      </c>
      <c r="AO664" s="1">
        <v>1</v>
      </c>
      <c r="AP664" s="1">
        <v>1</v>
      </c>
    </row>
    <row r="665" spans="1:42" x14ac:dyDescent="0.15">
      <c r="A665"/>
      <c r="B665" s="80" t="s">
        <v>590</v>
      </c>
      <c r="C665" s="61">
        <f>VLOOKUP(B665,[1]SYS!$F$5:$G$359,2,FALSE)</f>
        <v>64</v>
      </c>
      <c r="D665" s="1" t="s">
        <v>23</v>
      </c>
      <c r="E665" s="42" t="s">
        <v>71</v>
      </c>
      <c r="F665" s="42"/>
      <c r="G665" s="1">
        <v>6</v>
      </c>
      <c r="H665" s="1">
        <f t="shared" si="167"/>
        <v>0.3</v>
      </c>
      <c r="I665" s="1">
        <f t="shared" si="168"/>
        <v>1</v>
      </c>
      <c r="J665" s="1">
        <f t="shared" si="166"/>
        <v>6.2000000000000055E-2</v>
      </c>
      <c r="K665" s="1">
        <f t="shared" si="169"/>
        <v>2.40035</v>
      </c>
      <c r="L665" s="1">
        <f t="shared" si="170"/>
        <v>2.0027900000000001</v>
      </c>
      <c r="M665" s="49">
        <f t="shared" si="171"/>
        <v>1.5773771859942549</v>
      </c>
      <c r="N665" s="49">
        <v>15</v>
      </c>
      <c r="O665" s="1">
        <v>403</v>
      </c>
      <c r="P665" s="51">
        <v>0.05</v>
      </c>
      <c r="Q665" s="51">
        <v>8</v>
      </c>
      <c r="R665" s="51">
        <v>1</v>
      </c>
      <c r="S665" s="1">
        <v>1</v>
      </c>
      <c r="T665" s="1">
        <v>0</v>
      </c>
      <c r="U665" s="47">
        <v>0</v>
      </c>
      <c r="V665" s="47">
        <v>29</v>
      </c>
      <c r="W665" s="41">
        <v>300</v>
      </c>
      <c r="X665">
        <v>1000</v>
      </c>
      <c r="Y665">
        <v>0.93799999999999994</v>
      </c>
      <c r="Z665">
        <v>2400.35</v>
      </c>
      <c r="AA665">
        <v>2002.79</v>
      </c>
      <c r="AB665">
        <v>1500</v>
      </c>
      <c r="AC665">
        <v>55</v>
      </c>
      <c r="AD665" s="41">
        <f t="shared" si="172"/>
        <v>0.35828108400858211</v>
      </c>
      <c r="AE665" s="41">
        <f t="shared" si="173"/>
        <v>0.42940098562505302</v>
      </c>
      <c r="AF665">
        <f t="shared" si="174"/>
        <v>1.8324071428571431</v>
      </c>
      <c r="AG665">
        <f t="shared" si="175"/>
        <v>0.17038285714285695</v>
      </c>
      <c r="AH665">
        <f t="shared" si="176"/>
        <v>15</v>
      </c>
      <c r="AI665">
        <f>HLOOKUP(HLOOKUP(G665,'THP2'!$B$4:$J$8,5,FALSE),'Fuel &amp; Resister'!$B$3:$G$6,4,FALSE)</f>
        <v>1.048259259259259</v>
      </c>
      <c r="AJ665" s="41">
        <f>HLOOKUP(HLOOKUP(G665,'THP2'!$B$4:$J$8,5,FALSE),'Fuel &amp; Resister'!$B$3:$G$6,3,FALSE)</f>
        <v>5.829652622441694</v>
      </c>
      <c r="AO665" s="1">
        <v>1</v>
      </c>
      <c r="AP665" s="1">
        <v>1</v>
      </c>
    </row>
    <row r="666" spans="1:42" x14ac:dyDescent="0.15">
      <c r="A666"/>
      <c r="B666" s="80" t="s">
        <v>590</v>
      </c>
      <c r="C666" s="61">
        <f>VLOOKUP(B666,[1]SYS!$F$5:$G$359,2,FALSE)</f>
        <v>64</v>
      </c>
      <c r="D666" s="1" t="s">
        <v>23</v>
      </c>
      <c r="E666" s="42" t="s">
        <v>71</v>
      </c>
      <c r="F666" s="42"/>
      <c r="G666" s="1">
        <v>6</v>
      </c>
      <c r="H666" s="1">
        <f t="shared" si="167"/>
        <v>0.3</v>
      </c>
      <c r="I666" s="1">
        <f t="shared" si="168"/>
        <v>1</v>
      </c>
      <c r="J666" s="1">
        <f t="shared" si="166"/>
        <v>6.2000000000000055E-2</v>
      </c>
      <c r="K666" s="1">
        <f t="shared" si="169"/>
        <v>2.40035</v>
      </c>
      <c r="L666" s="1">
        <f t="shared" si="170"/>
        <v>2.0027900000000001</v>
      </c>
      <c r="M666" s="49">
        <f t="shared" si="171"/>
        <v>1.5773771859942549</v>
      </c>
      <c r="N666" s="49">
        <v>15</v>
      </c>
      <c r="O666" s="1">
        <v>403</v>
      </c>
      <c r="P666" s="51">
        <v>0.05</v>
      </c>
      <c r="Q666" s="51">
        <v>8</v>
      </c>
      <c r="R666" s="51">
        <v>1</v>
      </c>
      <c r="S666" s="1">
        <v>1</v>
      </c>
      <c r="T666" s="1">
        <v>0</v>
      </c>
      <c r="U666" s="47">
        <v>0</v>
      </c>
      <c r="V666" s="47">
        <v>30</v>
      </c>
      <c r="W666" s="41">
        <v>300</v>
      </c>
      <c r="X666">
        <v>1000</v>
      </c>
      <c r="Y666">
        <v>0.93799999999999994</v>
      </c>
      <c r="Z666">
        <v>2400.35</v>
      </c>
      <c r="AA666">
        <v>2002.79</v>
      </c>
      <c r="AB666">
        <v>1500</v>
      </c>
      <c r="AC666">
        <v>55</v>
      </c>
      <c r="AD666" s="41">
        <f t="shared" si="172"/>
        <v>0.35828108400858211</v>
      </c>
      <c r="AE666" s="41">
        <f t="shared" si="173"/>
        <v>0.42940098562505302</v>
      </c>
      <c r="AF666">
        <f t="shared" si="174"/>
        <v>1.8324071428571431</v>
      </c>
      <c r="AG666">
        <f t="shared" si="175"/>
        <v>0.17038285714285695</v>
      </c>
      <c r="AH666">
        <f t="shared" si="176"/>
        <v>15</v>
      </c>
      <c r="AI666">
        <f>HLOOKUP(HLOOKUP(G666,'THP2'!$B$4:$J$8,5,FALSE),'Fuel &amp; Resister'!$B$3:$G$6,4,FALSE)</f>
        <v>1.048259259259259</v>
      </c>
      <c r="AJ666" s="41">
        <f>HLOOKUP(HLOOKUP(G666,'THP2'!$B$4:$J$8,5,FALSE),'Fuel &amp; Resister'!$B$3:$G$6,3,FALSE)</f>
        <v>5.829652622441694</v>
      </c>
      <c r="AO666" s="1">
        <v>1</v>
      </c>
      <c r="AP666" s="1">
        <v>1</v>
      </c>
    </row>
    <row r="667" spans="1:42" x14ac:dyDescent="0.15">
      <c r="A667"/>
      <c r="B667" s="80" t="s">
        <v>590</v>
      </c>
      <c r="C667" s="61">
        <f>VLOOKUP(B667,[1]SYS!$F$5:$G$359,2,FALSE)</f>
        <v>64</v>
      </c>
      <c r="D667" s="1" t="s">
        <v>23</v>
      </c>
      <c r="E667" s="42" t="s">
        <v>71</v>
      </c>
      <c r="F667" s="42"/>
      <c r="G667" s="1">
        <v>6</v>
      </c>
      <c r="H667" s="1">
        <f t="shared" si="167"/>
        <v>0.3</v>
      </c>
      <c r="I667" s="1">
        <f t="shared" si="168"/>
        <v>1</v>
      </c>
      <c r="J667" s="1">
        <f t="shared" si="166"/>
        <v>6.2000000000000055E-2</v>
      </c>
      <c r="K667" s="1">
        <f t="shared" si="169"/>
        <v>2.40035</v>
      </c>
      <c r="L667" s="1">
        <f t="shared" si="170"/>
        <v>2.0027900000000001</v>
      </c>
      <c r="M667" s="49">
        <f t="shared" si="171"/>
        <v>1.5773771859942549</v>
      </c>
      <c r="N667" s="49">
        <v>15</v>
      </c>
      <c r="O667" s="1">
        <v>204</v>
      </c>
      <c r="P667" s="51">
        <v>0.05</v>
      </c>
      <c r="Q667" s="51">
        <v>8</v>
      </c>
      <c r="R667" s="51">
        <v>1</v>
      </c>
      <c r="S667" s="1">
        <v>1</v>
      </c>
      <c r="T667" s="1">
        <v>0</v>
      </c>
      <c r="U667" s="47">
        <v>0</v>
      </c>
      <c r="V667" s="47">
        <v>31</v>
      </c>
      <c r="W667" s="41">
        <v>300</v>
      </c>
      <c r="X667">
        <v>1000</v>
      </c>
      <c r="Y667">
        <v>0.93799999999999994</v>
      </c>
      <c r="Z667">
        <v>2400.35</v>
      </c>
      <c r="AA667">
        <v>2002.79</v>
      </c>
      <c r="AB667">
        <v>1500</v>
      </c>
      <c r="AC667">
        <v>55</v>
      </c>
      <c r="AD667" s="41">
        <f t="shared" si="172"/>
        <v>0.35828108400858211</v>
      </c>
      <c r="AE667" s="41">
        <f t="shared" si="173"/>
        <v>0.42940098562505302</v>
      </c>
      <c r="AF667">
        <f t="shared" si="174"/>
        <v>1.8324071428571431</v>
      </c>
      <c r="AG667">
        <f t="shared" si="175"/>
        <v>0.17038285714285695</v>
      </c>
      <c r="AH667">
        <f t="shared" si="176"/>
        <v>15</v>
      </c>
      <c r="AI667">
        <f>HLOOKUP(HLOOKUP(G667,'THP2'!$B$4:$J$8,5,FALSE),'Fuel &amp; Resister'!$B$3:$G$6,4,FALSE)</f>
        <v>1.048259259259259</v>
      </c>
      <c r="AJ667" s="41">
        <f>HLOOKUP(HLOOKUP(G667,'THP2'!$B$4:$J$8,5,FALSE),'Fuel &amp; Resister'!$B$3:$G$6,3,FALSE)</f>
        <v>5.829652622441694</v>
      </c>
      <c r="AO667" s="1">
        <v>1</v>
      </c>
      <c r="AP667" s="1">
        <v>1</v>
      </c>
    </row>
    <row r="668" spans="1:42" x14ac:dyDescent="0.15">
      <c r="A668"/>
      <c r="B668" s="80" t="s">
        <v>590</v>
      </c>
      <c r="C668" s="61">
        <f>VLOOKUP(B668,[1]SYS!$F$5:$G$359,2,FALSE)</f>
        <v>64</v>
      </c>
      <c r="D668" s="1" t="s">
        <v>23</v>
      </c>
      <c r="E668" s="42" t="s">
        <v>71</v>
      </c>
      <c r="F668" s="42"/>
      <c r="G668" s="1">
        <v>6</v>
      </c>
      <c r="H668" s="1">
        <f t="shared" si="167"/>
        <v>0.3</v>
      </c>
      <c r="I668" s="1">
        <f t="shared" si="168"/>
        <v>1</v>
      </c>
      <c r="J668" s="1">
        <f t="shared" si="166"/>
        <v>6.2000000000000055E-2</v>
      </c>
      <c r="K668" s="1">
        <f t="shared" si="169"/>
        <v>2.40035</v>
      </c>
      <c r="L668" s="1">
        <f t="shared" si="170"/>
        <v>2.0027900000000001</v>
      </c>
      <c r="M668" s="49">
        <f t="shared" si="171"/>
        <v>1.5773771859942549</v>
      </c>
      <c r="N668" s="49">
        <v>15</v>
      </c>
      <c r="O668" s="1">
        <v>1103</v>
      </c>
      <c r="P668" s="51">
        <v>0.05</v>
      </c>
      <c r="Q668" s="51">
        <v>8</v>
      </c>
      <c r="R668" s="51">
        <v>1</v>
      </c>
      <c r="S668" s="1">
        <v>1</v>
      </c>
      <c r="T668" s="1">
        <v>0</v>
      </c>
      <c r="U668" s="47">
        <v>0</v>
      </c>
      <c r="V668" s="47">
        <v>32</v>
      </c>
      <c r="W668" s="41">
        <v>300</v>
      </c>
      <c r="X668">
        <v>1000</v>
      </c>
      <c r="Y668">
        <v>0.93799999999999994</v>
      </c>
      <c r="Z668">
        <v>2400.35</v>
      </c>
      <c r="AA668">
        <v>2002.79</v>
      </c>
      <c r="AB668">
        <v>1500</v>
      </c>
      <c r="AC668">
        <v>55</v>
      </c>
      <c r="AD668" s="41">
        <f t="shared" si="172"/>
        <v>0.35828108400858211</v>
      </c>
      <c r="AE668" s="41">
        <f t="shared" si="173"/>
        <v>0.42940098562505302</v>
      </c>
      <c r="AF668">
        <f t="shared" si="174"/>
        <v>1.8324071428571431</v>
      </c>
      <c r="AG668">
        <f t="shared" si="175"/>
        <v>0.17038285714285695</v>
      </c>
      <c r="AH668">
        <f t="shared" si="176"/>
        <v>15</v>
      </c>
      <c r="AI668">
        <f>HLOOKUP(HLOOKUP(G668,'THP2'!$B$4:$J$8,5,FALSE),'Fuel &amp; Resister'!$B$3:$G$6,4,FALSE)</f>
        <v>1.048259259259259</v>
      </c>
      <c r="AJ668" s="41">
        <f>HLOOKUP(HLOOKUP(G668,'THP2'!$B$4:$J$8,5,FALSE),'Fuel &amp; Resister'!$B$3:$G$6,3,FALSE)</f>
        <v>5.829652622441694</v>
      </c>
      <c r="AO668" s="1">
        <v>1</v>
      </c>
      <c r="AP668" s="1">
        <v>1</v>
      </c>
    </row>
    <row r="669" spans="1:42" x14ac:dyDescent="0.15">
      <c r="A669"/>
      <c r="B669" s="80" t="s">
        <v>590</v>
      </c>
      <c r="C669" s="61">
        <f>VLOOKUP(B669,[1]SYS!$F$5:$G$359,2,FALSE)</f>
        <v>64</v>
      </c>
      <c r="D669" s="1" t="s">
        <v>23</v>
      </c>
      <c r="E669" s="42" t="s">
        <v>71</v>
      </c>
      <c r="F669" s="42"/>
      <c r="G669" s="1">
        <v>6</v>
      </c>
      <c r="H669" s="1">
        <f t="shared" si="167"/>
        <v>0.3</v>
      </c>
      <c r="I669" s="1">
        <f t="shared" si="168"/>
        <v>1</v>
      </c>
      <c r="J669" s="1">
        <f t="shared" si="166"/>
        <v>6.2000000000000055E-2</v>
      </c>
      <c r="K669" s="1">
        <f t="shared" si="169"/>
        <v>2.40035</v>
      </c>
      <c r="L669" s="1">
        <f t="shared" si="170"/>
        <v>2.0027900000000001</v>
      </c>
      <c r="M669" s="49">
        <f t="shared" si="171"/>
        <v>1.5773771859942549</v>
      </c>
      <c r="N669" s="49">
        <v>15</v>
      </c>
      <c r="O669" s="1">
        <v>903</v>
      </c>
      <c r="P669" s="51">
        <v>0.05</v>
      </c>
      <c r="Q669" s="51">
        <v>8</v>
      </c>
      <c r="R669" s="51">
        <v>1</v>
      </c>
      <c r="S669" s="1">
        <v>1</v>
      </c>
      <c r="T669" s="1">
        <v>0</v>
      </c>
      <c r="U669" s="47">
        <v>0</v>
      </c>
      <c r="V669" s="47">
        <v>33</v>
      </c>
      <c r="W669" s="41">
        <v>300</v>
      </c>
      <c r="X669">
        <v>1000</v>
      </c>
      <c r="Y669">
        <v>0.93799999999999994</v>
      </c>
      <c r="Z669">
        <v>2400.35</v>
      </c>
      <c r="AA669">
        <v>2002.79</v>
      </c>
      <c r="AB669">
        <v>1500</v>
      </c>
      <c r="AC669">
        <v>55</v>
      </c>
      <c r="AD669" s="41">
        <f t="shared" si="172"/>
        <v>0.35828108400858211</v>
      </c>
      <c r="AE669" s="41">
        <f t="shared" si="173"/>
        <v>0.42940098562505302</v>
      </c>
      <c r="AF669">
        <f t="shared" si="174"/>
        <v>1.8324071428571431</v>
      </c>
      <c r="AG669">
        <f t="shared" si="175"/>
        <v>0.17038285714285695</v>
      </c>
      <c r="AH669">
        <f t="shared" si="176"/>
        <v>15</v>
      </c>
      <c r="AI669">
        <f>HLOOKUP(HLOOKUP(G669,'THP2'!$B$4:$J$8,5,FALSE),'Fuel &amp; Resister'!$B$3:$G$6,4,FALSE)</f>
        <v>1.048259259259259</v>
      </c>
      <c r="AJ669" s="41">
        <f>HLOOKUP(HLOOKUP(G669,'THP2'!$B$4:$J$8,5,FALSE),'Fuel &amp; Resister'!$B$3:$G$6,3,FALSE)</f>
        <v>5.829652622441694</v>
      </c>
      <c r="AO669" s="1">
        <v>1</v>
      </c>
      <c r="AP669" s="1">
        <v>1</v>
      </c>
    </row>
    <row r="670" spans="1:42" x14ac:dyDescent="0.15">
      <c r="A670"/>
      <c r="B670" s="80" t="s">
        <v>590</v>
      </c>
      <c r="C670" s="61">
        <f>VLOOKUP(B670,[1]SYS!$F$5:$G$359,2,FALSE)</f>
        <v>64</v>
      </c>
      <c r="D670" s="1" t="s">
        <v>23</v>
      </c>
      <c r="E670" s="42" t="s">
        <v>71</v>
      </c>
      <c r="F670" s="42"/>
      <c r="G670" s="1">
        <v>6</v>
      </c>
      <c r="H670" s="1">
        <f t="shared" si="167"/>
        <v>0.3</v>
      </c>
      <c r="I670" s="1">
        <f t="shared" si="168"/>
        <v>1</v>
      </c>
      <c r="J670" s="1">
        <f t="shared" si="166"/>
        <v>6.2000000000000055E-2</v>
      </c>
      <c r="K670" s="1">
        <f t="shared" si="169"/>
        <v>2.40035</v>
      </c>
      <c r="L670" s="1">
        <f t="shared" si="170"/>
        <v>2.0027900000000001</v>
      </c>
      <c r="M670" s="49">
        <f t="shared" si="171"/>
        <v>1.5773771859942549</v>
      </c>
      <c r="N670" s="49">
        <v>15</v>
      </c>
      <c r="O670" s="1">
        <v>601</v>
      </c>
      <c r="P670" s="51">
        <v>0.05</v>
      </c>
      <c r="Q670" s="51">
        <v>8</v>
      </c>
      <c r="R670" s="51">
        <v>1</v>
      </c>
      <c r="S670" s="1">
        <v>1</v>
      </c>
      <c r="T670" s="1">
        <v>0</v>
      </c>
      <c r="U670" s="47">
        <v>0</v>
      </c>
      <c r="V670" s="47">
        <v>34</v>
      </c>
      <c r="W670" s="41">
        <v>300</v>
      </c>
      <c r="X670">
        <v>1000</v>
      </c>
      <c r="Y670">
        <v>0.93799999999999994</v>
      </c>
      <c r="Z670">
        <v>2400.35</v>
      </c>
      <c r="AA670">
        <v>2002.79</v>
      </c>
      <c r="AB670">
        <v>1500</v>
      </c>
      <c r="AC670">
        <v>55</v>
      </c>
      <c r="AD670" s="41">
        <f t="shared" si="172"/>
        <v>0.35828108400858211</v>
      </c>
      <c r="AE670" s="41">
        <f t="shared" si="173"/>
        <v>0.42940098562505302</v>
      </c>
      <c r="AF670">
        <f t="shared" si="174"/>
        <v>1.8324071428571431</v>
      </c>
      <c r="AG670">
        <f t="shared" si="175"/>
        <v>0.17038285714285695</v>
      </c>
      <c r="AH670">
        <f t="shared" si="176"/>
        <v>15</v>
      </c>
      <c r="AI670">
        <f>HLOOKUP(HLOOKUP(G670,'THP2'!$B$4:$J$8,5,FALSE),'Fuel &amp; Resister'!$B$3:$G$6,4,FALSE)</f>
        <v>1.048259259259259</v>
      </c>
      <c r="AJ670" s="41">
        <f>HLOOKUP(HLOOKUP(G670,'THP2'!$B$4:$J$8,5,FALSE),'Fuel &amp; Resister'!$B$3:$G$6,3,FALSE)</f>
        <v>5.829652622441694</v>
      </c>
      <c r="AO670" s="1">
        <v>1</v>
      </c>
      <c r="AP670" s="1">
        <v>1</v>
      </c>
    </row>
    <row r="671" spans="1:42" x14ac:dyDescent="0.15">
      <c r="A671"/>
      <c r="B671" s="80" t="s">
        <v>590</v>
      </c>
      <c r="C671" s="61">
        <f>VLOOKUP(B671,[1]SYS!$F$5:$G$359,2,FALSE)</f>
        <v>64</v>
      </c>
      <c r="D671" s="1" t="s">
        <v>23</v>
      </c>
      <c r="E671" s="42" t="s">
        <v>71</v>
      </c>
      <c r="F671" s="42"/>
      <c r="G671" s="1">
        <v>6</v>
      </c>
      <c r="H671" s="1">
        <f t="shared" si="167"/>
        <v>0.3</v>
      </c>
      <c r="I671" s="1">
        <f t="shared" si="168"/>
        <v>1</v>
      </c>
      <c r="J671" s="1">
        <f t="shared" si="166"/>
        <v>6.2000000000000055E-2</v>
      </c>
      <c r="K671" s="1">
        <f t="shared" si="169"/>
        <v>2.40035</v>
      </c>
      <c r="L671" s="1">
        <f t="shared" si="170"/>
        <v>2.0027900000000001</v>
      </c>
      <c r="M671" s="49">
        <f t="shared" si="171"/>
        <v>1.5773771859942549</v>
      </c>
      <c r="N671" s="49">
        <v>15</v>
      </c>
      <c r="O671" s="1">
        <v>401</v>
      </c>
      <c r="P671" s="51">
        <v>0.05</v>
      </c>
      <c r="Q671" s="51">
        <v>8</v>
      </c>
      <c r="R671" s="51">
        <v>1</v>
      </c>
      <c r="S671" s="1">
        <v>1</v>
      </c>
      <c r="T671" s="1">
        <v>0</v>
      </c>
      <c r="U671" s="47">
        <v>0</v>
      </c>
      <c r="V671" s="47">
        <v>35</v>
      </c>
      <c r="W671" s="41">
        <v>300</v>
      </c>
      <c r="X671">
        <v>1000</v>
      </c>
      <c r="Y671">
        <v>0.93799999999999994</v>
      </c>
      <c r="Z671">
        <v>2400.35</v>
      </c>
      <c r="AA671">
        <v>2002.79</v>
      </c>
      <c r="AB671">
        <v>1500</v>
      </c>
      <c r="AC671">
        <v>55</v>
      </c>
      <c r="AD671" s="41">
        <f t="shared" si="172"/>
        <v>0.35828108400858211</v>
      </c>
      <c r="AE671" s="41">
        <f t="shared" si="173"/>
        <v>0.42940098562505302</v>
      </c>
      <c r="AF671">
        <f t="shared" si="174"/>
        <v>1.8324071428571431</v>
      </c>
      <c r="AG671">
        <f t="shared" si="175"/>
        <v>0.17038285714285695</v>
      </c>
      <c r="AH671">
        <f t="shared" si="176"/>
        <v>15</v>
      </c>
      <c r="AI671">
        <f>HLOOKUP(HLOOKUP(G671,'THP2'!$B$4:$J$8,5,FALSE),'Fuel &amp; Resister'!$B$3:$G$6,4,FALSE)</f>
        <v>1.048259259259259</v>
      </c>
      <c r="AJ671" s="41">
        <f>HLOOKUP(HLOOKUP(G671,'THP2'!$B$4:$J$8,5,FALSE),'Fuel &amp; Resister'!$B$3:$G$6,3,FALSE)</f>
        <v>5.829652622441694</v>
      </c>
      <c r="AO671" s="1">
        <v>1</v>
      </c>
      <c r="AP671" s="1">
        <v>1</v>
      </c>
    </row>
    <row r="672" spans="1:42" x14ac:dyDescent="0.15">
      <c r="A672"/>
      <c r="B672" s="80" t="s">
        <v>590</v>
      </c>
      <c r="C672" s="61">
        <f>VLOOKUP(B672,[1]SYS!$F$5:$G$359,2,FALSE)</f>
        <v>64</v>
      </c>
      <c r="D672" s="1" t="s">
        <v>23</v>
      </c>
      <c r="E672" s="65" t="s">
        <v>72</v>
      </c>
      <c r="F672" s="63" t="s">
        <v>465</v>
      </c>
      <c r="G672" s="1">
        <v>6</v>
      </c>
      <c r="H672" s="1">
        <f t="shared" si="167"/>
        <v>0.4</v>
      </c>
      <c r="I672" s="1">
        <f t="shared" si="168"/>
        <v>0.25</v>
      </c>
      <c r="J672" s="1">
        <f t="shared" si="166"/>
        <v>0.125</v>
      </c>
      <c r="K672" s="1">
        <f t="shared" si="169"/>
        <v>2.4389000000000003</v>
      </c>
      <c r="L672" s="1">
        <f t="shared" si="170"/>
        <v>1.86957</v>
      </c>
      <c r="M672" s="49">
        <f t="shared" si="171"/>
        <v>0.36811361470988957</v>
      </c>
      <c r="N672" s="49">
        <v>2.1683000000000003</v>
      </c>
      <c r="O672" s="6">
        <v>302</v>
      </c>
      <c r="P672" s="51">
        <v>0.05</v>
      </c>
      <c r="Q672" s="51">
        <v>8</v>
      </c>
      <c r="R672" s="51">
        <v>1</v>
      </c>
      <c r="S672" s="1">
        <v>1</v>
      </c>
      <c r="T672" s="1">
        <v>0</v>
      </c>
      <c r="U672" s="47">
        <v>1</v>
      </c>
      <c r="V672" s="47">
        <v>36</v>
      </c>
      <c r="W672" s="41">
        <v>100</v>
      </c>
      <c r="X672">
        <v>250</v>
      </c>
      <c r="Y672">
        <v>0.875</v>
      </c>
      <c r="Z672">
        <v>2438.9</v>
      </c>
      <c r="AA672">
        <v>1869.57</v>
      </c>
      <c r="AB672">
        <v>216.83</v>
      </c>
      <c r="AC672">
        <v>55</v>
      </c>
      <c r="AD672" s="41">
        <f t="shared" si="172"/>
        <v>0.35261798351715939</v>
      </c>
      <c r="AE672" s="41">
        <f t="shared" si="173"/>
        <v>0.45999882325882424</v>
      </c>
      <c r="AF672">
        <f t="shared" si="174"/>
        <v>1.4900166666666663</v>
      </c>
      <c r="AG672">
        <f t="shared" si="175"/>
        <v>9.4888333333333408E-2</v>
      </c>
      <c r="AH672">
        <f t="shared" si="176"/>
        <v>2.1683000000000003</v>
      </c>
      <c r="AI672">
        <f>HLOOKUP(HLOOKUP(G672,'THP2'!$B$4:$J$8,5,FALSE),'Fuel &amp; Resister'!$B$3:$G$6,4,FALSE)</f>
        <v>1.048259259259259</v>
      </c>
      <c r="AJ672" s="41">
        <f>HLOOKUP(HLOOKUP(G672,'THP2'!$B$4:$J$8,5,FALSE),'Fuel &amp; Resister'!$B$3:$G$6,3,FALSE)</f>
        <v>5.829652622441694</v>
      </c>
      <c r="AO672" s="1">
        <v>1</v>
      </c>
      <c r="AP672" s="1">
        <v>1</v>
      </c>
    </row>
    <row r="673" spans="1:42" x14ac:dyDescent="0.15">
      <c r="A673"/>
      <c r="B673" s="80" t="s">
        <v>590</v>
      </c>
      <c r="C673" s="61">
        <f>VLOOKUP(B673,[1]SYS!$F$5:$G$359,2,FALSE)</f>
        <v>64</v>
      </c>
      <c r="D673" s="1" t="s">
        <v>23</v>
      </c>
      <c r="E673" s="65" t="s">
        <v>73</v>
      </c>
      <c r="F673" s="63" t="s">
        <v>465</v>
      </c>
      <c r="G673" s="1">
        <v>6</v>
      </c>
      <c r="H673" s="1">
        <f t="shared" si="167"/>
        <v>0.4</v>
      </c>
      <c r="I673" s="1">
        <f t="shared" si="168"/>
        <v>0.54</v>
      </c>
      <c r="J673" s="1">
        <f t="shared" si="166"/>
        <v>0.125</v>
      </c>
      <c r="K673" s="1">
        <f t="shared" si="169"/>
        <v>2.4602900000000001</v>
      </c>
      <c r="L673" s="1">
        <f t="shared" si="170"/>
        <v>1.8859600000000001</v>
      </c>
      <c r="M673" s="49">
        <f t="shared" si="171"/>
        <v>0.80209605098725856</v>
      </c>
      <c r="N673" s="49">
        <v>5.4639999999999995</v>
      </c>
      <c r="O673" s="1">
        <v>403</v>
      </c>
      <c r="P673" s="51">
        <v>0.05</v>
      </c>
      <c r="Q673" s="51">
        <v>8</v>
      </c>
      <c r="R673" s="51">
        <v>1</v>
      </c>
      <c r="S673" s="1">
        <v>1</v>
      </c>
      <c r="T673" s="1">
        <v>0</v>
      </c>
      <c r="U673" s="47">
        <v>1</v>
      </c>
      <c r="V673" s="47">
        <v>37</v>
      </c>
      <c r="W673" s="41">
        <v>216</v>
      </c>
      <c r="X673">
        <v>540</v>
      </c>
      <c r="Y673">
        <v>0.875</v>
      </c>
      <c r="Z673">
        <v>2460.29</v>
      </c>
      <c r="AA673">
        <v>1885.96</v>
      </c>
      <c r="AB673">
        <v>546.4</v>
      </c>
      <c r="AC673">
        <v>55</v>
      </c>
      <c r="AD673" s="41">
        <f t="shared" si="172"/>
        <v>0.34955228855134962</v>
      </c>
      <c r="AE673" s="41">
        <f t="shared" si="173"/>
        <v>0.45600118772402382</v>
      </c>
      <c r="AF673">
        <f t="shared" si="174"/>
        <v>1.5030733333333333</v>
      </c>
      <c r="AG673">
        <f t="shared" si="175"/>
        <v>0.2067588000000001</v>
      </c>
      <c r="AH673">
        <f t="shared" si="176"/>
        <v>5.4639999999999995</v>
      </c>
      <c r="AI673">
        <f>HLOOKUP(HLOOKUP(G673,'THP2'!$B$4:$J$8,5,FALSE),'Fuel &amp; Resister'!$B$3:$G$6,4,FALSE)</f>
        <v>1.048259259259259</v>
      </c>
      <c r="AJ673" s="41">
        <f>HLOOKUP(HLOOKUP(G673,'THP2'!$B$4:$J$8,5,FALSE),'Fuel &amp; Resister'!$B$3:$G$6,3,FALSE)</f>
        <v>5.829652622441694</v>
      </c>
      <c r="AO673" s="1">
        <v>1</v>
      </c>
      <c r="AP673" s="1">
        <v>1</v>
      </c>
    </row>
    <row r="674" spans="1:42" x14ac:dyDescent="0.15">
      <c r="A674"/>
      <c r="B674" s="80" t="s">
        <v>590</v>
      </c>
      <c r="C674" s="61">
        <f>VLOOKUP(B674,[1]SYS!$F$5:$G$359,2,FALSE)</f>
        <v>64</v>
      </c>
      <c r="D674" s="1" t="s">
        <v>23</v>
      </c>
      <c r="E674" s="65" t="s">
        <v>74</v>
      </c>
      <c r="F674" s="63" t="s">
        <v>465</v>
      </c>
      <c r="G674" s="1">
        <v>6</v>
      </c>
      <c r="H674" s="1">
        <f t="shared" si="167"/>
        <v>0.4</v>
      </c>
      <c r="I674" s="1">
        <f t="shared" si="168"/>
        <v>0.54</v>
      </c>
      <c r="J674" s="1">
        <f t="shared" si="166"/>
        <v>0.125</v>
      </c>
      <c r="K674" s="1">
        <f t="shared" si="169"/>
        <v>2.4602900000000001</v>
      </c>
      <c r="L674" s="1">
        <f t="shared" si="170"/>
        <v>1.8859600000000001</v>
      </c>
      <c r="M674" s="49">
        <f t="shared" si="171"/>
        <v>0.80209605098725856</v>
      </c>
      <c r="N674" s="49">
        <v>5.4639999999999995</v>
      </c>
      <c r="O674" s="1">
        <v>903</v>
      </c>
      <c r="P674" s="51">
        <v>0.05</v>
      </c>
      <c r="Q674" s="51">
        <v>8</v>
      </c>
      <c r="R674" s="51">
        <v>1</v>
      </c>
      <c r="S674" s="1">
        <v>1</v>
      </c>
      <c r="T674" s="1">
        <v>0</v>
      </c>
      <c r="U674" s="47">
        <v>1</v>
      </c>
      <c r="V674" s="47">
        <v>38</v>
      </c>
      <c r="W674" s="41">
        <v>216</v>
      </c>
      <c r="X674">
        <v>540</v>
      </c>
      <c r="Y674">
        <v>0.875</v>
      </c>
      <c r="Z674">
        <v>2460.29</v>
      </c>
      <c r="AA674">
        <v>1885.96</v>
      </c>
      <c r="AB674">
        <v>546.4</v>
      </c>
      <c r="AC674">
        <v>55</v>
      </c>
      <c r="AD674" s="41">
        <f t="shared" si="172"/>
        <v>0.34955228855134962</v>
      </c>
      <c r="AE674" s="41">
        <f t="shared" si="173"/>
        <v>0.45600118772402382</v>
      </c>
      <c r="AF674">
        <f t="shared" si="174"/>
        <v>1.5030733333333333</v>
      </c>
      <c r="AG674">
        <f t="shared" si="175"/>
        <v>0.2067588000000001</v>
      </c>
      <c r="AH674">
        <f t="shared" si="176"/>
        <v>5.4639999999999995</v>
      </c>
      <c r="AI674">
        <f>HLOOKUP(HLOOKUP(G674,'THP2'!$B$4:$J$8,5,FALSE),'Fuel &amp; Resister'!$B$3:$G$6,4,FALSE)</f>
        <v>1.048259259259259</v>
      </c>
      <c r="AJ674" s="41">
        <f>HLOOKUP(HLOOKUP(G674,'THP2'!$B$4:$J$8,5,FALSE),'Fuel &amp; Resister'!$B$3:$G$6,3,FALSE)</f>
        <v>5.829652622441694</v>
      </c>
      <c r="AO674" s="1">
        <v>1</v>
      </c>
      <c r="AP674" s="1">
        <v>1</v>
      </c>
    </row>
    <row r="675" spans="1:42" x14ac:dyDescent="0.15">
      <c r="A675"/>
      <c r="B675" s="80" t="s">
        <v>590</v>
      </c>
      <c r="C675" s="61">
        <f>VLOOKUP(B675,[1]SYS!$F$5:$G$359,2,FALSE)</f>
        <v>64</v>
      </c>
      <c r="D675" s="1" t="s">
        <v>23</v>
      </c>
      <c r="E675" s="65" t="s">
        <v>75</v>
      </c>
      <c r="F675" s="63" t="s">
        <v>511</v>
      </c>
      <c r="G675" s="1">
        <v>6</v>
      </c>
      <c r="H675" s="1">
        <f t="shared" si="167"/>
        <v>0.3</v>
      </c>
      <c r="I675" s="1">
        <f t="shared" si="168"/>
        <v>0.65</v>
      </c>
      <c r="J675" s="1">
        <f t="shared" si="166"/>
        <v>6.2000000000000055E-2</v>
      </c>
      <c r="K675" s="1">
        <f t="shared" si="169"/>
        <v>2.3969999999999998</v>
      </c>
      <c r="L675" s="1">
        <f t="shared" si="170"/>
        <v>2</v>
      </c>
      <c r="M675" s="49">
        <f t="shared" si="171"/>
        <v>1.023866876603404</v>
      </c>
      <c r="N675" s="49">
        <v>6.7125000000000004</v>
      </c>
      <c r="O675" s="1">
        <v>504</v>
      </c>
      <c r="P675" s="51">
        <v>0.05</v>
      </c>
      <c r="Q675" s="51">
        <v>8</v>
      </c>
      <c r="R675" s="51">
        <v>1</v>
      </c>
      <c r="S675" s="1">
        <v>1</v>
      </c>
      <c r="T675" s="1">
        <v>0</v>
      </c>
      <c r="U675" s="47">
        <v>1</v>
      </c>
      <c r="V675" s="47">
        <v>39</v>
      </c>
      <c r="W675" s="41">
        <v>195</v>
      </c>
      <c r="X675">
        <v>650</v>
      </c>
      <c r="Y675">
        <v>0.93799999999999994</v>
      </c>
      <c r="Z675">
        <v>2397</v>
      </c>
      <c r="AA675">
        <v>2000</v>
      </c>
      <c r="AB675">
        <v>671.25</v>
      </c>
      <c r="AC675">
        <v>55</v>
      </c>
      <c r="AD675" s="41">
        <f t="shared" si="172"/>
        <v>0.35878181059657904</v>
      </c>
      <c r="AE675" s="41">
        <f t="shared" si="173"/>
        <v>0.43</v>
      </c>
      <c r="AF675">
        <f t="shared" si="174"/>
        <v>1.8298571428571428</v>
      </c>
      <c r="AG675">
        <f t="shared" si="175"/>
        <v>0.11059285714285715</v>
      </c>
      <c r="AH675">
        <f t="shared" si="176"/>
        <v>6.7125000000000004</v>
      </c>
      <c r="AI675">
        <f>HLOOKUP(HLOOKUP(G675,'THP2'!$B$4:$J$8,5,FALSE),'Fuel &amp; Resister'!$B$3:$G$6,4,FALSE)</f>
        <v>1.048259259259259</v>
      </c>
      <c r="AJ675" s="41">
        <f>HLOOKUP(HLOOKUP(G675,'THP2'!$B$4:$J$8,5,FALSE),'Fuel &amp; Resister'!$B$3:$G$6,3,FALSE)</f>
        <v>5.829652622441694</v>
      </c>
      <c r="AO675" s="1">
        <v>1</v>
      </c>
      <c r="AP675" s="1">
        <v>1</v>
      </c>
    </row>
    <row r="676" spans="1:42" x14ac:dyDescent="0.15">
      <c r="A676"/>
      <c r="B676" s="80" t="s">
        <v>591</v>
      </c>
      <c r="C676" s="61">
        <f>VLOOKUP(B676,[1]SYS!$F$5:$G$359,2,FALSE)</f>
        <v>75</v>
      </c>
      <c r="D676" s="1" t="s">
        <v>23</v>
      </c>
      <c r="E676" s="65" t="s">
        <v>76</v>
      </c>
      <c r="F676" s="63" t="s">
        <v>535</v>
      </c>
      <c r="G676" s="1">
        <v>6</v>
      </c>
      <c r="H676" s="1">
        <f t="shared" si="167"/>
        <v>0.3</v>
      </c>
      <c r="I676" s="1">
        <f t="shared" si="168"/>
        <v>1</v>
      </c>
      <c r="J676" s="1">
        <f t="shared" si="166"/>
        <v>2.0000000000000018E-2</v>
      </c>
      <c r="K676" s="1">
        <f t="shared" si="169"/>
        <v>2.3969999999999998</v>
      </c>
      <c r="L676" s="1">
        <f t="shared" si="170"/>
        <v>2</v>
      </c>
      <c r="M676" s="49">
        <f t="shared" si="171"/>
        <v>1.575179810159083</v>
      </c>
      <c r="N676" s="49">
        <v>15</v>
      </c>
      <c r="O676" s="1">
        <v>403</v>
      </c>
      <c r="P676" s="51">
        <v>0.05</v>
      </c>
      <c r="Q676" s="51">
        <v>8</v>
      </c>
      <c r="R676" s="51">
        <v>1</v>
      </c>
      <c r="S676" s="1">
        <v>1</v>
      </c>
      <c r="T676" s="1">
        <v>0</v>
      </c>
      <c r="U676" s="47">
        <v>1</v>
      </c>
      <c r="V676" s="47">
        <v>40</v>
      </c>
      <c r="W676" s="41">
        <v>300</v>
      </c>
      <c r="X676">
        <v>1000</v>
      </c>
      <c r="Y676">
        <v>0.98</v>
      </c>
      <c r="Z676">
        <v>2397</v>
      </c>
      <c r="AA676">
        <v>2000</v>
      </c>
      <c r="AB676">
        <v>1500</v>
      </c>
      <c r="AC676">
        <v>55</v>
      </c>
      <c r="AD676" s="41">
        <f t="shared" si="172"/>
        <v>0.35878181059657904</v>
      </c>
      <c r="AE676" s="41">
        <f t="shared" si="173"/>
        <v>0.43</v>
      </c>
      <c r="AF676">
        <f t="shared" si="174"/>
        <v>1.8298571428571428</v>
      </c>
      <c r="AG676">
        <f t="shared" si="175"/>
        <v>0.17014285714285715</v>
      </c>
      <c r="AH676">
        <f t="shared" si="176"/>
        <v>15</v>
      </c>
      <c r="AI676">
        <f>HLOOKUP(HLOOKUP(G676,'THP2'!$B$4:$J$8,5,FALSE),'Fuel &amp; Resister'!$B$3:$G$6,4,FALSE)</f>
        <v>1.048259259259259</v>
      </c>
      <c r="AJ676" s="41">
        <f>HLOOKUP(HLOOKUP(G676,'THP2'!$B$4:$J$8,5,FALSE),'Fuel &amp; Resister'!$B$3:$G$6,3,FALSE)</f>
        <v>5.829652622441694</v>
      </c>
      <c r="AO676" s="1">
        <v>1</v>
      </c>
      <c r="AP676" s="1">
        <v>1</v>
      </c>
    </row>
    <row r="677" spans="1:42" x14ac:dyDescent="0.15">
      <c r="A677"/>
      <c r="B677" s="80" t="s">
        <v>591</v>
      </c>
      <c r="C677" s="61">
        <f>VLOOKUP(B677,[1]SYS!$F$5:$G$359,2,FALSE)</f>
        <v>75</v>
      </c>
      <c r="D677" s="1" t="s">
        <v>23</v>
      </c>
      <c r="E677" s="65" t="s">
        <v>77</v>
      </c>
      <c r="F677" s="63" t="s">
        <v>535</v>
      </c>
      <c r="G677" s="1">
        <v>6</v>
      </c>
      <c r="H677" s="1">
        <f t="shared" si="167"/>
        <v>0.3</v>
      </c>
      <c r="I677" s="1">
        <f t="shared" si="168"/>
        <v>1</v>
      </c>
      <c r="J677" s="1">
        <f t="shared" si="166"/>
        <v>2.0000000000000018E-2</v>
      </c>
      <c r="K677" s="1">
        <f t="shared" si="169"/>
        <v>2.3969999999999998</v>
      </c>
      <c r="L677" s="1">
        <f t="shared" si="170"/>
        <v>2</v>
      </c>
      <c r="M677" s="49">
        <f t="shared" si="171"/>
        <v>1.575179810159083</v>
      </c>
      <c r="N677" s="49">
        <v>15</v>
      </c>
      <c r="O677" s="1">
        <v>403</v>
      </c>
      <c r="P677" s="51">
        <v>0.05</v>
      </c>
      <c r="Q677" s="51">
        <v>8</v>
      </c>
      <c r="R677" s="51">
        <v>1</v>
      </c>
      <c r="S677" s="1">
        <v>1</v>
      </c>
      <c r="T677" s="1">
        <v>0</v>
      </c>
      <c r="U677" s="47">
        <v>1</v>
      </c>
      <c r="V677" s="47">
        <v>41</v>
      </c>
      <c r="W677" s="41">
        <v>300</v>
      </c>
      <c r="X677">
        <v>1000</v>
      </c>
      <c r="Y677">
        <v>0.98</v>
      </c>
      <c r="Z677">
        <v>2397</v>
      </c>
      <c r="AA677">
        <v>2000</v>
      </c>
      <c r="AB677">
        <v>1500</v>
      </c>
      <c r="AC677">
        <v>55</v>
      </c>
      <c r="AD677" s="41">
        <f t="shared" si="172"/>
        <v>0.35878181059657904</v>
      </c>
      <c r="AE677" s="41">
        <f t="shared" si="173"/>
        <v>0.43</v>
      </c>
      <c r="AF677">
        <f t="shared" si="174"/>
        <v>1.8298571428571428</v>
      </c>
      <c r="AG677">
        <f t="shared" si="175"/>
        <v>0.17014285714285715</v>
      </c>
      <c r="AH677">
        <f t="shared" si="176"/>
        <v>15</v>
      </c>
      <c r="AI677">
        <f>HLOOKUP(HLOOKUP(G677,'THP2'!$B$4:$J$8,5,FALSE),'Fuel &amp; Resister'!$B$3:$G$6,4,FALSE)</f>
        <v>1.048259259259259</v>
      </c>
      <c r="AJ677" s="41">
        <f>HLOOKUP(HLOOKUP(G677,'THP2'!$B$4:$J$8,5,FALSE),'Fuel &amp; Resister'!$B$3:$G$6,3,FALSE)</f>
        <v>5.829652622441694</v>
      </c>
      <c r="AO677" s="1">
        <v>1</v>
      </c>
      <c r="AP677" s="1">
        <v>1</v>
      </c>
    </row>
    <row r="678" spans="1:42" x14ac:dyDescent="0.15">
      <c r="A678"/>
      <c r="B678" s="80" t="s">
        <v>592</v>
      </c>
      <c r="C678" s="61">
        <f>VLOOKUP(B678,[1]SYS!$F$5:$G$359,2,FALSE)</f>
        <v>77</v>
      </c>
      <c r="D678" s="1" t="s">
        <v>23</v>
      </c>
      <c r="E678" s="65" t="s">
        <v>78</v>
      </c>
      <c r="F678" s="63" t="s">
        <v>468</v>
      </c>
      <c r="G678" s="1">
        <v>6</v>
      </c>
      <c r="H678" s="1">
        <f t="shared" si="167"/>
        <v>0.30077519379844964</v>
      </c>
      <c r="I678" s="1">
        <f t="shared" si="168"/>
        <v>0.64500000000000002</v>
      </c>
      <c r="J678" s="1">
        <f t="shared" si="166"/>
        <v>6.2000000000000055E-2</v>
      </c>
      <c r="K678" s="1">
        <f t="shared" si="169"/>
        <v>2.3969999999999998</v>
      </c>
      <c r="L678" s="1">
        <f t="shared" si="170"/>
        <v>2</v>
      </c>
      <c r="M678" s="49">
        <f t="shared" si="171"/>
        <v>1.0159909775526086</v>
      </c>
      <c r="N678" s="49">
        <v>6.6558000000000002</v>
      </c>
      <c r="O678" s="1">
        <v>504</v>
      </c>
      <c r="P678" s="51">
        <v>0.05</v>
      </c>
      <c r="Q678" s="51">
        <v>8</v>
      </c>
      <c r="R678" s="51">
        <v>1</v>
      </c>
      <c r="S678" s="1">
        <v>1</v>
      </c>
      <c r="T678" s="1">
        <v>0</v>
      </c>
      <c r="U678" s="47">
        <v>1</v>
      </c>
      <c r="V678" s="47">
        <v>42</v>
      </c>
      <c r="W678" s="41">
        <v>194</v>
      </c>
      <c r="X678">
        <v>645</v>
      </c>
      <c r="Y678">
        <v>0.93799999999999994</v>
      </c>
      <c r="Z678">
        <v>2397</v>
      </c>
      <c r="AA678">
        <v>2000</v>
      </c>
      <c r="AB678">
        <v>665.58</v>
      </c>
      <c r="AC678">
        <v>55</v>
      </c>
      <c r="AD678" s="41">
        <f t="shared" si="172"/>
        <v>0.35878181059657904</v>
      </c>
      <c r="AE678" s="41">
        <f t="shared" si="173"/>
        <v>0.43</v>
      </c>
      <c r="AF678">
        <f t="shared" si="174"/>
        <v>1.829228381374723</v>
      </c>
      <c r="AG678">
        <f t="shared" si="175"/>
        <v>0.11014769401330367</v>
      </c>
      <c r="AH678">
        <f t="shared" si="176"/>
        <v>6.6558000000000002</v>
      </c>
      <c r="AI678">
        <f>HLOOKUP(HLOOKUP(G678,'THP2'!$B$4:$J$8,5,FALSE),'Fuel &amp; Resister'!$B$3:$G$6,4,FALSE)</f>
        <v>1.048259259259259</v>
      </c>
      <c r="AJ678" s="41">
        <f>HLOOKUP(HLOOKUP(G678,'THP2'!$B$4:$J$8,5,FALSE),'Fuel &amp; Resister'!$B$3:$G$6,3,FALSE)</f>
        <v>5.829652622441694</v>
      </c>
      <c r="AO678" s="1">
        <v>1</v>
      </c>
      <c r="AP678" s="1">
        <v>1</v>
      </c>
    </row>
    <row r="679" spans="1:42" x14ac:dyDescent="0.15">
      <c r="A679"/>
      <c r="B679" s="80" t="s">
        <v>593</v>
      </c>
      <c r="C679" s="61">
        <f>VLOOKUP(B679,[1]SYS!$F$5:$G$359,2,FALSE)</f>
        <v>105</v>
      </c>
      <c r="D679" s="1" t="s">
        <v>23</v>
      </c>
      <c r="E679" s="65" t="s">
        <v>79</v>
      </c>
      <c r="F679" s="63" t="s">
        <v>466</v>
      </c>
      <c r="G679" s="1">
        <v>6</v>
      </c>
      <c r="H679" s="1">
        <f t="shared" si="167"/>
        <v>0.3</v>
      </c>
      <c r="I679" s="1">
        <f t="shared" si="168"/>
        <v>0.6</v>
      </c>
      <c r="J679" s="1">
        <f t="shared" si="166"/>
        <v>5.5000000000000049E-2</v>
      </c>
      <c r="K679" s="1">
        <f t="shared" si="169"/>
        <v>2.39812</v>
      </c>
      <c r="L679" s="1">
        <f t="shared" si="170"/>
        <v>2.0009299999999999</v>
      </c>
      <c r="M679" s="49">
        <f t="shared" si="171"/>
        <v>0.94554736126248429</v>
      </c>
      <c r="N679" s="49">
        <v>6.1449999999999996</v>
      </c>
      <c r="O679" s="1">
        <v>504</v>
      </c>
      <c r="P679" s="51">
        <v>0.05</v>
      </c>
      <c r="Q679" s="51">
        <v>8</v>
      </c>
      <c r="R679" s="51">
        <v>1</v>
      </c>
      <c r="S679" s="1">
        <v>1</v>
      </c>
      <c r="T679" s="1">
        <v>0</v>
      </c>
      <c r="U679" s="47">
        <v>1</v>
      </c>
      <c r="V679" s="47">
        <v>43</v>
      </c>
      <c r="W679" s="41">
        <v>180</v>
      </c>
      <c r="X679">
        <v>600</v>
      </c>
      <c r="Y679">
        <v>0.94499999999999995</v>
      </c>
      <c r="Z679">
        <v>2398.12</v>
      </c>
      <c r="AA679">
        <v>2000.93</v>
      </c>
      <c r="AB679">
        <v>614.5</v>
      </c>
      <c r="AC679">
        <v>55</v>
      </c>
      <c r="AD679" s="41">
        <f t="shared" si="172"/>
        <v>0.35861424782746487</v>
      </c>
      <c r="AE679" s="41">
        <f t="shared" si="173"/>
        <v>0.42980014293353591</v>
      </c>
      <c r="AF679">
        <f t="shared" si="174"/>
        <v>1.8307057142857144</v>
      </c>
      <c r="AG679">
        <f t="shared" si="175"/>
        <v>0.1021345714285713</v>
      </c>
      <c r="AH679">
        <f t="shared" si="176"/>
        <v>6.1449999999999996</v>
      </c>
      <c r="AI679">
        <f>HLOOKUP(HLOOKUP(G679,'THP2'!$B$4:$J$8,5,FALSE),'Fuel &amp; Resister'!$B$3:$G$6,4,FALSE)</f>
        <v>1.048259259259259</v>
      </c>
      <c r="AJ679" s="41">
        <f>HLOOKUP(HLOOKUP(G679,'THP2'!$B$4:$J$8,5,FALSE),'Fuel &amp; Resister'!$B$3:$G$6,3,FALSE)</f>
        <v>5.829652622441694</v>
      </c>
      <c r="AO679" s="1">
        <v>1</v>
      </c>
      <c r="AP679" s="1">
        <v>1</v>
      </c>
    </row>
    <row r="680" spans="1:42" x14ac:dyDescent="0.15">
      <c r="A680"/>
      <c r="B680" s="80" t="s">
        <v>593</v>
      </c>
      <c r="C680" s="61">
        <f>VLOOKUP(B680,[1]SYS!$F$5:$G$359,2,FALSE)</f>
        <v>105</v>
      </c>
      <c r="D680" s="1" t="s">
        <v>23</v>
      </c>
      <c r="E680" s="65" t="s">
        <v>80</v>
      </c>
      <c r="F680" s="63" t="s">
        <v>466</v>
      </c>
      <c r="G680" s="1">
        <v>6</v>
      </c>
      <c r="H680" s="1">
        <f t="shared" si="167"/>
        <v>0.30071174377224197</v>
      </c>
      <c r="I680" s="1">
        <f t="shared" si="168"/>
        <v>0.56200000000000006</v>
      </c>
      <c r="J680" s="1">
        <f t="shared" si="166"/>
        <v>5.5000000000000049E-2</v>
      </c>
      <c r="K680" s="1">
        <f t="shared" si="169"/>
        <v>2.39812</v>
      </c>
      <c r="L680" s="1">
        <f t="shared" si="170"/>
        <v>2.0009299999999999</v>
      </c>
      <c r="M680" s="49">
        <f t="shared" si="171"/>
        <v>0.88566269504919348</v>
      </c>
      <c r="N680" s="49">
        <v>5.7137000000000002</v>
      </c>
      <c r="O680" s="1">
        <v>603</v>
      </c>
      <c r="P680" s="51">
        <v>0.05</v>
      </c>
      <c r="Q680" s="51">
        <v>8</v>
      </c>
      <c r="R680" s="51">
        <v>1</v>
      </c>
      <c r="S680" s="1">
        <v>1</v>
      </c>
      <c r="T680" s="1">
        <v>0</v>
      </c>
      <c r="U680" s="47">
        <v>1</v>
      </c>
      <c r="V680" s="47">
        <v>44</v>
      </c>
      <c r="W680" s="41">
        <v>169</v>
      </c>
      <c r="X680">
        <v>562</v>
      </c>
      <c r="Y680">
        <v>0.94499999999999995</v>
      </c>
      <c r="Z680">
        <v>2398.12</v>
      </c>
      <c r="AA680">
        <v>2000.93</v>
      </c>
      <c r="AB680">
        <v>571.37</v>
      </c>
      <c r="AC680">
        <v>55</v>
      </c>
      <c r="AD680" s="41">
        <f t="shared" si="172"/>
        <v>0.35861424782746487</v>
      </c>
      <c r="AE680" s="41">
        <f t="shared" si="173"/>
        <v>0.42980014293353591</v>
      </c>
      <c r="AF680">
        <f t="shared" si="174"/>
        <v>1.8301281933842237</v>
      </c>
      <c r="AG680">
        <f t="shared" si="175"/>
        <v>9.5990615318066214E-2</v>
      </c>
      <c r="AH680">
        <f t="shared" si="176"/>
        <v>5.7137000000000002</v>
      </c>
      <c r="AI680">
        <f>HLOOKUP(HLOOKUP(G680,'THP2'!$B$4:$J$8,5,FALSE),'Fuel &amp; Resister'!$B$3:$G$6,4,FALSE)</f>
        <v>1.048259259259259</v>
      </c>
      <c r="AJ680" s="41">
        <f>HLOOKUP(HLOOKUP(G680,'THP2'!$B$4:$J$8,5,FALSE),'Fuel &amp; Resister'!$B$3:$G$6,3,FALSE)</f>
        <v>5.829652622441694</v>
      </c>
      <c r="AO680" s="1">
        <v>1</v>
      </c>
      <c r="AP680" s="1">
        <v>1</v>
      </c>
    </row>
    <row r="681" spans="1:42" x14ac:dyDescent="0.15">
      <c r="A681"/>
      <c r="B681" s="80" t="s">
        <v>594</v>
      </c>
      <c r="C681" s="61">
        <f>VLOOKUP(B681,[1]SYS!$F$5:$G$359,2,FALSE)</f>
        <v>70</v>
      </c>
      <c r="D681" s="1" t="s">
        <v>23</v>
      </c>
      <c r="E681" s="65" t="s">
        <v>81</v>
      </c>
      <c r="F681" s="63" t="s">
        <v>512</v>
      </c>
      <c r="G681" s="1">
        <v>6</v>
      </c>
      <c r="H681" s="1">
        <f t="shared" si="167"/>
        <v>0.3</v>
      </c>
      <c r="I681" s="1">
        <f t="shared" si="168"/>
        <v>1</v>
      </c>
      <c r="J681" s="1">
        <f t="shared" si="166"/>
        <v>6.2000000000000055E-2</v>
      </c>
      <c r="K681" s="1">
        <f t="shared" si="169"/>
        <v>2.40035</v>
      </c>
      <c r="L681" s="1">
        <f t="shared" si="170"/>
        <v>2.0027900000000001</v>
      </c>
      <c r="M681" s="49">
        <f t="shared" si="171"/>
        <v>1.5773771859942549</v>
      </c>
      <c r="N681" s="49">
        <v>15</v>
      </c>
      <c r="O681" s="1">
        <v>403</v>
      </c>
      <c r="P681" s="51">
        <v>0.05</v>
      </c>
      <c r="Q681" s="51">
        <v>8</v>
      </c>
      <c r="R681" s="51">
        <v>1</v>
      </c>
      <c r="S681" s="1">
        <v>1</v>
      </c>
      <c r="T681" s="1">
        <v>0</v>
      </c>
      <c r="U681" s="47">
        <v>1</v>
      </c>
      <c r="V681" s="47">
        <v>45</v>
      </c>
      <c r="W681" s="41">
        <v>300</v>
      </c>
      <c r="X681">
        <v>1000</v>
      </c>
      <c r="Y681">
        <v>0.93799999999999994</v>
      </c>
      <c r="Z681">
        <v>2400.35</v>
      </c>
      <c r="AA681">
        <v>2002.79</v>
      </c>
      <c r="AB681">
        <v>1500</v>
      </c>
      <c r="AC681">
        <v>55</v>
      </c>
      <c r="AD681" s="41">
        <f t="shared" si="172"/>
        <v>0.35828108400858211</v>
      </c>
      <c r="AE681" s="41">
        <f t="shared" si="173"/>
        <v>0.42940098562505302</v>
      </c>
      <c r="AF681">
        <f t="shared" si="174"/>
        <v>1.8324071428571431</v>
      </c>
      <c r="AG681">
        <f t="shared" si="175"/>
        <v>0.17038285714285695</v>
      </c>
      <c r="AH681">
        <f t="shared" si="176"/>
        <v>15</v>
      </c>
      <c r="AI681">
        <f>HLOOKUP(HLOOKUP(G681,'THP2'!$B$4:$J$8,5,FALSE),'Fuel &amp; Resister'!$B$3:$G$6,4,FALSE)</f>
        <v>1.048259259259259</v>
      </c>
      <c r="AJ681" s="41">
        <f>HLOOKUP(HLOOKUP(G681,'THP2'!$B$4:$J$8,5,FALSE),'Fuel &amp; Resister'!$B$3:$G$6,3,FALSE)</f>
        <v>5.829652622441694</v>
      </c>
      <c r="AO681" s="1">
        <v>1</v>
      </c>
      <c r="AP681" s="1">
        <v>1</v>
      </c>
    </row>
    <row r="682" spans="1:42" x14ac:dyDescent="0.15">
      <c r="A682"/>
      <c r="B682" s="80" t="s">
        <v>594</v>
      </c>
      <c r="C682" s="61">
        <f>VLOOKUP(B682,[1]SYS!$F$5:$G$359,2,FALSE)</f>
        <v>70</v>
      </c>
      <c r="D682" s="1" t="s">
        <v>23</v>
      </c>
      <c r="E682" s="65" t="s">
        <v>82</v>
      </c>
      <c r="F682" s="63" t="s">
        <v>512</v>
      </c>
      <c r="G682" s="1">
        <v>6</v>
      </c>
      <c r="H682" s="1">
        <f t="shared" si="167"/>
        <v>0.3</v>
      </c>
      <c r="I682" s="1">
        <f t="shared" si="168"/>
        <v>1</v>
      </c>
      <c r="J682" s="1">
        <f t="shared" si="166"/>
        <v>6.2000000000000055E-2</v>
      </c>
      <c r="K682" s="1">
        <f t="shared" si="169"/>
        <v>2.40035</v>
      </c>
      <c r="L682" s="1">
        <f t="shared" si="170"/>
        <v>2.0027900000000001</v>
      </c>
      <c r="M682" s="49">
        <f t="shared" si="171"/>
        <v>1.5773771859942549</v>
      </c>
      <c r="N682" s="49">
        <v>15</v>
      </c>
      <c r="O682" s="1">
        <v>403</v>
      </c>
      <c r="P682" s="51">
        <v>0.05</v>
      </c>
      <c r="Q682" s="51">
        <v>8</v>
      </c>
      <c r="R682" s="51">
        <v>1</v>
      </c>
      <c r="S682" s="1">
        <v>1</v>
      </c>
      <c r="T682" s="1">
        <v>0</v>
      </c>
      <c r="U682" s="47">
        <v>1</v>
      </c>
      <c r="V682" s="47">
        <v>46</v>
      </c>
      <c r="W682" s="41">
        <v>300</v>
      </c>
      <c r="X682">
        <v>1000</v>
      </c>
      <c r="Y682">
        <v>0.93799999999999994</v>
      </c>
      <c r="Z682">
        <v>2400.35</v>
      </c>
      <c r="AA682">
        <v>2002.79</v>
      </c>
      <c r="AB682">
        <v>1500</v>
      </c>
      <c r="AC682">
        <v>55</v>
      </c>
      <c r="AD682" s="41">
        <f t="shared" si="172"/>
        <v>0.35828108400858211</v>
      </c>
      <c r="AE682" s="41">
        <f t="shared" si="173"/>
        <v>0.42940098562505302</v>
      </c>
      <c r="AF682">
        <f t="shared" si="174"/>
        <v>1.8324071428571431</v>
      </c>
      <c r="AG682">
        <f t="shared" si="175"/>
        <v>0.17038285714285695</v>
      </c>
      <c r="AH682">
        <f t="shared" si="176"/>
        <v>15</v>
      </c>
      <c r="AI682">
        <f>HLOOKUP(HLOOKUP(G682,'THP2'!$B$4:$J$8,5,FALSE),'Fuel &amp; Resister'!$B$3:$G$6,4,FALSE)</f>
        <v>1.048259259259259</v>
      </c>
      <c r="AJ682" s="41">
        <f>HLOOKUP(HLOOKUP(G682,'THP2'!$B$4:$J$8,5,FALSE),'Fuel &amp; Resister'!$B$3:$G$6,3,FALSE)</f>
        <v>5.829652622441694</v>
      </c>
      <c r="AO682" s="1">
        <v>1</v>
      </c>
      <c r="AP682" s="1">
        <v>1</v>
      </c>
    </row>
    <row r="683" spans="1:42" x14ac:dyDescent="0.15">
      <c r="A683"/>
      <c r="B683" s="80" t="s">
        <v>590</v>
      </c>
      <c r="C683" s="61">
        <f>VLOOKUP(B683,[1]SYS!$F$5:$G$359,2,FALSE)</f>
        <v>64</v>
      </c>
      <c r="D683" s="1" t="s">
        <v>23</v>
      </c>
      <c r="E683" s="65" t="s">
        <v>83</v>
      </c>
      <c r="F683" s="63" t="s">
        <v>467</v>
      </c>
      <c r="G683" s="1">
        <v>6</v>
      </c>
      <c r="H683" s="1">
        <f t="shared" si="167"/>
        <v>0.3</v>
      </c>
      <c r="I683" s="1">
        <f t="shared" si="168"/>
        <v>0.6</v>
      </c>
      <c r="J683" s="1">
        <f t="shared" si="166"/>
        <v>6.2000000000000055E-2</v>
      </c>
      <c r="K683" s="1">
        <f t="shared" si="169"/>
        <v>2.40035</v>
      </c>
      <c r="L683" s="1">
        <f t="shared" si="170"/>
        <v>2.0027900000000001</v>
      </c>
      <c r="M683" s="49">
        <f t="shared" si="171"/>
        <v>0.94642631159655299</v>
      </c>
      <c r="N683" s="49">
        <v>6.1449999999999996</v>
      </c>
      <c r="O683" s="1">
        <v>603</v>
      </c>
      <c r="P683" s="51">
        <v>0.05</v>
      </c>
      <c r="Q683" s="51">
        <v>8</v>
      </c>
      <c r="R683" s="51">
        <v>1</v>
      </c>
      <c r="S683" s="1">
        <v>1</v>
      </c>
      <c r="T683" s="1">
        <v>0</v>
      </c>
      <c r="U683" s="47">
        <v>1</v>
      </c>
      <c r="V683" s="47">
        <v>47</v>
      </c>
      <c r="W683" s="41">
        <v>180</v>
      </c>
      <c r="X683">
        <v>600</v>
      </c>
      <c r="Y683">
        <v>0.93799999999999994</v>
      </c>
      <c r="Z683">
        <v>2400.35</v>
      </c>
      <c r="AA683">
        <v>2002.79</v>
      </c>
      <c r="AB683">
        <v>614.5</v>
      </c>
      <c r="AC683">
        <v>55</v>
      </c>
      <c r="AD683" s="41">
        <f t="shared" si="172"/>
        <v>0.35828108400858211</v>
      </c>
      <c r="AE683" s="41">
        <f t="shared" si="173"/>
        <v>0.42940098562505302</v>
      </c>
      <c r="AF683">
        <f t="shared" si="174"/>
        <v>1.8324071428571431</v>
      </c>
      <c r="AG683">
        <f t="shared" si="175"/>
        <v>0.10222971428571416</v>
      </c>
      <c r="AH683">
        <f t="shared" si="176"/>
        <v>6.1449999999999996</v>
      </c>
      <c r="AI683">
        <f>HLOOKUP(HLOOKUP(G683,'THP2'!$B$4:$J$8,5,FALSE),'Fuel &amp; Resister'!$B$3:$G$6,4,FALSE)</f>
        <v>1.048259259259259</v>
      </c>
      <c r="AJ683" s="41">
        <f>HLOOKUP(HLOOKUP(G683,'THP2'!$B$4:$J$8,5,FALSE),'Fuel &amp; Resister'!$B$3:$G$6,3,FALSE)</f>
        <v>5.829652622441694</v>
      </c>
      <c r="AO683" s="1">
        <v>1</v>
      </c>
      <c r="AP683" s="1">
        <v>1</v>
      </c>
    </row>
    <row r="684" spans="1:42" x14ac:dyDescent="0.15">
      <c r="A684"/>
      <c r="B684" s="80" t="s">
        <v>590</v>
      </c>
      <c r="C684" s="61">
        <f>VLOOKUP(B684,[1]SYS!$F$5:$G$359,2,FALSE)</f>
        <v>64</v>
      </c>
      <c r="D684" s="1" t="s">
        <v>23</v>
      </c>
      <c r="E684" s="65" t="s">
        <v>84</v>
      </c>
      <c r="F684" s="63" t="s">
        <v>467</v>
      </c>
      <c r="G684" s="1">
        <v>6</v>
      </c>
      <c r="H684" s="1">
        <f t="shared" si="167"/>
        <v>0.3</v>
      </c>
      <c r="I684" s="1">
        <f t="shared" si="168"/>
        <v>0.6</v>
      </c>
      <c r="J684" s="1">
        <f t="shared" si="166"/>
        <v>6.2000000000000055E-2</v>
      </c>
      <c r="K684" s="1">
        <f t="shared" si="169"/>
        <v>2.40035</v>
      </c>
      <c r="L684" s="1">
        <f t="shared" si="170"/>
        <v>2.0027900000000001</v>
      </c>
      <c r="M684" s="49">
        <f t="shared" si="171"/>
        <v>0.94642631159655299</v>
      </c>
      <c r="N684" s="49">
        <v>6.1449999999999996</v>
      </c>
      <c r="O684" s="1">
        <v>504</v>
      </c>
      <c r="P684" s="51">
        <v>0.05</v>
      </c>
      <c r="Q684" s="51">
        <v>8</v>
      </c>
      <c r="R684" s="51">
        <v>1</v>
      </c>
      <c r="S684" s="1">
        <v>1</v>
      </c>
      <c r="T684" s="1">
        <v>0</v>
      </c>
      <c r="U684" s="47">
        <v>1</v>
      </c>
      <c r="V684" s="47">
        <v>48</v>
      </c>
      <c r="W684" s="41">
        <v>180</v>
      </c>
      <c r="X684">
        <v>600</v>
      </c>
      <c r="Y684">
        <v>0.93799999999999994</v>
      </c>
      <c r="Z684">
        <v>2400.35</v>
      </c>
      <c r="AA684">
        <v>2002.79</v>
      </c>
      <c r="AB684">
        <v>614.5</v>
      </c>
      <c r="AC684">
        <v>55</v>
      </c>
      <c r="AD684" s="41">
        <f t="shared" si="172"/>
        <v>0.35828108400858211</v>
      </c>
      <c r="AE684" s="41">
        <f t="shared" si="173"/>
        <v>0.42940098562505302</v>
      </c>
      <c r="AF684">
        <f t="shared" si="174"/>
        <v>1.8324071428571431</v>
      </c>
      <c r="AG684">
        <f t="shared" si="175"/>
        <v>0.10222971428571416</v>
      </c>
      <c r="AH684">
        <f t="shared" si="176"/>
        <v>6.1449999999999996</v>
      </c>
      <c r="AI684">
        <f>HLOOKUP(HLOOKUP(G684,'THP2'!$B$4:$J$8,5,FALSE),'Fuel &amp; Resister'!$B$3:$G$6,4,FALSE)</f>
        <v>1.048259259259259</v>
      </c>
      <c r="AJ684" s="41">
        <f>HLOOKUP(HLOOKUP(G684,'THP2'!$B$4:$J$8,5,FALSE),'Fuel &amp; Resister'!$B$3:$G$6,3,FALSE)</f>
        <v>5.829652622441694</v>
      </c>
      <c r="AO684" s="1">
        <v>1</v>
      </c>
      <c r="AP684" s="1">
        <v>1</v>
      </c>
    </row>
    <row r="685" spans="1:42" x14ac:dyDescent="0.15">
      <c r="A685"/>
      <c r="B685" s="80" t="s">
        <v>595</v>
      </c>
      <c r="C685" s="61">
        <f>VLOOKUP(B685,[1]SYS!$F$5:$G$359,2,FALSE)</f>
        <v>104</v>
      </c>
      <c r="D685" s="1" t="s">
        <v>23</v>
      </c>
      <c r="E685" s="65" t="s">
        <v>85</v>
      </c>
      <c r="F685" s="63" t="s">
        <v>513</v>
      </c>
      <c r="G685" s="1">
        <v>6</v>
      </c>
      <c r="H685" s="1">
        <f t="shared" si="167"/>
        <v>0.3</v>
      </c>
      <c r="I685" s="1">
        <f t="shared" si="168"/>
        <v>0.65</v>
      </c>
      <c r="J685" s="1">
        <f t="shared" si="166"/>
        <v>0</v>
      </c>
      <c r="K685" s="1">
        <f t="shared" si="169"/>
        <v>2.5421399999999998</v>
      </c>
      <c r="L685" s="1">
        <f t="shared" si="170"/>
        <v>2.1210999999999998</v>
      </c>
      <c r="M685" s="49">
        <f t="shared" si="171"/>
        <v>1.0858620159817398</v>
      </c>
      <c r="N685" s="49">
        <v>6.7125000000000004</v>
      </c>
      <c r="O685" s="1">
        <v>504</v>
      </c>
      <c r="P685" s="51">
        <v>0.05</v>
      </c>
      <c r="Q685" s="51">
        <v>8</v>
      </c>
      <c r="R685" s="51">
        <v>1</v>
      </c>
      <c r="S685" s="1">
        <v>1</v>
      </c>
      <c r="T685" s="1">
        <v>0</v>
      </c>
      <c r="U685" s="47">
        <v>1</v>
      </c>
      <c r="V685" s="47">
        <v>49</v>
      </c>
      <c r="W685" s="41">
        <v>195</v>
      </c>
      <c r="X685">
        <v>650</v>
      </c>
      <c r="Y685">
        <v>1</v>
      </c>
      <c r="Z685">
        <v>2542.14</v>
      </c>
      <c r="AA685">
        <v>2121.1</v>
      </c>
      <c r="AB685">
        <v>671.25</v>
      </c>
      <c r="AC685">
        <v>55</v>
      </c>
      <c r="AD685" s="41">
        <f t="shared" si="172"/>
        <v>0.33829765473184015</v>
      </c>
      <c r="AE685" s="41">
        <f t="shared" si="173"/>
        <v>0.40545000235726747</v>
      </c>
      <c r="AF685">
        <f t="shared" si="174"/>
        <v>1.9406542857142854</v>
      </c>
      <c r="AG685">
        <f t="shared" si="175"/>
        <v>0.11728971428571432</v>
      </c>
      <c r="AH685">
        <f t="shared" si="176"/>
        <v>6.7125000000000004</v>
      </c>
      <c r="AI685">
        <f>HLOOKUP(HLOOKUP(G685,'THP2'!$B$4:$J$8,5,FALSE),'Fuel &amp; Resister'!$B$3:$G$6,4,FALSE)</f>
        <v>1.048259259259259</v>
      </c>
      <c r="AJ685" s="41">
        <f>HLOOKUP(HLOOKUP(G685,'THP2'!$B$4:$J$8,5,FALSE),'Fuel &amp; Resister'!$B$3:$G$6,3,FALSE)</f>
        <v>5.829652622441694</v>
      </c>
      <c r="AO685" s="1">
        <v>1</v>
      </c>
      <c r="AP685" s="1">
        <v>1</v>
      </c>
    </row>
    <row r="686" spans="1:42" x14ac:dyDescent="0.15">
      <c r="A686"/>
      <c r="B686" s="80" t="s">
        <v>595</v>
      </c>
      <c r="C686" s="61">
        <f>VLOOKUP(B686,[1]SYS!$F$5:$G$359,2,FALSE)</f>
        <v>104</v>
      </c>
      <c r="D686" s="1" t="s">
        <v>23</v>
      </c>
      <c r="E686" s="65" t="s">
        <v>86</v>
      </c>
      <c r="F686" s="63" t="s">
        <v>513</v>
      </c>
      <c r="G686" s="1">
        <v>6</v>
      </c>
      <c r="H686" s="1">
        <f t="shared" si="167"/>
        <v>0.3</v>
      </c>
      <c r="I686" s="1">
        <f t="shared" si="168"/>
        <v>0.65</v>
      </c>
      <c r="J686" s="1">
        <f t="shared" si="166"/>
        <v>0</v>
      </c>
      <c r="K686" s="1">
        <f t="shared" si="169"/>
        <v>2.5421399999999998</v>
      </c>
      <c r="L686" s="1">
        <f t="shared" si="170"/>
        <v>2.1210999999999998</v>
      </c>
      <c r="M686" s="49">
        <f t="shared" si="171"/>
        <v>1.0858620159817398</v>
      </c>
      <c r="N686" s="49">
        <v>6.7125000000000004</v>
      </c>
      <c r="O686" s="1">
        <v>403</v>
      </c>
      <c r="P686" s="51">
        <v>0.05</v>
      </c>
      <c r="Q686" s="51">
        <v>8</v>
      </c>
      <c r="R686" s="51">
        <v>1</v>
      </c>
      <c r="S686" s="1">
        <v>1</v>
      </c>
      <c r="T686" s="1">
        <v>0</v>
      </c>
      <c r="U686" s="47">
        <v>1</v>
      </c>
      <c r="V686" s="47">
        <v>50</v>
      </c>
      <c r="W686" s="41">
        <v>195</v>
      </c>
      <c r="X686">
        <v>650</v>
      </c>
      <c r="Y686">
        <v>1</v>
      </c>
      <c r="Z686">
        <v>2542.14</v>
      </c>
      <c r="AA686">
        <v>2121.1</v>
      </c>
      <c r="AB686">
        <v>671.25</v>
      </c>
      <c r="AC686">
        <v>55</v>
      </c>
      <c r="AD686" s="41">
        <f t="shared" si="172"/>
        <v>0.33829765473184015</v>
      </c>
      <c r="AE686" s="41">
        <f t="shared" si="173"/>
        <v>0.40545000235726747</v>
      </c>
      <c r="AF686">
        <f t="shared" si="174"/>
        <v>1.9406542857142854</v>
      </c>
      <c r="AG686">
        <f t="shared" si="175"/>
        <v>0.11728971428571432</v>
      </c>
      <c r="AH686">
        <f t="shared" si="176"/>
        <v>6.7125000000000004</v>
      </c>
      <c r="AI686">
        <f>HLOOKUP(HLOOKUP(G686,'THP2'!$B$4:$J$8,5,FALSE),'Fuel &amp; Resister'!$B$3:$G$6,4,FALSE)</f>
        <v>1.048259259259259</v>
      </c>
      <c r="AJ686" s="41">
        <f>HLOOKUP(HLOOKUP(G686,'THP2'!$B$4:$J$8,5,FALSE),'Fuel &amp; Resister'!$B$3:$G$6,3,FALSE)</f>
        <v>5.829652622441694</v>
      </c>
      <c r="AO686" s="1">
        <v>1</v>
      </c>
      <c r="AP686" s="1">
        <v>1</v>
      </c>
    </row>
    <row r="687" spans="1:42" x14ac:dyDescent="0.15">
      <c r="A687"/>
      <c r="B687" s="80" t="s">
        <v>595</v>
      </c>
      <c r="C687" s="61">
        <f>VLOOKUP(B687,[1]SYS!$F$5:$G$359,2,FALSE)</f>
        <v>104</v>
      </c>
      <c r="D687" s="1" t="s">
        <v>23</v>
      </c>
      <c r="E687" s="65" t="s">
        <v>87</v>
      </c>
      <c r="F687" s="63" t="s">
        <v>514</v>
      </c>
      <c r="G687" s="1">
        <v>6</v>
      </c>
      <c r="H687" s="1">
        <f t="shared" si="167"/>
        <v>0.30434782608695654</v>
      </c>
      <c r="I687" s="1">
        <f t="shared" si="168"/>
        <v>9.1999999999999998E-2</v>
      </c>
      <c r="J687" s="1">
        <f t="shared" si="166"/>
        <v>6.0000000000000053E-2</v>
      </c>
      <c r="K687" s="1">
        <f t="shared" si="169"/>
        <v>2.5605599999999997</v>
      </c>
      <c r="L687" s="1">
        <f t="shared" si="170"/>
        <v>2.1364699999999996</v>
      </c>
      <c r="M687" s="49">
        <f t="shared" si="171"/>
        <v>0.15480492281448649</v>
      </c>
      <c r="N687" s="49">
        <v>0.73599999999999999</v>
      </c>
      <c r="O687" s="6">
        <v>302</v>
      </c>
      <c r="P687" s="51">
        <v>0</v>
      </c>
      <c r="Q687" s="51">
        <v>8</v>
      </c>
      <c r="R687" s="51">
        <v>1</v>
      </c>
      <c r="S687" s="1">
        <v>1</v>
      </c>
      <c r="T687" s="1">
        <v>0</v>
      </c>
      <c r="U687" s="47">
        <v>1</v>
      </c>
      <c r="V687" s="47">
        <v>51</v>
      </c>
      <c r="W687" s="41">
        <v>28</v>
      </c>
      <c r="X687">
        <v>92</v>
      </c>
      <c r="Y687">
        <v>0.94</v>
      </c>
      <c r="Z687">
        <v>2560.56</v>
      </c>
      <c r="AA687">
        <v>2136.4699999999998</v>
      </c>
      <c r="AB687">
        <v>73.599999999999994</v>
      </c>
      <c r="AC687">
        <v>55</v>
      </c>
      <c r="AD687" s="41">
        <f t="shared" si="172"/>
        <v>0.33586402974349366</v>
      </c>
      <c r="AE687" s="41">
        <f t="shared" si="173"/>
        <v>0.40253315047718902</v>
      </c>
      <c r="AF687">
        <f t="shared" si="174"/>
        <v>1.9509306249999998</v>
      </c>
      <c r="AG687">
        <f t="shared" si="175"/>
        <v>1.7069622499999985E-2</v>
      </c>
      <c r="AH687">
        <f t="shared" si="176"/>
        <v>0.73599999999999999</v>
      </c>
      <c r="AI687">
        <f>HLOOKUP(HLOOKUP(G687,'THP2'!$B$4:$J$8,5,FALSE),'Fuel &amp; Resister'!$B$3:$G$6,4,FALSE)</f>
        <v>1.048259259259259</v>
      </c>
      <c r="AJ687" s="41">
        <f>HLOOKUP(HLOOKUP(G687,'THP2'!$B$4:$J$8,5,FALSE),'Fuel &amp; Resister'!$B$3:$G$6,3,FALSE)</f>
        <v>5.829652622441694</v>
      </c>
      <c r="AO687" s="1">
        <v>1</v>
      </c>
      <c r="AP687" s="1">
        <v>1</v>
      </c>
    </row>
    <row r="688" spans="1:42" x14ac:dyDescent="0.15">
      <c r="A688"/>
      <c r="B688" s="80" t="s">
        <v>595</v>
      </c>
      <c r="C688" s="61">
        <f>VLOOKUP(B688,[1]SYS!$F$5:$G$359,2,FALSE)</f>
        <v>104</v>
      </c>
      <c r="D688" s="1" t="s">
        <v>23</v>
      </c>
      <c r="E688" s="65" t="s">
        <v>88</v>
      </c>
      <c r="F688" s="42"/>
      <c r="G688" s="1">
        <v>6</v>
      </c>
      <c r="H688" s="1">
        <f t="shared" si="167"/>
        <v>0.29980276134122286</v>
      </c>
      <c r="I688" s="1">
        <f t="shared" si="168"/>
        <v>0.50700000000000001</v>
      </c>
      <c r="J688" s="1">
        <f t="shared" si="166"/>
        <v>4.9000000000000044E-2</v>
      </c>
      <c r="K688" s="1">
        <f t="shared" si="169"/>
        <v>2.6069299999999997</v>
      </c>
      <c r="L688" s="1">
        <f t="shared" si="170"/>
        <v>2.17516</v>
      </c>
      <c r="M688" s="49">
        <f t="shared" si="171"/>
        <v>0.8685589673719375</v>
      </c>
      <c r="N688" s="49">
        <v>5.0895000000000001</v>
      </c>
      <c r="O688" s="1">
        <v>603</v>
      </c>
      <c r="P688" s="51">
        <v>0</v>
      </c>
      <c r="Q688" s="51">
        <v>8</v>
      </c>
      <c r="R688" s="51">
        <v>1</v>
      </c>
      <c r="S688" s="1">
        <v>1</v>
      </c>
      <c r="T688" s="1">
        <v>0</v>
      </c>
      <c r="U688" s="47">
        <v>1</v>
      </c>
      <c r="V688" s="47">
        <v>52</v>
      </c>
      <c r="W688" s="41">
        <v>152</v>
      </c>
      <c r="X688">
        <v>507</v>
      </c>
      <c r="Y688">
        <v>0.95099999999999996</v>
      </c>
      <c r="Z688">
        <v>2606.9299999999998</v>
      </c>
      <c r="AA688">
        <v>2175.16</v>
      </c>
      <c r="AB688">
        <v>508.95</v>
      </c>
      <c r="AC688">
        <v>55</v>
      </c>
      <c r="AD688" s="41">
        <f t="shared" si="172"/>
        <v>0.32988994717924919</v>
      </c>
      <c r="AE688" s="41">
        <f t="shared" si="173"/>
        <v>0.39537321392449293</v>
      </c>
      <c r="AF688">
        <f t="shared" si="174"/>
        <v>1.9902894647887326</v>
      </c>
      <c r="AG688">
        <f t="shared" si="175"/>
        <v>9.3729361352112572E-2</v>
      </c>
      <c r="AH688">
        <f t="shared" si="176"/>
        <v>5.0895000000000001</v>
      </c>
      <c r="AI688">
        <f>HLOOKUP(HLOOKUP(G688,'THP2'!$B$4:$J$8,5,FALSE),'Fuel &amp; Resister'!$B$3:$G$6,4,FALSE)</f>
        <v>1.048259259259259</v>
      </c>
      <c r="AJ688" s="41">
        <f>HLOOKUP(HLOOKUP(G688,'THP2'!$B$4:$J$8,5,FALSE),'Fuel &amp; Resister'!$B$3:$G$6,3,FALSE)</f>
        <v>5.829652622441694</v>
      </c>
      <c r="AO688" s="1">
        <v>1</v>
      </c>
      <c r="AP688" s="1">
        <v>1</v>
      </c>
    </row>
    <row r="689" spans="1:42" x14ac:dyDescent="0.15">
      <c r="A689"/>
      <c r="B689" s="80" t="s">
        <v>596</v>
      </c>
      <c r="C689" s="61">
        <f>VLOOKUP(B689,[1]SYS!$F$5:$G$359,2,FALSE)</f>
        <v>155</v>
      </c>
      <c r="D689" s="1" t="s">
        <v>23</v>
      </c>
      <c r="E689" s="42" t="s">
        <v>89</v>
      </c>
      <c r="F689" s="42"/>
      <c r="G689" s="1">
        <v>6</v>
      </c>
      <c r="H689" s="1">
        <f t="shared" si="167"/>
        <v>0.3</v>
      </c>
      <c r="I689" s="1">
        <f t="shared" si="168"/>
        <v>1</v>
      </c>
      <c r="J689" s="1">
        <f t="shared" si="166"/>
        <v>5.2000000000000046E-2</v>
      </c>
      <c r="K689" s="1">
        <f t="shared" si="169"/>
        <v>2.4611999999999998</v>
      </c>
      <c r="L689" s="1">
        <f t="shared" si="170"/>
        <v>2.0535700000000001</v>
      </c>
      <c r="M689" s="49">
        <f t="shared" si="171"/>
        <v>1.6173710013741944</v>
      </c>
      <c r="N689" s="49">
        <v>15</v>
      </c>
      <c r="O689" s="1">
        <v>702</v>
      </c>
      <c r="P689" s="51">
        <v>0.05</v>
      </c>
      <c r="Q689" s="51">
        <v>8</v>
      </c>
      <c r="R689" s="51">
        <v>1</v>
      </c>
      <c r="S689" s="1">
        <v>1</v>
      </c>
      <c r="T689" s="1">
        <v>0</v>
      </c>
      <c r="U689" s="47">
        <v>0</v>
      </c>
      <c r="V689" s="47">
        <v>53</v>
      </c>
      <c r="W689" s="41">
        <v>300</v>
      </c>
      <c r="X689">
        <v>1000</v>
      </c>
      <c r="Y689">
        <v>0.94799999999999995</v>
      </c>
      <c r="Z689">
        <v>2461.1999999999998</v>
      </c>
      <c r="AA689">
        <v>2053.5700000000002</v>
      </c>
      <c r="AB689">
        <v>1500</v>
      </c>
      <c r="AC689">
        <v>55</v>
      </c>
      <c r="AD689" s="41">
        <f t="shared" si="172"/>
        <v>0.34942304566877952</v>
      </c>
      <c r="AE689" s="41">
        <f t="shared" si="173"/>
        <v>0.41878290002288693</v>
      </c>
      <c r="AF689">
        <f t="shared" si="174"/>
        <v>1.878871428571429</v>
      </c>
      <c r="AG689">
        <f t="shared" si="175"/>
        <v>0.17469857142857115</v>
      </c>
      <c r="AH689">
        <f t="shared" si="176"/>
        <v>15</v>
      </c>
      <c r="AI689">
        <f>HLOOKUP(HLOOKUP(G689,'THP2'!$B$4:$J$8,5,FALSE),'Fuel &amp; Resister'!$B$3:$G$6,4,FALSE)</f>
        <v>1.048259259259259</v>
      </c>
      <c r="AJ689" s="41">
        <f>HLOOKUP(HLOOKUP(G689,'THP2'!$B$4:$J$8,5,FALSE),'Fuel &amp; Resister'!$B$3:$G$6,3,FALSE)</f>
        <v>5.829652622441694</v>
      </c>
      <c r="AO689" s="1">
        <v>1</v>
      </c>
      <c r="AP689" s="1">
        <v>1</v>
      </c>
    </row>
    <row r="690" spans="1:42" x14ac:dyDescent="0.15">
      <c r="A690"/>
      <c r="B690" s="80" t="s">
        <v>596</v>
      </c>
      <c r="C690" s="61">
        <f>VLOOKUP(B690,[1]SYS!$F$5:$G$359,2,FALSE)</f>
        <v>155</v>
      </c>
      <c r="D690" s="1" t="s">
        <v>23</v>
      </c>
      <c r="E690" s="42" t="s">
        <v>89</v>
      </c>
      <c r="F690" s="42"/>
      <c r="G690" s="1">
        <v>6</v>
      </c>
      <c r="H690" s="1">
        <f t="shared" si="167"/>
        <v>0.3</v>
      </c>
      <c r="I690" s="1">
        <f t="shared" si="168"/>
        <v>1</v>
      </c>
      <c r="J690" s="1">
        <f t="shared" si="166"/>
        <v>5.2000000000000046E-2</v>
      </c>
      <c r="K690" s="1">
        <f t="shared" si="169"/>
        <v>2.4611999999999998</v>
      </c>
      <c r="L690" s="1">
        <f t="shared" si="170"/>
        <v>2.0535700000000001</v>
      </c>
      <c r="M690" s="49">
        <f t="shared" si="171"/>
        <v>1.6173710013741944</v>
      </c>
      <c r="N690" s="49">
        <v>15</v>
      </c>
      <c r="O690" s="1">
        <v>104</v>
      </c>
      <c r="P690" s="51">
        <v>0.05</v>
      </c>
      <c r="Q690" s="51">
        <v>8</v>
      </c>
      <c r="R690" s="51">
        <v>1</v>
      </c>
      <c r="S690" s="1">
        <v>1</v>
      </c>
      <c r="T690" s="1">
        <v>0</v>
      </c>
      <c r="U690" s="47">
        <v>0</v>
      </c>
      <c r="V690" s="47">
        <v>54</v>
      </c>
      <c r="W690" s="41">
        <v>300</v>
      </c>
      <c r="X690">
        <v>1000</v>
      </c>
      <c r="Y690">
        <v>0.94799999999999995</v>
      </c>
      <c r="Z690">
        <v>2461.1999999999998</v>
      </c>
      <c r="AA690">
        <v>2053.5700000000002</v>
      </c>
      <c r="AB690">
        <v>1500</v>
      </c>
      <c r="AC690">
        <v>55</v>
      </c>
      <c r="AD690" s="41">
        <f t="shared" si="172"/>
        <v>0.34942304566877952</v>
      </c>
      <c r="AE690" s="41">
        <f t="shared" si="173"/>
        <v>0.41878290002288693</v>
      </c>
      <c r="AF690">
        <f t="shared" si="174"/>
        <v>1.878871428571429</v>
      </c>
      <c r="AG690">
        <f t="shared" si="175"/>
        <v>0.17469857142857115</v>
      </c>
      <c r="AH690">
        <f t="shared" si="176"/>
        <v>15</v>
      </c>
      <c r="AI690">
        <f>HLOOKUP(HLOOKUP(G690,'THP2'!$B$4:$J$8,5,FALSE),'Fuel &amp; Resister'!$B$3:$G$6,4,FALSE)</f>
        <v>1.048259259259259</v>
      </c>
      <c r="AJ690" s="41">
        <f>HLOOKUP(HLOOKUP(G690,'THP2'!$B$4:$J$8,5,FALSE),'Fuel &amp; Resister'!$B$3:$G$6,3,FALSE)</f>
        <v>5.829652622441694</v>
      </c>
      <c r="AO690" s="1">
        <v>1</v>
      </c>
      <c r="AP690" s="1">
        <v>1</v>
      </c>
    </row>
    <row r="691" spans="1:42" x14ac:dyDescent="0.15">
      <c r="A691"/>
      <c r="B691" s="80" t="s">
        <v>596</v>
      </c>
      <c r="C691" s="61">
        <f>VLOOKUP(B691,[1]SYS!$F$5:$G$359,2,FALSE)</f>
        <v>155</v>
      </c>
      <c r="D691" s="1" t="s">
        <v>23</v>
      </c>
      <c r="E691" s="42" t="s">
        <v>89</v>
      </c>
      <c r="F691" s="42"/>
      <c r="G691" s="1">
        <v>6</v>
      </c>
      <c r="H691" s="1">
        <f t="shared" si="167"/>
        <v>0.3</v>
      </c>
      <c r="I691" s="1">
        <f t="shared" si="168"/>
        <v>1</v>
      </c>
      <c r="J691" s="1">
        <f t="shared" si="166"/>
        <v>5.2000000000000046E-2</v>
      </c>
      <c r="K691" s="1">
        <f t="shared" si="169"/>
        <v>2.4611999999999998</v>
      </c>
      <c r="L691" s="1">
        <f t="shared" si="170"/>
        <v>2.0535700000000001</v>
      </c>
      <c r="M691" s="49">
        <f t="shared" si="171"/>
        <v>1.6173710013741944</v>
      </c>
      <c r="N691" s="49">
        <v>15</v>
      </c>
      <c r="O691" s="1">
        <v>1103</v>
      </c>
      <c r="P691" s="51">
        <v>0.05</v>
      </c>
      <c r="Q691" s="51">
        <v>8</v>
      </c>
      <c r="R691" s="51">
        <v>1</v>
      </c>
      <c r="S691" s="1">
        <v>1</v>
      </c>
      <c r="T691" s="1">
        <v>0</v>
      </c>
      <c r="U691" s="47">
        <v>0</v>
      </c>
      <c r="V691" s="47">
        <v>55</v>
      </c>
      <c r="W691" s="41">
        <v>300</v>
      </c>
      <c r="X691">
        <v>1000</v>
      </c>
      <c r="Y691">
        <v>0.94799999999999995</v>
      </c>
      <c r="Z691">
        <v>2461.1999999999998</v>
      </c>
      <c r="AA691">
        <v>2053.5700000000002</v>
      </c>
      <c r="AB691">
        <v>1500</v>
      </c>
      <c r="AC691">
        <v>55</v>
      </c>
      <c r="AD691" s="41">
        <f t="shared" si="172"/>
        <v>0.34942304566877952</v>
      </c>
      <c r="AE691" s="41">
        <f t="shared" si="173"/>
        <v>0.41878290002288693</v>
      </c>
      <c r="AF691">
        <f t="shared" si="174"/>
        <v>1.878871428571429</v>
      </c>
      <c r="AG691">
        <f t="shared" si="175"/>
        <v>0.17469857142857115</v>
      </c>
      <c r="AH691">
        <f t="shared" si="176"/>
        <v>15</v>
      </c>
      <c r="AI691">
        <f>HLOOKUP(HLOOKUP(G691,'THP2'!$B$4:$J$8,5,FALSE),'Fuel &amp; Resister'!$B$3:$G$6,4,FALSE)</f>
        <v>1.048259259259259</v>
      </c>
      <c r="AJ691" s="41">
        <f>HLOOKUP(HLOOKUP(G691,'THP2'!$B$4:$J$8,5,FALSE),'Fuel &amp; Resister'!$B$3:$G$6,3,FALSE)</f>
        <v>5.829652622441694</v>
      </c>
      <c r="AO691" s="1">
        <v>1</v>
      </c>
      <c r="AP691" s="1">
        <v>1</v>
      </c>
    </row>
    <row r="692" spans="1:42" x14ac:dyDescent="0.15">
      <c r="A692"/>
      <c r="B692" s="80" t="s">
        <v>596</v>
      </c>
      <c r="C692" s="61">
        <f>VLOOKUP(B692,[1]SYS!$F$5:$G$359,2,FALSE)</f>
        <v>155</v>
      </c>
      <c r="D692" s="1" t="s">
        <v>23</v>
      </c>
      <c r="E692" s="42" t="s">
        <v>89</v>
      </c>
      <c r="F692" s="42"/>
      <c r="G692" s="1">
        <v>6</v>
      </c>
      <c r="H692" s="1">
        <f t="shared" si="167"/>
        <v>0.3</v>
      </c>
      <c r="I692" s="1">
        <f t="shared" si="168"/>
        <v>1</v>
      </c>
      <c r="J692" s="1">
        <f t="shared" si="166"/>
        <v>5.2000000000000046E-2</v>
      </c>
      <c r="K692" s="1">
        <f t="shared" si="169"/>
        <v>2.4611999999999998</v>
      </c>
      <c r="L692" s="1">
        <f t="shared" si="170"/>
        <v>2.0535700000000001</v>
      </c>
      <c r="M692" s="49">
        <f t="shared" si="171"/>
        <v>1.6173710013741944</v>
      </c>
      <c r="N692" s="49">
        <v>15</v>
      </c>
      <c r="O692" s="6">
        <v>305</v>
      </c>
      <c r="P692" s="51">
        <v>0.05</v>
      </c>
      <c r="Q692" s="51">
        <v>8</v>
      </c>
      <c r="R692" s="51">
        <v>1</v>
      </c>
      <c r="S692" s="1">
        <v>1</v>
      </c>
      <c r="T692" s="1">
        <v>0</v>
      </c>
      <c r="U692" s="47">
        <v>0</v>
      </c>
      <c r="V692" s="47">
        <v>56</v>
      </c>
      <c r="W692" s="41">
        <v>300</v>
      </c>
      <c r="X692">
        <v>1000</v>
      </c>
      <c r="Y692">
        <v>0.94799999999999995</v>
      </c>
      <c r="Z692">
        <v>2461.1999999999998</v>
      </c>
      <c r="AA692">
        <v>2053.5700000000002</v>
      </c>
      <c r="AB692">
        <v>1500</v>
      </c>
      <c r="AC692">
        <v>55</v>
      </c>
      <c r="AD692" s="41">
        <f t="shared" si="172"/>
        <v>0.34942304566877952</v>
      </c>
      <c r="AE692" s="41">
        <f t="shared" si="173"/>
        <v>0.41878290002288693</v>
      </c>
      <c r="AF692">
        <f t="shared" si="174"/>
        <v>1.878871428571429</v>
      </c>
      <c r="AG692">
        <f t="shared" si="175"/>
        <v>0.17469857142857115</v>
      </c>
      <c r="AH692">
        <f t="shared" si="176"/>
        <v>15</v>
      </c>
      <c r="AI692">
        <f>HLOOKUP(HLOOKUP(G692,'THP2'!$B$4:$J$8,5,FALSE),'Fuel &amp; Resister'!$B$3:$G$6,4,FALSE)</f>
        <v>1.048259259259259</v>
      </c>
      <c r="AJ692" s="41">
        <f>HLOOKUP(HLOOKUP(G692,'THP2'!$B$4:$J$8,5,FALSE),'Fuel &amp; Resister'!$B$3:$G$6,3,FALSE)</f>
        <v>5.829652622441694</v>
      </c>
      <c r="AO692" s="1">
        <v>1</v>
      </c>
      <c r="AP692" s="1">
        <v>1</v>
      </c>
    </row>
    <row r="693" spans="1:42" x14ac:dyDescent="0.15">
      <c r="A693"/>
      <c r="B693" s="80" t="s">
        <v>596</v>
      </c>
      <c r="C693" s="61">
        <f>VLOOKUP(B693,[1]SYS!$F$5:$G$359,2,FALSE)</f>
        <v>155</v>
      </c>
      <c r="D693" s="1" t="s">
        <v>23</v>
      </c>
      <c r="E693" s="42" t="s">
        <v>89</v>
      </c>
      <c r="F693" s="42"/>
      <c r="G693" s="1">
        <v>6</v>
      </c>
      <c r="H693" s="1">
        <f t="shared" si="167"/>
        <v>0.3</v>
      </c>
      <c r="I693" s="1">
        <f t="shared" si="168"/>
        <v>1</v>
      </c>
      <c r="J693" s="1">
        <f t="shared" si="166"/>
        <v>5.2000000000000046E-2</v>
      </c>
      <c r="K693" s="1">
        <f t="shared" si="169"/>
        <v>2.4611999999999998</v>
      </c>
      <c r="L693" s="1">
        <f t="shared" si="170"/>
        <v>2.0535700000000001</v>
      </c>
      <c r="M693" s="49">
        <f t="shared" si="171"/>
        <v>1.6173710013741944</v>
      </c>
      <c r="N693" s="49">
        <v>15</v>
      </c>
      <c r="O693" s="1">
        <v>906</v>
      </c>
      <c r="P693" s="51">
        <v>0.05</v>
      </c>
      <c r="Q693" s="51">
        <v>8</v>
      </c>
      <c r="R693" s="51">
        <v>1</v>
      </c>
      <c r="S693" s="1">
        <v>1</v>
      </c>
      <c r="T693" s="1">
        <v>0</v>
      </c>
      <c r="U693" s="47">
        <v>0</v>
      </c>
      <c r="V693" s="47">
        <v>57</v>
      </c>
      <c r="W693" s="41">
        <v>300</v>
      </c>
      <c r="X693">
        <v>1000</v>
      </c>
      <c r="Y693">
        <v>0.94799999999999995</v>
      </c>
      <c r="Z693">
        <v>2461.1999999999998</v>
      </c>
      <c r="AA693">
        <v>2053.5700000000002</v>
      </c>
      <c r="AB693">
        <v>1500</v>
      </c>
      <c r="AC693">
        <v>55</v>
      </c>
      <c r="AD693" s="41">
        <f t="shared" si="172"/>
        <v>0.34942304566877952</v>
      </c>
      <c r="AE693" s="41">
        <f t="shared" si="173"/>
        <v>0.41878290002288693</v>
      </c>
      <c r="AF693">
        <f t="shared" si="174"/>
        <v>1.878871428571429</v>
      </c>
      <c r="AG693">
        <f t="shared" si="175"/>
        <v>0.17469857142857115</v>
      </c>
      <c r="AH693">
        <f t="shared" si="176"/>
        <v>15</v>
      </c>
      <c r="AI693">
        <f>HLOOKUP(HLOOKUP(G693,'THP2'!$B$4:$J$8,5,FALSE),'Fuel &amp; Resister'!$B$3:$G$6,4,FALSE)</f>
        <v>1.048259259259259</v>
      </c>
      <c r="AJ693" s="41">
        <f>HLOOKUP(HLOOKUP(G693,'THP2'!$B$4:$J$8,5,FALSE),'Fuel &amp; Resister'!$B$3:$G$6,3,FALSE)</f>
        <v>5.829652622441694</v>
      </c>
      <c r="AO693" s="1">
        <v>1</v>
      </c>
      <c r="AP693" s="1">
        <v>1</v>
      </c>
    </row>
    <row r="694" spans="1:42" x14ac:dyDescent="0.15">
      <c r="A694"/>
      <c r="B694" s="80" t="s">
        <v>596</v>
      </c>
      <c r="C694" s="61">
        <f>VLOOKUP(B694,[1]SYS!$F$5:$G$359,2,FALSE)</f>
        <v>155</v>
      </c>
      <c r="D694" s="1" t="s">
        <v>23</v>
      </c>
      <c r="E694" s="42" t="s">
        <v>89</v>
      </c>
      <c r="F694" s="42"/>
      <c r="G694" s="1">
        <v>6</v>
      </c>
      <c r="H694" s="1">
        <f t="shared" si="167"/>
        <v>0.3</v>
      </c>
      <c r="I694" s="1">
        <f t="shared" si="168"/>
        <v>1</v>
      </c>
      <c r="J694" s="1">
        <f t="shared" si="166"/>
        <v>5.2000000000000046E-2</v>
      </c>
      <c r="K694" s="1">
        <f t="shared" si="169"/>
        <v>2.4611999999999998</v>
      </c>
      <c r="L694" s="1">
        <f t="shared" si="170"/>
        <v>2.0535700000000001</v>
      </c>
      <c r="M694" s="49">
        <f t="shared" si="171"/>
        <v>1.6173710013741944</v>
      </c>
      <c r="N694" s="49">
        <v>15</v>
      </c>
      <c r="O694" s="1">
        <v>504</v>
      </c>
      <c r="P694" s="51">
        <v>0.05</v>
      </c>
      <c r="Q694" s="51">
        <v>8</v>
      </c>
      <c r="R694" s="51">
        <v>1</v>
      </c>
      <c r="S694" s="1">
        <v>1</v>
      </c>
      <c r="T694" s="1">
        <v>0</v>
      </c>
      <c r="U694" s="47">
        <v>0</v>
      </c>
      <c r="V694" s="47">
        <v>58</v>
      </c>
      <c r="W694" s="41">
        <v>300</v>
      </c>
      <c r="X694">
        <v>1000</v>
      </c>
      <c r="Y694">
        <v>0.94799999999999995</v>
      </c>
      <c r="Z694">
        <v>2461.1999999999998</v>
      </c>
      <c r="AA694">
        <v>2053.5700000000002</v>
      </c>
      <c r="AB694">
        <v>1500</v>
      </c>
      <c r="AC694">
        <v>55</v>
      </c>
      <c r="AD694" s="41">
        <f t="shared" si="172"/>
        <v>0.34942304566877952</v>
      </c>
      <c r="AE694" s="41">
        <f t="shared" si="173"/>
        <v>0.41878290002288693</v>
      </c>
      <c r="AF694">
        <f t="shared" si="174"/>
        <v>1.878871428571429</v>
      </c>
      <c r="AG694">
        <f t="shared" si="175"/>
        <v>0.17469857142857115</v>
      </c>
      <c r="AH694">
        <f t="shared" si="176"/>
        <v>15</v>
      </c>
      <c r="AI694">
        <f>HLOOKUP(HLOOKUP(G694,'THP2'!$B$4:$J$8,5,FALSE),'Fuel &amp; Resister'!$B$3:$G$6,4,FALSE)</f>
        <v>1.048259259259259</v>
      </c>
      <c r="AJ694" s="41">
        <f>HLOOKUP(HLOOKUP(G694,'THP2'!$B$4:$J$8,5,FALSE),'Fuel &amp; Resister'!$B$3:$G$6,3,FALSE)</f>
        <v>5.829652622441694</v>
      </c>
      <c r="AO694" s="1">
        <v>1</v>
      </c>
      <c r="AP694" s="1">
        <v>1</v>
      </c>
    </row>
    <row r="695" spans="1:42" x14ac:dyDescent="0.15">
      <c r="A695"/>
      <c r="B695" s="80" t="s">
        <v>596</v>
      </c>
      <c r="C695" s="61">
        <f>VLOOKUP(B695,[1]SYS!$F$5:$G$359,2,FALSE)</f>
        <v>155</v>
      </c>
      <c r="D695" s="1" t="s">
        <v>23</v>
      </c>
      <c r="E695" s="65" t="s">
        <v>90</v>
      </c>
      <c r="F695" s="63" t="s">
        <v>482</v>
      </c>
      <c r="G695" s="1">
        <v>6</v>
      </c>
      <c r="H695" s="1">
        <f t="shared" si="167"/>
        <v>0.3</v>
      </c>
      <c r="I695" s="1">
        <f t="shared" si="168"/>
        <v>1.07</v>
      </c>
      <c r="J695" s="1">
        <f t="shared" si="166"/>
        <v>6.5400000000000014E-2</v>
      </c>
      <c r="K695" s="1">
        <f t="shared" si="169"/>
        <v>2.4110200000000002</v>
      </c>
      <c r="L695" s="1">
        <f t="shared" si="170"/>
        <v>2.0117000000000003</v>
      </c>
      <c r="M695" s="49">
        <f t="shared" si="171"/>
        <v>1.69530223489191</v>
      </c>
      <c r="N695" s="49">
        <v>16.801300000000001</v>
      </c>
      <c r="O695" s="1">
        <v>401</v>
      </c>
      <c r="P695" s="51">
        <v>0.05</v>
      </c>
      <c r="Q695" s="51">
        <v>8</v>
      </c>
      <c r="R695" s="51">
        <v>1</v>
      </c>
      <c r="S695" s="1">
        <v>1</v>
      </c>
      <c r="T695" s="1">
        <v>0</v>
      </c>
      <c r="U695" s="47">
        <v>1</v>
      </c>
      <c r="V695" s="47">
        <v>59</v>
      </c>
      <c r="W695" s="41">
        <v>321</v>
      </c>
      <c r="X695">
        <v>1070</v>
      </c>
      <c r="Y695">
        <v>0.93459999999999999</v>
      </c>
      <c r="Z695">
        <v>2411.02</v>
      </c>
      <c r="AA695">
        <v>2011.7</v>
      </c>
      <c r="AB695">
        <v>1680.13</v>
      </c>
      <c r="AC695">
        <v>55</v>
      </c>
      <c r="AD695" s="41">
        <f t="shared" si="172"/>
        <v>0.35669550646614295</v>
      </c>
      <c r="AE695" s="41">
        <f t="shared" si="173"/>
        <v>0.4274991300889795</v>
      </c>
      <c r="AF695">
        <f t="shared" si="174"/>
        <v>1.8405628571428576</v>
      </c>
      <c r="AG695">
        <f t="shared" si="175"/>
        <v>0.18311674285714266</v>
      </c>
      <c r="AH695">
        <f t="shared" si="176"/>
        <v>16.801300000000001</v>
      </c>
      <c r="AI695">
        <f>HLOOKUP(HLOOKUP(G695,'THP2'!$B$4:$J$8,5,FALSE),'Fuel &amp; Resister'!$B$3:$G$6,4,FALSE)</f>
        <v>1.048259259259259</v>
      </c>
      <c r="AJ695" s="41">
        <f>HLOOKUP(HLOOKUP(G695,'THP2'!$B$4:$J$8,5,FALSE),'Fuel &amp; Resister'!$B$3:$G$6,3,FALSE)</f>
        <v>5.829652622441694</v>
      </c>
      <c r="AO695" s="1">
        <v>1</v>
      </c>
      <c r="AP695" s="1">
        <v>1</v>
      </c>
    </row>
    <row r="696" spans="1:42" x14ac:dyDescent="0.15">
      <c r="A696"/>
      <c r="B696" s="80" t="s">
        <v>597</v>
      </c>
      <c r="C696" s="61">
        <f>VLOOKUP(B696,[1]SYS!$F$5:$G$359,2,FALSE)</f>
        <v>187</v>
      </c>
      <c r="D696" s="1" t="s">
        <v>23</v>
      </c>
      <c r="E696" s="65" t="s">
        <v>91</v>
      </c>
      <c r="F696" s="63" t="s">
        <v>481</v>
      </c>
      <c r="G696" s="1">
        <v>6</v>
      </c>
      <c r="H696" s="1">
        <f t="shared" si="167"/>
        <v>0.3</v>
      </c>
      <c r="I696" s="1">
        <f t="shared" si="168"/>
        <v>1</v>
      </c>
      <c r="J696" s="1">
        <f t="shared" si="166"/>
        <v>5.2000000000000046E-2</v>
      </c>
      <c r="K696" s="1">
        <f t="shared" si="169"/>
        <v>2.4611999999999998</v>
      </c>
      <c r="L696" s="1">
        <f t="shared" si="170"/>
        <v>2.0535700000000001</v>
      </c>
      <c r="M696" s="49">
        <f t="shared" si="171"/>
        <v>1.6173710013741944</v>
      </c>
      <c r="N696" s="49">
        <v>15</v>
      </c>
      <c r="O696" s="1">
        <v>603</v>
      </c>
      <c r="P696" s="51">
        <v>0.05</v>
      </c>
      <c r="Q696" s="51">
        <v>8</v>
      </c>
      <c r="R696" s="51">
        <v>1</v>
      </c>
      <c r="S696" s="1">
        <v>1</v>
      </c>
      <c r="T696" s="1">
        <v>0</v>
      </c>
      <c r="U696" s="47">
        <v>1</v>
      </c>
      <c r="V696" s="47">
        <v>60</v>
      </c>
      <c r="W696" s="41">
        <v>300</v>
      </c>
      <c r="X696">
        <v>1000</v>
      </c>
      <c r="Y696">
        <v>0.94799999999999995</v>
      </c>
      <c r="Z696">
        <v>2461.1999999999998</v>
      </c>
      <c r="AA696">
        <v>2053.5700000000002</v>
      </c>
      <c r="AB696">
        <v>1500</v>
      </c>
      <c r="AC696">
        <v>55</v>
      </c>
      <c r="AD696" s="41">
        <f t="shared" si="172"/>
        <v>0.34942304566877952</v>
      </c>
      <c r="AE696" s="41">
        <f t="shared" si="173"/>
        <v>0.41878290002288693</v>
      </c>
      <c r="AF696">
        <f t="shared" si="174"/>
        <v>1.878871428571429</v>
      </c>
      <c r="AG696">
        <f t="shared" si="175"/>
        <v>0.17469857142857115</v>
      </c>
      <c r="AH696">
        <f t="shared" si="176"/>
        <v>15</v>
      </c>
      <c r="AI696">
        <f>HLOOKUP(HLOOKUP(G696,'THP2'!$B$4:$J$8,5,FALSE),'Fuel &amp; Resister'!$B$3:$G$6,4,FALSE)</f>
        <v>1.048259259259259</v>
      </c>
      <c r="AJ696" s="41">
        <f>HLOOKUP(HLOOKUP(G696,'THP2'!$B$4:$J$8,5,FALSE),'Fuel &amp; Resister'!$B$3:$G$6,3,FALSE)</f>
        <v>5.829652622441694</v>
      </c>
      <c r="AO696" s="1">
        <v>1</v>
      </c>
      <c r="AP696" s="1">
        <v>1</v>
      </c>
    </row>
    <row r="697" spans="1:42" x14ac:dyDescent="0.15">
      <c r="A697"/>
      <c r="B697" s="80" t="s">
        <v>597</v>
      </c>
      <c r="C697" s="61">
        <f>VLOOKUP(B697,[1]SYS!$F$5:$G$359,2,FALSE)</f>
        <v>187</v>
      </c>
      <c r="D697" s="1" t="s">
        <v>23</v>
      </c>
      <c r="E697" s="65" t="s">
        <v>92</v>
      </c>
      <c r="F697" s="63" t="s">
        <v>481</v>
      </c>
      <c r="G697" s="1">
        <v>6</v>
      </c>
      <c r="H697" s="1">
        <f t="shared" si="167"/>
        <v>0.3</v>
      </c>
      <c r="I697" s="1">
        <f t="shared" si="168"/>
        <v>1</v>
      </c>
      <c r="J697" s="1">
        <f t="shared" si="166"/>
        <v>5.4000000000000048E-2</v>
      </c>
      <c r="K697" s="1">
        <f t="shared" si="169"/>
        <v>2.4691300000000003</v>
      </c>
      <c r="L697" s="1">
        <f t="shared" si="170"/>
        <v>2.0601799999999999</v>
      </c>
      <c r="M697" s="49">
        <f t="shared" si="171"/>
        <v>1.6225769706467699</v>
      </c>
      <c r="N697" s="49">
        <v>15</v>
      </c>
      <c r="O697" s="1">
        <v>401</v>
      </c>
      <c r="P697" s="51">
        <v>0.05</v>
      </c>
      <c r="Q697" s="51">
        <v>8</v>
      </c>
      <c r="R697" s="51">
        <v>1</v>
      </c>
      <c r="S697" s="1">
        <v>1</v>
      </c>
      <c r="T697" s="1">
        <v>0</v>
      </c>
      <c r="U697" s="47">
        <v>1</v>
      </c>
      <c r="V697" s="47">
        <v>61</v>
      </c>
      <c r="W697" s="41">
        <v>300</v>
      </c>
      <c r="X697">
        <v>1000</v>
      </c>
      <c r="Y697">
        <v>0.94599999999999995</v>
      </c>
      <c r="Z697">
        <v>2469.13</v>
      </c>
      <c r="AA697">
        <v>2060.1799999999998</v>
      </c>
      <c r="AB697">
        <v>1500</v>
      </c>
      <c r="AC697">
        <v>55</v>
      </c>
      <c r="AD697" s="41">
        <f t="shared" si="172"/>
        <v>0.34830081850692352</v>
      </c>
      <c r="AE697" s="41">
        <f t="shared" si="173"/>
        <v>0.41743925288081624</v>
      </c>
      <c r="AF697">
        <f t="shared" si="174"/>
        <v>1.8849157142857142</v>
      </c>
      <c r="AG697">
        <f t="shared" si="175"/>
        <v>0.17526428571428565</v>
      </c>
      <c r="AH697">
        <f t="shared" si="176"/>
        <v>15</v>
      </c>
      <c r="AI697">
        <f>HLOOKUP(HLOOKUP(G697,'THP2'!$B$4:$J$8,5,FALSE),'Fuel &amp; Resister'!$B$3:$G$6,4,FALSE)</f>
        <v>1.048259259259259</v>
      </c>
      <c r="AJ697" s="41">
        <f>HLOOKUP(HLOOKUP(G697,'THP2'!$B$4:$J$8,5,FALSE),'Fuel &amp; Resister'!$B$3:$G$6,3,FALSE)</f>
        <v>5.829652622441694</v>
      </c>
      <c r="AO697" s="1">
        <v>1</v>
      </c>
      <c r="AP697" s="1">
        <v>1</v>
      </c>
    </row>
    <row r="698" spans="1:42" x14ac:dyDescent="0.15">
      <c r="A698"/>
      <c r="B698" s="80" t="s">
        <v>598</v>
      </c>
      <c r="C698" s="61">
        <f>VLOOKUP(B698,[1]SYS!$F$5:$G$359,2,FALSE)</f>
        <v>190</v>
      </c>
      <c r="D698" s="1" t="s">
        <v>23</v>
      </c>
      <c r="E698" s="42" t="s">
        <v>93</v>
      </c>
      <c r="F698" s="63" t="s">
        <v>487</v>
      </c>
      <c r="G698" s="1">
        <v>6</v>
      </c>
      <c r="H698" s="1">
        <f t="shared" si="167"/>
        <v>0.29931972789115646</v>
      </c>
      <c r="I698" s="1">
        <f t="shared" si="168"/>
        <v>0.14699999999999999</v>
      </c>
      <c r="J698" s="1">
        <f t="shared" si="166"/>
        <v>8.1600000000000006E-2</v>
      </c>
      <c r="K698" s="1">
        <f t="shared" si="169"/>
        <v>2.5723000000000003</v>
      </c>
      <c r="L698" s="1">
        <f t="shared" si="170"/>
        <v>2.1462600000000003</v>
      </c>
      <c r="M698" s="49">
        <f t="shared" si="171"/>
        <v>0.24848478832237447</v>
      </c>
      <c r="N698" s="49">
        <v>1.1759999999999999</v>
      </c>
      <c r="O698" s="1">
        <v>1004</v>
      </c>
      <c r="P698" s="51">
        <v>0</v>
      </c>
      <c r="Q698" s="51">
        <v>8</v>
      </c>
      <c r="R698" s="51">
        <v>1</v>
      </c>
      <c r="S698" s="1">
        <v>1</v>
      </c>
      <c r="T698" s="1">
        <v>0</v>
      </c>
      <c r="U698" s="47">
        <v>0</v>
      </c>
      <c r="V698" s="47">
        <v>62</v>
      </c>
      <c r="W698" s="41">
        <v>44</v>
      </c>
      <c r="X698">
        <v>147</v>
      </c>
      <c r="Y698">
        <v>0.91839999999999999</v>
      </c>
      <c r="Z698">
        <v>2572.3000000000002</v>
      </c>
      <c r="AA698">
        <v>2146.2600000000002</v>
      </c>
      <c r="AB698">
        <v>117.6</v>
      </c>
      <c r="AC698">
        <v>55</v>
      </c>
      <c r="AD698" s="41">
        <f t="shared" si="172"/>
        <v>0.33433114333475872</v>
      </c>
      <c r="AE698" s="41">
        <f t="shared" si="173"/>
        <v>0.40069702645532224</v>
      </c>
      <c r="AF698">
        <f t="shared" si="174"/>
        <v>1.9642623300970878</v>
      </c>
      <c r="AG698">
        <f t="shared" si="175"/>
        <v>2.6753657475728127E-2</v>
      </c>
      <c r="AH698">
        <f t="shared" si="176"/>
        <v>1.1759999999999999</v>
      </c>
      <c r="AI698">
        <f>HLOOKUP(HLOOKUP(G698,'THP2'!$B$4:$J$8,5,FALSE),'Fuel &amp; Resister'!$B$3:$G$6,4,FALSE)</f>
        <v>1.048259259259259</v>
      </c>
      <c r="AJ698" s="41">
        <f>HLOOKUP(HLOOKUP(G698,'THP2'!$B$4:$J$8,5,FALSE),'Fuel &amp; Resister'!$B$3:$G$6,3,FALSE)</f>
        <v>5.829652622441694</v>
      </c>
      <c r="AO698" s="1">
        <v>1</v>
      </c>
      <c r="AP698" s="1">
        <v>1</v>
      </c>
    </row>
    <row r="699" spans="1:42" x14ac:dyDescent="0.15">
      <c r="A699"/>
      <c r="B699" s="80" t="s">
        <v>598</v>
      </c>
      <c r="C699" s="61">
        <f>VLOOKUP(B699,[1]SYS!$F$5:$G$359,2,FALSE)</f>
        <v>190</v>
      </c>
      <c r="D699" s="1" t="s">
        <v>23</v>
      </c>
      <c r="E699" s="65" t="s">
        <v>94</v>
      </c>
      <c r="F699" s="42"/>
      <c r="G699" s="1">
        <v>6</v>
      </c>
      <c r="H699" s="1">
        <f t="shared" si="167"/>
        <v>0.30357142857142855</v>
      </c>
      <c r="I699" s="1">
        <f t="shared" si="168"/>
        <v>0.112</v>
      </c>
      <c r="J699" s="1">
        <f t="shared" si="166"/>
        <v>6.3999999999999946E-2</v>
      </c>
      <c r="K699" s="1">
        <f t="shared" si="169"/>
        <v>2.5767800000000003</v>
      </c>
      <c r="L699" s="1">
        <f t="shared" si="170"/>
        <v>2.15</v>
      </c>
      <c r="M699" s="49">
        <f t="shared" si="171"/>
        <v>0.18965164914315361</v>
      </c>
      <c r="N699" s="49">
        <v>0.89599999999999991</v>
      </c>
      <c r="O699" s="1">
        <v>1004</v>
      </c>
      <c r="P699" s="51">
        <v>0</v>
      </c>
      <c r="Q699" s="51">
        <v>8</v>
      </c>
      <c r="R699" s="51">
        <v>1</v>
      </c>
      <c r="S699" s="1">
        <v>1</v>
      </c>
      <c r="T699" s="1">
        <v>0</v>
      </c>
      <c r="U699" s="47">
        <v>1</v>
      </c>
      <c r="V699" s="47">
        <v>63</v>
      </c>
      <c r="W699" s="41">
        <v>34</v>
      </c>
      <c r="X699">
        <v>112</v>
      </c>
      <c r="Y699">
        <v>0.93600000000000005</v>
      </c>
      <c r="Z699">
        <v>2576.7800000000002</v>
      </c>
      <c r="AA699">
        <v>2150</v>
      </c>
      <c r="AB699">
        <v>89.6</v>
      </c>
      <c r="AC699">
        <v>55</v>
      </c>
      <c r="AD699" s="41">
        <f t="shared" si="172"/>
        <v>0.33374987387359417</v>
      </c>
      <c r="AE699" s="41">
        <f t="shared" si="173"/>
        <v>0.4</v>
      </c>
      <c r="AF699">
        <f t="shared" si="174"/>
        <v>1.9639676923076921</v>
      </c>
      <c r="AG699">
        <f t="shared" si="175"/>
        <v>2.0835618461538478E-2</v>
      </c>
      <c r="AH699">
        <f t="shared" si="176"/>
        <v>0.89599999999999991</v>
      </c>
      <c r="AI699">
        <f>HLOOKUP(HLOOKUP(G699,'THP2'!$B$4:$J$8,5,FALSE),'Fuel &amp; Resister'!$B$3:$G$6,4,FALSE)</f>
        <v>1.048259259259259</v>
      </c>
      <c r="AJ699" s="41">
        <f>HLOOKUP(HLOOKUP(G699,'THP2'!$B$4:$J$8,5,FALSE),'Fuel &amp; Resister'!$B$3:$G$6,3,FALSE)</f>
        <v>5.829652622441694</v>
      </c>
      <c r="AO699" s="1">
        <v>1</v>
      </c>
      <c r="AP699" s="1">
        <v>1</v>
      </c>
    </row>
    <row r="700" spans="1:42" x14ac:dyDescent="0.15">
      <c r="A700"/>
      <c r="B700" s="80" t="s">
        <v>597</v>
      </c>
      <c r="C700" s="61">
        <f>VLOOKUP(B700,[1]SYS!$F$5:$G$359,2,FALSE)</f>
        <v>187</v>
      </c>
      <c r="D700" s="1" t="s">
        <v>23</v>
      </c>
      <c r="E700" s="42" t="s">
        <v>95</v>
      </c>
      <c r="F700" s="63" t="s">
        <v>481</v>
      </c>
      <c r="G700" s="1">
        <v>6</v>
      </c>
      <c r="H700" s="1">
        <f t="shared" si="167"/>
        <v>0.3</v>
      </c>
      <c r="I700" s="1">
        <f t="shared" si="168"/>
        <v>0.7</v>
      </c>
      <c r="J700" s="1">
        <f t="shared" si="166"/>
        <v>5.6300000000000017E-2</v>
      </c>
      <c r="K700" s="1">
        <f t="shared" si="169"/>
        <v>2.5824699999999998</v>
      </c>
      <c r="L700" s="1">
        <f t="shared" si="170"/>
        <v>2.1547499999999999</v>
      </c>
      <c r="M700" s="49">
        <f t="shared" si="171"/>
        <v>1.1879415435790996</v>
      </c>
      <c r="N700" s="49">
        <v>7.28</v>
      </c>
      <c r="O700" s="1">
        <v>504</v>
      </c>
      <c r="P700" s="51">
        <v>0.05</v>
      </c>
      <c r="Q700" s="51">
        <v>8</v>
      </c>
      <c r="R700" s="51">
        <v>1</v>
      </c>
      <c r="S700" s="1">
        <v>1</v>
      </c>
      <c r="T700" s="1">
        <v>0</v>
      </c>
      <c r="U700" s="47">
        <v>0</v>
      </c>
      <c r="V700" s="47">
        <v>64</v>
      </c>
      <c r="W700" s="41">
        <v>210</v>
      </c>
      <c r="X700">
        <v>700</v>
      </c>
      <c r="Y700">
        <v>0.94369999999999998</v>
      </c>
      <c r="Z700">
        <v>2582.4699999999998</v>
      </c>
      <c r="AA700">
        <v>2154.75</v>
      </c>
      <c r="AB700">
        <v>728</v>
      </c>
      <c r="AC700">
        <v>55</v>
      </c>
      <c r="AD700" s="41">
        <f t="shared" si="172"/>
        <v>0.3330145171095889</v>
      </c>
      <c r="AE700" s="41">
        <f t="shared" si="173"/>
        <v>0.39911822717252582</v>
      </c>
      <c r="AF700">
        <f t="shared" si="174"/>
        <v>1.9714414285714288</v>
      </c>
      <c r="AG700">
        <f t="shared" si="175"/>
        <v>0.12831599999999979</v>
      </c>
      <c r="AH700">
        <f t="shared" si="176"/>
        <v>7.28</v>
      </c>
      <c r="AI700">
        <f>HLOOKUP(HLOOKUP(G700,'THP2'!$B$4:$J$8,5,FALSE),'Fuel &amp; Resister'!$B$3:$G$6,4,FALSE)</f>
        <v>1.048259259259259</v>
      </c>
      <c r="AJ700" s="41">
        <f>HLOOKUP(HLOOKUP(G700,'THP2'!$B$4:$J$8,5,FALSE),'Fuel &amp; Resister'!$B$3:$G$6,3,FALSE)</f>
        <v>5.829652622441694</v>
      </c>
      <c r="AO700" s="1">
        <v>1</v>
      </c>
      <c r="AP700" s="1">
        <v>1</v>
      </c>
    </row>
    <row r="701" spans="1:42" x14ac:dyDescent="0.15">
      <c r="A701"/>
      <c r="B701" s="80" t="s">
        <v>597</v>
      </c>
      <c r="C701" s="61">
        <f>VLOOKUP(B701,[1]SYS!$F$5:$G$359,2,FALSE)</f>
        <v>187</v>
      </c>
      <c r="D701" s="1" t="s">
        <v>23</v>
      </c>
      <c r="E701" s="42" t="s">
        <v>96</v>
      </c>
      <c r="F701" s="63" t="s">
        <v>481</v>
      </c>
      <c r="G701" s="1">
        <v>6</v>
      </c>
      <c r="H701" s="1">
        <f t="shared" si="167"/>
        <v>0.3</v>
      </c>
      <c r="I701" s="1">
        <f t="shared" si="168"/>
        <v>0.7</v>
      </c>
      <c r="J701" s="1">
        <f t="shared" ref="J701:J764" si="177">1-Y701</f>
        <v>5.8100000000000041E-2</v>
      </c>
      <c r="K701" s="1">
        <f t="shared" si="169"/>
        <v>2.5908600000000002</v>
      </c>
      <c r="L701" s="1">
        <f t="shared" si="170"/>
        <v>2.1617500000000001</v>
      </c>
      <c r="M701" s="49">
        <f t="shared" si="171"/>
        <v>1.1918007341139893</v>
      </c>
      <c r="N701" s="49">
        <v>7.28</v>
      </c>
      <c r="O701" s="1">
        <v>903</v>
      </c>
      <c r="P701" s="51">
        <v>0.05</v>
      </c>
      <c r="Q701" s="51">
        <v>8</v>
      </c>
      <c r="R701" s="51">
        <v>1</v>
      </c>
      <c r="S701" s="1">
        <v>1</v>
      </c>
      <c r="T701" s="1">
        <v>0</v>
      </c>
      <c r="U701" s="47">
        <v>0</v>
      </c>
      <c r="V701" s="47">
        <v>65</v>
      </c>
      <c r="W701" s="41">
        <v>210</v>
      </c>
      <c r="X701">
        <v>700</v>
      </c>
      <c r="Y701">
        <v>0.94189999999999996</v>
      </c>
      <c r="Z701">
        <v>2590.86</v>
      </c>
      <c r="AA701">
        <v>2161.75</v>
      </c>
      <c r="AB701">
        <v>728</v>
      </c>
      <c r="AC701">
        <v>55</v>
      </c>
      <c r="AD701" s="41">
        <f t="shared" si="172"/>
        <v>0.33193611387724536</v>
      </c>
      <c r="AE701" s="41">
        <f t="shared" si="173"/>
        <v>0.3978258355499017</v>
      </c>
      <c r="AF701">
        <f t="shared" si="174"/>
        <v>1.9778457142857144</v>
      </c>
      <c r="AG701">
        <f t="shared" si="175"/>
        <v>0.12873299999999993</v>
      </c>
      <c r="AH701">
        <f t="shared" si="176"/>
        <v>7.28</v>
      </c>
      <c r="AI701">
        <f>HLOOKUP(HLOOKUP(G701,'THP2'!$B$4:$J$8,5,FALSE),'Fuel &amp; Resister'!$B$3:$G$6,4,FALSE)</f>
        <v>1.048259259259259</v>
      </c>
      <c r="AJ701" s="41">
        <f>HLOOKUP(HLOOKUP(G701,'THP2'!$B$4:$J$8,5,FALSE),'Fuel &amp; Resister'!$B$3:$G$6,3,FALSE)</f>
        <v>5.829652622441694</v>
      </c>
      <c r="AO701" s="1">
        <v>1</v>
      </c>
      <c r="AP701" s="1">
        <v>1</v>
      </c>
    </row>
    <row r="702" spans="1:42" x14ac:dyDescent="0.15">
      <c r="A702"/>
      <c r="B702" s="80" t="s">
        <v>597</v>
      </c>
      <c r="C702" s="61">
        <f>VLOOKUP(B702,[1]SYS!$F$5:$G$359,2,FALSE)</f>
        <v>187</v>
      </c>
      <c r="D702" s="1" t="s">
        <v>23</v>
      </c>
      <c r="E702" s="42" t="s">
        <v>97</v>
      </c>
      <c r="F702" s="63" t="s">
        <v>481</v>
      </c>
      <c r="G702" s="1">
        <v>6</v>
      </c>
      <c r="H702" s="1">
        <f t="shared" ref="H702:H765" si="178">W702/X702</f>
        <v>0.3</v>
      </c>
      <c r="I702" s="1">
        <f t="shared" ref="I702:I765" si="179">X702/1000</f>
        <v>0.7</v>
      </c>
      <c r="J702" s="1">
        <f t="shared" si="177"/>
        <v>5.8100000000000041E-2</v>
      </c>
      <c r="K702" s="1">
        <f t="shared" ref="K702:K765" si="180">Z702/1000</f>
        <v>2.5908600000000002</v>
      </c>
      <c r="L702" s="1">
        <f t="shared" ref="L702:L765" si="181">AA702/1000</f>
        <v>2.1617500000000001</v>
      </c>
      <c r="M702" s="49">
        <f t="shared" ref="M702:M765" si="182">(I702*10^6*L702/AJ702*AI702/10^6)*24*365/1000*$A$638</f>
        <v>1.1918007341139893</v>
      </c>
      <c r="N702" s="49">
        <v>7.28</v>
      </c>
      <c r="O702" s="1">
        <v>504</v>
      </c>
      <c r="P702" s="51">
        <v>0.05</v>
      </c>
      <c r="Q702" s="51">
        <v>8</v>
      </c>
      <c r="R702" s="51">
        <v>1</v>
      </c>
      <c r="S702" s="1">
        <v>1</v>
      </c>
      <c r="T702" s="1">
        <v>0</v>
      </c>
      <c r="U702" s="47">
        <v>0</v>
      </c>
      <c r="V702" s="47">
        <v>66</v>
      </c>
      <c r="W702" s="41">
        <v>210</v>
      </c>
      <c r="X702">
        <v>700</v>
      </c>
      <c r="Y702">
        <v>0.94189999999999996</v>
      </c>
      <c r="Z702">
        <v>2590.86</v>
      </c>
      <c r="AA702">
        <v>2161.75</v>
      </c>
      <c r="AB702">
        <v>728</v>
      </c>
      <c r="AC702">
        <v>55</v>
      </c>
      <c r="AD702" s="41">
        <f t="shared" ref="AD702:AD765" si="183">1/Z702*860</f>
        <v>0.33193611387724536</v>
      </c>
      <c r="AE702" s="41">
        <f t="shared" ref="AE702:AE765" si="184">1/AA702*860</f>
        <v>0.3978258355499017</v>
      </c>
      <c r="AF702">
        <f t="shared" ref="AF702:AF765" si="185">(L702-H702*K702)/(1-H702)</f>
        <v>1.9778457142857144</v>
      </c>
      <c r="AG702">
        <f t="shared" ref="AG702:AG765" si="186">I702*(L702-AF702)</f>
        <v>0.12873299999999993</v>
      </c>
      <c r="AH702">
        <f t="shared" ref="AH702:AH765" si="187">AB702/100</f>
        <v>7.28</v>
      </c>
      <c r="AI702">
        <f>HLOOKUP(HLOOKUP(G702,'THP2'!$B$4:$J$8,5,FALSE),'Fuel &amp; Resister'!$B$3:$G$6,4,FALSE)</f>
        <v>1.048259259259259</v>
      </c>
      <c r="AJ702" s="41">
        <f>HLOOKUP(HLOOKUP(G702,'THP2'!$B$4:$J$8,5,FALSE),'Fuel &amp; Resister'!$B$3:$G$6,3,FALSE)</f>
        <v>5.829652622441694</v>
      </c>
      <c r="AO702" s="1">
        <v>1</v>
      </c>
      <c r="AP702" s="1">
        <v>1</v>
      </c>
    </row>
    <row r="703" spans="1:42" x14ac:dyDescent="0.15">
      <c r="A703"/>
      <c r="B703" s="80" t="s">
        <v>596</v>
      </c>
      <c r="C703" s="61">
        <f>VLOOKUP(B703,[1]SYS!$F$5:$G$359,2,FALSE)</f>
        <v>155</v>
      </c>
      <c r="D703" s="1" t="s">
        <v>23</v>
      </c>
      <c r="E703" s="65" t="s">
        <v>98</v>
      </c>
      <c r="F703" s="63" t="s">
        <v>486</v>
      </c>
      <c r="G703" s="1">
        <v>6</v>
      </c>
      <c r="H703" s="1">
        <f t="shared" si="178"/>
        <v>0.3</v>
      </c>
      <c r="I703" s="1">
        <f t="shared" si="179"/>
        <v>0.11</v>
      </c>
      <c r="J703" s="1">
        <f t="shared" si="177"/>
        <v>6.4500000000000002E-2</v>
      </c>
      <c r="K703" s="1">
        <f t="shared" si="180"/>
        <v>2.8008500000000001</v>
      </c>
      <c r="L703" s="1">
        <f t="shared" si="181"/>
        <v>2.3369599999999999</v>
      </c>
      <c r="M703" s="49">
        <f t="shared" si="182"/>
        <v>0.20246227150321539</v>
      </c>
      <c r="N703" s="49">
        <v>0.88</v>
      </c>
      <c r="O703" s="1">
        <v>1002</v>
      </c>
      <c r="P703" s="51">
        <v>0</v>
      </c>
      <c r="Q703" s="51">
        <v>8</v>
      </c>
      <c r="R703" s="51">
        <v>1</v>
      </c>
      <c r="S703" s="1">
        <v>1</v>
      </c>
      <c r="T703" s="1">
        <v>0</v>
      </c>
      <c r="U703" s="47">
        <v>1</v>
      </c>
      <c r="V703" s="47">
        <v>67</v>
      </c>
      <c r="W703" s="41">
        <v>33</v>
      </c>
      <c r="X703">
        <v>110</v>
      </c>
      <c r="Y703">
        <v>0.9355</v>
      </c>
      <c r="Z703">
        <v>2800.85</v>
      </c>
      <c r="AA703">
        <v>2336.96</v>
      </c>
      <c r="AB703">
        <v>88</v>
      </c>
      <c r="AC703">
        <v>55</v>
      </c>
      <c r="AD703" s="41">
        <f t="shared" si="183"/>
        <v>0.30704964564328691</v>
      </c>
      <c r="AE703" s="41">
        <f t="shared" si="184"/>
        <v>0.36799945227988495</v>
      </c>
      <c r="AF703">
        <f t="shared" si="185"/>
        <v>2.13815</v>
      </c>
      <c r="AG703">
        <f t="shared" si="186"/>
        <v>2.1869099999999992E-2</v>
      </c>
      <c r="AH703">
        <f t="shared" si="187"/>
        <v>0.88</v>
      </c>
      <c r="AI703">
        <f>HLOOKUP(HLOOKUP(G703,'THP2'!$B$4:$J$8,5,FALSE),'Fuel &amp; Resister'!$B$3:$G$6,4,FALSE)</f>
        <v>1.048259259259259</v>
      </c>
      <c r="AJ703" s="41">
        <f>HLOOKUP(HLOOKUP(G703,'THP2'!$B$4:$J$8,5,FALSE),'Fuel &amp; Resister'!$B$3:$G$6,3,FALSE)</f>
        <v>5.829652622441694</v>
      </c>
      <c r="AO703" s="1">
        <v>1</v>
      </c>
      <c r="AP703" s="1">
        <v>1</v>
      </c>
    </row>
    <row r="704" spans="1:42" x14ac:dyDescent="0.15">
      <c r="A704"/>
      <c r="B704" s="80" t="s">
        <v>596</v>
      </c>
      <c r="C704" s="61">
        <f>VLOOKUP(B704,[1]SYS!$F$5:$G$359,2,FALSE)</f>
        <v>155</v>
      </c>
      <c r="D704" s="1" t="s">
        <v>23</v>
      </c>
      <c r="E704" s="42" t="s">
        <v>99</v>
      </c>
      <c r="F704" s="63" t="s">
        <v>486</v>
      </c>
      <c r="G704" s="1">
        <v>6</v>
      </c>
      <c r="H704" s="1">
        <f t="shared" si="178"/>
        <v>0.30201342281879195</v>
      </c>
      <c r="I704" s="1">
        <f t="shared" si="179"/>
        <v>0.14899999999999999</v>
      </c>
      <c r="J704" s="1">
        <f t="shared" si="177"/>
        <v>6.4500000000000002E-2</v>
      </c>
      <c r="K704" s="1">
        <f t="shared" si="180"/>
        <v>2.8008500000000001</v>
      </c>
      <c r="L704" s="1">
        <f t="shared" si="181"/>
        <v>2.3369599999999999</v>
      </c>
      <c r="M704" s="49">
        <f t="shared" si="182"/>
        <v>0.27424434958162819</v>
      </c>
      <c r="N704" s="49">
        <v>1.1919999999999999</v>
      </c>
      <c r="O704" s="1">
        <v>1002</v>
      </c>
      <c r="P704" s="51">
        <v>0</v>
      </c>
      <c r="Q704" s="51">
        <v>8</v>
      </c>
      <c r="R704" s="51">
        <v>1</v>
      </c>
      <c r="S704" s="1">
        <v>1</v>
      </c>
      <c r="T704" s="1">
        <v>0</v>
      </c>
      <c r="U704" s="47">
        <v>0</v>
      </c>
      <c r="V704" s="47">
        <v>68</v>
      </c>
      <c r="W704" s="41">
        <v>45</v>
      </c>
      <c r="X704">
        <v>149</v>
      </c>
      <c r="Y704">
        <v>0.9355</v>
      </c>
      <c r="Z704">
        <v>2800.85</v>
      </c>
      <c r="AA704">
        <v>2336.96</v>
      </c>
      <c r="AB704">
        <v>119.2</v>
      </c>
      <c r="AC704">
        <v>55</v>
      </c>
      <c r="AD704" s="41">
        <f t="shared" si="183"/>
        <v>0.30704964564328691</v>
      </c>
      <c r="AE704" s="41">
        <f t="shared" si="184"/>
        <v>0.36799945227988495</v>
      </c>
      <c r="AF704">
        <f t="shared" si="185"/>
        <v>2.1362383653846151</v>
      </c>
      <c r="AG704">
        <f t="shared" si="186"/>
        <v>2.9907523557692339E-2</v>
      </c>
      <c r="AH704">
        <f t="shared" si="187"/>
        <v>1.1919999999999999</v>
      </c>
      <c r="AI704">
        <f>HLOOKUP(HLOOKUP(G704,'THP2'!$B$4:$J$8,5,FALSE),'Fuel &amp; Resister'!$B$3:$G$6,4,FALSE)</f>
        <v>1.048259259259259</v>
      </c>
      <c r="AJ704" s="41">
        <f>HLOOKUP(HLOOKUP(G704,'THP2'!$B$4:$J$8,5,FALSE),'Fuel &amp; Resister'!$B$3:$G$6,3,FALSE)</f>
        <v>5.829652622441694</v>
      </c>
      <c r="AO704" s="1">
        <v>1</v>
      </c>
      <c r="AP704" s="1">
        <v>1</v>
      </c>
    </row>
    <row r="705" spans="1:42" x14ac:dyDescent="0.15">
      <c r="A705"/>
      <c r="B705" s="80" t="s">
        <v>599</v>
      </c>
      <c r="C705" s="61">
        <f>VLOOKUP(B705,[1]SYS!$F$5:$G$359,2,FALSE)</f>
        <v>207</v>
      </c>
      <c r="D705" s="1" t="s">
        <v>23</v>
      </c>
      <c r="E705" s="42" t="s">
        <v>100</v>
      </c>
      <c r="F705" s="63" t="s">
        <v>485</v>
      </c>
      <c r="G705" s="1">
        <v>6</v>
      </c>
      <c r="H705" s="1">
        <f t="shared" si="178"/>
        <v>0.2</v>
      </c>
      <c r="I705" s="1">
        <f t="shared" si="179"/>
        <v>0.7</v>
      </c>
      <c r="J705" s="1">
        <f t="shared" si="177"/>
        <v>5.3000000000000047E-2</v>
      </c>
      <c r="K705" s="1">
        <f t="shared" si="180"/>
        <v>2.7547600000000001</v>
      </c>
      <c r="L705" s="1">
        <f t="shared" si="181"/>
        <v>2.0880700000000001</v>
      </c>
      <c r="M705" s="49">
        <f t="shared" si="182"/>
        <v>1.1511799971696066</v>
      </c>
      <c r="N705" s="49">
        <v>7.28</v>
      </c>
      <c r="O705" s="1">
        <v>1004</v>
      </c>
      <c r="P705" s="51">
        <v>0.05</v>
      </c>
      <c r="Q705" s="51">
        <v>8</v>
      </c>
      <c r="R705" s="51">
        <v>1</v>
      </c>
      <c r="S705" s="1">
        <v>1</v>
      </c>
      <c r="T705" s="1">
        <v>0</v>
      </c>
      <c r="U705" s="47">
        <v>0</v>
      </c>
      <c r="V705" s="47">
        <v>69</v>
      </c>
      <c r="W705" s="41">
        <v>140</v>
      </c>
      <c r="X705">
        <v>700</v>
      </c>
      <c r="Y705">
        <v>0.94699999999999995</v>
      </c>
      <c r="Z705">
        <v>2754.76</v>
      </c>
      <c r="AA705">
        <v>2088.0700000000002</v>
      </c>
      <c r="AB705">
        <v>728</v>
      </c>
      <c r="AC705">
        <v>55</v>
      </c>
      <c r="AD705" s="41">
        <f t="shared" si="183"/>
        <v>0.31218690557435125</v>
      </c>
      <c r="AE705" s="41">
        <f t="shared" si="184"/>
        <v>0.41186358694871333</v>
      </c>
      <c r="AF705">
        <f t="shared" si="185"/>
        <v>1.9213974999999999</v>
      </c>
      <c r="AG705">
        <f t="shared" si="186"/>
        <v>0.11667075000000014</v>
      </c>
      <c r="AH705">
        <f t="shared" si="187"/>
        <v>7.28</v>
      </c>
      <c r="AI705">
        <f>HLOOKUP(HLOOKUP(G705,'THP2'!$B$4:$J$8,5,FALSE),'Fuel &amp; Resister'!$B$3:$G$6,4,FALSE)</f>
        <v>1.048259259259259</v>
      </c>
      <c r="AJ705" s="41">
        <f>HLOOKUP(HLOOKUP(G705,'THP2'!$B$4:$J$8,5,FALSE),'Fuel &amp; Resister'!$B$3:$G$6,3,FALSE)</f>
        <v>5.829652622441694</v>
      </c>
      <c r="AO705" s="1">
        <v>1</v>
      </c>
      <c r="AP705" s="1">
        <v>1</v>
      </c>
    </row>
    <row r="706" spans="1:42" x14ac:dyDescent="0.15">
      <c r="A706"/>
      <c r="B706" s="80" t="s">
        <v>600</v>
      </c>
      <c r="C706" s="61">
        <f>VLOOKUP(B706,[1]SYS!$F$5:$G$359,2,FALSE)</f>
        <v>201</v>
      </c>
      <c r="D706" s="1" t="s">
        <v>23</v>
      </c>
      <c r="E706" s="42" t="s">
        <v>101</v>
      </c>
      <c r="F706" s="63" t="s">
        <v>484</v>
      </c>
      <c r="G706" s="1">
        <v>6</v>
      </c>
      <c r="H706" s="1">
        <f t="shared" si="178"/>
        <v>0.2</v>
      </c>
      <c r="I706" s="1">
        <f t="shared" si="179"/>
        <v>0.7</v>
      </c>
      <c r="J706" s="1">
        <f t="shared" si="177"/>
        <v>5.1000000000000045E-2</v>
      </c>
      <c r="K706" s="1">
        <f t="shared" si="180"/>
        <v>2.7918699999999999</v>
      </c>
      <c r="L706" s="1">
        <f t="shared" si="181"/>
        <v>2.1161999999999996</v>
      </c>
      <c r="M706" s="49">
        <f t="shared" si="182"/>
        <v>1.1666884299905278</v>
      </c>
      <c r="N706" s="49">
        <v>7.28</v>
      </c>
      <c r="O706" s="1">
        <v>504</v>
      </c>
      <c r="P706" s="51">
        <v>0.05</v>
      </c>
      <c r="Q706" s="51">
        <v>8</v>
      </c>
      <c r="R706" s="51">
        <v>1</v>
      </c>
      <c r="S706" s="1">
        <v>1</v>
      </c>
      <c r="T706" s="1">
        <v>0</v>
      </c>
      <c r="U706" s="47">
        <v>0</v>
      </c>
      <c r="V706" s="47">
        <v>70</v>
      </c>
      <c r="W706" s="41">
        <v>140</v>
      </c>
      <c r="X706">
        <v>700</v>
      </c>
      <c r="Y706">
        <v>0.94899999999999995</v>
      </c>
      <c r="Z706">
        <v>2791.87</v>
      </c>
      <c r="AA706">
        <v>2116.1999999999998</v>
      </c>
      <c r="AB706">
        <v>728</v>
      </c>
      <c r="AC706">
        <v>55</v>
      </c>
      <c r="AD706" s="41">
        <f t="shared" si="183"/>
        <v>0.30803726534544951</v>
      </c>
      <c r="AE706" s="41">
        <f t="shared" si="184"/>
        <v>0.40638881013136757</v>
      </c>
      <c r="AF706">
        <f t="shared" si="185"/>
        <v>1.9472824999999994</v>
      </c>
      <c r="AG706">
        <f t="shared" si="186"/>
        <v>0.11824225000000019</v>
      </c>
      <c r="AH706">
        <f t="shared" si="187"/>
        <v>7.28</v>
      </c>
      <c r="AI706">
        <f>HLOOKUP(HLOOKUP(G706,'THP2'!$B$4:$J$8,5,FALSE),'Fuel &amp; Resister'!$B$3:$G$6,4,FALSE)</f>
        <v>1.048259259259259</v>
      </c>
      <c r="AJ706" s="41">
        <f>HLOOKUP(HLOOKUP(G706,'THP2'!$B$4:$J$8,5,FALSE),'Fuel &amp; Resister'!$B$3:$G$6,3,FALSE)</f>
        <v>5.829652622441694</v>
      </c>
      <c r="AO706" s="1">
        <v>1</v>
      </c>
      <c r="AP706" s="1">
        <v>1</v>
      </c>
    </row>
    <row r="707" spans="1:42" x14ac:dyDescent="0.15">
      <c r="A707"/>
      <c r="B707" s="80" t="s">
        <v>600</v>
      </c>
      <c r="C707" s="61">
        <f>VLOOKUP(B707,[1]SYS!$F$5:$G$359,2,FALSE)</f>
        <v>201</v>
      </c>
      <c r="D707" s="1" t="s">
        <v>23</v>
      </c>
      <c r="E707" s="42" t="s">
        <v>102</v>
      </c>
      <c r="F707" s="63" t="s">
        <v>484</v>
      </c>
      <c r="G707" s="1">
        <v>6</v>
      </c>
      <c r="H707" s="1">
        <f t="shared" si="178"/>
        <v>0.2</v>
      </c>
      <c r="I707" s="1">
        <f t="shared" si="179"/>
        <v>0.5</v>
      </c>
      <c r="J707" s="1">
        <f t="shared" si="177"/>
        <v>5.3799999999999959E-2</v>
      </c>
      <c r="K707" s="1">
        <f t="shared" si="180"/>
        <v>2.8278099999999999</v>
      </c>
      <c r="L707" s="1">
        <f t="shared" si="181"/>
        <v>2.14344</v>
      </c>
      <c r="M707" s="49">
        <f t="shared" si="182"/>
        <v>0.84407585307184629</v>
      </c>
      <c r="N707" s="49">
        <v>5.01</v>
      </c>
      <c r="O707" s="6">
        <v>305</v>
      </c>
      <c r="P707" s="51">
        <v>0.05</v>
      </c>
      <c r="Q707" s="51">
        <v>8</v>
      </c>
      <c r="R707" s="51">
        <v>1</v>
      </c>
      <c r="S707" s="1">
        <v>1</v>
      </c>
      <c r="T707" s="1">
        <v>0</v>
      </c>
      <c r="U707" s="47">
        <v>0</v>
      </c>
      <c r="V707" s="47">
        <v>71</v>
      </c>
      <c r="W707" s="41">
        <v>100</v>
      </c>
      <c r="X707">
        <v>500</v>
      </c>
      <c r="Y707">
        <v>0.94620000000000004</v>
      </c>
      <c r="Z707">
        <v>2827.81</v>
      </c>
      <c r="AA707">
        <v>2143.44</v>
      </c>
      <c r="AB707">
        <v>501</v>
      </c>
      <c r="AC707">
        <v>55</v>
      </c>
      <c r="AD707" s="41">
        <f t="shared" si="183"/>
        <v>0.30412227129828384</v>
      </c>
      <c r="AE707" s="41">
        <f t="shared" si="184"/>
        <v>0.40122420035083789</v>
      </c>
      <c r="AF707">
        <f t="shared" si="185"/>
        <v>1.9723475000000001</v>
      </c>
      <c r="AG707">
        <f t="shared" si="186"/>
        <v>8.5546249999999935E-2</v>
      </c>
      <c r="AH707">
        <f t="shared" si="187"/>
        <v>5.01</v>
      </c>
      <c r="AI707">
        <f>HLOOKUP(HLOOKUP(G707,'THP2'!$B$4:$J$8,5,FALSE),'Fuel &amp; Resister'!$B$3:$G$6,4,FALSE)</f>
        <v>1.048259259259259</v>
      </c>
      <c r="AJ707" s="41">
        <f>HLOOKUP(HLOOKUP(G707,'THP2'!$B$4:$J$8,5,FALSE),'Fuel &amp; Resister'!$B$3:$G$6,3,FALSE)</f>
        <v>5.829652622441694</v>
      </c>
      <c r="AO707" s="1">
        <v>1</v>
      </c>
      <c r="AP707" s="1">
        <v>1</v>
      </c>
    </row>
    <row r="708" spans="1:42" x14ac:dyDescent="0.15">
      <c r="A708"/>
      <c r="B708" s="80" t="s">
        <v>599</v>
      </c>
      <c r="C708" s="61">
        <f>VLOOKUP(B708,[1]SYS!$F$5:$G$359,2,FALSE)</f>
        <v>207</v>
      </c>
      <c r="D708" s="1" t="s">
        <v>23</v>
      </c>
      <c r="E708" s="42" t="s">
        <v>103</v>
      </c>
      <c r="F708" s="63" t="s">
        <v>485</v>
      </c>
      <c r="G708" s="1">
        <v>6</v>
      </c>
      <c r="H708" s="1">
        <f t="shared" si="178"/>
        <v>0.2</v>
      </c>
      <c r="I708" s="1">
        <f t="shared" si="179"/>
        <v>0.5</v>
      </c>
      <c r="J708" s="1">
        <f t="shared" si="177"/>
        <v>5.9400000000000008E-2</v>
      </c>
      <c r="K708" s="1">
        <f t="shared" si="180"/>
        <v>2.8681300000000003</v>
      </c>
      <c r="L708" s="1">
        <f t="shared" si="181"/>
        <v>2.1739999999999999</v>
      </c>
      <c r="M708" s="49">
        <f t="shared" si="182"/>
        <v>0.85611022682146165</v>
      </c>
      <c r="N708" s="49">
        <v>5.01</v>
      </c>
      <c r="O708" s="1">
        <v>903</v>
      </c>
      <c r="P708" s="51">
        <v>0.05</v>
      </c>
      <c r="Q708" s="51">
        <v>8</v>
      </c>
      <c r="R708" s="51">
        <v>1</v>
      </c>
      <c r="S708" s="1">
        <v>1</v>
      </c>
      <c r="T708" s="1">
        <v>0</v>
      </c>
      <c r="U708" s="47">
        <v>0</v>
      </c>
      <c r="V708" s="47">
        <v>72</v>
      </c>
      <c r="W708" s="41">
        <v>100</v>
      </c>
      <c r="X708">
        <v>500</v>
      </c>
      <c r="Y708">
        <v>0.94059999999999999</v>
      </c>
      <c r="Z708">
        <v>2868.13</v>
      </c>
      <c r="AA708">
        <v>2174</v>
      </c>
      <c r="AB708">
        <v>501</v>
      </c>
      <c r="AC708">
        <v>55</v>
      </c>
      <c r="AD708" s="41">
        <f t="shared" si="183"/>
        <v>0.29984693859762285</v>
      </c>
      <c r="AE708" s="41">
        <f t="shared" si="184"/>
        <v>0.39558417663293466</v>
      </c>
      <c r="AF708">
        <f t="shared" si="185"/>
        <v>2.0004675000000001</v>
      </c>
      <c r="AG708">
        <f t="shared" si="186"/>
        <v>8.6766249999999934E-2</v>
      </c>
      <c r="AH708">
        <f t="shared" si="187"/>
        <v>5.01</v>
      </c>
      <c r="AI708">
        <f>HLOOKUP(HLOOKUP(G708,'THP2'!$B$4:$J$8,5,FALSE),'Fuel &amp; Resister'!$B$3:$G$6,4,FALSE)</f>
        <v>1.048259259259259</v>
      </c>
      <c r="AJ708" s="41">
        <f>HLOOKUP(HLOOKUP(G708,'THP2'!$B$4:$J$8,5,FALSE),'Fuel &amp; Resister'!$B$3:$G$6,3,FALSE)</f>
        <v>5.829652622441694</v>
      </c>
      <c r="AO708" s="1">
        <v>1</v>
      </c>
      <c r="AP708" s="1">
        <v>1</v>
      </c>
    </row>
    <row r="709" spans="1:42" x14ac:dyDescent="0.15">
      <c r="A709"/>
      <c r="B709" s="80" t="s">
        <v>601</v>
      </c>
      <c r="C709" s="61">
        <f>VLOOKUP(B709,[1]SYS!$F$5:$G$359,2,FALSE)</f>
        <v>220</v>
      </c>
      <c r="D709" s="1" t="s">
        <v>23</v>
      </c>
      <c r="E709" s="42" t="s">
        <v>104</v>
      </c>
      <c r="F709" s="42"/>
      <c r="G709" s="1">
        <v>6</v>
      </c>
      <c r="H709" s="1">
        <f t="shared" si="178"/>
        <v>0.3</v>
      </c>
      <c r="I709" s="1">
        <f t="shared" si="179"/>
        <v>0.9</v>
      </c>
      <c r="J709" s="1">
        <f t="shared" si="177"/>
        <v>6.2000000000000055E-2</v>
      </c>
      <c r="K709" s="1">
        <f t="shared" si="180"/>
        <v>2.4110200000000002</v>
      </c>
      <c r="L709" s="1">
        <f t="shared" si="181"/>
        <v>2.0117000000000003</v>
      </c>
      <c r="M709" s="49">
        <f t="shared" si="182"/>
        <v>1.4259551508436628</v>
      </c>
      <c r="N709" s="49">
        <v>12.4267</v>
      </c>
      <c r="O709" s="6">
        <v>305</v>
      </c>
      <c r="P709" s="51">
        <v>0.05</v>
      </c>
      <c r="Q709" s="51">
        <v>8</v>
      </c>
      <c r="R709" s="51">
        <v>1</v>
      </c>
      <c r="S709" s="1">
        <v>1</v>
      </c>
      <c r="T709" s="1">
        <v>0</v>
      </c>
      <c r="U709" s="47">
        <v>0</v>
      </c>
      <c r="V709" s="47">
        <v>73</v>
      </c>
      <c r="W709" s="41">
        <v>270</v>
      </c>
      <c r="X709">
        <v>900</v>
      </c>
      <c r="Y709">
        <v>0.93799999999999994</v>
      </c>
      <c r="Z709">
        <v>2411.02</v>
      </c>
      <c r="AA709">
        <v>2011.7</v>
      </c>
      <c r="AB709">
        <v>1242.67</v>
      </c>
      <c r="AC709">
        <v>55</v>
      </c>
      <c r="AD709" s="41">
        <f t="shared" si="183"/>
        <v>0.35669550646614295</v>
      </c>
      <c r="AE709" s="41">
        <f t="shared" si="184"/>
        <v>0.4274991300889795</v>
      </c>
      <c r="AF709">
        <f t="shared" si="185"/>
        <v>1.8405628571428576</v>
      </c>
      <c r="AG709">
        <f t="shared" si="186"/>
        <v>0.15402342857142839</v>
      </c>
      <c r="AH709">
        <f t="shared" si="187"/>
        <v>12.4267</v>
      </c>
      <c r="AI709">
        <f>HLOOKUP(HLOOKUP(G709,'THP2'!$B$4:$J$8,5,FALSE),'Fuel &amp; Resister'!$B$3:$G$6,4,FALSE)</f>
        <v>1.048259259259259</v>
      </c>
      <c r="AJ709" s="41">
        <f>HLOOKUP(HLOOKUP(G709,'THP2'!$B$4:$J$8,5,FALSE),'Fuel &amp; Resister'!$B$3:$G$6,3,FALSE)</f>
        <v>5.829652622441694</v>
      </c>
      <c r="AO709" s="1">
        <v>1</v>
      </c>
      <c r="AP709" s="1">
        <v>1</v>
      </c>
    </row>
    <row r="710" spans="1:42" x14ac:dyDescent="0.15">
      <c r="A710"/>
      <c r="B710" s="80" t="s">
        <v>601</v>
      </c>
      <c r="C710" s="61">
        <f>VLOOKUP(B710,[1]SYS!$F$5:$G$359,2,FALSE)</f>
        <v>220</v>
      </c>
      <c r="D710" s="1" t="s">
        <v>23</v>
      </c>
      <c r="E710" s="42" t="s">
        <v>104</v>
      </c>
      <c r="F710" s="42"/>
      <c r="G710" s="1">
        <v>6</v>
      </c>
      <c r="H710" s="1">
        <f t="shared" si="178"/>
        <v>0.3</v>
      </c>
      <c r="I710" s="1">
        <f t="shared" si="179"/>
        <v>0.9</v>
      </c>
      <c r="J710" s="1">
        <f t="shared" si="177"/>
        <v>6.2000000000000055E-2</v>
      </c>
      <c r="K710" s="1">
        <f t="shared" si="180"/>
        <v>2.4110200000000002</v>
      </c>
      <c r="L710" s="1">
        <f t="shared" si="181"/>
        <v>2.0117000000000003</v>
      </c>
      <c r="M710" s="49">
        <f t="shared" si="182"/>
        <v>1.4259551508436628</v>
      </c>
      <c r="N710" s="49">
        <v>12.4267</v>
      </c>
      <c r="O710" s="1">
        <v>504</v>
      </c>
      <c r="P710" s="51">
        <v>0.05</v>
      </c>
      <c r="Q710" s="51">
        <v>8</v>
      </c>
      <c r="R710" s="51">
        <v>1</v>
      </c>
      <c r="S710" s="1">
        <v>1</v>
      </c>
      <c r="T710" s="1">
        <v>0</v>
      </c>
      <c r="U710" s="47">
        <v>0</v>
      </c>
      <c r="V710" s="47">
        <v>74</v>
      </c>
      <c r="W710" s="41">
        <v>270</v>
      </c>
      <c r="X710">
        <v>900</v>
      </c>
      <c r="Y710">
        <v>0.93799999999999994</v>
      </c>
      <c r="Z710">
        <v>2411.02</v>
      </c>
      <c r="AA710">
        <v>2011.7</v>
      </c>
      <c r="AB710">
        <v>1242.67</v>
      </c>
      <c r="AC710">
        <v>55</v>
      </c>
      <c r="AD710" s="41">
        <f t="shared" si="183"/>
        <v>0.35669550646614295</v>
      </c>
      <c r="AE710" s="41">
        <f t="shared" si="184"/>
        <v>0.4274991300889795</v>
      </c>
      <c r="AF710">
        <f t="shared" si="185"/>
        <v>1.8405628571428576</v>
      </c>
      <c r="AG710">
        <f t="shared" si="186"/>
        <v>0.15402342857142839</v>
      </c>
      <c r="AH710">
        <f t="shared" si="187"/>
        <v>12.4267</v>
      </c>
      <c r="AI710">
        <f>HLOOKUP(HLOOKUP(G710,'THP2'!$B$4:$J$8,5,FALSE),'Fuel &amp; Resister'!$B$3:$G$6,4,FALSE)</f>
        <v>1.048259259259259</v>
      </c>
      <c r="AJ710" s="41">
        <f>HLOOKUP(HLOOKUP(G710,'THP2'!$B$4:$J$8,5,FALSE),'Fuel &amp; Resister'!$B$3:$G$6,3,FALSE)</f>
        <v>5.829652622441694</v>
      </c>
      <c r="AO710" s="1">
        <v>1</v>
      </c>
      <c r="AP710" s="1">
        <v>1</v>
      </c>
    </row>
    <row r="711" spans="1:42" x14ac:dyDescent="0.15">
      <c r="A711"/>
      <c r="B711" s="80" t="s">
        <v>601</v>
      </c>
      <c r="C711" s="61">
        <f>VLOOKUP(B711,[1]SYS!$F$5:$G$359,2,FALSE)</f>
        <v>220</v>
      </c>
      <c r="D711" s="1" t="s">
        <v>23</v>
      </c>
      <c r="E711" s="42" t="s">
        <v>104</v>
      </c>
      <c r="F711" s="42"/>
      <c r="G711" s="1">
        <v>6</v>
      </c>
      <c r="H711" s="1">
        <f t="shared" si="178"/>
        <v>0.3</v>
      </c>
      <c r="I711" s="1">
        <f t="shared" si="179"/>
        <v>0.9</v>
      </c>
      <c r="J711" s="1">
        <f t="shared" si="177"/>
        <v>6.2000000000000055E-2</v>
      </c>
      <c r="K711" s="1">
        <f t="shared" si="180"/>
        <v>2.4110200000000002</v>
      </c>
      <c r="L711" s="1">
        <f t="shared" si="181"/>
        <v>2.0117000000000003</v>
      </c>
      <c r="M711" s="49">
        <f t="shared" si="182"/>
        <v>1.4259551508436628</v>
      </c>
      <c r="N711" s="49">
        <v>12.4267</v>
      </c>
      <c r="O711" s="6">
        <v>305</v>
      </c>
      <c r="P711" s="51">
        <v>0.05</v>
      </c>
      <c r="Q711" s="51">
        <v>8</v>
      </c>
      <c r="R711" s="51">
        <v>1</v>
      </c>
      <c r="S711" s="1">
        <v>1</v>
      </c>
      <c r="T711" s="1">
        <v>0</v>
      </c>
      <c r="U711" s="47">
        <v>0</v>
      </c>
      <c r="V711" s="47">
        <v>75</v>
      </c>
      <c r="W711" s="41">
        <v>270</v>
      </c>
      <c r="X711">
        <v>900</v>
      </c>
      <c r="Y711">
        <v>0.93799999999999994</v>
      </c>
      <c r="Z711">
        <v>2411.02</v>
      </c>
      <c r="AA711">
        <v>2011.7</v>
      </c>
      <c r="AB711">
        <v>1242.67</v>
      </c>
      <c r="AC711">
        <v>55</v>
      </c>
      <c r="AD711" s="41">
        <f t="shared" si="183"/>
        <v>0.35669550646614295</v>
      </c>
      <c r="AE711" s="41">
        <f t="shared" si="184"/>
        <v>0.4274991300889795</v>
      </c>
      <c r="AF711">
        <f t="shared" si="185"/>
        <v>1.8405628571428576</v>
      </c>
      <c r="AG711">
        <f t="shared" si="186"/>
        <v>0.15402342857142839</v>
      </c>
      <c r="AH711">
        <f t="shared" si="187"/>
        <v>12.4267</v>
      </c>
      <c r="AI711">
        <f>HLOOKUP(HLOOKUP(G711,'THP2'!$B$4:$J$8,5,FALSE),'Fuel &amp; Resister'!$B$3:$G$6,4,FALSE)</f>
        <v>1.048259259259259</v>
      </c>
      <c r="AJ711" s="41">
        <f>HLOOKUP(HLOOKUP(G711,'THP2'!$B$4:$J$8,5,FALSE),'Fuel &amp; Resister'!$B$3:$G$6,3,FALSE)</f>
        <v>5.829652622441694</v>
      </c>
      <c r="AO711" s="1">
        <v>1</v>
      </c>
      <c r="AP711" s="1">
        <v>1</v>
      </c>
    </row>
    <row r="712" spans="1:42" x14ac:dyDescent="0.15">
      <c r="A712"/>
      <c r="B712" s="80" t="s">
        <v>601</v>
      </c>
      <c r="C712" s="61">
        <f>VLOOKUP(B712,[1]SYS!$F$5:$G$359,2,FALSE)</f>
        <v>220</v>
      </c>
      <c r="D712" s="1" t="s">
        <v>23</v>
      </c>
      <c r="E712" s="42" t="s">
        <v>104</v>
      </c>
      <c r="F712" s="42"/>
      <c r="G712" s="1">
        <v>6</v>
      </c>
      <c r="H712" s="1">
        <f t="shared" si="178"/>
        <v>0.3</v>
      </c>
      <c r="I712" s="1">
        <f t="shared" si="179"/>
        <v>0.9</v>
      </c>
      <c r="J712" s="1">
        <f t="shared" si="177"/>
        <v>6.2000000000000055E-2</v>
      </c>
      <c r="K712" s="1">
        <f t="shared" si="180"/>
        <v>2.4110200000000002</v>
      </c>
      <c r="L712" s="1">
        <f t="shared" si="181"/>
        <v>2.0117000000000003</v>
      </c>
      <c r="M712" s="49">
        <f t="shared" si="182"/>
        <v>1.4259551508436628</v>
      </c>
      <c r="N712" s="49">
        <v>12.4267</v>
      </c>
      <c r="O712" s="1">
        <v>504</v>
      </c>
      <c r="P712" s="51">
        <v>0.05</v>
      </c>
      <c r="Q712" s="51">
        <v>8</v>
      </c>
      <c r="R712" s="51">
        <v>1</v>
      </c>
      <c r="S712" s="1">
        <v>1</v>
      </c>
      <c r="T712" s="1">
        <v>0</v>
      </c>
      <c r="U712" s="47">
        <v>0</v>
      </c>
      <c r="V712" s="47">
        <v>76</v>
      </c>
      <c r="W712" s="41">
        <v>270</v>
      </c>
      <c r="X712">
        <v>900</v>
      </c>
      <c r="Y712">
        <v>0.93799999999999994</v>
      </c>
      <c r="Z712">
        <v>2411.02</v>
      </c>
      <c r="AA712">
        <v>2011.7</v>
      </c>
      <c r="AB712">
        <v>1242.67</v>
      </c>
      <c r="AC712">
        <v>55</v>
      </c>
      <c r="AD712" s="41">
        <f t="shared" si="183"/>
        <v>0.35669550646614295</v>
      </c>
      <c r="AE712" s="41">
        <f t="shared" si="184"/>
        <v>0.4274991300889795</v>
      </c>
      <c r="AF712">
        <f t="shared" si="185"/>
        <v>1.8405628571428576</v>
      </c>
      <c r="AG712">
        <f t="shared" si="186"/>
        <v>0.15402342857142839</v>
      </c>
      <c r="AH712">
        <f t="shared" si="187"/>
        <v>12.4267</v>
      </c>
      <c r="AI712">
        <f>HLOOKUP(HLOOKUP(G712,'THP2'!$B$4:$J$8,5,FALSE),'Fuel &amp; Resister'!$B$3:$G$6,4,FALSE)</f>
        <v>1.048259259259259</v>
      </c>
      <c r="AJ712" s="41">
        <f>HLOOKUP(HLOOKUP(G712,'THP2'!$B$4:$J$8,5,FALSE),'Fuel &amp; Resister'!$B$3:$G$6,3,FALSE)</f>
        <v>5.829652622441694</v>
      </c>
      <c r="AO712" s="1">
        <v>1</v>
      </c>
      <c r="AP712" s="1">
        <v>1</v>
      </c>
    </row>
    <row r="713" spans="1:42" x14ac:dyDescent="0.15">
      <c r="A713"/>
      <c r="B713" s="80" t="s">
        <v>601</v>
      </c>
      <c r="C713" s="61">
        <f>VLOOKUP(B713,[1]SYS!$F$5:$G$359,2,FALSE)</f>
        <v>220</v>
      </c>
      <c r="D713" s="1" t="s">
        <v>23</v>
      </c>
      <c r="E713" s="42" t="s">
        <v>104</v>
      </c>
      <c r="F713" s="42"/>
      <c r="G713" s="1">
        <v>6</v>
      </c>
      <c r="H713" s="1">
        <f t="shared" si="178"/>
        <v>0.3</v>
      </c>
      <c r="I713" s="1">
        <f t="shared" si="179"/>
        <v>0.9</v>
      </c>
      <c r="J713" s="1">
        <f t="shared" si="177"/>
        <v>6.2000000000000055E-2</v>
      </c>
      <c r="K713" s="1">
        <f t="shared" si="180"/>
        <v>2.4110200000000002</v>
      </c>
      <c r="L713" s="1">
        <f t="shared" si="181"/>
        <v>2.0117000000000003</v>
      </c>
      <c r="M713" s="49">
        <f t="shared" si="182"/>
        <v>1.4259551508436628</v>
      </c>
      <c r="N713" s="49">
        <v>12.4267</v>
      </c>
      <c r="O713" s="6">
        <v>305</v>
      </c>
      <c r="P713" s="51">
        <v>0.05</v>
      </c>
      <c r="Q713" s="51">
        <v>8</v>
      </c>
      <c r="R713" s="51">
        <v>1</v>
      </c>
      <c r="S713" s="1">
        <v>1</v>
      </c>
      <c r="T713" s="1">
        <v>0</v>
      </c>
      <c r="U713" s="47">
        <v>0</v>
      </c>
      <c r="V713" s="47">
        <v>77</v>
      </c>
      <c r="W713" s="41">
        <v>270</v>
      </c>
      <c r="X713">
        <v>900</v>
      </c>
      <c r="Y713">
        <v>0.93799999999999994</v>
      </c>
      <c r="Z713">
        <v>2411.02</v>
      </c>
      <c r="AA713">
        <v>2011.7</v>
      </c>
      <c r="AB713">
        <v>1242.67</v>
      </c>
      <c r="AC713">
        <v>55</v>
      </c>
      <c r="AD713" s="41">
        <f t="shared" si="183"/>
        <v>0.35669550646614295</v>
      </c>
      <c r="AE713" s="41">
        <f t="shared" si="184"/>
        <v>0.4274991300889795</v>
      </c>
      <c r="AF713">
        <f t="shared" si="185"/>
        <v>1.8405628571428576</v>
      </c>
      <c r="AG713">
        <f t="shared" si="186"/>
        <v>0.15402342857142839</v>
      </c>
      <c r="AH713">
        <f t="shared" si="187"/>
        <v>12.4267</v>
      </c>
      <c r="AI713">
        <f>HLOOKUP(HLOOKUP(G713,'THP2'!$B$4:$J$8,5,FALSE),'Fuel &amp; Resister'!$B$3:$G$6,4,FALSE)</f>
        <v>1.048259259259259</v>
      </c>
      <c r="AJ713" s="41">
        <f>HLOOKUP(HLOOKUP(G713,'THP2'!$B$4:$J$8,5,FALSE),'Fuel &amp; Resister'!$B$3:$G$6,3,FALSE)</f>
        <v>5.829652622441694</v>
      </c>
      <c r="AO713" s="1">
        <v>1</v>
      </c>
      <c r="AP713" s="1">
        <v>1</v>
      </c>
    </row>
    <row r="714" spans="1:42" x14ac:dyDescent="0.15">
      <c r="A714"/>
      <c r="B714" s="80" t="s">
        <v>601</v>
      </c>
      <c r="C714" s="61">
        <f>VLOOKUP(B714,[1]SYS!$F$5:$G$359,2,FALSE)</f>
        <v>220</v>
      </c>
      <c r="D714" s="1" t="s">
        <v>23</v>
      </c>
      <c r="E714" s="42" t="s">
        <v>104</v>
      </c>
      <c r="F714" s="42"/>
      <c r="G714" s="1">
        <v>6</v>
      </c>
      <c r="H714" s="1">
        <f t="shared" si="178"/>
        <v>0.3</v>
      </c>
      <c r="I714" s="1">
        <f t="shared" si="179"/>
        <v>0.9</v>
      </c>
      <c r="J714" s="1">
        <f t="shared" si="177"/>
        <v>6.2000000000000055E-2</v>
      </c>
      <c r="K714" s="1">
        <f t="shared" si="180"/>
        <v>2.4110200000000002</v>
      </c>
      <c r="L714" s="1">
        <f t="shared" si="181"/>
        <v>2.0117000000000003</v>
      </c>
      <c r="M714" s="49">
        <f t="shared" si="182"/>
        <v>1.4259551508436628</v>
      </c>
      <c r="N714" s="49">
        <v>12.4267</v>
      </c>
      <c r="O714" s="1">
        <v>504</v>
      </c>
      <c r="P714" s="51">
        <v>0.05</v>
      </c>
      <c r="Q714" s="51">
        <v>8</v>
      </c>
      <c r="R714" s="51">
        <v>1</v>
      </c>
      <c r="S714" s="1">
        <v>1</v>
      </c>
      <c r="T714" s="1">
        <v>0</v>
      </c>
      <c r="U714" s="47">
        <v>0</v>
      </c>
      <c r="V714" s="47">
        <v>78</v>
      </c>
      <c r="W714" s="41">
        <v>270</v>
      </c>
      <c r="X714">
        <v>900</v>
      </c>
      <c r="Y714">
        <v>0.93799999999999994</v>
      </c>
      <c r="Z714">
        <v>2411.02</v>
      </c>
      <c r="AA714">
        <v>2011.7</v>
      </c>
      <c r="AB714">
        <v>1242.67</v>
      </c>
      <c r="AC714">
        <v>55</v>
      </c>
      <c r="AD714" s="41">
        <f t="shared" si="183"/>
        <v>0.35669550646614295</v>
      </c>
      <c r="AE714" s="41">
        <f t="shared" si="184"/>
        <v>0.4274991300889795</v>
      </c>
      <c r="AF714">
        <f t="shared" si="185"/>
        <v>1.8405628571428576</v>
      </c>
      <c r="AG714">
        <f t="shared" si="186"/>
        <v>0.15402342857142839</v>
      </c>
      <c r="AH714">
        <f t="shared" si="187"/>
        <v>12.4267</v>
      </c>
      <c r="AI714">
        <f>HLOOKUP(HLOOKUP(G714,'THP2'!$B$4:$J$8,5,FALSE),'Fuel &amp; Resister'!$B$3:$G$6,4,FALSE)</f>
        <v>1.048259259259259</v>
      </c>
      <c r="AJ714" s="41">
        <f>HLOOKUP(HLOOKUP(G714,'THP2'!$B$4:$J$8,5,FALSE),'Fuel &amp; Resister'!$B$3:$G$6,3,FALSE)</f>
        <v>5.829652622441694</v>
      </c>
      <c r="AO714" s="1">
        <v>1</v>
      </c>
      <c r="AP714" s="1">
        <v>1</v>
      </c>
    </row>
    <row r="715" spans="1:42" x14ac:dyDescent="0.15">
      <c r="A715"/>
      <c r="B715" s="80" t="s">
        <v>602</v>
      </c>
      <c r="C715" s="61">
        <f>VLOOKUP(B715,[1]SYS!$F$5:$G$359,2,FALSE)</f>
        <v>234</v>
      </c>
      <c r="D715" s="1" t="s">
        <v>23</v>
      </c>
      <c r="E715" s="42" t="s">
        <v>104</v>
      </c>
      <c r="F715" s="42"/>
      <c r="G715" s="1">
        <v>6</v>
      </c>
      <c r="H715" s="1">
        <f t="shared" si="178"/>
        <v>0.3</v>
      </c>
      <c r="I715" s="1">
        <f t="shared" si="179"/>
        <v>0.9</v>
      </c>
      <c r="J715" s="1">
        <f t="shared" si="177"/>
        <v>6.2000000000000055E-2</v>
      </c>
      <c r="K715" s="1">
        <f t="shared" si="180"/>
        <v>2.4110200000000002</v>
      </c>
      <c r="L715" s="1">
        <f t="shared" si="181"/>
        <v>2.0117000000000003</v>
      </c>
      <c r="M715" s="49">
        <f t="shared" si="182"/>
        <v>1.4259551508436628</v>
      </c>
      <c r="N715" s="49">
        <v>12.4267</v>
      </c>
      <c r="O715" s="1">
        <v>403</v>
      </c>
      <c r="P715" s="51">
        <v>0.05</v>
      </c>
      <c r="Q715" s="51">
        <v>8</v>
      </c>
      <c r="R715" s="51">
        <v>1</v>
      </c>
      <c r="S715" s="1">
        <v>1</v>
      </c>
      <c r="T715" s="1">
        <v>0</v>
      </c>
      <c r="U715" s="47">
        <v>0</v>
      </c>
      <c r="V715" s="47">
        <v>79</v>
      </c>
      <c r="W715" s="41">
        <v>270</v>
      </c>
      <c r="X715">
        <v>900</v>
      </c>
      <c r="Y715">
        <v>0.93799999999999994</v>
      </c>
      <c r="Z715">
        <v>2411.02</v>
      </c>
      <c r="AA715">
        <v>2011.7</v>
      </c>
      <c r="AB715">
        <v>1242.67</v>
      </c>
      <c r="AC715">
        <v>55</v>
      </c>
      <c r="AD715" s="41">
        <f t="shared" si="183"/>
        <v>0.35669550646614295</v>
      </c>
      <c r="AE715" s="41">
        <f t="shared" si="184"/>
        <v>0.4274991300889795</v>
      </c>
      <c r="AF715">
        <f t="shared" si="185"/>
        <v>1.8405628571428576</v>
      </c>
      <c r="AG715">
        <f t="shared" si="186"/>
        <v>0.15402342857142839</v>
      </c>
      <c r="AH715">
        <f t="shared" si="187"/>
        <v>12.4267</v>
      </c>
      <c r="AI715">
        <f>HLOOKUP(HLOOKUP(G715,'THP2'!$B$4:$J$8,5,FALSE),'Fuel &amp; Resister'!$B$3:$G$6,4,FALSE)</f>
        <v>1.048259259259259</v>
      </c>
      <c r="AJ715" s="41">
        <f>HLOOKUP(HLOOKUP(G715,'THP2'!$B$4:$J$8,5,FALSE),'Fuel &amp; Resister'!$B$3:$G$6,3,FALSE)</f>
        <v>5.829652622441694</v>
      </c>
      <c r="AO715" s="62">
        <v>0</v>
      </c>
      <c r="AP715" s="62">
        <v>0</v>
      </c>
    </row>
    <row r="716" spans="1:42" x14ac:dyDescent="0.15">
      <c r="A716"/>
      <c r="B716" s="80" t="s">
        <v>602</v>
      </c>
      <c r="C716" s="61">
        <f>VLOOKUP(B716,[1]SYS!$F$5:$G$359,2,FALSE)</f>
        <v>234</v>
      </c>
      <c r="D716" s="1" t="s">
        <v>23</v>
      </c>
      <c r="E716" s="42" t="s">
        <v>104</v>
      </c>
      <c r="F716" s="42"/>
      <c r="G716" s="1">
        <v>6</v>
      </c>
      <c r="H716" s="1">
        <f t="shared" si="178"/>
        <v>0.3</v>
      </c>
      <c r="I716" s="1">
        <f t="shared" si="179"/>
        <v>0.9</v>
      </c>
      <c r="J716" s="1">
        <f t="shared" si="177"/>
        <v>6.2000000000000055E-2</v>
      </c>
      <c r="K716" s="1">
        <f t="shared" si="180"/>
        <v>2.4110200000000002</v>
      </c>
      <c r="L716" s="1">
        <f t="shared" si="181"/>
        <v>2.0117000000000003</v>
      </c>
      <c r="M716" s="49">
        <f t="shared" si="182"/>
        <v>1.4259551508436628</v>
      </c>
      <c r="N716" s="49">
        <v>12.4267</v>
      </c>
      <c r="O716" s="1">
        <v>603</v>
      </c>
      <c r="P716" s="51">
        <v>0.05</v>
      </c>
      <c r="Q716" s="51">
        <v>8</v>
      </c>
      <c r="R716" s="51">
        <v>1</v>
      </c>
      <c r="S716" s="1">
        <v>1</v>
      </c>
      <c r="T716" s="1">
        <v>0</v>
      </c>
      <c r="U716" s="47">
        <v>0</v>
      </c>
      <c r="V716" s="47">
        <v>80</v>
      </c>
      <c r="W716" s="41">
        <v>270</v>
      </c>
      <c r="X716">
        <v>900</v>
      </c>
      <c r="Y716">
        <v>0.93799999999999994</v>
      </c>
      <c r="Z716">
        <v>2411.02</v>
      </c>
      <c r="AA716">
        <v>2011.7</v>
      </c>
      <c r="AB716">
        <v>1242.67</v>
      </c>
      <c r="AC716">
        <v>55</v>
      </c>
      <c r="AD716" s="41">
        <f t="shared" si="183"/>
        <v>0.35669550646614295</v>
      </c>
      <c r="AE716" s="41">
        <f t="shared" si="184"/>
        <v>0.4274991300889795</v>
      </c>
      <c r="AF716">
        <f t="shared" si="185"/>
        <v>1.8405628571428576</v>
      </c>
      <c r="AG716">
        <f t="shared" si="186"/>
        <v>0.15402342857142839</v>
      </c>
      <c r="AH716">
        <f t="shared" si="187"/>
        <v>12.4267</v>
      </c>
      <c r="AI716">
        <f>HLOOKUP(HLOOKUP(G716,'THP2'!$B$4:$J$8,5,FALSE),'Fuel &amp; Resister'!$B$3:$G$6,4,FALSE)</f>
        <v>1.048259259259259</v>
      </c>
      <c r="AJ716" s="41">
        <f>HLOOKUP(HLOOKUP(G716,'THP2'!$B$4:$J$8,5,FALSE),'Fuel &amp; Resister'!$B$3:$G$6,3,FALSE)</f>
        <v>5.829652622441694</v>
      </c>
      <c r="AO716" s="62">
        <v>0</v>
      </c>
      <c r="AP716" s="62">
        <v>0</v>
      </c>
    </row>
    <row r="717" spans="1:42" x14ac:dyDescent="0.15">
      <c r="A717"/>
      <c r="B717" s="80" t="s">
        <v>602</v>
      </c>
      <c r="C717" s="61">
        <f>VLOOKUP(B717,[1]SYS!$F$5:$G$359,2,FALSE)</f>
        <v>234</v>
      </c>
      <c r="D717" s="1" t="s">
        <v>23</v>
      </c>
      <c r="E717" s="42" t="s">
        <v>104</v>
      </c>
      <c r="F717" s="42"/>
      <c r="G717" s="1">
        <v>6</v>
      </c>
      <c r="H717" s="1">
        <f t="shared" si="178"/>
        <v>0.3</v>
      </c>
      <c r="I717" s="1">
        <f t="shared" si="179"/>
        <v>0.9</v>
      </c>
      <c r="J717" s="1">
        <f t="shared" si="177"/>
        <v>6.2000000000000055E-2</v>
      </c>
      <c r="K717" s="1">
        <f t="shared" si="180"/>
        <v>2.4110200000000002</v>
      </c>
      <c r="L717" s="1">
        <f t="shared" si="181"/>
        <v>2.0117000000000003</v>
      </c>
      <c r="M717" s="49">
        <f t="shared" si="182"/>
        <v>1.4259551508436628</v>
      </c>
      <c r="N717" s="49">
        <v>12.4267</v>
      </c>
      <c r="O717" s="1">
        <v>201</v>
      </c>
      <c r="P717" s="51">
        <v>0.05</v>
      </c>
      <c r="Q717" s="51">
        <v>8</v>
      </c>
      <c r="R717" s="51">
        <v>1</v>
      </c>
      <c r="S717" s="1">
        <v>1</v>
      </c>
      <c r="T717" s="1">
        <v>0</v>
      </c>
      <c r="U717" s="47">
        <v>0</v>
      </c>
      <c r="V717" s="47">
        <v>81</v>
      </c>
      <c r="W717" s="41">
        <v>270</v>
      </c>
      <c r="X717">
        <v>900</v>
      </c>
      <c r="Y717">
        <v>0.93799999999999994</v>
      </c>
      <c r="Z717">
        <v>2411.02</v>
      </c>
      <c r="AA717">
        <v>2011.7</v>
      </c>
      <c r="AB717">
        <v>1242.67</v>
      </c>
      <c r="AC717">
        <v>55</v>
      </c>
      <c r="AD717" s="41">
        <f t="shared" si="183"/>
        <v>0.35669550646614295</v>
      </c>
      <c r="AE717" s="41">
        <f t="shared" si="184"/>
        <v>0.4274991300889795</v>
      </c>
      <c r="AF717">
        <f t="shared" si="185"/>
        <v>1.8405628571428576</v>
      </c>
      <c r="AG717">
        <f t="shared" si="186"/>
        <v>0.15402342857142839</v>
      </c>
      <c r="AH717">
        <f t="shared" si="187"/>
        <v>12.4267</v>
      </c>
      <c r="AI717">
        <f>HLOOKUP(HLOOKUP(G717,'THP2'!$B$4:$J$8,5,FALSE),'Fuel &amp; Resister'!$B$3:$G$6,4,FALSE)</f>
        <v>1.048259259259259</v>
      </c>
      <c r="AJ717" s="41">
        <f>HLOOKUP(HLOOKUP(G717,'THP2'!$B$4:$J$8,5,FALSE),'Fuel &amp; Resister'!$B$3:$G$6,3,FALSE)</f>
        <v>5.829652622441694</v>
      </c>
      <c r="AO717" s="62">
        <v>0</v>
      </c>
      <c r="AP717" s="62">
        <v>0</v>
      </c>
    </row>
    <row r="718" spans="1:42" x14ac:dyDescent="0.15">
      <c r="A718"/>
      <c r="B718" s="80" t="s">
        <v>602</v>
      </c>
      <c r="C718" s="61">
        <f>VLOOKUP(B718,[1]SYS!$F$5:$G$359,2,FALSE)</f>
        <v>234</v>
      </c>
      <c r="D718" s="1" t="s">
        <v>23</v>
      </c>
      <c r="E718" s="42" t="s">
        <v>104</v>
      </c>
      <c r="F718" s="42"/>
      <c r="G718" s="1">
        <v>6</v>
      </c>
      <c r="H718" s="1">
        <f t="shared" si="178"/>
        <v>0.3</v>
      </c>
      <c r="I718" s="1">
        <f t="shared" si="179"/>
        <v>0.9</v>
      </c>
      <c r="J718" s="1">
        <f t="shared" si="177"/>
        <v>6.2000000000000055E-2</v>
      </c>
      <c r="K718" s="1">
        <f t="shared" si="180"/>
        <v>2.4110200000000002</v>
      </c>
      <c r="L718" s="1">
        <f t="shared" si="181"/>
        <v>2.0117000000000003</v>
      </c>
      <c r="M718" s="49">
        <f t="shared" si="182"/>
        <v>1.4259551508436628</v>
      </c>
      <c r="N718" s="49">
        <v>12.4267</v>
      </c>
      <c r="O718" s="1">
        <v>1103</v>
      </c>
      <c r="P718" s="51">
        <v>0.05</v>
      </c>
      <c r="Q718" s="51">
        <v>8</v>
      </c>
      <c r="R718" s="51">
        <v>1</v>
      </c>
      <c r="S718" s="1">
        <v>1</v>
      </c>
      <c r="T718" s="1">
        <v>0</v>
      </c>
      <c r="U718" s="47">
        <v>0</v>
      </c>
      <c r="V718" s="47">
        <v>82</v>
      </c>
      <c r="W718" s="41">
        <v>270</v>
      </c>
      <c r="X718">
        <v>900</v>
      </c>
      <c r="Y718">
        <v>0.93799999999999994</v>
      </c>
      <c r="Z718">
        <v>2411.02</v>
      </c>
      <c r="AA718">
        <v>2011.7</v>
      </c>
      <c r="AB718">
        <v>1242.67</v>
      </c>
      <c r="AC718">
        <v>55</v>
      </c>
      <c r="AD718" s="41">
        <f t="shared" si="183"/>
        <v>0.35669550646614295</v>
      </c>
      <c r="AE718" s="41">
        <f t="shared" si="184"/>
        <v>0.4274991300889795</v>
      </c>
      <c r="AF718">
        <f t="shared" si="185"/>
        <v>1.8405628571428576</v>
      </c>
      <c r="AG718">
        <f t="shared" si="186"/>
        <v>0.15402342857142839</v>
      </c>
      <c r="AH718">
        <f t="shared" si="187"/>
        <v>12.4267</v>
      </c>
      <c r="AI718">
        <f>HLOOKUP(HLOOKUP(G718,'THP2'!$B$4:$J$8,5,FALSE),'Fuel &amp; Resister'!$B$3:$G$6,4,FALSE)</f>
        <v>1.048259259259259</v>
      </c>
      <c r="AJ718" s="41">
        <f>HLOOKUP(HLOOKUP(G718,'THP2'!$B$4:$J$8,5,FALSE),'Fuel &amp; Resister'!$B$3:$G$6,3,FALSE)</f>
        <v>5.829652622441694</v>
      </c>
      <c r="AO718" s="62">
        <v>0</v>
      </c>
      <c r="AP718" s="62">
        <v>0</v>
      </c>
    </row>
    <row r="719" spans="1:42" x14ac:dyDescent="0.15">
      <c r="A719"/>
      <c r="B719" s="80" t="s">
        <v>602</v>
      </c>
      <c r="C719" s="61">
        <f>VLOOKUP(B719,[1]SYS!$F$5:$G$359,2,FALSE)</f>
        <v>234</v>
      </c>
      <c r="D719" s="1" t="s">
        <v>23</v>
      </c>
      <c r="E719" s="42" t="s">
        <v>104</v>
      </c>
      <c r="F719" s="42"/>
      <c r="G719" s="1">
        <v>6</v>
      </c>
      <c r="H719" s="1">
        <f t="shared" si="178"/>
        <v>0.3</v>
      </c>
      <c r="I719" s="1">
        <f t="shared" si="179"/>
        <v>0.9</v>
      </c>
      <c r="J719" s="1">
        <f t="shared" si="177"/>
        <v>6.2000000000000055E-2</v>
      </c>
      <c r="K719" s="1">
        <f t="shared" si="180"/>
        <v>2.4110200000000002</v>
      </c>
      <c r="L719" s="1">
        <f t="shared" si="181"/>
        <v>2.0117000000000003</v>
      </c>
      <c r="M719" s="49">
        <f t="shared" si="182"/>
        <v>1.4259551508436628</v>
      </c>
      <c r="N719" s="49">
        <v>12.4267</v>
      </c>
      <c r="O719" s="1">
        <v>903</v>
      </c>
      <c r="P719" s="51">
        <v>0.05</v>
      </c>
      <c r="Q719" s="51">
        <v>8</v>
      </c>
      <c r="R719" s="51">
        <v>1</v>
      </c>
      <c r="S719" s="1">
        <v>1</v>
      </c>
      <c r="T719" s="1">
        <v>0</v>
      </c>
      <c r="U719" s="47">
        <v>0</v>
      </c>
      <c r="V719" s="47">
        <v>83</v>
      </c>
      <c r="W719" s="41">
        <v>270</v>
      </c>
      <c r="X719">
        <v>900</v>
      </c>
      <c r="Y719">
        <v>0.93799999999999994</v>
      </c>
      <c r="Z719">
        <v>2411.02</v>
      </c>
      <c r="AA719">
        <v>2011.7</v>
      </c>
      <c r="AB719">
        <v>1242.67</v>
      </c>
      <c r="AC719">
        <v>55</v>
      </c>
      <c r="AD719" s="41">
        <f t="shared" si="183"/>
        <v>0.35669550646614295</v>
      </c>
      <c r="AE719" s="41">
        <f t="shared" si="184"/>
        <v>0.4274991300889795</v>
      </c>
      <c r="AF719">
        <f t="shared" si="185"/>
        <v>1.8405628571428576</v>
      </c>
      <c r="AG719">
        <f t="shared" si="186"/>
        <v>0.15402342857142839</v>
      </c>
      <c r="AH719">
        <f t="shared" si="187"/>
        <v>12.4267</v>
      </c>
      <c r="AI719">
        <f>HLOOKUP(HLOOKUP(G719,'THP2'!$B$4:$J$8,5,FALSE),'Fuel &amp; Resister'!$B$3:$G$6,4,FALSE)</f>
        <v>1.048259259259259</v>
      </c>
      <c r="AJ719" s="41">
        <f>HLOOKUP(HLOOKUP(G719,'THP2'!$B$4:$J$8,5,FALSE),'Fuel &amp; Resister'!$B$3:$G$6,3,FALSE)</f>
        <v>5.829652622441694</v>
      </c>
      <c r="AO719" s="62">
        <v>0</v>
      </c>
      <c r="AP719" s="62">
        <v>0</v>
      </c>
    </row>
    <row r="720" spans="1:42" x14ac:dyDescent="0.15">
      <c r="A720"/>
      <c r="B720" s="80" t="s">
        <v>602</v>
      </c>
      <c r="C720" s="61">
        <f>VLOOKUP(B720,[1]SYS!$F$5:$G$359,2,FALSE)</f>
        <v>234</v>
      </c>
      <c r="D720" s="1" t="s">
        <v>23</v>
      </c>
      <c r="E720" s="42" t="s">
        <v>104</v>
      </c>
      <c r="F720" s="42"/>
      <c r="G720" s="1">
        <v>6</v>
      </c>
      <c r="H720" s="1">
        <f t="shared" si="178"/>
        <v>0.3</v>
      </c>
      <c r="I720" s="1">
        <f t="shared" si="179"/>
        <v>0.9</v>
      </c>
      <c r="J720" s="1">
        <f t="shared" si="177"/>
        <v>6.2000000000000055E-2</v>
      </c>
      <c r="K720" s="1">
        <f t="shared" si="180"/>
        <v>2.4110200000000002</v>
      </c>
      <c r="L720" s="1">
        <f t="shared" si="181"/>
        <v>2.0117000000000003</v>
      </c>
      <c r="M720" s="49">
        <f t="shared" si="182"/>
        <v>1.4259551508436628</v>
      </c>
      <c r="N720" s="49">
        <v>12.4267</v>
      </c>
      <c r="O720" s="1">
        <v>403</v>
      </c>
      <c r="P720" s="51">
        <v>0.05</v>
      </c>
      <c r="Q720" s="51">
        <v>8</v>
      </c>
      <c r="R720" s="51">
        <v>1</v>
      </c>
      <c r="S720" s="1">
        <v>1</v>
      </c>
      <c r="T720" s="1">
        <v>0</v>
      </c>
      <c r="U720" s="47">
        <v>0</v>
      </c>
      <c r="V720" s="47">
        <v>84</v>
      </c>
      <c r="W720" s="41">
        <v>270</v>
      </c>
      <c r="X720">
        <v>900</v>
      </c>
      <c r="Y720">
        <v>0.93799999999999994</v>
      </c>
      <c r="Z720">
        <v>2411.02</v>
      </c>
      <c r="AA720">
        <v>2011.7</v>
      </c>
      <c r="AB720">
        <v>1242.67</v>
      </c>
      <c r="AC720">
        <v>55</v>
      </c>
      <c r="AD720" s="41">
        <f t="shared" si="183"/>
        <v>0.35669550646614295</v>
      </c>
      <c r="AE720" s="41">
        <f t="shared" si="184"/>
        <v>0.4274991300889795</v>
      </c>
      <c r="AF720">
        <f t="shared" si="185"/>
        <v>1.8405628571428576</v>
      </c>
      <c r="AG720">
        <f t="shared" si="186"/>
        <v>0.15402342857142839</v>
      </c>
      <c r="AH720">
        <f t="shared" si="187"/>
        <v>12.4267</v>
      </c>
      <c r="AI720">
        <f>HLOOKUP(HLOOKUP(G720,'THP2'!$B$4:$J$8,5,FALSE),'Fuel &amp; Resister'!$B$3:$G$6,4,FALSE)</f>
        <v>1.048259259259259</v>
      </c>
      <c r="AJ720" s="41">
        <f>HLOOKUP(HLOOKUP(G720,'THP2'!$B$4:$J$8,5,FALSE),'Fuel &amp; Resister'!$B$3:$G$6,3,FALSE)</f>
        <v>5.829652622441694</v>
      </c>
      <c r="AO720" s="62">
        <v>0</v>
      </c>
      <c r="AP720" s="62">
        <v>0</v>
      </c>
    </row>
    <row r="721" spans="1:42" x14ac:dyDescent="0.15">
      <c r="A721"/>
      <c r="B721" s="80" t="s">
        <v>603</v>
      </c>
      <c r="C721" s="61">
        <f>VLOOKUP(B721,[1]SYS!$F$5:$G$359,2,FALSE)</f>
        <v>209</v>
      </c>
      <c r="D721" s="1" t="s">
        <v>23</v>
      </c>
      <c r="E721" s="65" t="s">
        <v>105</v>
      </c>
      <c r="F721" s="63" t="s">
        <v>517</v>
      </c>
      <c r="G721" s="1">
        <v>6</v>
      </c>
      <c r="H721" s="1">
        <f t="shared" si="178"/>
        <v>0.3</v>
      </c>
      <c r="I721" s="1">
        <f t="shared" si="179"/>
        <v>0.65</v>
      </c>
      <c r="J721" s="1">
        <f t="shared" si="177"/>
        <v>6.0799999999999965E-2</v>
      </c>
      <c r="K721" s="1">
        <f t="shared" si="180"/>
        <v>2.3969999999999998</v>
      </c>
      <c r="L721" s="1">
        <f t="shared" si="181"/>
        <v>2</v>
      </c>
      <c r="M721" s="49">
        <f t="shared" si="182"/>
        <v>1.023866876603404</v>
      </c>
      <c r="N721" s="49">
        <v>6.7125000000000004</v>
      </c>
      <c r="O721" s="6">
        <v>305</v>
      </c>
      <c r="P721" s="51">
        <v>0.05</v>
      </c>
      <c r="Q721" s="51">
        <v>8</v>
      </c>
      <c r="R721" s="51">
        <v>1</v>
      </c>
      <c r="S721" s="1">
        <v>1</v>
      </c>
      <c r="T721" s="1">
        <v>0</v>
      </c>
      <c r="U721" s="47">
        <v>1</v>
      </c>
      <c r="V721" s="47">
        <v>85</v>
      </c>
      <c r="W721" s="41">
        <v>195</v>
      </c>
      <c r="X721">
        <v>650</v>
      </c>
      <c r="Y721">
        <v>0.93920000000000003</v>
      </c>
      <c r="Z721">
        <v>2397</v>
      </c>
      <c r="AA721">
        <v>2000</v>
      </c>
      <c r="AB721">
        <v>671.25</v>
      </c>
      <c r="AC721">
        <v>55</v>
      </c>
      <c r="AD721" s="41">
        <f t="shared" si="183"/>
        <v>0.35878181059657904</v>
      </c>
      <c r="AE721" s="41">
        <f t="shared" si="184"/>
        <v>0.43</v>
      </c>
      <c r="AF721">
        <f t="shared" si="185"/>
        <v>1.8298571428571428</v>
      </c>
      <c r="AG721">
        <f t="shared" si="186"/>
        <v>0.11059285714285715</v>
      </c>
      <c r="AH721">
        <f t="shared" si="187"/>
        <v>6.7125000000000004</v>
      </c>
      <c r="AI721">
        <f>HLOOKUP(HLOOKUP(G721,'THP2'!$B$4:$J$8,5,FALSE),'Fuel &amp; Resister'!$B$3:$G$6,4,FALSE)</f>
        <v>1.048259259259259</v>
      </c>
      <c r="AJ721" s="41">
        <f>HLOOKUP(HLOOKUP(G721,'THP2'!$B$4:$J$8,5,FALSE),'Fuel &amp; Resister'!$B$3:$G$6,3,FALSE)</f>
        <v>5.829652622441694</v>
      </c>
      <c r="AO721" s="62">
        <v>0</v>
      </c>
      <c r="AP721" s="62">
        <v>0</v>
      </c>
    </row>
    <row r="722" spans="1:42" x14ac:dyDescent="0.15">
      <c r="A722"/>
      <c r="B722" s="80" t="s">
        <v>603</v>
      </c>
      <c r="C722" s="61">
        <f>VLOOKUP(B722,[1]SYS!$F$5:$G$359,2,FALSE)</f>
        <v>209</v>
      </c>
      <c r="D722" s="1" t="s">
        <v>23</v>
      </c>
      <c r="E722" s="65" t="s">
        <v>106</v>
      </c>
      <c r="F722" s="63" t="s">
        <v>517</v>
      </c>
      <c r="G722" s="1">
        <v>6</v>
      </c>
      <c r="H722" s="1">
        <f t="shared" si="178"/>
        <v>0.3</v>
      </c>
      <c r="I722" s="1">
        <f t="shared" si="179"/>
        <v>0.65</v>
      </c>
      <c r="J722" s="1">
        <f t="shared" si="177"/>
        <v>6.0799999999999965E-2</v>
      </c>
      <c r="K722" s="1">
        <f t="shared" si="180"/>
        <v>2.3969999999999998</v>
      </c>
      <c r="L722" s="1">
        <f t="shared" si="181"/>
        <v>2</v>
      </c>
      <c r="M722" s="49">
        <f t="shared" si="182"/>
        <v>1.023866876603404</v>
      </c>
      <c r="N722" s="49">
        <v>6.7125000000000004</v>
      </c>
      <c r="O722" s="1">
        <v>504</v>
      </c>
      <c r="P722" s="51">
        <v>0.05</v>
      </c>
      <c r="Q722" s="51">
        <v>8</v>
      </c>
      <c r="R722" s="51">
        <v>1</v>
      </c>
      <c r="S722" s="1">
        <v>1</v>
      </c>
      <c r="T722" s="1">
        <v>0</v>
      </c>
      <c r="U722" s="47">
        <v>1</v>
      </c>
      <c r="V722" s="47">
        <v>86</v>
      </c>
      <c r="W722" s="41">
        <v>195</v>
      </c>
      <c r="X722">
        <v>650</v>
      </c>
      <c r="Y722">
        <v>0.93920000000000003</v>
      </c>
      <c r="Z722">
        <v>2397</v>
      </c>
      <c r="AA722">
        <v>2000</v>
      </c>
      <c r="AB722">
        <v>671.25</v>
      </c>
      <c r="AC722">
        <v>55</v>
      </c>
      <c r="AD722" s="41">
        <f t="shared" si="183"/>
        <v>0.35878181059657904</v>
      </c>
      <c r="AE722" s="41">
        <f t="shared" si="184"/>
        <v>0.43</v>
      </c>
      <c r="AF722">
        <f t="shared" si="185"/>
        <v>1.8298571428571428</v>
      </c>
      <c r="AG722">
        <f t="shared" si="186"/>
        <v>0.11059285714285715</v>
      </c>
      <c r="AH722">
        <f t="shared" si="187"/>
        <v>6.7125000000000004</v>
      </c>
      <c r="AI722">
        <f>HLOOKUP(HLOOKUP(G722,'THP2'!$B$4:$J$8,5,FALSE),'Fuel &amp; Resister'!$B$3:$G$6,4,FALSE)</f>
        <v>1.048259259259259</v>
      </c>
      <c r="AJ722" s="41">
        <f>HLOOKUP(HLOOKUP(G722,'THP2'!$B$4:$J$8,5,FALSE),'Fuel &amp; Resister'!$B$3:$G$6,3,FALSE)</f>
        <v>5.829652622441694</v>
      </c>
      <c r="AO722" s="62">
        <v>0</v>
      </c>
      <c r="AP722" s="62">
        <v>0</v>
      </c>
    </row>
    <row r="723" spans="1:42" x14ac:dyDescent="0.15">
      <c r="A723"/>
      <c r="B723" s="80" t="s">
        <v>601</v>
      </c>
      <c r="C723" s="61">
        <f>VLOOKUP(B723,[1]SYS!$F$5:$G$359,2,FALSE)</f>
        <v>220</v>
      </c>
      <c r="D723" s="1" t="s">
        <v>23</v>
      </c>
      <c r="E723" s="65" t="s">
        <v>107</v>
      </c>
      <c r="F723" s="42" t="s">
        <v>462</v>
      </c>
      <c r="G723" s="1">
        <v>6</v>
      </c>
      <c r="H723" s="1">
        <f t="shared" si="178"/>
        <v>0.3</v>
      </c>
      <c r="I723" s="1">
        <f t="shared" si="179"/>
        <v>0.9</v>
      </c>
      <c r="J723" s="1">
        <f t="shared" si="177"/>
        <v>6.2000000000000055E-2</v>
      </c>
      <c r="K723" s="1">
        <f t="shared" si="180"/>
        <v>2.4110200000000002</v>
      </c>
      <c r="L723" s="1">
        <f t="shared" si="181"/>
        <v>2.0117000000000003</v>
      </c>
      <c r="M723" s="49">
        <f t="shared" si="182"/>
        <v>1.4259551508436628</v>
      </c>
      <c r="N723" s="49">
        <v>12.4267</v>
      </c>
      <c r="O723" s="1">
        <v>403</v>
      </c>
      <c r="P723" s="51">
        <v>0.05</v>
      </c>
      <c r="Q723" s="51">
        <v>8</v>
      </c>
      <c r="R723" s="51">
        <v>1</v>
      </c>
      <c r="S723" s="1">
        <v>1</v>
      </c>
      <c r="T723" s="1">
        <v>0</v>
      </c>
      <c r="U723" s="47">
        <v>1</v>
      </c>
      <c r="V723" s="47">
        <v>87</v>
      </c>
      <c r="W723" s="41">
        <v>270</v>
      </c>
      <c r="X723">
        <v>900</v>
      </c>
      <c r="Y723">
        <v>0.93799999999999994</v>
      </c>
      <c r="Z723">
        <v>2411.02</v>
      </c>
      <c r="AA723">
        <v>2011.7</v>
      </c>
      <c r="AB723">
        <v>1242.67</v>
      </c>
      <c r="AC723">
        <v>55</v>
      </c>
      <c r="AD723" s="41">
        <f t="shared" si="183"/>
        <v>0.35669550646614295</v>
      </c>
      <c r="AE723" s="41">
        <f t="shared" si="184"/>
        <v>0.4274991300889795</v>
      </c>
      <c r="AF723">
        <f t="shared" si="185"/>
        <v>1.8405628571428576</v>
      </c>
      <c r="AG723">
        <f t="shared" si="186"/>
        <v>0.15402342857142839</v>
      </c>
      <c r="AH723">
        <f t="shared" si="187"/>
        <v>12.4267</v>
      </c>
      <c r="AI723">
        <f>HLOOKUP(HLOOKUP(G723,'THP2'!$B$4:$J$8,5,FALSE),'Fuel &amp; Resister'!$B$3:$G$6,4,FALSE)</f>
        <v>1.048259259259259</v>
      </c>
      <c r="AJ723" s="41">
        <f>HLOOKUP(HLOOKUP(G723,'THP2'!$B$4:$J$8,5,FALSE),'Fuel &amp; Resister'!$B$3:$G$6,3,FALSE)</f>
        <v>5.829652622441694</v>
      </c>
      <c r="AO723" s="1">
        <v>1</v>
      </c>
      <c r="AP723" s="1">
        <v>1</v>
      </c>
    </row>
    <row r="724" spans="1:42" x14ac:dyDescent="0.15">
      <c r="A724"/>
      <c r="B724" s="80" t="s">
        <v>601</v>
      </c>
      <c r="C724" s="61">
        <f>VLOOKUP(B724,[1]SYS!$F$5:$G$359,2,FALSE)</f>
        <v>220</v>
      </c>
      <c r="D724" s="1" t="s">
        <v>23</v>
      </c>
      <c r="E724" s="65" t="s">
        <v>108</v>
      </c>
      <c r="F724" s="42" t="s">
        <v>462</v>
      </c>
      <c r="G724" s="1">
        <v>6</v>
      </c>
      <c r="H724" s="1">
        <f t="shared" si="178"/>
        <v>0.3</v>
      </c>
      <c r="I724" s="1">
        <f t="shared" si="179"/>
        <v>0.9</v>
      </c>
      <c r="J724" s="1">
        <f t="shared" si="177"/>
        <v>6.2000000000000055E-2</v>
      </c>
      <c r="K724" s="1">
        <f t="shared" si="180"/>
        <v>2.4110200000000002</v>
      </c>
      <c r="L724" s="1">
        <f t="shared" si="181"/>
        <v>2.0117000000000003</v>
      </c>
      <c r="M724" s="49">
        <f t="shared" si="182"/>
        <v>1.4259551508436628</v>
      </c>
      <c r="N724" s="49">
        <v>12.4267</v>
      </c>
      <c r="O724" s="1">
        <v>403</v>
      </c>
      <c r="P724" s="51">
        <v>0.05</v>
      </c>
      <c r="Q724" s="51">
        <v>8</v>
      </c>
      <c r="R724" s="51">
        <v>1</v>
      </c>
      <c r="S724" s="1">
        <v>1</v>
      </c>
      <c r="T724" s="1">
        <v>0</v>
      </c>
      <c r="U724" s="47">
        <v>1</v>
      </c>
      <c r="V724" s="47">
        <v>88</v>
      </c>
      <c r="W724" s="41">
        <v>270</v>
      </c>
      <c r="X724">
        <v>900</v>
      </c>
      <c r="Y724">
        <v>0.93799999999999994</v>
      </c>
      <c r="Z724">
        <v>2411.02</v>
      </c>
      <c r="AA724">
        <v>2011.7</v>
      </c>
      <c r="AB724">
        <v>1242.67</v>
      </c>
      <c r="AC724">
        <v>55</v>
      </c>
      <c r="AD724" s="41">
        <f t="shared" si="183"/>
        <v>0.35669550646614295</v>
      </c>
      <c r="AE724" s="41">
        <f t="shared" si="184"/>
        <v>0.4274991300889795</v>
      </c>
      <c r="AF724">
        <f t="shared" si="185"/>
        <v>1.8405628571428576</v>
      </c>
      <c r="AG724">
        <f t="shared" si="186"/>
        <v>0.15402342857142839</v>
      </c>
      <c r="AH724">
        <f t="shared" si="187"/>
        <v>12.4267</v>
      </c>
      <c r="AI724">
        <f>HLOOKUP(HLOOKUP(G724,'THP2'!$B$4:$J$8,5,FALSE),'Fuel &amp; Resister'!$B$3:$G$6,4,FALSE)</f>
        <v>1.048259259259259</v>
      </c>
      <c r="AJ724" s="41">
        <f>HLOOKUP(HLOOKUP(G724,'THP2'!$B$4:$J$8,5,FALSE),'Fuel &amp; Resister'!$B$3:$G$6,3,FALSE)</f>
        <v>5.829652622441694</v>
      </c>
      <c r="AO724" s="1">
        <v>1</v>
      </c>
      <c r="AP724" s="1">
        <v>1</v>
      </c>
    </row>
    <row r="725" spans="1:42" x14ac:dyDescent="0.15">
      <c r="A725"/>
      <c r="B725" s="80" t="s">
        <v>603</v>
      </c>
      <c r="C725" s="61">
        <f>VLOOKUP(B725,[1]SYS!$F$5:$G$359,2,FALSE)</f>
        <v>209</v>
      </c>
      <c r="D725" s="1" t="s">
        <v>23</v>
      </c>
      <c r="E725" s="65" t="s">
        <v>109</v>
      </c>
      <c r="F725" s="63" t="s">
        <v>517</v>
      </c>
      <c r="G725" s="1">
        <v>6</v>
      </c>
      <c r="H725" s="1">
        <f t="shared" si="178"/>
        <v>0.3007518796992481</v>
      </c>
      <c r="I725" s="1">
        <f t="shared" si="179"/>
        <v>0.66500000000000004</v>
      </c>
      <c r="J725" s="1">
        <f t="shared" si="177"/>
        <v>6.0000000000000053E-2</v>
      </c>
      <c r="K725" s="1">
        <f t="shared" si="180"/>
        <v>2.5767800000000003</v>
      </c>
      <c r="L725" s="1">
        <f t="shared" si="181"/>
        <v>2.15</v>
      </c>
      <c r="M725" s="49">
        <f t="shared" si="182"/>
        <v>1.1260566667874745</v>
      </c>
      <c r="N725" s="49">
        <v>6.8827999999999996</v>
      </c>
      <c r="O725" s="1">
        <v>504</v>
      </c>
      <c r="P725" s="51">
        <v>0.05</v>
      </c>
      <c r="Q725" s="51">
        <v>8</v>
      </c>
      <c r="R725" s="51">
        <v>1</v>
      </c>
      <c r="S725" s="1">
        <v>1</v>
      </c>
      <c r="T725" s="1">
        <v>0</v>
      </c>
      <c r="U725" s="47">
        <v>1</v>
      </c>
      <c r="V725" s="47">
        <v>89</v>
      </c>
      <c r="W725" s="41">
        <v>200</v>
      </c>
      <c r="X725">
        <v>665</v>
      </c>
      <c r="Y725">
        <v>0.94</v>
      </c>
      <c r="Z725">
        <v>2576.7800000000002</v>
      </c>
      <c r="AA725">
        <v>2150</v>
      </c>
      <c r="AB725">
        <v>688.28</v>
      </c>
      <c r="AC725">
        <v>55</v>
      </c>
      <c r="AD725" s="41">
        <f t="shared" si="183"/>
        <v>0.33374987387359417</v>
      </c>
      <c r="AE725" s="41">
        <f t="shared" si="184"/>
        <v>0.4</v>
      </c>
      <c r="AF725">
        <f t="shared" si="185"/>
        <v>1.9664387096774192</v>
      </c>
      <c r="AG725">
        <f t="shared" si="186"/>
        <v>0.1220682580645162</v>
      </c>
      <c r="AH725">
        <f t="shared" si="187"/>
        <v>6.8827999999999996</v>
      </c>
      <c r="AI725">
        <f>HLOOKUP(HLOOKUP(G725,'THP2'!$B$4:$J$8,5,FALSE),'Fuel &amp; Resister'!$B$3:$G$6,4,FALSE)</f>
        <v>1.048259259259259</v>
      </c>
      <c r="AJ725" s="41">
        <f>HLOOKUP(HLOOKUP(G725,'THP2'!$B$4:$J$8,5,FALSE),'Fuel &amp; Resister'!$B$3:$G$6,3,FALSE)</f>
        <v>5.829652622441694</v>
      </c>
      <c r="AO725" s="1">
        <v>1</v>
      </c>
      <c r="AP725" s="1">
        <v>1</v>
      </c>
    </row>
    <row r="726" spans="1:42" x14ac:dyDescent="0.15">
      <c r="A726"/>
      <c r="B726" s="80" t="s">
        <v>603</v>
      </c>
      <c r="C726" s="61">
        <f>VLOOKUP(B726,[1]SYS!$F$5:$G$359,2,FALSE)</f>
        <v>209</v>
      </c>
      <c r="D726" s="1" t="s">
        <v>23</v>
      </c>
      <c r="E726" s="65" t="s">
        <v>110</v>
      </c>
      <c r="F726" s="63" t="s">
        <v>517</v>
      </c>
      <c r="G726" s="1">
        <v>6</v>
      </c>
      <c r="H726" s="1">
        <f t="shared" si="178"/>
        <v>0.3007518796992481</v>
      </c>
      <c r="I726" s="1">
        <f t="shared" si="179"/>
        <v>0.66500000000000004</v>
      </c>
      <c r="J726" s="1">
        <f t="shared" si="177"/>
        <v>5.1400000000000001E-2</v>
      </c>
      <c r="K726" s="1">
        <f t="shared" si="180"/>
        <v>2.6003499999999997</v>
      </c>
      <c r="L726" s="1">
        <f t="shared" si="181"/>
        <v>2.16967</v>
      </c>
      <c r="M726" s="49">
        <f t="shared" si="182"/>
        <v>1.1363587759203626</v>
      </c>
      <c r="N726" s="49">
        <v>6.8827999999999996</v>
      </c>
      <c r="O726" s="6">
        <v>305</v>
      </c>
      <c r="P726" s="51">
        <v>0.05</v>
      </c>
      <c r="Q726" s="51">
        <v>8</v>
      </c>
      <c r="R726" s="51">
        <v>1</v>
      </c>
      <c r="S726" s="1">
        <v>1</v>
      </c>
      <c r="T726" s="1">
        <v>0</v>
      </c>
      <c r="U726" s="47">
        <v>1</v>
      </c>
      <c r="V726" s="47">
        <v>90</v>
      </c>
      <c r="W726" s="41">
        <v>200</v>
      </c>
      <c r="X726">
        <v>665</v>
      </c>
      <c r="Y726">
        <v>0.9486</v>
      </c>
      <c r="Z726">
        <v>2600.35</v>
      </c>
      <c r="AA726">
        <v>2169.67</v>
      </c>
      <c r="AB726">
        <v>688.28</v>
      </c>
      <c r="AC726">
        <v>55</v>
      </c>
      <c r="AD726" s="41">
        <f t="shared" si="183"/>
        <v>0.33072471013517413</v>
      </c>
      <c r="AE726" s="41">
        <f t="shared" si="184"/>
        <v>0.39637364207460118</v>
      </c>
      <c r="AF726">
        <f t="shared" si="185"/>
        <v>1.9844312903225809</v>
      </c>
      <c r="AG726">
        <f t="shared" si="186"/>
        <v>0.12318374193548369</v>
      </c>
      <c r="AH726">
        <f t="shared" si="187"/>
        <v>6.8827999999999996</v>
      </c>
      <c r="AI726">
        <f>HLOOKUP(HLOOKUP(G726,'THP2'!$B$4:$J$8,5,FALSE),'Fuel &amp; Resister'!$B$3:$G$6,4,FALSE)</f>
        <v>1.048259259259259</v>
      </c>
      <c r="AJ726" s="41">
        <f>HLOOKUP(HLOOKUP(G726,'THP2'!$B$4:$J$8,5,FALSE),'Fuel &amp; Resister'!$B$3:$G$6,3,FALSE)</f>
        <v>5.829652622441694</v>
      </c>
      <c r="AO726" s="1">
        <v>1</v>
      </c>
      <c r="AP726" s="1">
        <v>1</v>
      </c>
    </row>
    <row r="727" spans="1:42" x14ac:dyDescent="0.15">
      <c r="A727"/>
      <c r="B727" s="80" t="s">
        <v>604</v>
      </c>
      <c r="C727" s="61">
        <f>VLOOKUP(B727,[1]SYS!$F$5:$G$359,2,FALSE)</f>
        <v>226</v>
      </c>
      <c r="D727" s="1" t="s">
        <v>23</v>
      </c>
      <c r="E727" s="42" t="s">
        <v>111</v>
      </c>
      <c r="F727" s="63" t="s">
        <v>518</v>
      </c>
      <c r="G727" s="1">
        <v>6</v>
      </c>
      <c r="H727" s="1">
        <f t="shared" si="178"/>
        <v>0.3007518796992481</v>
      </c>
      <c r="I727" s="1">
        <f t="shared" si="179"/>
        <v>0.13300000000000001</v>
      </c>
      <c r="J727" s="1">
        <f t="shared" si="177"/>
        <v>6.0000000000000053E-2</v>
      </c>
      <c r="K727" s="1">
        <f t="shared" si="180"/>
        <v>2.6328</v>
      </c>
      <c r="L727" s="1">
        <f t="shared" si="181"/>
        <v>2.1967399999999997</v>
      </c>
      <c r="M727" s="49">
        <f t="shared" si="182"/>
        <v>0.23010732299522949</v>
      </c>
      <c r="N727" s="49">
        <v>1.0640000000000001</v>
      </c>
      <c r="O727" s="1">
        <v>903</v>
      </c>
      <c r="P727" s="51">
        <v>0</v>
      </c>
      <c r="Q727" s="51">
        <v>8</v>
      </c>
      <c r="R727" s="51">
        <v>1</v>
      </c>
      <c r="S727" s="1">
        <v>1</v>
      </c>
      <c r="T727" s="1">
        <v>0</v>
      </c>
      <c r="U727" s="47">
        <v>0</v>
      </c>
      <c r="V727" s="47">
        <v>91</v>
      </c>
      <c r="W727" s="41">
        <v>40</v>
      </c>
      <c r="X727">
        <v>133</v>
      </c>
      <c r="Y727">
        <v>0.94</v>
      </c>
      <c r="Z727">
        <v>2632.8</v>
      </c>
      <c r="AA727">
        <v>2196.7399999999998</v>
      </c>
      <c r="AB727">
        <v>106.4</v>
      </c>
      <c r="AC727">
        <v>55</v>
      </c>
      <c r="AD727" s="41">
        <f t="shared" si="183"/>
        <v>0.32664843512610148</v>
      </c>
      <c r="AE727" s="41">
        <f t="shared" si="184"/>
        <v>0.39148920673361437</v>
      </c>
      <c r="AF727">
        <f t="shared" si="185"/>
        <v>2.0091873118279566</v>
      </c>
      <c r="AG727">
        <f t="shared" si="186"/>
        <v>2.494450752688173E-2</v>
      </c>
      <c r="AH727">
        <f t="shared" si="187"/>
        <v>1.0640000000000001</v>
      </c>
      <c r="AI727">
        <f>HLOOKUP(HLOOKUP(G727,'THP2'!$B$4:$J$8,5,FALSE),'Fuel &amp; Resister'!$B$3:$G$6,4,FALSE)</f>
        <v>1.048259259259259</v>
      </c>
      <c r="AJ727" s="41">
        <f>HLOOKUP(HLOOKUP(G727,'THP2'!$B$4:$J$8,5,FALSE),'Fuel &amp; Resister'!$B$3:$G$6,3,FALSE)</f>
        <v>5.829652622441694</v>
      </c>
      <c r="AO727" s="1">
        <v>1</v>
      </c>
      <c r="AP727" s="1">
        <v>1</v>
      </c>
    </row>
    <row r="728" spans="1:42" x14ac:dyDescent="0.15">
      <c r="A728"/>
      <c r="B728" s="80" t="s">
        <v>602</v>
      </c>
      <c r="C728" s="61">
        <f>VLOOKUP(B728,[1]SYS!$F$5:$G$359,2,FALSE)</f>
        <v>234</v>
      </c>
      <c r="D728" s="1" t="s">
        <v>23</v>
      </c>
      <c r="E728" s="65" t="s">
        <v>112</v>
      </c>
      <c r="F728" s="42"/>
      <c r="G728" s="1">
        <v>6</v>
      </c>
      <c r="H728" s="1">
        <f t="shared" si="178"/>
        <v>0.30337078651685395</v>
      </c>
      <c r="I728" s="1">
        <f t="shared" si="179"/>
        <v>8.8999999999999996E-2</v>
      </c>
      <c r="J728" s="1">
        <f t="shared" si="177"/>
        <v>0</v>
      </c>
      <c r="K728" s="1">
        <f t="shared" si="180"/>
        <v>2.9647299999999999</v>
      </c>
      <c r="L728" s="1">
        <f t="shared" si="181"/>
        <v>2.4737</v>
      </c>
      <c r="M728" s="49">
        <f t="shared" si="182"/>
        <v>0.17339524218937832</v>
      </c>
      <c r="N728" s="49">
        <v>0.71200000000000008</v>
      </c>
      <c r="O728" s="1">
        <v>1202</v>
      </c>
      <c r="P728" s="51">
        <v>0</v>
      </c>
      <c r="Q728" s="51">
        <v>8</v>
      </c>
      <c r="R728" s="51">
        <v>1</v>
      </c>
      <c r="S728" s="1">
        <v>1</v>
      </c>
      <c r="T728" s="1">
        <v>0</v>
      </c>
      <c r="U728" s="47">
        <v>1</v>
      </c>
      <c r="V728" s="47">
        <v>92</v>
      </c>
      <c r="W728" s="41">
        <v>27</v>
      </c>
      <c r="X728">
        <v>89</v>
      </c>
      <c r="Y728">
        <v>1</v>
      </c>
      <c r="Z728">
        <v>2964.73</v>
      </c>
      <c r="AA728">
        <v>2473.6999999999998</v>
      </c>
      <c r="AB728">
        <v>71.2</v>
      </c>
      <c r="AC728">
        <v>55</v>
      </c>
      <c r="AD728" s="41">
        <f t="shared" si="183"/>
        <v>0.29007700532594877</v>
      </c>
      <c r="AE728" s="41">
        <f t="shared" si="184"/>
        <v>0.34765735537858272</v>
      </c>
      <c r="AF728">
        <f t="shared" si="185"/>
        <v>2.2598643548387098</v>
      </c>
      <c r="AG728">
        <f t="shared" si="186"/>
        <v>1.9031372419354823E-2</v>
      </c>
      <c r="AH728">
        <f t="shared" si="187"/>
        <v>0.71200000000000008</v>
      </c>
      <c r="AI728">
        <f>HLOOKUP(HLOOKUP(G728,'THP2'!$B$4:$J$8,5,FALSE),'Fuel &amp; Resister'!$B$3:$G$6,4,FALSE)</f>
        <v>1.048259259259259</v>
      </c>
      <c r="AJ728" s="41">
        <f>HLOOKUP(HLOOKUP(G728,'THP2'!$B$4:$J$8,5,FALSE),'Fuel &amp; Resister'!$B$3:$G$6,3,FALSE)</f>
        <v>5.829652622441694</v>
      </c>
      <c r="AO728" s="1">
        <v>1</v>
      </c>
      <c r="AP728" s="1">
        <v>1</v>
      </c>
    </row>
    <row r="729" spans="1:42" x14ac:dyDescent="0.15">
      <c r="A729"/>
      <c r="B729" s="80" t="s">
        <v>605</v>
      </c>
      <c r="C729" s="61">
        <f>VLOOKUP(B729,[1]SYS!$F$5:$G$359,2,FALSE)</f>
        <v>266</v>
      </c>
      <c r="D729" s="1" t="s">
        <v>23</v>
      </c>
      <c r="E729" s="65" t="s">
        <v>113</v>
      </c>
      <c r="F729" s="63" t="s">
        <v>444</v>
      </c>
      <c r="G729" s="1">
        <v>6</v>
      </c>
      <c r="H729" s="1">
        <f t="shared" si="178"/>
        <v>0.3</v>
      </c>
      <c r="I729" s="1">
        <f t="shared" si="179"/>
        <v>0.5</v>
      </c>
      <c r="J729" s="1">
        <f t="shared" si="177"/>
        <v>6.2000000000000055E-2</v>
      </c>
      <c r="K729" s="1">
        <f t="shared" si="180"/>
        <v>2.3969999999999998</v>
      </c>
      <c r="L729" s="1">
        <f t="shared" si="181"/>
        <v>2</v>
      </c>
      <c r="M729" s="49">
        <f t="shared" si="182"/>
        <v>0.78758990507954152</v>
      </c>
      <c r="N729" s="49">
        <v>5.01</v>
      </c>
      <c r="O729" s="1">
        <v>903</v>
      </c>
      <c r="P729" s="51">
        <v>0.05</v>
      </c>
      <c r="Q729" s="51">
        <v>8</v>
      </c>
      <c r="R729" s="51">
        <v>1</v>
      </c>
      <c r="S729" s="1">
        <v>1</v>
      </c>
      <c r="T729" s="1">
        <v>0</v>
      </c>
      <c r="U729" s="47">
        <v>1</v>
      </c>
      <c r="V729" s="47">
        <v>93</v>
      </c>
      <c r="W729" s="41">
        <v>150</v>
      </c>
      <c r="X729">
        <v>500</v>
      </c>
      <c r="Y729">
        <v>0.93799999999999994</v>
      </c>
      <c r="Z729">
        <v>2397</v>
      </c>
      <c r="AA729">
        <v>2000</v>
      </c>
      <c r="AB729">
        <v>501</v>
      </c>
      <c r="AC729">
        <v>55</v>
      </c>
      <c r="AD729" s="41">
        <f t="shared" si="183"/>
        <v>0.35878181059657904</v>
      </c>
      <c r="AE729" s="41">
        <f t="shared" si="184"/>
        <v>0.43</v>
      </c>
      <c r="AF729">
        <f t="shared" si="185"/>
        <v>1.8298571428571428</v>
      </c>
      <c r="AG729">
        <f t="shared" si="186"/>
        <v>8.5071428571428576E-2</v>
      </c>
      <c r="AH729">
        <f t="shared" si="187"/>
        <v>5.01</v>
      </c>
      <c r="AI729">
        <f>HLOOKUP(HLOOKUP(G729,'THP2'!$B$4:$J$8,5,FALSE),'Fuel &amp; Resister'!$B$3:$G$6,4,FALSE)</f>
        <v>1.048259259259259</v>
      </c>
      <c r="AJ729" s="41">
        <f>HLOOKUP(HLOOKUP(G729,'THP2'!$B$4:$J$8,5,FALSE),'Fuel &amp; Resister'!$B$3:$G$6,3,FALSE)</f>
        <v>5.829652622441694</v>
      </c>
      <c r="AO729" s="1">
        <v>1</v>
      </c>
      <c r="AP729" s="1">
        <v>1</v>
      </c>
    </row>
    <row r="730" spans="1:42" x14ac:dyDescent="0.15">
      <c r="A730"/>
      <c r="B730" s="80" t="s">
        <v>606</v>
      </c>
      <c r="C730" s="61">
        <f>VLOOKUP(B730,[1]SYS!$F$5:$G$359,2,FALSE)</f>
        <v>260</v>
      </c>
      <c r="D730" s="1" t="s">
        <v>23</v>
      </c>
      <c r="E730" s="42" t="s">
        <v>114</v>
      </c>
      <c r="F730" s="64" t="s">
        <v>439</v>
      </c>
      <c r="G730" s="1">
        <v>6</v>
      </c>
      <c r="H730" s="1">
        <f t="shared" si="178"/>
        <v>0.25714285714285712</v>
      </c>
      <c r="I730" s="1">
        <f t="shared" si="179"/>
        <v>0.7</v>
      </c>
      <c r="J730" s="1">
        <f t="shared" si="177"/>
        <v>5.600000000000005E-2</v>
      </c>
      <c r="K730" s="1">
        <f t="shared" si="180"/>
        <v>2.6216300000000001</v>
      </c>
      <c r="L730" s="1">
        <f t="shared" si="181"/>
        <v>2.1218900000000001</v>
      </c>
      <c r="M730" s="49">
        <f t="shared" si="182"/>
        <v>1.16982540058246</v>
      </c>
      <c r="N730" s="49">
        <v>7.28</v>
      </c>
      <c r="O730" s="1">
        <v>601</v>
      </c>
      <c r="P730" s="51">
        <v>0.05</v>
      </c>
      <c r="Q730" s="51">
        <v>8</v>
      </c>
      <c r="R730" s="51">
        <v>1</v>
      </c>
      <c r="S730" s="1">
        <v>1</v>
      </c>
      <c r="T730" s="1">
        <v>0</v>
      </c>
      <c r="U730" s="47">
        <v>0</v>
      </c>
      <c r="V730" s="47">
        <v>94</v>
      </c>
      <c r="W730" s="41">
        <v>180</v>
      </c>
      <c r="X730">
        <v>700</v>
      </c>
      <c r="Y730">
        <v>0.94399999999999995</v>
      </c>
      <c r="Z730">
        <v>2621.63</v>
      </c>
      <c r="AA730">
        <v>2121.89</v>
      </c>
      <c r="AB730">
        <v>728</v>
      </c>
      <c r="AC730">
        <v>55</v>
      </c>
      <c r="AD730" s="41">
        <f t="shared" si="183"/>
        <v>0.32804018873754115</v>
      </c>
      <c r="AE730" s="41">
        <f t="shared" si="184"/>
        <v>0.40529904943234568</v>
      </c>
      <c r="AF730">
        <f t="shared" si="185"/>
        <v>1.9489030769230771</v>
      </c>
      <c r="AG730">
        <f t="shared" si="186"/>
        <v>0.12109084615384608</v>
      </c>
      <c r="AH730">
        <f t="shared" si="187"/>
        <v>7.28</v>
      </c>
      <c r="AI730">
        <f>HLOOKUP(HLOOKUP(G730,'THP2'!$B$4:$J$8,5,FALSE),'Fuel &amp; Resister'!$B$3:$G$6,4,FALSE)</f>
        <v>1.048259259259259</v>
      </c>
      <c r="AJ730" s="41">
        <f>HLOOKUP(HLOOKUP(G730,'THP2'!$B$4:$J$8,5,FALSE),'Fuel &amp; Resister'!$B$3:$G$6,3,FALSE)</f>
        <v>5.829652622441694</v>
      </c>
      <c r="AO730" s="1">
        <v>1</v>
      </c>
      <c r="AP730" s="1">
        <v>1</v>
      </c>
    </row>
    <row r="731" spans="1:42" x14ac:dyDescent="0.15">
      <c r="A731"/>
      <c r="B731" s="80" t="s">
        <v>606</v>
      </c>
      <c r="C731" s="61">
        <f>VLOOKUP(B731,[1]SYS!$F$5:$G$359,2,FALSE)</f>
        <v>260</v>
      </c>
      <c r="D731" s="1" t="s">
        <v>23</v>
      </c>
      <c r="E731" s="42" t="s">
        <v>115</v>
      </c>
      <c r="F731" s="63" t="s">
        <v>438</v>
      </c>
      <c r="G731" s="1">
        <v>6</v>
      </c>
      <c r="H731" s="1">
        <f t="shared" si="178"/>
        <v>0.3</v>
      </c>
      <c r="I731" s="1">
        <f t="shared" si="179"/>
        <v>1.05</v>
      </c>
      <c r="J731" s="1">
        <f t="shared" si="177"/>
        <v>5.3899999999999948E-2</v>
      </c>
      <c r="K731" s="1">
        <f t="shared" si="180"/>
        <v>2.5963699999999998</v>
      </c>
      <c r="L731" s="1">
        <f t="shared" si="181"/>
        <v>2.1663399999999999</v>
      </c>
      <c r="M731" s="49">
        <f t="shared" si="182"/>
        <v>1.7914968907185145</v>
      </c>
      <c r="N731" s="49">
        <v>16.2867</v>
      </c>
      <c r="O731" s="1">
        <v>403</v>
      </c>
      <c r="P731" s="51">
        <v>0.05</v>
      </c>
      <c r="Q731" s="51">
        <v>8</v>
      </c>
      <c r="R731" s="51">
        <v>1</v>
      </c>
      <c r="S731" s="1">
        <v>1</v>
      </c>
      <c r="T731" s="1">
        <v>0</v>
      </c>
      <c r="U731" s="47">
        <v>0</v>
      </c>
      <c r="V731" s="47">
        <v>95</v>
      </c>
      <c r="W731" s="41">
        <v>315</v>
      </c>
      <c r="X731">
        <v>1050</v>
      </c>
      <c r="Y731">
        <v>0.94610000000000005</v>
      </c>
      <c r="Z731">
        <v>2596.37</v>
      </c>
      <c r="AA731">
        <v>2166.34</v>
      </c>
      <c r="AB731">
        <v>1628.67</v>
      </c>
      <c r="AC731">
        <v>55</v>
      </c>
      <c r="AD731" s="41">
        <f t="shared" si="183"/>
        <v>0.33123168115484308</v>
      </c>
      <c r="AE731" s="41">
        <f t="shared" si="184"/>
        <v>0.39698292973402144</v>
      </c>
      <c r="AF731">
        <f t="shared" si="185"/>
        <v>1.9820414285714287</v>
      </c>
      <c r="AG731">
        <f t="shared" si="186"/>
        <v>0.19351349999999976</v>
      </c>
      <c r="AH731">
        <f t="shared" si="187"/>
        <v>16.2867</v>
      </c>
      <c r="AI731">
        <f>HLOOKUP(HLOOKUP(G731,'THP2'!$B$4:$J$8,5,FALSE),'Fuel &amp; Resister'!$B$3:$G$6,4,FALSE)</f>
        <v>1.048259259259259</v>
      </c>
      <c r="AJ731" s="41">
        <f>HLOOKUP(HLOOKUP(G731,'THP2'!$B$4:$J$8,5,FALSE),'Fuel &amp; Resister'!$B$3:$G$6,3,FALSE)</f>
        <v>5.829652622441694</v>
      </c>
      <c r="AO731" s="1">
        <v>1</v>
      </c>
      <c r="AP731" s="1">
        <v>1</v>
      </c>
    </row>
    <row r="732" spans="1:42" x14ac:dyDescent="0.15">
      <c r="A732"/>
      <c r="B732" s="80" t="s">
        <v>606</v>
      </c>
      <c r="C732" s="61">
        <f>VLOOKUP(B732,[1]SYS!$F$5:$G$359,2,FALSE)</f>
        <v>260</v>
      </c>
      <c r="D732" s="1" t="s">
        <v>23</v>
      </c>
      <c r="E732" s="42" t="s">
        <v>116</v>
      </c>
      <c r="F732" s="63" t="s">
        <v>438</v>
      </c>
      <c r="G732" s="1">
        <v>6</v>
      </c>
      <c r="H732" s="1">
        <f t="shared" si="178"/>
        <v>0.3</v>
      </c>
      <c r="I732" s="1">
        <f t="shared" si="179"/>
        <v>1.05</v>
      </c>
      <c r="J732" s="1">
        <f t="shared" si="177"/>
        <v>5.2100000000000035E-2</v>
      </c>
      <c r="K732" s="1">
        <f t="shared" si="180"/>
        <v>2.5963699999999998</v>
      </c>
      <c r="L732" s="1">
        <f t="shared" si="181"/>
        <v>2.1663399999999999</v>
      </c>
      <c r="M732" s="49">
        <f t="shared" si="182"/>
        <v>1.7914968907185145</v>
      </c>
      <c r="N732" s="49">
        <v>16.2867</v>
      </c>
      <c r="O732" s="1">
        <v>1004</v>
      </c>
      <c r="P732" s="51">
        <v>0.05</v>
      </c>
      <c r="Q732" s="51">
        <v>8</v>
      </c>
      <c r="R732" s="51">
        <v>1</v>
      </c>
      <c r="S732" s="1">
        <v>1</v>
      </c>
      <c r="T732" s="1">
        <v>0</v>
      </c>
      <c r="U732" s="47">
        <v>0</v>
      </c>
      <c r="V732" s="47">
        <v>96</v>
      </c>
      <c r="W732" s="41">
        <v>315</v>
      </c>
      <c r="X732">
        <v>1050</v>
      </c>
      <c r="Y732">
        <v>0.94789999999999996</v>
      </c>
      <c r="Z732">
        <v>2596.37</v>
      </c>
      <c r="AA732">
        <v>2166.34</v>
      </c>
      <c r="AB732">
        <v>1628.67</v>
      </c>
      <c r="AC732">
        <v>55</v>
      </c>
      <c r="AD732" s="41">
        <f t="shared" si="183"/>
        <v>0.33123168115484308</v>
      </c>
      <c r="AE732" s="41">
        <f t="shared" si="184"/>
        <v>0.39698292973402144</v>
      </c>
      <c r="AF732">
        <f t="shared" si="185"/>
        <v>1.9820414285714287</v>
      </c>
      <c r="AG732">
        <f t="shared" si="186"/>
        <v>0.19351349999999976</v>
      </c>
      <c r="AH732">
        <f t="shared" si="187"/>
        <v>16.2867</v>
      </c>
      <c r="AI732">
        <f>HLOOKUP(HLOOKUP(G732,'THP2'!$B$4:$J$8,5,FALSE),'Fuel &amp; Resister'!$B$3:$G$6,4,FALSE)</f>
        <v>1.048259259259259</v>
      </c>
      <c r="AJ732" s="41">
        <f>HLOOKUP(HLOOKUP(G732,'THP2'!$B$4:$J$8,5,FALSE),'Fuel &amp; Resister'!$B$3:$G$6,3,FALSE)</f>
        <v>5.829652622441694</v>
      </c>
      <c r="AO732" s="1">
        <v>1</v>
      </c>
      <c r="AP732" s="1">
        <v>1</v>
      </c>
    </row>
    <row r="733" spans="1:42" x14ac:dyDescent="0.15">
      <c r="A733"/>
      <c r="B733" s="80" t="s">
        <v>607</v>
      </c>
      <c r="C733" s="61">
        <f>VLOOKUP(B733,[1]SYS!$F$5:$G$359,2,FALSE)</f>
        <v>268</v>
      </c>
      <c r="D733" s="1" t="s">
        <v>23</v>
      </c>
      <c r="E733" s="65" t="s">
        <v>117</v>
      </c>
      <c r="F733" s="63" t="s">
        <v>525</v>
      </c>
      <c r="G733" s="1">
        <v>6</v>
      </c>
      <c r="H733" s="1">
        <f t="shared" si="178"/>
        <v>0.31428571428571428</v>
      </c>
      <c r="I733" s="1">
        <f t="shared" si="179"/>
        <v>3.5000000000000003E-2</v>
      </c>
      <c r="J733" s="1">
        <f t="shared" si="177"/>
        <v>6.3999999999999946E-2</v>
      </c>
      <c r="K733" s="1">
        <f t="shared" si="180"/>
        <v>2.6215900000000003</v>
      </c>
      <c r="L733" s="1">
        <f t="shared" si="181"/>
        <v>2.1873899999999997</v>
      </c>
      <c r="M733" s="49">
        <f t="shared" si="182"/>
        <v>6.029681988651784E-2</v>
      </c>
      <c r="N733" s="49">
        <v>0.28000000000000003</v>
      </c>
      <c r="O733" s="1">
        <v>903</v>
      </c>
      <c r="P733" s="51">
        <v>0</v>
      </c>
      <c r="Q733" s="51">
        <v>8</v>
      </c>
      <c r="R733" s="51">
        <v>1</v>
      </c>
      <c r="S733" s="1">
        <v>1</v>
      </c>
      <c r="T733" s="1">
        <v>0</v>
      </c>
      <c r="U733" s="47">
        <v>1</v>
      </c>
      <c r="V733" s="47">
        <v>97</v>
      </c>
      <c r="W733" s="41">
        <v>11</v>
      </c>
      <c r="X733">
        <v>35</v>
      </c>
      <c r="Y733">
        <v>0.93600000000000005</v>
      </c>
      <c r="Z733">
        <v>2621.59</v>
      </c>
      <c r="AA733">
        <v>2187.39</v>
      </c>
      <c r="AB733">
        <v>28</v>
      </c>
      <c r="AC733">
        <v>55</v>
      </c>
      <c r="AD733" s="41">
        <f t="shared" si="183"/>
        <v>0.32804519394718468</v>
      </c>
      <c r="AE733" s="41">
        <f t="shared" si="184"/>
        <v>0.39316262760641679</v>
      </c>
      <c r="AF733">
        <f t="shared" si="185"/>
        <v>1.988381666666666</v>
      </c>
      <c r="AG733">
        <f t="shared" si="186"/>
        <v>6.9652916666666795E-3</v>
      </c>
      <c r="AH733">
        <f t="shared" si="187"/>
        <v>0.28000000000000003</v>
      </c>
      <c r="AI733">
        <f>HLOOKUP(HLOOKUP(G733,'THP2'!$B$4:$J$8,5,FALSE),'Fuel &amp; Resister'!$B$3:$G$6,4,FALSE)</f>
        <v>1.048259259259259</v>
      </c>
      <c r="AJ733" s="41">
        <f>HLOOKUP(HLOOKUP(G733,'THP2'!$B$4:$J$8,5,FALSE),'Fuel &amp; Resister'!$B$3:$G$6,3,FALSE)</f>
        <v>5.829652622441694</v>
      </c>
      <c r="AO733" s="1">
        <v>1</v>
      </c>
      <c r="AP733" s="1">
        <v>1</v>
      </c>
    </row>
    <row r="734" spans="1:42" x14ac:dyDescent="0.15">
      <c r="A734"/>
      <c r="B734" s="80" t="s">
        <v>605</v>
      </c>
      <c r="C734" s="61">
        <f>VLOOKUP(B734,[1]SYS!$F$5:$G$359,2,FALSE)</f>
        <v>266</v>
      </c>
      <c r="D734" s="1" t="s">
        <v>23</v>
      </c>
      <c r="E734" s="65" t="s">
        <v>118</v>
      </c>
      <c r="F734" s="63" t="s">
        <v>446</v>
      </c>
      <c r="G734" s="1">
        <v>6</v>
      </c>
      <c r="H734" s="1">
        <f t="shared" si="178"/>
        <v>0.30222222222222223</v>
      </c>
      <c r="I734" s="1">
        <f t="shared" si="179"/>
        <v>0.22500000000000001</v>
      </c>
      <c r="J734" s="1">
        <f t="shared" si="177"/>
        <v>6.3999999999999946E-2</v>
      </c>
      <c r="K734" s="1">
        <f t="shared" si="180"/>
        <v>2.6215900000000003</v>
      </c>
      <c r="L734" s="1">
        <f t="shared" si="181"/>
        <v>2.1873899999999997</v>
      </c>
      <c r="M734" s="49">
        <f t="shared" si="182"/>
        <v>0.3876224135561861</v>
      </c>
      <c r="N734" s="49">
        <v>1.8841999999999999</v>
      </c>
      <c r="O734" s="1">
        <v>504</v>
      </c>
      <c r="P734" s="51">
        <v>0</v>
      </c>
      <c r="Q734" s="51">
        <v>8</v>
      </c>
      <c r="R734" s="51">
        <v>1</v>
      </c>
      <c r="S734" s="1">
        <v>1</v>
      </c>
      <c r="T734" s="1">
        <v>0</v>
      </c>
      <c r="U734" s="47">
        <v>1</v>
      </c>
      <c r="V734" s="47">
        <v>98</v>
      </c>
      <c r="W734" s="41">
        <v>68</v>
      </c>
      <c r="X734">
        <v>225</v>
      </c>
      <c r="Y734">
        <v>0.93600000000000005</v>
      </c>
      <c r="Z734">
        <v>2621.59</v>
      </c>
      <c r="AA734">
        <v>2187.39</v>
      </c>
      <c r="AB734">
        <v>188.42</v>
      </c>
      <c r="AC734">
        <v>55</v>
      </c>
      <c r="AD734" s="41">
        <f t="shared" si="183"/>
        <v>0.32804519394718468</v>
      </c>
      <c r="AE734" s="41">
        <f t="shared" si="184"/>
        <v>0.39316262760641679</v>
      </c>
      <c r="AF734">
        <f t="shared" si="185"/>
        <v>1.9993288535031839</v>
      </c>
      <c r="AG734">
        <f t="shared" si="186"/>
        <v>4.2313757961783563E-2</v>
      </c>
      <c r="AH734">
        <f t="shared" si="187"/>
        <v>1.8841999999999999</v>
      </c>
      <c r="AI734">
        <f>HLOOKUP(HLOOKUP(G734,'THP2'!$B$4:$J$8,5,FALSE),'Fuel &amp; Resister'!$B$3:$G$6,4,FALSE)</f>
        <v>1.048259259259259</v>
      </c>
      <c r="AJ734" s="41">
        <f>HLOOKUP(HLOOKUP(G734,'THP2'!$B$4:$J$8,5,FALSE),'Fuel &amp; Resister'!$B$3:$G$6,3,FALSE)</f>
        <v>5.829652622441694</v>
      </c>
      <c r="AO734" s="1">
        <v>1</v>
      </c>
      <c r="AP734" s="1">
        <v>1</v>
      </c>
    </row>
    <row r="735" spans="1:42" x14ac:dyDescent="0.15">
      <c r="A735"/>
      <c r="B735" s="80" t="s">
        <v>607</v>
      </c>
      <c r="C735" s="61">
        <f>VLOOKUP(B735,[1]SYS!$F$5:$G$359,2,FALSE)</f>
        <v>268</v>
      </c>
      <c r="D735" s="1" t="s">
        <v>23</v>
      </c>
      <c r="E735" s="65" t="s">
        <v>119</v>
      </c>
      <c r="F735" s="63" t="s">
        <v>448</v>
      </c>
      <c r="G735" s="1">
        <v>6</v>
      </c>
      <c r="H735" s="1">
        <f t="shared" si="178"/>
        <v>0.29940119760479039</v>
      </c>
      <c r="I735" s="1">
        <f t="shared" si="179"/>
        <v>0.16700000000000001</v>
      </c>
      <c r="J735" s="1">
        <f t="shared" si="177"/>
        <v>6.0000000000000053E-2</v>
      </c>
      <c r="K735" s="1">
        <f t="shared" si="180"/>
        <v>2.7124000000000001</v>
      </c>
      <c r="L735" s="1">
        <f t="shared" si="181"/>
        <v>2.2631600000000001</v>
      </c>
      <c r="M735" s="49">
        <f t="shared" si="182"/>
        <v>0.29766780891982914</v>
      </c>
      <c r="N735" s="49">
        <v>1.3359999999999999</v>
      </c>
      <c r="O735" s="1">
        <v>201</v>
      </c>
      <c r="P735" s="51">
        <v>0</v>
      </c>
      <c r="Q735" s="51">
        <v>8</v>
      </c>
      <c r="R735" s="51">
        <v>1</v>
      </c>
      <c r="S735" s="1">
        <v>1</v>
      </c>
      <c r="T735" s="1">
        <v>0</v>
      </c>
      <c r="U735" s="47">
        <v>1</v>
      </c>
      <c r="V735" s="47">
        <v>99</v>
      </c>
      <c r="W735" s="41">
        <v>50</v>
      </c>
      <c r="X735">
        <v>167</v>
      </c>
      <c r="Y735">
        <v>0.94</v>
      </c>
      <c r="Z735">
        <v>2712.4</v>
      </c>
      <c r="AA735">
        <v>2263.16</v>
      </c>
      <c r="AB735">
        <v>133.6</v>
      </c>
      <c r="AC735">
        <v>55</v>
      </c>
      <c r="AD735" s="41">
        <f t="shared" si="183"/>
        <v>0.31706238017991445</v>
      </c>
      <c r="AE735" s="41">
        <f t="shared" si="184"/>
        <v>0.37999964651195672</v>
      </c>
      <c r="AF735">
        <f t="shared" si="185"/>
        <v>2.0711770940170942</v>
      </c>
      <c r="AG735">
        <f t="shared" si="186"/>
        <v>3.2061145299145291E-2</v>
      </c>
      <c r="AH735">
        <f t="shared" si="187"/>
        <v>1.3359999999999999</v>
      </c>
      <c r="AI735">
        <f>HLOOKUP(HLOOKUP(G735,'THP2'!$B$4:$J$8,5,FALSE),'Fuel &amp; Resister'!$B$3:$G$6,4,FALSE)</f>
        <v>1.048259259259259</v>
      </c>
      <c r="AJ735" s="41">
        <f>HLOOKUP(HLOOKUP(G735,'THP2'!$B$4:$J$8,5,FALSE),'Fuel &amp; Resister'!$B$3:$G$6,3,FALSE)</f>
        <v>5.829652622441694</v>
      </c>
      <c r="AO735" s="62">
        <v>0</v>
      </c>
      <c r="AP735" s="62">
        <v>0</v>
      </c>
    </row>
    <row r="736" spans="1:42" x14ac:dyDescent="0.15">
      <c r="A736"/>
      <c r="B736" s="80" t="s">
        <v>608</v>
      </c>
      <c r="C736" s="61">
        <f>VLOOKUP(B736,[1]SYS!$F$5:$G$359,2,FALSE)</f>
        <v>271</v>
      </c>
      <c r="D736" s="1" t="s">
        <v>23</v>
      </c>
      <c r="E736" s="65" t="s">
        <v>120</v>
      </c>
      <c r="F736" s="63" t="s">
        <v>520</v>
      </c>
      <c r="G736" s="1">
        <v>6</v>
      </c>
      <c r="H736" s="1">
        <f t="shared" si="178"/>
        <v>0.30158730158730157</v>
      </c>
      <c r="I736" s="1">
        <f t="shared" si="179"/>
        <v>0.189</v>
      </c>
      <c r="J736" s="1">
        <f t="shared" si="177"/>
        <v>6.2000000000000055E-2</v>
      </c>
      <c r="K736" s="1">
        <f t="shared" si="180"/>
        <v>2.7411699999999999</v>
      </c>
      <c r="L736" s="1">
        <f t="shared" si="181"/>
        <v>2.2871599999999996</v>
      </c>
      <c r="M736" s="49">
        <f t="shared" si="182"/>
        <v>0.34045404006002583</v>
      </c>
      <c r="N736" s="49">
        <v>1.5119999999999998</v>
      </c>
      <c r="O736" s="1">
        <v>1106</v>
      </c>
      <c r="P736" s="51">
        <v>0</v>
      </c>
      <c r="Q736" s="51">
        <v>8</v>
      </c>
      <c r="R736" s="51">
        <v>1</v>
      </c>
      <c r="S736" s="1">
        <v>1</v>
      </c>
      <c r="T736" s="1">
        <v>0</v>
      </c>
      <c r="U736" s="47">
        <v>1</v>
      </c>
      <c r="V736" s="47">
        <v>100</v>
      </c>
      <c r="W736" s="41">
        <v>57</v>
      </c>
      <c r="X736">
        <v>189</v>
      </c>
      <c r="Y736">
        <v>0.93799999999999994</v>
      </c>
      <c r="Z736">
        <v>2741.17</v>
      </c>
      <c r="AA736">
        <v>2287.16</v>
      </c>
      <c r="AB736">
        <v>151.19999999999999</v>
      </c>
      <c r="AC736">
        <v>55</v>
      </c>
      <c r="AD736" s="41">
        <f t="shared" si="183"/>
        <v>0.31373464615474411</v>
      </c>
      <c r="AE736" s="41">
        <f t="shared" si="184"/>
        <v>0.37601217230101963</v>
      </c>
      <c r="AF736">
        <f t="shared" si="185"/>
        <v>2.0911102272727269</v>
      </c>
      <c r="AG736">
        <f t="shared" si="186"/>
        <v>3.7053407045454553E-2</v>
      </c>
      <c r="AH736">
        <f t="shared" si="187"/>
        <v>1.5119999999999998</v>
      </c>
      <c r="AI736">
        <f>HLOOKUP(HLOOKUP(G736,'THP2'!$B$4:$J$8,5,FALSE),'Fuel &amp; Resister'!$B$3:$G$6,4,FALSE)</f>
        <v>1.048259259259259</v>
      </c>
      <c r="AJ736" s="41">
        <f>HLOOKUP(HLOOKUP(G736,'THP2'!$B$4:$J$8,5,FALSE),'Fuel &amp; Resister'!$B$3:$G$6,3,FALSE)</f>
        <v>5.829652622441694</v>
      </c>
      <c r="AO736" s="62">
        <v>0</v>
      </c>
      <c r="AP736" s="62">
        <v>0</v>
      </c>
    </row>
    <row r="737" spans="1:42" x14ac:dyDescent="0.15">
      <c r="A737"/>
      <c r="B737" s="80" t="s">
        <v>608</v>
      </c>
      <c r="C737" s="61">
        <f>VLOOKUP(B737,[1]SYS!$F$5:$G$359,2,FALSE)</f>
        <v>271</v>
      </c>
      <c r="D737" s="1" t="s">
        <v>23</v>
      </c>
      <c r="E737" s="65" t="s">
        <v>121</v>
      </c>
      <c r="F737" s="63" t="s">
        <v>445</v>
      </c>
      <c r="G737" s="1">
        <v>6</v>
      </c>
      <c r="H737" s="1">
        <f t="shared" si="178"/>
        <v>0.30057803468208094</v>
      </c>
      <c r="I737" s="1">
        <f t="shared" si="179"/>
        <v>0.51900000000000002</v>
      </c>
      <c r="J737" s="1">
        <f t="shared" si="177"/>
        <v>6.2000000000000055E-2</v>
      </c>
      <c r="K737" s="1">
        <f t="shared" si="180"/>
        <v>2.7411699999999999</v>
      </c>
      <c r="L737" s="1">
        <f t="shared" si="181"/>
        <v>2.2871599999999996</v>
      </c>
      <c r="M737" s="49">
        <f t="shared" si="182"/>
        <v>0.9348976020695946</v>
      </c>
      <c r="N737" s="49">
        <v>5.2257000000000007</v>
      </c>
      <c r="O737" s="1">
        <v>1103</v>
      </c>
      <c r="P737" s="51">
        <v>0</v>
      </c>
      <c r="Q737" s="51">
        <v>8</v>
      </c>
      <c r="R737" s="51">
        <v>1</v>
      </c>
      <c r="S737" s="1">
        <v>1</v>
      </c>
      <c r="T737" s="1">
        <v>0</v>
      </c>
      <c r="U737" s="47">
        <v>1</v>
      </c>
      <c r="V737" s="47">
        <v>101</v>
      </c>
      <c r="W737" s="41">
        <v>156</v>
      </c>
      <c r="X737">
        <v>519</v>
      </c>
      <c r="Y737">
        <v>0.93799999999999994</v>
      </c>
      <c r="Z737">
        <v>2741.17</v>
      </c>
      <c r="AA737">
        <v>2287.16</v>
      </c>
      <c r="AB737">
        <v>522.57000000000005</v>
      </c>
      <c r="AC737">
        <v>55</v>
      </c>
      <c r="AD737" s="41">
        <f t="shared" si="183"/>
        <v>0.31373464615474411</v>
      </c>
      <c r="AE737" s="41">
        <f t="shared" si="184"/>
        <v>0.37601217230101963</v>
      </c>
      <c r="AF737">
        <f t="shared" si="185"/>
        <v>2.0920482644628096</v>
      </c>
      <c r="AG737">
        <f t="shared" si="186"/>
        <v>0.10126299074380166</v>
      </c>
      <c r="AH737">
        <f t="shared" si="187"/>
        <v>5.2257000000000007</v>
      </c>
      <c r="AI737">
        <f>HLOOKUP(HLOOKUP(G737,'THP2'!$B$4:$J$8,5,FALSE),'Fuel &amp; Resister'!$B$3:$G$6,4,FALSE)</f>
        <v>1.048259259259259</v>
      </c>
      <c r="AJ737" s="41">
        <f>HLOOKUP(HLOOKUP(G737,'THP2'!$B$4:$J$8,5,FALSE),'Fuel &amp; Resister'!$B$3:$G$6,3,FALSE)</f>
        <v>5.829652622441694</v>
      </c>
      <c r="AO737" s="1">
        <v>1</v>
      </c>
      <c r="AP737" s="62">
        <v>0</v>
      </c>
    </row>
    <row r="738" spans="1:42" x14ac:dyDescent="0.15">
      <c r="A738"/>
      <c r="B738" s="80" t="s">
        <v>606</v>
      </c>
      <c r="C738" s="61">
        <f>VLOOKUP(B738,[1]SYS!$F$5:$G$359,2,FALSE)</f>
        <v>260</v>
      </c>
      <c r="D738" s="1" t="s">
        <v>23</v>
      </c>
      <c r="E738" s="65" t="s">
        <v>122</v>
      </c>
      <c r="F738" s="63" t="s">
        <v>519</v>
      </c>
      <c r="G738" s="1">
        <v>6</v>
      </c>
      <c r="H738" s="1">
        <f t="shared" si="178"/>
        <v>0.30158730158730157</v>
      </c>
      <c r="I738" s="1">
        <f t="shared" si="179"/>
        <v>0.126</v>
      </c>
      <c r="J738" s="1">
        <f t="shared" si="177"/>
        <v>6.2000000000000055E-2</v>
      </c>
      <c r="K738" s="1">
        <f t="shared" si="180"/>
        <v>2.7411699999999999</v>
      </c>
      <c r="L738" s="1">
        <f t="shared" si="181"/>
        <v>2.2871599999999996</v>
      </c>
      <c r="M738" s="49">
        <f t="shared" si="182"/>
        <v>0.22696936004001722</v>
      </c>
      <c r="N738" s="49">
        <v>1.008</v>
      </c>
      <c r="O738" s="1">
        <v>200</v>
      </c>
      <c r="P738" s="51">
        <v>0</v>
      </c>
      <c r="Q738" s="51">
        <v>8</v>
      </c>
      <c r="R738" s="51">
        <v>1</v>
      </c>
      <c r="S738" s="1">
        <v>1</v>
      </c>
      <c r="T738" s="1">
        <v>0</v>
      </c>
      <c r="U738" s="47">
        <v>1</v>
      </c>
      <c r="V738" s="47">
        <v>102</v>
      </c>
      <c r="W738" s="41">
        <v>38</v>
      </c>
      <c r="X738">
        <v>126</v>
      </c>
      <c r="Y738">
        <v>0.93799999999999994</v>
      </c>
      <c r="Z738">
        <v>2741.17</v>
      </c>
      <c r="AA738">
        <v>2287.16</v>
      </c>
      <c r="AB738">
        <v>100.8</v>
      </c>
      <c r="AC738">
        <v>55</v>
      </c>
      <c r="AD738" s="41">
        <f t="shared" si="183"/>
        <v>0.31373464615474411</v>
      </c>
      <c r="AE738" s="41">
        <f t="shared" si="184"/>
        <v>0.37601217230101963</v>
      </c>
      <c r="AF738">
        <f t="shared" si="185"/>
        <v>2.0911102272727269</v>
      </c>
      <c r="AG738">
        <f t="shared" si="186"/>
        <v>2.4702271363636365E-2</v>
      </c>
      <c r="AH738">
        <f t="shared" si="187"/>
        <v>1.008</v>
      </c>
      <c r="AI738">
        <f>HLOOKUP(HLOOKUP(G738,'THP2'!$B$4:$J$8,5,FALSE),'Fuel &amp; Resister'!$B$3:$G$6,4,FALSE)</f>
        <v>1.048259259259259</v>
      </c>
      <c r="AJ738" s="41">
        <f>HLOOKUP(HLOOKUP(G738,'THP2'!$B$4:$J$8,5,FALSE),'Fuel &amp; Resister'!$B$3:$G$6,3,FALSE)</f>
        <v>5.829652622441694</v>
      </c>
      <c r="AO738" s="1">
        <v>1</v>
      </c>
      <c r="AP738" s="62">
        <v>0</v>
      </c>
    </row>
    <row r="739" spans="1:42" x14ac:dyDescent="0.15">
      <c r="A739"/>
      <c r="B739" s="80" t="s">
        <v>607</v>
      </c>
      <c r="C739" s="61">
        <f>VLOOKUP(B739,[1]SYS!$F$5:$G$359,2,FALSE)</f>
        <v>268</v>
      </c>
      <c r="D739" s="1" t="s">
        <v>23</v>
      </c>
      <c r="E739" s="65" t="s">
        <v>123</v>
      </c>
      <c r="F739" s="63" t="s">
        <v>524</v>
      </c>
      <c r="G739" s="1">
        <v>6</v>
      </c>
      <c r="H739" s="1">
        <f t="shared" si="178"/>
        <v>0.29411764705882354</v>
      </c>
      <c r="I739" s="1">
        <f t="shared" si="179"/>
        <v>6.8000000000000005E-2</v>
      </c>
      <c r="J739" s="1">
        <f t="shared" si="177"/>
        <v>0</v>
      </c>
      <c r="K739" s="1">
        <f t="shared" si="180"/>
        <v>2.8008500000000001</v>
      </c>
      <c r="L739" s="1">
        <f t="shared" si="181"/>
        <v>2.3369599999999999</v>
      </c>
      <c r="M739" s="49">
        <f t="shared" si="182"/>
        <v>0.1251584951110786</v>
      </c>
      <c r="N739" s="49">
        <v>0.54400000000000004</v>
      </c>
      <c r="O739" s="1">
        <v>1103</v>
      </c>
      <c r="P739" s="51">
        <v>0</v>
      </c>
      <c r="Q739" s="51">
        <v>8</v>
      </c>
      <c r="R739" s="51">
        <v>1</v>
      </c>
      <c r="S739" s="1">
        <v>1</v>
      </c>
      <c r="T739" s="1">
        <v>0</v>
      </c>
      <c r="U739" s="47">
        <v>1</v>
      </c>
      <c r="V739" s="47">
        <v>103</v>
      </c>
      <c r="W739" s="41">
        <v>20</v>
      </c>
      <c r="X739">
        <v>68</v>
      </c>
      <c r="Y739">
        <v>1</v>
      </c>
      <c r="Z739">
        <v>2800.85</v>
      </c>
      <c r="AA739">
        <v>2336.96</v>
      </c>
      <c r="AB739">
        <v>54.4</v>
      </c>
      <c r="AC739">
        <v>55</v>
      </c>
      <c r="AD739" s="41">
        <f t="shared" si="183"/>
        <v>0.30704964564328691</v>
      </c>
      <c r="AE739" s="41">
        <f t="shared" si="184"/>
        <v>0.36799945227988495</v>
      </c>
      <c r="AF739">
        <f t="shared" si="185"/>
        <v>2.1436725000000001</v>
      </c>
      <c r="AG739">
        <f t="shared" si="186"/>
        <v>1.314354999999999E-2</v>
      </c>
      <c r="AH739">
        <f t="shared" si="187"/>
        <v>0.54400000000000004</v>
      </c>
      <c r="AI739">
        <f>HLOOKUP(HLOOKUP(G739,'THP2'!$B$4:$J$8,5,FALSE),'Fuel &amp; Resister'!$B$3:$G$6,4,FALSE)</f>
        <v>1.048259259259259</v>
      </c>
      <c r="AJ739" s="41">
        <f>HLOOKUP(HLOOKUP(G739,'THP2'!$B$4:$J$8,5,FALSE),'Fuel &amp; Resister'!$B$3:$G$6,3,FALSE)</f>
        <v>5.829652622441694</v>
      </c>
      <c r="AO739" s="1">
        <v>1</v>
      </c>
      <c r="AP739" s="62">
        <v>0</v>
      </c>
    </row>
    <row r="740" spans="1:42" x14ac:dyDescent="0.15">
      <c r="A740"/>
      <c r="B740" s="80" t="s">
        <v>607</v>
      </c>
      <c r="C740" s="61">
        <f>VLOOKUP(B740,[1]SYS!$F$5:$G$359,2,FALSE)</f>
        <v>268</v>
      </c>
      <c r="D740" s="1" t="s">
        <v>23</v>
      </c>
      <c r="E740" s="65" t="s">
        <v>124</v>
      </c>
      <c r="F740" s="63" t="s">
        <v>524</v>
      </c>
      <c r="G740" s="1">
        <v>6</v>
      </c>
      <c r="H740" s="1">
        <f t="shared" si="178"/>
        <v>0.3048780487804878</v>
      </c>
      <c r="I740" s="1">
        <f t="shared" si="179"/>
        <v>8.2000000000000003E-2</v>
      </c>
      <c r="J740" s="1">
        <f t="shared" si="177"/>
        <v>0</v>
      </c>
      <c r="K740" s="1">
        <f t="shared" si="180"/>
        <v>2.8008500000000001</v>
      </c>
      <c r="L740" s="1">
        <f t="shared" si="181"/>
        <v>2.3369599999999999</v>
      </c>
      <c r="M740" s="49">
        <f t="shared" si="182"/>
        <v>0.1509264205751242</v>
      </c>
      <c r="N740" s="49">
        <v>0.65599999999999992</v>
      </c>
      <c r="O740" s="1">
        <v>1204</v>
      </c>
      <c r="P740" s="51">
        <v>0</v>
      </c>
      <c r="Q740" s="51">
        <v>8</v>
      </c>
      <c r="R740" s="51">
        <v>1</v>
      </c>
      <c r="S740" s="1">
        <v>1</v>
      </c>
      <c r="T740" s="1">
        <v>0</v>
      </c>
      <c r="U740" s="47">
        <v>1</v>
      </c>
      <c r="V740" s="47">
        <v>104</v>
      </c>
      <c r="W740" s="41">
        <v>25</v>
      </c>
      <c r="X740">
        <v>82</v>
      </c>
      <c r="Y740">
        <v>1</v>
      </c>
      <c r="Z740">
        <v>2800.85</v>
      </c>
      <c r="AA740">
        <v>2336.96</v>
      </c>
      <c r="AB740">
        <v>65.599999999999994</v>
      </c>
      <c r="AC740">
        <v>55</v>
      </c>
      <c r="AD740" s="41">
        <f t="shared" si="183"/>
        <v>0.30704964564328691</v>
      </c>
      <c r="AE740" s="41">
        <f t="shared" si="184"/>
        <v>0.36799945227988495</v>
      </c>
      <c r="AF740">
        <f t="shared" si="185"/>
        <v>2.1334994736842106</v>
      </c>
      <c r="AG740">
        <f t="shared" si="186"/>
        <v>1.6683763157894729E-2</v>
      </c>
      <c r="AH740">
        <f t="shared" si="187"/>
        <v>0.65599999999999992</v>
      </c>
      <c r="AI740">
        <f>HLOOKUP(HLOOKUP(G740,'THP2'!$B$4:$J$8,5,FALSE),'Fuel &amp; Resister'!$B$3:$G$6,4,FALSE)</f>
        <v>1.048259259259259</v>
      </c>
      <c r="AJ740" s="41">
        <f>HLOOKUP(HLOOKUP(G740,'THP2'!$B$4:$J$8,5,FALSE),'Fuel &amp; Resister'!$B$3:$G$6,3,FALSE)</f>
        <v>5.829652622441694</v>
      </c>
      <c r="AO740" s="1">
        <v>1</v>
      </c>
      <c r="AP740" s="62">
        <v>0</v>
      </c>
    </row>
    <row r="741" spans="1:42" x14ac:dyDescent="0.15">
      <c r="A741"/>
      <c r="B741" s="80" t="s">
        <v>605</v>
      </c>
      <c r="C741" s="61">
        <f>VLOOKUP(B741,[1]SYS!$F$5:$G$359,2,FALSE)</f>
        <v>266</v>
      </c>
      <c r="D741" s="1" t="s">
        <v>23</v>
      </c>
      <c r="E741" s="65" t="s">
        <v>125</v>
      </c>
      <c r="F741" s="63" t="s">
        <v>447</v>
      </c>
      <c r="G741" s="1">
        <v>6</v>
      </c>
      <c r="H741" s="1">
        <f t="shared" si="178"/>
        <v>0.3</v>
      </c>
      <c r="I741" s="1">
        <f t="shared" si="179"/>
        <v>0.15</v>
      </c>
      <c r="J741" s="1">
        <f t="shared" si="177"/>
        <v>6.2000000000000055E-2</v>
      </c>
      <c r="K741" s="1">
        <f t="shared" si="180"/>
        <v>2.8197100000000002</v>
      </c>
      <c r="L741" s="1">
        <f t="shared" si="181"/>
        <v>2.3527</v>
      </c>
      <c r="M741" s="49">
        <f t="shared" si="182"/>
        <v>0.27794441545209558</v>
      </c>
      <c r="N741" s="49">
        <v>1.2</v>
      </c>
      <c r="O741" s="1">
        <v>403</v>
      </c>
      <c r="P741" s="51">
        <v>0.05</v>
      </c>
      <c r="Q741" s="51">
        <v>8</v>
      </c>
      <c r="R741" s="51">
        <v>1</v>
      </c>
      <c r="S741" s="1">
        <v>1</v>
      </c>
      <c r="T741" s="1">
        <v>0</v>
      </c>
      <c r="U741" s="47">
        <v>1</v>
      </c>
      <c r="V741" s="47">
        <v>105</v>
      </c>
      <c r="W741" s="41">
        <v>45</v>
      </c>
      <c r="X741">
        <v>150</v>
      </c>
      <c r="Y741">
        <v>0.93799999999999994</v>
      </c>
      <c r="Z741">
        <v>2819.71</v>
      </c>
      <c r="AA741">
        <v>2352.6999999999998</v>
      </c>
      <c r="AB741">
        <v>120</v>
      </c>
      <c r="AC741">
        <v>55</v>
      </c>
      <c r="AD741" s="41">
        <f t="shared" si="183"/>
        <v>0.3049959038340822</v>
      </c>
      <c r="AE741" s="41">
        <f t="shared" si="184"/>
        <v>0.36553746759042804</v>
      </c>
      <c r="AF741">
        <f t="shared" si="185"/>
        <v>2.1525528571428576</v>
      </c>
      <c r="AG741">
        <f t="shared" si="186"/>
        <v>3.002207142857136E-2</v>
      </c>
      <c r="AH741">
        <f t="shared" si="187"/>
        <v>1.2</v>
      </c>
      <c r="AI741">
        <f>HLOOKUP(HLOOKUP(G741,'THP2'!$B$4:$J$8,5,FALSE),'Fuel &amp; Resister'!$B$3:$G$6,4,FALSE)</f>
        <v>1.048259259259259</v>
      </c>
      <c r="AJ741" s="41">
        <f>HLOOKUP(HLOOKUP(G741,'THP2'!$B$4:$J$8,5,FALSE),'Fuel &amp; Resister'!$B$3:$G$6,3,FALSE)</f>
        <v>5.829652622441694</v>
      </c>
      <c r="AO741" s="1">
        <v>1</v>
      </c>
      <c r="AP741" s="62">
        <v>0</v>
      </c>
    </row>
    <row r="742" spans="1:42" x14ac:dyDescent="0.15">
      <c r="A742"/>
      <c r="B742" s="80" t="s">
        <v>609</v>
      </c>
      <c r="C742" s="61">
        <f>VLOOKUP(B742,[1]SYS!$F$5:$G$359,2,FALSE)</f>
        <v>279</v>
      </c>
      <c r="D742" s="1" t="s">
        <v>23</v>
      </c>
      <c r="E742" s="65" t="s">
        <v>126</v>
      </c>
      <c r="F742" s="63" t="s">
        <v>454</v>
      </c>
      <c r="G742" s="1">
        <v>6</v>
      </c>
      <c r="H742" s="1">
        <f t="shared" si="178"/>
        <v>0.3</v>
      </c>
      <c r="I742" s="1">
        <f t="shared" si="179"/>
        <v>1</v>
      </c>
      <c r="J742" s="1">
        <f t="shared" si="177"/>
        <v>6.2000000000000055E-2</v>
      </c>
      <c r="K742" s="1">
        <f t="shared" si="180"/>
        <v>2.34253</v>
      </c>
      <c r="L742" s="1">
        <f t="shared" si="181"/>
        <v>1.95455</v>
      </c>
      <c r="M742" s="49">
        <f t="shared" si="182"/>
        <v>1.5393838489732181</v>
      </c>
      <c r="N742" s="49">
        <v>15</v>
      </c>
      <c r="O742" s="1">
        <v>504</v>
      </c>
      <c r="P742" s="51">
        <v>0.05</v>
      </c>
      <c r="Q742" s="51">
        <v>8</v>
      </c>
      <c r="R742" s="51">
        <v>1</v>
      </c>
      <c r="S742" s="1">
        <v>1</v>
      </c>
      <c r="T742" s="1">
        <v>0</v>
      </c>
      <c r="U742" s="47">
        <v>1</v>
      </c>
      <c r="V742" s="47">
        <v>106</v>
      </c>
      <c r="W742" s="41">
        <v>300</v>
      </c>
      <c r="X742">
        <v>1000</v>
      </c>
      <c r="Y742">
        <v>0.93799999999999994</v>
      </c>
      <c r="Z742">
        <v>2342.5300000000002</v>
      </c>
      <c r="AA742">
        <v>1954.55</v>
      </c>
      <c r="AB742">
        <v>1500</v>
      </c>
      <c r="AC742">
        <v>55</v>
      </c>
      <c r="AD742" s="41">
        <f t="shared" si="183"/>
        <v>0.36712443383862747</v>
      </c>
      <c r="AE742" s="41">
        <f t="shared" si="184"/>
        <v>0.43999897674656568</v>
      </c>
      <c r="AF742">
        <f t="shared" si="185"/>
        <v>1.788272857142857</v>
      </c>
      <c r="AG742">
        <f t="shared" si="186"/>
        <v>0.16627714285714301</v>
      </c>
      <c r="AH742">
        <f t="shared" si="187"/>
        <v>15</v>
      </c>
      <c r="AI742">
        <f>HLOOKUP(HLOOKUP(G742,'THP2'!$B$4:$J$8,5,FALSE),'Fuel &amp; Resister'!$B$3:$G$6,4,FALSE)</f>
        <v>1.048259259259259</v>
      </c>
      <c r="AJ742" s="41">
        <f>HLOOKUP(HLOOKUP(G742,'THP2'!$B$4:$J$8,5,FALSE),'Fuel &amp; Resister'!$B$3:$G$6,3,FALSE)</f>
        <v>5.829652622441694</v>
      </c>
      <c r="AO742" s="1">
        <v>1</v>
      </c>
      <c r="AP742" s="62">
        <v>0</v>
      </c>
    </row>
    <row r="743" spans="1:42" x14ac:dyDescent="0.15">
      <c r="A743"/>
      <c r="B743" s="80" t="s">
        <v>610</v>
      </c>
      <c r="C743" s="61">
        <f>VLOOKUP(B743,[1]SYS!$F$5:$G$359,2,FALSE)</f>
        <v>288</v>
      </c>
      <c r="D743" s="1" t="s">
        <v>23</v>
      </c>
      <c r="E743" s="65" t="s">
        <v>127</v>
      </c>
      <c r="F743" s="63" t="s">
        <v>521</v>
      </c>
      <c r="G743" s="1">
        <v>6</v>
      </c>
      <c r="H743" s="1">
        <f t="shared" si="178"/>
        <v>0.3</v>
      </c>
      <c r="I743" s="1">
        <f t="shared" si="179"/>
        <v>0.6</v>
      </c>
      <c r="J743" s="1">
        <f t="shared" si="177"/>
        <v>6.2000000000000055E-2</v>
      </c>
      <c r="K743" s="1">
        <f t="shared" si="180"/>
        <v>2.3969999999999998</v>
      </c>
      <c r="L743" s="1">
        <f t="shared" si="181"/>
        <v>2</v>
      </c>
      <c r="M743" s="49">
        <f t="shared" si="182"/>
        <v>0.94510788609545004</v>
      </c>
      <c r="N743" s="49">
        <v>6.1449999999999996</v>
      </c>
      <c r="O743" s="1">
        <v>903</v>
      </c>
      <c r="P743" s="51">
        <v>0.05</v>
      </c>
      <c r="Q743" s="51">
        <v>8</v>
      </c>
      <c r="R743" s="51">
        <v>1</v>
      </c>
      <c r="S743" s="1">
        <v>1</v>
      </c>
      <c r="T743" s="1">
        <v>0</v>
      </c>
      <c r="U743" s="47">
        <v>1</v>
      </c>
      <c r="V743" s="47">
        <v>107</v>
      </c>
      <c r="W743" s="41">
        <v>180</v>
      </c>
      <c r="X743">
        <v>600</v>
      </c>
      <c r="Y743">
        <v>0.93799999999999994</v>
      </c>
      <c r="Z743">
        <v>2397</v>
      </c>
      <c r="AA743">
        <v>2000</v>
      </c>
      <c r="AB743">
        <v>614.5</v>
      </c>
      <c r="AC743">
        <v>55</v>
      </c>
      <c r="AD743" s="41">
        <f t="shared" si="183"/>
        <v>0.35878181059657904</v>
      </c>
      <c r="AE743" s="41">
        <f t="shared" si="184"/>
        <v>0.43</v>
      </c>
      <c r="AF743">
        <f t="shared" si="185"/>
        <v>1.8298571428571428</v>
      </c>
      <c r="AG743">
        <f t="shared" si="186"/>
        <v>0.10208571428571429</v>
      </c>
      <c r="AH743">
        <f t="shared" si="187"/>
        <v>6.1449999999999996</v>
      </c>
      <c r="AI743">
        <f>HLOOKUP(HLOOKUP(G743,'THP2'!$B$4:$J$8,5,FALSE),'Fuel &amp; Resister'!$B$3:$G$6,4,FALSE)</f>
        <v>1.048259259259259</v>
      </c>
      <c r="AJ743" s="41">
        <f>HLOOKUP(HLOOKUP(G743,'THP2'!$B$4:$J$8,5,FALSE),'Fuel &amp; Resister'!$B$3:$G$6,3,FALSE)</f>
        <v>5.829652622441694</v>
      </c>
      <c r="AO743" s="1">
        <v>1</v>
      </c>
      <c r="AP743" s="62">
        <v>0</v>
      </c>
    </row>
    <row r="744" spans="1:42" x14ac:dyDescent="0.15">
      <c r="A744"/>
      <c r="B744" s="80" t="s">
        <v>610</v>
      </c>
      <c r="C744" s="61">
        <f>VLOOKUP(B744,[1]SYS!$F$5:$G$359,2,FALSE)</f>
        <v>288</v>
      </c>
      <c r="D744" s="1" t="s">
        <v>23</v>
      </c>
      <c r="E744" s="65" t="s">
        <v>128</v>
      </c>
      <c r="F744" s="63" t="s">
        <v>521</v>
      </c>
      <c r="G744" s="1">
        <v>6</v>
      </c>
      <c r="H744" s="1">
        <f t="shared" si="178"/>
        <v>0.3</v>
      </c>
      <c r="I744" s="1">
        <f t="shared" si="179"/>
        <v>0.6</v>
      </c>
      <c r="J744" s="1">
        <f t="shared" si="177"/>
        <v>6.2000000000000055E-2</v>
      </c>
      <c r="K744" s="1">
        <f t="shared" si="180"/>
        <v>2.3969999999999998</v>
      </c>
      <c r="L744" s="1">
        <f t="shared" si="181"/>
        <v>2</v>
      </c>
      <c r="M744" s="49">
        <f t="shared" si="182"/>
        <v>0.94510788609545004</v>
      </c>
      <c r="N744" s="49">
        <v>6.1449999999999996</v>
      </c>
      <c r="O744" s="1">
        <v>1004</v>
      </c>
      <c r="P744" s="51">
        <v>0.05</v>
      </c>
      <c r="Q744" s="51">
        <v>8</v>
      </c>
      <c r="R744" s="51">
        <v>1</v>
      </c>
      <c r="S744" s="1">
        <v>1</v>
      </c>
      <c r="T744" s="1">
        <v>0</v>
      </c>
      <c r="U744" s="47">
        <v>1</v>
      </c>
      <c r="V744" s="47">
        <v>108</v>
      </c>
      <c r="W744" s="41">
        <v>180</v>
      </c>
      <c r="X744">
        <v>600</v>
      </c>
      <c r="Y744">
        <v>0.93799999999999994</v>
      </c>
      <c r="Z744">
        <v>2397</v>
      </c>
      <c r="AA744">
        <v>2000</v>
      </c>
      <c r="AB744">
        <v>614.5</v>
      </c>
      <c r="AC744">
        <v>55</v>
      </c>
      <c r="AD744" s="41">
        <f t="shared" si="183"/>
        <v>0.35878181059657904</v>
      </c>
      <c r="AE744" s="41">
        <f t="shared" si="184"/>
        <v>0.43</v>
      </c>
      <c r="AF744">
        <f t="shared" si="185"/>
        <v>1.8298571428571428</v>
      </c>
      <c r="AG744">
        <f t="shared" si="186"/>
        <v>0.10208571428571429</v>
      </c>
      <c r="AH744">
        <f t="shared" si="187"/>
        <v>6.1449999999999996</v>
      </c>
      <c r="AI744">
        <f>HLOOKUP(HLOOKUP(G744,'THP2'!$B$4:$J$8,5,FALSE),'Fuel &amp; Resister'!$B$3:$G$6,4,FALSE)</f>
        <v>1.048259259259259</v>
      </c>
      <c r="AJ744" s="41">
        <f>HLOOKUP(HLOOKUP(G744,'THP2'!$B$4:$J$8,5,FALSE),'Fuel &amp; Resister'!$B$3:$G$6,3,FALSE)</f>
        <v>5.829652622441694</v>
      </c>
      <c r="AO744" s="1">
        <v>1</v>
      </c>
      <c r="AP744" s="62">
        <v>0</v>
      </c>
    </row>
    <row r="745" spans="1:42" x14ac:dyDescent="0.15">
      <c r="A745"/>
      <c r="B745" s="80" t="s">
        <v>610</v>
      </c>
      <c r="C745" s="61">
        <f>VLOOKUP(B745,[1]SYS!$F$5:$G$359,2,FALSE)</f>
        <v>288</v>
      </c>
      <c r="D745" s="1" t="s">
        <v>23</v>
      </c>
      <c r="E745" s="65" t="s">
        <v>129</v>
      </c>
      <c r="F745" s="42"/>
      <c r="G745" s="1">
        <v>6</v>
      </c>
      <c r="H745" s="1">
        <f t="shared" si="178"/>
        <v>0.40119760479041916</v>
      </c>
      <c r="I745" s="1">
        <f t="shared" si="179"/>
        <v>0.16700000000000001</v>
      </c>
      <c r="J745" s="1">
        <f t="shared" si="177"/>
        <v>0.10809999999999997</v>
      </c>
      <c r="K745" s="1">
        <f t="shared" si="180"/>
        <v>2.4706599999999996</v>
      </c>
      <c r="L745" s="1">
        <f t="shared" si="181"/>
        <v>1.89391</v>
      </c>
      <c r="M745" s="49">
        <f t="shared" si="182"/>
        <v>0.24910127432057544</v>
      </c>
      <c r="N745" s="49">
        <v>1.3359999999999999</v>
      </c>
      <c r="O745" s="1">
        <v>1103</v>
      </c>
      <c r="P745" s="51">
        <v>0.05</v>
      </c>
      <c r="Q745" s="51">
        <v>8</v>
      </c>
      <c r="R745" s="51">
        <v>1</v>
      </c>
      <c r="S745" s="1">
        <v>1</v>
      </c>
      <c r="T745" s="1">
        <v>0</v>
      </c>
      <c r="U745" s="47">
        <v>1</v>
      </c>
      <c r="V745" s="47">
        <v>109</v>
      </c>
      <c r="W745" s="41">
        <v>67</v>
      </c>
      <c r="X745">
        <v>167</v>
      </c>
      <c r="Y745">
        <v>0.89190000000000003</v>
      </c>
      <c r="Z745">
        <v>2470.66</v>
      </c>
      <c r="AA745">
        <v>1893.91</v>
      </c>
      <c r="AB745">
        <v>133.6</v>
      </c>
      <c r="AC745">
        <v>55</v>
      </c>
      <c r="AD745" s="41">
        <f t="shared" si="183"/>
        <v>0.34808512705107136</v>
      </c>
      <c r="AE745" s="41">
        <f t="shared" si="184"/>
        <v>0.45408704743097605</v>
      </c>
      <c r="AF745">
        <f t="shared" si="185"/>
        <v>1.5074875000000001</v>
      </c>
      <c r="AG745">
        <f t="shared" si="186"/>
        <v>6.453255749999999E-2</v>
      </c>
      <c r="AH745">
        <f t="shared" si="187"/>
        <v>1.3359999999999999</v>
      </c>
      <c r="AI745">
        <f>HLOOKUP(HLOOKUP(G745,'THP2'!$B$4:$J$8,5,FALSE),'Fuel &amp; Resister'!$B$3:$G$6,4,FALSE)</f>
        <v>1.048259259259259</v>
      </c>
      <c r="AJ745" s="41">
        <f>HLOOKUP(HLOOKUP(G745,'THP2'!$B$4:$J$8,5,FALSE),'Fuel &amp; Resister'!$B$3:$G$6,3,FALSE)</f>
        <v>5.829652622441694</v>
      </c>
      <c r="AO745" s="1">
        <v>1</v>
      </c>
      <c r="AP745" s="62">
        <v>0</v>
      </c>
    </row>
    <row r="746" spans="1:42" x14ac:dyDescent="0.15">
      <c r="A746"/>
      <c r="B746" s="80" t="s">
        <v>611</v>
      </c>
      <c r="C746" s="61">
        <f>VLOOKUP(B746,[1]SYS!$F$5:$G$359,2,FALSE)</f>
        <v>284</v>
      </c>
      <c r="D746" s="1" t="s">
        <v>23</v>
      </c>
      <c r="E746" s="65" t="s">
        <v>130</v>
      </c>
      <c r="F746" s="63" t="s">
        <v>455</v>
      </c>
      <c r="G746" s="1">
        <v>6</v>
      </c>
      <c r="H746" s="1">
        <f t="shared" si="178"/>
        <v>0.3</v>
      </c>
      <c r="I746" s="1">
        <f t="shared" si="179"/>
        <v>0.6</v>
      </c>
      <c r="J746" s="1">
        <f t="shared" si="177"/>
        <v>6.2000000000000055E-2</v>
      </c>
      <c r="K746" s="1">
        <f t="shared" si="180"/>
        <v>2.44143</v>
      </c>
      <c r="L746" s="1">
        <f t="shared" si="181"/>
        <v>2.0370699999999999</v>
      </c>
      <c r="M746" s="49">
        <f t="shared" si="182"/>
        <v>0.96262546076422906</v>
      </c>
      <c r="N746" s="49">
        <v>6.1449999999999996</v>
      </c>
      <c r="O746" s="1">
        <v>1004</v>
      </c>
      <c r="P746" s="51">
        <v>0.05</v>
      </c>
      <c r="Q746" s="51">
        <v>8</v>
      </c>
      <c r="R746" s="51">
        <v>1</v>
      </c>
      <c r="S746" s="1">
        <v>1</v>
      </c>
      <c r="T746" s="1">
        <v>0</v>
      </c>
      <c r="U746" s="47">
        <v>1</v>
      </c>
      <c r="V746" s="47">
        <v>110</v>
      </c>
      <c r="W746" s="41">
        <v>180</v>
      </c>
      <c r="X746">
        <v>600</v>
      </c>
      <c r="Y746">
        <v>0.93799999999999994</v>
      </c>
      <c r="Z746">
        <v>2441.4299999999998</v>
      </c>
      <c r="AA746">
        <v>2037.07</v>
      </c>
      <c r="AB746">
        <v>614.5</v>
      </c>
      <c r="AC746">
        <v>55</v>
      </c>
      <c r="AD746" s="41">
        <f t="shared" si="183"/>
        <v>0.35225257328696707</v>
      </c>
      <c r="AE746" s="41">
        <f t="shared" si="184"/>
        <v>0.42217498662294373</v>
      </c>
      <c r="AF746">
        <f t="shared" si="185"/>
        <v>1.8637728571428571</v>
      </c>
      <c r="AG746">
        <f t="shared" si="186"/>
        <v>0.10397828571428569</v>
      </c>
      <c r="AH746">
        <f t="shared" si="187"/>
        <v>6.1449999999999996</v>
      </c>
      <c r="AI746">
        <f>HLOOKUP(HLOOKUP(G746,'THP2'!$B$4:$J$8,5,FALSE),'Fuel &amp; Resister'!$B$3:$G$6,4,FALSE)</f>
        <v>1.048259259259259</v>
      </c>
      <c r="AJ746" s="41">
        <f>HLOOKUP(HLOOKUP(G746,'THP2'!$B$4:$J$8,5,FALSE),'Fuel &amp; Resister'!$B$3:$G$6,3,FALSE)</f>
        <v>5.829652622441694</v>
      </c>
      <c r="AO746" s="1">
        <v>1</v>
      </c>
      <c r="AP746" s="62">
        <v>0</v>
      </c>
    </row>
    <row r="747" spans="1:42" x14ac:dyDescent="0.15">
      <c r="A747"/>
      <c r="B747" s="80" t="s">
        <v>609</v>
      </c>
      <c r="C747" s="61">
        <f>VLOOKUP(B747,[1]SYS!$F$5:$G$359,2,FALSE)</f>
        <v>279</v>
      </c>
      <c r="D747" s="1" t="s">
        <v>23</v>
      </c>
      <c r="E747" s="42" t="s">
        <v>131</v>
      </c>
      <c r="F747" s="63" t="s">
        <v>454</v>
      </c>
      <c r="G747" s="1">
        <v>6</v>
      </c>
      <c r="H747" s="1">
        <f t="shared" si="178"/>
        <v>0.3</v>
      </c>
      <c r="I747" s="1">
        <f t="shared" si="179"/>
        <v>1</v>
      </c>
      <c r="J747" s="1">
        <f t="shared" si="177"/>
        <v>5.0000000000000044E-2</v>
      </c>
      <c r="K747" s="1">
        <f t="shared" si="180"/>
        <v>2.4431100000000003</v>
      </c>
      <c r="L747" s="1">
        <f t="shared" si="181"/>
        <v>2.0384700000000002</v>
      </c>
      <c r="M747" s="49">
        <f t="shared" si="182"/>
        <v>1.6054783938074932</v>
      </c>
      <c r="N747" s="49">
        <v>15</v>
      </c>
      <c r="O747" s="1">
        <v>401</v>
      </c>
      <c r="P747" s="51">
        <v>0.05</v>
      </c>
      <c r="Q747" s="51">
        <v>8</v>
      </c>
      <c r="R747" s="51">
        <v>1</v>
      </c>
      <c r="S747" s="1">
        <v>1</v>
      </c>
      <c r="T747" s="1">
        <v>0</v>
      </c>
      <c r="U747" s="47">
        <v>0</v>
      </c>
      <c r="V747" s="47">
        <v>111</v>
      </c>
      <c r="W747" s="41">
        <v>300</v>
      </c>
      <c r="X747">
        <v>1000</v>
      </c>
      <c r="Y747">
        <v>0.95</v>
      </c>
      <c r="Z747">
        <v>2443.11</v>
      </c>
      <c r="AA747">
        <v>2038.47</v>
      </c>
      <c r="AB747">
        <v>1500</v>
      </c>
      <c r="AC747">
        <v>55</v>
      </c>
      <c r="AD747" s="41">
        <f t="shared" si="183"/>
        <v>0.35201034746695808</v>
      </c>
      <c r="AE747" s="41">
        <f t="shared" si="184"/>
        <v>0.42188504123190435</v>
      </c>
      <c r="AF747">
        <f t="shared" si="185"/>
        <v>1.8650528571428575</v>
      </c>
      <c r="AG747">
        <f t="shared" si="186"/>
        <v>0.17341714285714271</v>
      </c>
      <c r="AH747">
        <f t="shared" si="187"/>
        <v>15</v>
      </c>
      <c r="AI747">
        <f>HLOOKUP(HLOOKUP(G747,'THP2'!$B$4:$J$8,5,FALSE),'Fuel &amp; Resister'!$B$3:$G$6,4,FALSE)</f>
        <v>1.048259259259259</v>
      </c>
      <c r="AJ747" s="41">
        <f>HLOOKUP(HLOOKUP(G747,'THP2'!$B$4:$J$8,5,FALSE),'Fuel &amp; Resister'!$B$3:$G$6,3,FALSE)</f>
        <v>5.829652622441694</v>
      </c>
      <c r="AO747" s="1">
        <v>1</v>
      </c>
      <c r="AP747" s="62">
        <v>0</v>
      </c>
    </row>
    <row r="748" spans="1:42" x14ac:dyDescent="0.15">
      <c r="A748"/>
      <c r="B748" s="80" t="s">
        <v>612</v>
      </c>
      <c r="C748" s="61">
        <f>VLOOKUP(B748,[1]SYS!$F$5:$G$359,2,FALSE)</f>
        <v>290</v>
      </c>
      <c r="D748" s="1" t="s">
        <v>23</v>
      </c>
      <c r="E748" s="65" t="s">
        <v>132</v>
      </c>
      <c r="F748" s="63" t="s">
        <v>457</v>
      </c>
      <c r="G748" s="1">
        <v>6</v>
      </c>
      <c r="H748" s="1">
        <f t="shared" si="178"/>
        <v>0.30092592592592593</v>
      </c>
      <c r="I748" s="1">
        <f t="shared" si="179"/>
        <v>0.216</v>
      </c>
      <c r="J748" s="1">
        <f t="shared" si="177"/>
        <v>6.0000000000000053E-2</v>
      </c>
      <c r="K748" s="1">
        <f t="shared" si="180"/>
        <v>2.5767800000000003</v>
      </c>
      <c r="L748" s="1">
        <f t="shared" si="181"/>
        <v>2.15</v>
      </c>
      <c r="M748" s="49">
        <f t="shared" si="182"/>
        <v>0.36575675191893908</v>
      </c>
      <c r="N748" s="49">
        <v>1.7819</v>
      </c>
      <c r="O748" s="1">
        <v>1103</v>
      </c>
      <c r="P748" s="51">
        <v>0</v>
      </c>
      <c r="Q748" s="51">
        <v>8</v>
      </c>
      <c r="R748" s="51">
        <v>1</v>
      </c>
      <c r="S748" s="1">
        <v>1</v>
      </c>
      <c r="T748" s="1">
        <v>0</v>
      </c>
      <c r="U748" s="47">
        <v>1</v>
      </c>
      <c r="V748" s="47">
        <v>112</v>
      </c>
      <c r="W748" s="41">
        <v>65</v>
      </c>
      <c r="X748">
        <v>216</v>
      </c>
      <c r="Y748">
        <v>0.94</v>
      </c>
      <c r="Z748">
        <v>2576.7800000000002</v>
      </c>
      <c r="AA748">
        <v>2150</v>
      </c>
      <c r="AB748">
        <v>178.19</v>
      </c>
      <c r="AC748">
        <v>55</v>
      </c>
      <c r="AD748" s="41">
        <f t="shared" si="183"/>
        <v>0.33374987387359417</v>
      </c>
      <c r="AE748" s="41">
        <f t="shared" si="184"/>
        <v>0.4</v>
      </c>
      <c r="AF748">
        <f t="shared" si="185"/>
        <v>1.9662867549668872</v>
      </c>
      <c r="AG748">
        <f t="shared" si="186"/>
        <v>3.9682060927152346E-2</v>
      </c>
      <c r="AH748">
        <f t="shared" si="187"/>
        <v>1.7819</v>
      </c>
      <c r="AI748">
        <f>HLOOKUP(HLOOKUP(G748,'THP2'!$B$4:$J$8,5,FALSE),'Fuel &amp; Resister'!$B$3:$G$6,4,FALSE)</f>
        <v>1.048259259259259</v>
      </c>
      <c r="AJ748" s="41">
        <f>HLOOKUP(HLOOKUP(G748,'THP2'!$B$4:$J$8,5,FALSE),'Fuel &amp; Resister'!$B$3:$G$6,3,FALSE)</f>
        <v>5.829652622441694</v>
      </c>
      <c r="AO748" s="1">
        <v>1</v>
      </c>
      <c r="AP748" s="62">
        <v>0</v>
      </c>
    </row>
    <row r="749" spans="1:42" x14ac:dyDescent="0.15">
      <c r="A749"/>
      <c r="B749" s="80" t="s">
        <v>613</v>
      </c>
      <c r="C749" s="61">
        <f>VLOOKUP(B749,[1]SYS!$F$5:$G$359,2,FALSE)</f>
        <v>293</v>
      </c>
      <c r="D749" s="1" t="s">
        <v>23</v>
      </c>
      <c r="E749" s="65" t="s">
        <v>133</v>
      </c>
      <c r="F749" s="42"/>
      <c r="G749" s="1">
        <v>6</v>
      </c>
      <c r="H749" s="1">
        <f t="shared" si="178"/>
        <v>0.29770992366412213</v>
      </c>
      <c r="I749" s="1">
        <f t="shared" si="179"/>
        <v>0.13100000000000001</v>
      </c>
      <c r="J749" s="1">
        <f t="shared" si="177"/>
        <v>6.2000000000000055E-2</v>
      </c>
      <c r="K749" s="1">
        <f t="shared" si="180"/>
        <v>2.6005400000000001</v>
      </c>
      <c r="L749" s="1">
        <f t="shared" si="181"/>
        <v>2.1698300000000001</v>
      </c>
      <c r="M749" s="49">
        <f t="shared" si="182"/>
        <v>0.22387064268977516</v>
      </c>
      <c r="N749" s="49">
        <v>1.048</v>
      </c>
      <c r="O749" s="1">
        <v>201</v>
      </c>
      <c r="P749" s="51">
        <v>0</v>
      </c>
      <c r="Q749" s="51">
        <v>8</v>
      </c>
      <c r="R749" s="51">
        <v>1</v>
      </c>
      <c r="S749" s="1">
        <v>1</v>
      </c>
      <c r="T749" s="1">
        <v>0</v>
      </c>
      <c r="U749" s="47">
        <v>1</v>
      </c>
      <c r="V749" s="47">
        <v>113</v>
      </c>
      <c r="W749" s="41">
        <v>39</v>
      </c>
      <c r="X749">
        <v>131</v>
      </c>
      <c r="Y749">
        <v>0.93799999999999994</v>
      </c>
      <c r="Z749">
        <v>2600.54</v>
      </c>
      <c r="AA749">
        <v>2169.83</v>
      </c>
      <c r="AB749">
        <v>104.8</v>
      </c>
      <c r="AC749">
        <v>55</v>
      </c>
      <c r="AD749" s="41">
        <f t="shared" si="183"/>
        <v>0.33070054680950883</v>
      </c>
      <c r="AE749" s="41">
        <f t="shared" si="184"/>
        <v>0.39634441407852228</v>
      </c>
      <c r="AF749">
        <f t="shared" si="185"/>
        <v>1.9872464130434784</v>
      </c>
      <c r="AG749">
        <f t="shared" si="186"/>
        <v>2.3918449891304355E-2</v>
      </c>
      <c r="AH749">
        <f t="shared" si="187"/>
        <v>1.048</v>
      </c>
      <c r="AI749">
        <f>HLOOKUP(HLOOKUP(G749,'THP2'!$B$4:$J$8,5,FALSE),'Fuel &amp; Resister'!$B$3:$G$6,4,FALSE)</f>
        <v>1.048259259259259</v>
      </c>
      <c r="AJ749" s="41">
        <f>HLOOKUP(HLOOKUP(G749,'THP2'!$B$4:$J$8,5,FALSE),'Fuel &amp; Resister'!$B$3:$G$6,3,FALSE)</f>
        <v>5.829652622441694</v>
      </c>
      <c r="AO749" s="1">
        <v>1</v>
      </c>
      <c r="AP749" s="62">
        <v>0</v>
      </c>
    </row>
    <row r="750" spans="1:42" x14ac:dyDescent="0.15">
      <c r="A750"/>
      <c r="B750" s="80" t="s">
        <v>614</v>
      </c>
      <c r="C750" s="61">
        <f>VLOOKUP(B750,[1]SYS!$F$5:$G$359,2,FALSE)</f>
        <v>282</v>
      </c>
      <c r="D750" s="1" t="s">
        <v>23</v>
      </c>
      <c r="E750" s="65" t="s">
        <v>134</v>
      </c>
      <c r="F750" s="42"/>
      <c r="G750" s="1">
        <v>6</v>
      </c>
      <c r="H750" s="1">
        <f t="shared" si="178"/>
        <v>0.3</v>
      </c>
      <c r="I750" s="1">
        <f t="shared" si="179"/>
        <v>0.22</v>
      </c>
      <c r="J750" s="1">
        <f t="shared" si="177"/>
        <v>6.2000000000000055E-2</v>
      </c>
      <c r="K750" s="1">
        <f t="shared" si="180"/>
        <v>2.6005400000000001</v>
      </c>
      <c r="L750" s="1">
        <f t="shared" si="181"/>
        <v>2.1698300000000001</v>
      </c>
      <c r="M750" s="49">
        <f t="shared" si="182"/>
        <v>0.37596596482252315</v>
      </c>
      <c r="N750" s="49">
        <v>1.8272999999999999</v>
      </c>
      <c r="O750" s="1">
        <v>603</v>
      </c>
      <c r="P750" s="51">
        <v>0</v>
      </c>
      <c r="Q750" s="51">
        <v>8</v>
      </c>
      <c r="R750" s="51">
        <v>1</v>
      </c>
      <c r="S750" s="1">
        <v>1</v>
      </c>
      <c r="T750" s="1">
        <v>0</v>
      </c>
      <c r="U750" s="47">
        <v>1</v>
      </c>
      <c r="V750" s="47">
        <v>114</v>
      </c>
      <c r="W750" s="41">
        <v>66</v>
      </c>
      <c r="X750">
        <v>220</v>
      </c>
      <c r="Y750">
        <v>0.93799999999999994</v>
      </c>
      <c r="Z750">
        <v>2600.54</v>
      </c>
      <c r="AA750">
        <v>2169.83</v>
      </c>
      <c r="AB750">
        <v>182.73</v>
      </c>
      <c r="AC750">
        <v>55</v>
      </c>
      <c r="AD750" s="41">
        <f t="shared" si="183"/>
        <v>0.33070054680950883</v>
      </c>
      <c r="AE750" s="41">
        <f t="shared" si="184"/>
        <v>0.39634441407852228</v>
      </c>
      <c r="AF750">
        <f t="shared" si="185"/>
        <v>1.9852400000000003</v>
      </c>
      <c r="AG750">
        <f t="shared" si="186"/>
        <v>4.060979999999996E-2</v>
      </c>
      <c r="AH750">
        <f t="shared" si="187"/>
        <v>1.8272999999999999</v>
      </c>
      <c r="AI750">
        <f>HLOOKUP(HLOOKUP(G750,'THP2'!$B$4:$J$8,5,FALSE),'Fuel &amp; Resister'!$B$3:$G$6,4,FALSE)</f>
        <v>1.048259259259259</v>
      </c>
      <c r="AJ750" s="41">
        <f>HLOOKUP(HLOOKUP(G750,'THP2'!$B$4:$J$8,5,FALSE),'Fuel &amp; Resister'!$B$3:$G$6,3,FALSE)</f>
        <v>5.829652622441694</v>
      </c>
      <c r="AO750" s="1">
        <v>1</v>
      </c>
      <c r="AP750" s="62">
        <v>0</v>
      </c>
    </row>
    <row r="751" spans="1:42" x14ac:dyDescent="0.15">
      <c r="A751"/>
      <c r="B751" s="80" t="s">
        <v>614</v>
      </c>
      <c r="C751" s="61">
        <f>VLOOKUP(B751,[1]SYS!$F$5:$G$359,2,FALSE)</f>
        <v>282</v>
      </c>
      <c r="D751" s="1" t="s">
        <v>23</v>
      </c>
      <c r="E751" s="65" t="s">
        <v>135</v>
      </c>
      <c r="F751" s="42"/>
      <c r="G751" s="1">
        <v>6</v>
      </c>
      <c r="H751" s="1">
        <f t="shared" si="178"/>
        <v>0.29629629629629628</v>
      </c>
      <c r="I751" s="1">
        <f t="shared" si="179"/>
        <v>8.1000000000000003E-2</v>
      </c>
      <c r="J751" s="1">
        <f t="shared" si="177"/>
        <v>6.2000000000000055E-2</v>
      </c>
      <c r="K751" s="1">
        <f t="shared" si="180"/>
        <v>2.6005400000000001</v>
      </c>
      <c r="L751" s="1">
        <f t="shared" si="181"/>
        <v>2.1698300000000001</v>
      </c>
      <c r="M751" s="49">
        <f t="shared" si="182"/>
        <v>0.13842383250283807</v>
      </c>
      <c r="N751" s="49">
        <v>0.64800000000000002</v>
      </c>
      <c r="O751" s="1">
        <v>1004</v>
      </c>
      <c r="P751" s="51">
        <v>0</v>
      </c>
      <c r="Q751" s="51">
        <v>8</v>
      </c>
      <c r="R751" s="51">
        <v>1</v>
      </c>
      <c r="S751" s="1">
        <v>1</v>
      </c>
      <c r="T751" s="1">
        <v>0</v>
      </c>
      <c r="U751" s="47">
        <v>1</v>
      </c>
      <c r="V751" s="47">
        <v>115</v>
      </c>
      <c r="W751" s="41">
        <v>24</v>
      </c>
      <c r="X751">
        <v>81</v>
      </c>
      <c r="Y751">
        <v>0.93799999999999994</v>
      </c>
      <c r="Z751">
        <v>2600.54</v>
      </c>
      <c r="AA751">
        <v>2169.83</v>
      </c>
      <c r="AB751">
        <v>64.8</v>
      </c>
      <c r="AC751">
        <v>55</v>
      </c>
      <c r="AD751" s="41">
        <f t="shared" si="183"/>
        <v>0.33070054680950883</v>
      </c>
      <c r="AE751" s="41">
        <f t="shared" si="184"/>
        <v>0.39634441407852228</v>
      </c>
      <c r="AF751">
        <f t="shared" si="185"/>
        <v>1.9884784210526318</v>
      </c>
      <c r="AG751">
        <f t="shared" si="186"/>
        <v>1.4689477894736833E-2</v>
      </c>
      <c r="AH751">
        <f t="shared" si="187"/>
        <v>0.64800000000000002</v>
      </c>
      <c r="AI751">
        <f>HLOOKUP(HLOOKUP(G751,'THP2'!$B$4:$J$8,5,FALSE),'Fuel &amp; Resister'!$B$3:$G$6,4,FALSE)</f>
        <v>1.048259259259259</v>
      </c>
      <c r="AJ751" s="41">
        <f>HLOOKUP(HLOOKUP(G751,'THP2'!$B$4:$J$8,5,FALSE),'Fuel &amp; Resister'!$B$3:$G$6,3,FALSE)</f>
        <v>5.829652622441694</v>
      </c>
      <c r="AO751" s="1">
        <v>1</v>
      </c>
      <c r="AP751" s="62">
        <v>0</v>
      </c>
    </row>
    <row r="752" spans="1:42" x14ac:dyDescent="0.15">
      <c r="A752"/>
      <c r="B752" s="80" t="s">
        <v>614</v>
      </c>
      <c r="C752" s="61">
        <f>VLOOKUP(B752,[1]SYS!$F$5:$G$359,2,FALSE)</f>
        <v>282</v>
      </c>
      <c r="D752" s="1" t="s">
        <v>23</v>
      </c>
      <c r="E752" s="65" t="s">
        <v>136</v>
      </c>
      <c r="F752" s="42"/>
      <c r="G752" s="1">
        <v>6</v>
      </c>
      <c r="H752" s="1">
        <f t="shared" si="178"/>
        <v>0.3</v>
      </c>
      <c r="I752" s="1">
        <f t="shared" si="179"/>
        <v>0.04</v>
      </c>
      <c r="J752" s="1">
        <f t="shared" si="177"/>
        <v>6.2000000000000055E-2</v>
      </c>
      <c r="K752" s="1">
        <f t="shared" si="180"/>
        <v>2.6271900000000001</v>
      </c>
      <c r="L752" s="1">
        <f t="shared" si="181"/>
        <v>2.1920700000000002</v>
      </c>
      <c r="M752" s="49">
        <f t="shared" si="182"/>
        <v>6.9058088129108422E-2</v>
      </c>
      <c r="N752" s="49">
        <v>0.32</v>
      </c>
      <c r="O752" s="1">
        <v>401</v>
      </c>
      <c r="P752" s="51">
        <v>0</v>
      </c>
      <c r="Q752" s="51">
        <v>8</v>
      </c>
      <c r="R752" s="51">
        <v>1</v>
      </c>
      <c r="S752" s="1">
        <v>1</v>
      </c>
      <c r="T752" s="1">
        <v>0</v>
      </c>
      <c r="U752" s="47">
        <v>1</v>
      </c>
      <c r="V752" s="47">
        <v>116</v>
      </c>
      <c r="W752" s="41">
        <v>12</v>
      </c>
      <c r="X752">
        <v>40</v>
      </c>
      <c r="Y752">
        <v>0.93799999999999994</v>
      </c>
      <c r="Z752">
        <v>2627.19</v>
      </c>
      <c r="AA752">
        <v>2192.0700000000002</v>
      </c>
      <c r="AB752">
        <v>32</v>
      </c>
      <c r="AC752">
        <v>55</v>
      </c>
      <c r="AD752" s="41">
        <f t="shared" si="183"/>
        <v>0.32734594757135954</v>
      </c>
      <c r="AE752" s="41">
        <f t="shared" si="184"/>
        <v>0.39232323785280576</v>
      </c>
      <c r="AF752">
        <f t="shared" si="185"/>
        <v>2.0055900000000002</v>
      </c>
      <c r="AG752">
        <f t="shared" si="186"/>
        <v>7.4591999999999992E-3</v>
      </c>
      <c r="AH752">
        <f t="shared" si="187"/>
        <v>0.32</v>
      </c>
      <c r="AI752">
        <f>HLOOKUP(HLOOKUP(G752,'THP2'!$B$4:$J$8,5,FALSE),'Fuel &amp; Resister'!$B$3:$G$6,4,FALSE)</f>
        <v>1.048259259259259</v>
      </c>
      <c r="AJ752" s="41">
        <f>HLOOKUP(HLOOKUP(G752,'THP2'!$B$4:$J$8,5,FALSE),'Fuel &amp; Resister'!$B$3:$G$6,3,FALSE)</f>
        <v>5.829652622441694</v>
      </c>
      <c r="AO752" s="1">
        <v>1</v>
      </c>
      <c r="AP752" s="62">
        <v>0</v>
      </c>
    </row>
    <row r="753" spans="1:42" x14ac:dyDescent="0.15">
      <c r="A753"/>
      <c r="B753" s="80" t="s">
        <v>612</v>
      </c>
      <c r="C753" s="61">
        <f>VLOOKUP(B753,[1]SYS!$F$5:$G$359,2,FALSE)</f>
        <v>290</v>
      </c>
      <c r="D753" s="1" t="s">
        <v>23</v>
      </c>
      <c r="E753" s="65" t="s">
        <v>137</v>
      </c>
      <c r="F753" s="42"/>
      <c r="G753" s="1">
        <v>6</v>
      </c>
      <c r="H753" s="1">
        <f t="shared" si="178"/>
        <v>0.30198019801980197</v>
      </c>
      <c r="I753" s="1">
        <f t="shared" si="179"/>
        <v>0.20200000000000001</v>
      </c>
      <c r="J753" s="1">
        <f t="shared" si="177"/>
        <v>6.2000000000000055E-2</v>
      </c>
      <c r="K753" s="1">
        <f t="shared" si="180"/>
        <v>2.7485599999999999</v>
      </c>
      <c r="L753" s="1">
        <f t="shared" si="181"/>
        <v>2.2933300000000001</v>
      </c>
      <c r="M753" s="49">
        <f t="shared" si="182"/>
        <v>0.36485311851724522</v>
      </c>
      <c r="N753" s="49">
        <v>1.6227</v>
      </c>
      <c r="O753" s="1">
        <v>1103</v>
      </c>
      <c r="P753" s="51">
        <v>0</v>
      </c>
      <c r="Q753" s="51">
        <v>8</v>
      </c>
      <c r="R753" s="51">
        <v>1</v>
      </c>
      <c r="S753" s="1">
        <v>1</v>
      </c>
      <c r="T753" s="1">
        <v>0</v>
      </c>
      <c r="U753" s="47">
        <v>1</v>
      </c>
      <c r="V753" s="47">
        <v>117</v>
      </c>
      <c r="W753" s="41">
        <v>61</v>
      </c>
      <c r="X753">
        <v>202</v>
      </c>
      <c r="Y753">
        <v>0.93799999999999994</v>
      </c>
      <c r="Z753">
        <v>2748.56</v>
      </c>
      <c r="AA753">
        <v>2293.33</v>
      </c>
      <c r="AB753">
        <v>162.27000000000001</v>
      </c>
      <c r="AC753">
        <v>55</v>
      </c>
      <c r="AD753" s="41">
        <f t="shared" si="183"/>
        <v>0.31289111389236546</v>
      </c>
      <c r="AE753" s="41">
        <f t="shared" si="184"/>
        <v>0.37500054505893177</v>
      </c>
      <c r="AF753">
        <f t="shared" si="185"/>
        <v>2.0963865248226954</v>
      </c>
      <c r="AG753">
        <f t="shared" si="186"/>
        <v>3.9782581985815552E-2</v>
      </c>
      <c r="AH753">
        <f t="shared" si="187"/>
        <v>1.6227</v>
      </c>
      <c r="AI753">
        <f>HLOOKUP(HLOOKUP(G753,'THP2'!$B$4:$J$8,5,FALSE),'Fuel &amp; Resister'!$B$3:$G$6,4,FALSE)</f>
        <v>1.048259259259259</v>
      </c>
      <c r="AJ753" s="41">
        <f>HLOOKUP(HLOOKUP(G753,'THP2'!$B$4:$J$8,5,FALSE),'Fuel &amp; Resister'!$B$3:$G$6,3,FALSE)</f>
        <v>5.829652622441694</v>
      </c>
      <c r="AO753" s="1">
        <v>1</v>
      </c>
      <c r="AP753" s="62">
        <v>0</v>
      </c>
    </row>
    <row r="754" spans="1:42" x14ac:dyDescent="0.15">
      <c r="A754"/>
      <c r="B754" s="80" t="s">
        <v>611</v>
      </c>
      <c r="C754" s="61">
        <f>VLOOKUP(B754,[1]SYS!$F$5:$G$359,2,FALSE)</f>
        <v>284</v>
      </c>
      <c r="D754" s="1" t="s">
        <v>23</v>
      </c>
      <c r="E754" s="65" t="s">
        <v>138</v>
      </c>
      <c r="F754" s="63" t="s">
        <v>522</v>
      </c>
      <c r="G754" s="1">
        <v>6</v>
      </c>
      <c r="H754" s="1">
        <f t="shared" si="178"/>
        <v>0.30054644808743169</v>
      </c>
      <c r="I754" s="1">
        <f t="shared" si="179"/>
        <v>0.183</v>
      </c>
      <c r="J754" s="1">
        <f t="shared" si="177"/>
        <v>6.2000000000000055E-2</v>
      </c>
      <c r="K754" s="1">
        <f t="shared" si="180"/>
        <v>2.83229</v>
      </c>
      <c r="L754" s="1">
        <f t="shared" si="181"/>
        <v>2.3631899999999999</v>
      </c>
      <c r="M754" s="49">
        <f t="shared" si="182"/>
        <v>0.34060409956464077</v>
      </c>
      <c r="N754" s="49">
        <v>1.464</v>
      </c>
      <c r="O754" s="6">
        <v>307</v>
      </c>
      <c r="P754" s="51">
        <v>0</v>
      </c>
      <c r="Q754" s="51">
        <v>8</v>
      </c>
      <c r="R754" s="51">
        <v>1</v>
      </c>
      <c r="S754" s="1">
        <v>1</v>
      </c>
      <c r="T754" s="1">
        <v>0</v>
      </c>
      <c r="U754" s="47">
        <v>1</v>
      </c>
      <c r="V754" s="47">
        <v>118</v>
      </c>
      <c r="W754" s="41">
        <v>55</v>
      </c>
      <c r="X754">
        <v>183</v>
      </c>
      <c r="Y754">
        <v>0.93799999999999994</v>
      </c>
      <c r="Z754">
        <v>2832.29</v>
      </c>
      <c r="AA754">
        <v>2363.19</v>
      </c>
      <c r="AB754">
        <v>146.4</v>
      </c>
      <c r="AC754">
        <v>55</v>
      </c>
      <c r="AD754" s="41">
        <f t="shared" si="183"/>
        <v>0.30364122317982978</v>
      </c>
      <c r="AE754" s="41">
        <f t="shared" si="184"/>
        <v>0.36391487777114834</v>
      </c>
      <c r="AF754">
        <f t="shared" si="185"/>
        <v>2.1616235937499999</v>
      </c>
      <c r="AG754">
        <f t="shared" si="186"/>
        <v>3.688665234375E-2</v>
      </c>
      <c r="AH754">
        <f t="shared" si="187"/>
        <v>1.464</v>
      </c>
      <c r="AI754">
        <f>HLOOKUP(HLOOKUP(G754,'THP2'!$B$4:$J$8,5,FALSE),'Fuel &amp; Resister'!$B$3:$G$6,4,FALSE)</f>
        <v>1.048259259259259</v>
      </c>
      <c r="AJ754" s="41">
        <f>HLOOKUP(HLOOKUP(G754,'THP2'!$B$4:$J$8,5,FALSE),'Fuel &amp; Resister'!$B$3:$G$6,3,FALSE)</f>
        <v>5.829652622441694</v>
      </c>
      <c r="AO754" s="1">
        <v>1</v>
      </c>
      <c r="AP754" s="62">
        <v>0</v>
      </c>
    </row>
    <row r="755" spans="1:42" x14ac:dyDescent="0.15">
      <c r="A755"/>
      <c r="B755" s="80" t="s">
        <v>611</v>
      </c>
      <c r="C755" s="61">
        <f>VLOOKUP(B755,[1]SYS!$F$5:$G$359,2,FALSE)</f>
        <v>284</v>
      </c>
      <c r="D755" s="1" t="s">
        <v>23</v>
      </c>
      <c r="E755" s="65" t="s">
        <v>139</v>
      </c>
      <c r="F755" s="42"/>
      <c r="G755" s="1">
        <v>6</v>
      </c>
      <c r="H755" s="1">
        <f t="shared" si="178"/>
        <v>0.29411764705882354</v>
      </c>
      <c r="I755" s="1">
        <f t="shared" si="179"/>
        <v>1.7000000000000001E-2</v>
      </c>
      <c r="J755" s="1">
        <f t="shared" si="177"/>
        <v>0</v>
      </c>
      <c r="K755" s="1">
        <f t="shared" si="180"/>
        <v>2.9647299999999999</v>
      </c>
      <c r="L755" s="1">
        <f t="shared" si="181"/>
        <v>2.4737</v>
      </c>
      <c r="M755" s="49">
        <f t="shared" si="182"/>
        <v>3.312043951931945E-2</v>
      </c>
      <c r="N755" s="49">
        <v>0.13600000000000001</v>
      </c>
      <c r="O755" s="1">
        <v>106</v>
      </c>
      <c r="P755" s="51">
        <v>0</v>
      </c>
      <c r="Q755" s="51">
        <v>8</v>
      </c>
      <c r="R755" s="51">
        <v>1</v>
      </c>
      <c r="S755" s="1">
        <v>1</v>
      </c>
      <c r="T755" s="1">
        <v>0</v>
      </c>
      <c r="U755" s="47">
        <v>1</v>
      </c>
      <c r="V755" s="47">
        <v>119</v>
      </c>
      <c r="W755" s="41">
        <v>5</v>
      </c>
      <c r="X755">
        <v>17</v>
      </c>
      <c r="Y755">
        <v>1</v>
      </c>
      <c r="Z755">
        <v>2964.73</v>
      </c>
      <c r="AA755">
        <v>2473.6999999999998</v>
      </c>
      <c r="AB755">
        <v>13.6</v>
      </c>
      <c r="AC755">
        <v>55</v>
      </c>
      <c r="AD755" s="41">
        <f t="shared" si="183"/>
        <v>0.29007700532594877</v>
      </c>
      <c r="AE755" s="41">
        <f t="shared" si="184"/>
        <v>0.34765735537858272</v>
      </c>
      <c r="AF755">
        <f t="shared" si="185"/>
        <v>2.2691041666666667</v>
      </c>
      <c r="AG755">
        <f t="shared" si="186"/>
        <v>3.4781291666666665E-3</v>
      </c>
      <c r="AH755">
        <f t="shared" si="187"/>
        <v>0.13600000000000001</v>
      </c>
      <c r="AI755">
        <f>HLOOKUP(HLOOKUP(G755,'THP2'!$B$4:$J$8,5,FALSE),'Fuel &amp; Resister'!$B$3:$G$6,4,FALSE)</f>
        <v>1.048259259259259</v>
      </c>
      <c r="AJ755" s="41">
        <f>HLOOKUP(HLOOKUP(G755,'THP2'!$B$4:$J$8,5,FALSE),'Fuel &amp; Resister'!$B$3:$G$6,3,FALSE)</f>
        <v>5.829652622441694</v>
      </c>
      <c r="AO755" s="1">
        <v>1</v>
      </c>
      <c r="AP755" s="62">
        <v>0</v>
      </c>
    </row>
    <row r="756" spans="1:42" x14ac:dyDescent="0.15">
      <c r="A756"/>
      <c r="B756" s="80" t="s">
        <v>612</v>
      </c>
      <c r="C756" s="61">
        <f>VLOOKUP(B756,[1]SYS!$F$5:$G$359,2,FALSE)</f>
        <v>290</v>
      </c>
      <c r="D756" s="1" t="s">
        <v>23</v>
      </c>
      <c r="E756" s="65" t="s">
        <v>140</v>
      </c>
      <c r="F756" s="63" t="s">
        <v>456</v>
      </c>
      <c r="G756" s="1">
        <v>6</v>
      </c>
      <c r="H756" s="1">
        <f t="shared" si="178"/>
        <v>0.3</v>
      </c>
      <c r="I756" s="1">
        <f t="shared" si="179"/>
        <v>0.3</v>
      </c>
      <c r="J756" s="1">
        <f t="shared" si="177"/>
        <v>6.2000000000000055E-2</v>
      </c>
      <c r="K756" s="1">
        <f t="shared" si="180"/>
        <v>2.9647299999999999</v>
      </c>
      <c r="L756" s="1">
        <f t="shared" si="181"/>
        <v>2.4737</v>
      </c>
      <c r="M756" s="49">
        <f t="shared" si="182"/>
        <v>0.5844783444585786</v>
      </c>
      <c r="N756" s="49">
        <v>2.7367000000000004</v>
      </c>
      <c r="O756" s="1">
        <v>603</v>
      </c>
      <c r="P756" s="51">
        <v>0</v>
      </c>
      <c r="Q756" s="51">
        <v>8</v>
      </c>
      <c r="R756" s="51">
        <v>1</v>
      </c>
      <c r="S756" s="1">
        <v>1</v>
      </c>
      <c r="T756" s="1">
        <v>0</v>
      </c>
      <c r="U756" s="47">
        <v>1</v>
      </c>
      <c r="V756" s="47">
        <v>120</v>
      </c>
      <c r="W756" s="41">
        <v>90</v>
      </c>
      <c r="X756">
        <v>300</v>
      </c>
      <c r="Y756">
        <v>0.93799999999999994</v>
      </c>
      <c r="Z756">
        <v>2964.73</v>
      </c>
      <c r="AA756">
        <v>2473.6999999999998</v>
      </c>
      <c r="AB756">
        <v>273.67</v>
      </c>
      <c r="AC756">
        <v>55</v>
      </c>
      <c r="AD756" s="41">
        <f t="shared" si="183"/>
        <v>0.29007700532594877</v>
      </c>
      <c r="AE756" s="41">
        <f t="shared" si="184"/>
        <v>0.34765735537858272</v>
      </c>
      <c r="AF756">
        <f t="shared" si="185"/>
        <v>2.2632585714285716</v>
      </c>
      <c r="AG756">
        <f t="shared" si="186"/>
        <v>6.3132428571428534E-2</v>
      </c>
      <c r="AH756">
        <f t="shared" si="187"/>
        <v>2.7367000000000004</v>
      </c>
      <c r="AI756">
        <f>HLOOKUP(HLOOKUP(G756,'THP2'!$B$4:$J$8,5,FALSE),'Fuel &amp; Resister'!$B$3:$G$6,4,FALSE)</f>
        <v>1.048259259259259</v>
      </c>
      <c r="AJ756" s="41">
        <f>HLOOKUP(HLOOKUP(G756,'THP2'!$B$4:$J$8,5,FALSE),'Fuel &amp; Resister'!$B$3:$G$6,3,FALSE)</f>
        <v>5.829652622441694</v>
      </c>
      <c r="AO756" s="1">
        <v>1</v>
      </c>
      <c r="AP756" s="62">
        <v>0</v>
      </c>
    </row>
    <row r="757" spans="1:42" x14ac:dyDescent="0.15">
      <c r="A757"/>
      <c r="B757" s="80" t="s">
        <v>612</v>
      </c>
      <c r="C757" s="61">
        <f>VLOOKUP(B757,[1]SYS!$F$5:$G$359,2,FALSE)</f>
        <v>290</v>
      </c>
      <c r="D757" s="1" t="s">
        <v>23</v>
      </c>
      <c r="E757" s="65" t="s">
        <v>141</v>
      </c>
      <c r="F757" s="42"/>
      <c r="G757" s="1">
        <v>6</v>
      </c>
      <c r="H757" s="1">
        <f t="shared" si="178"/>
        <v>0.27272727272727271</v>
      </c>
      <c r="I757" s="1">
        <f t="shared" si="179"/>
        <v>1.0999999999999999E-2</v>
      </c>
      <c r="J757" s="1">
        <f t="shared" si="177"/>
        <v>0</v>
      </c>
      <c r="K757" s="1">
        <f t="shared" si="180"/>
        <v>3.0563099999999999</v>
      </c>
      <c r="L757" s="1">
        <f t="shared" si="181"/>
        <v>2.4737</v>
      </c>
      <c r="M757" s="49">
        <f t="shared" si="182"/>
        <v>2.1430872630147885E-2</v>
      </c>
      <c r="N757" s="49">
        <v>8.8000000000000009E-2</v>
      </c>
      <c r="O757" s="1">
        <v>903</v>
      </c>
      <c r="P757" s="51">
        <v>0</v>
      </c>
      <c r="Q757" s="51">
        <v>8</v>
      </c>
      <c r="R757" s="51">
        <v>1</v>
      </c>
      <c r="S757" s="1">
        <v>1</v>
      </c>
      <c r="T757" s="1">
        <v>0</v>
      </c>
      <c r="U757" s="47">
        <v>1</v>
      </c>
      <c r="V757" s="47">
        <v>121</v>
      </c>
      <c r="W757" s="41">
        <v>3</v>
      </c>
      <c r="X757">
        <v>11</v>
      </c>
      <c r="Y757">
        <v>1</v>
      </c>
      <c r="Z757">
        <v>3056.31</v>
      </c>
      <c r="AA757">
        <v>2473.6999999999998</v>
      </c>
      <c r="AB757">
        <v>8.8000000000000007</v>
      </c>
      <c r="AC757">
        <v>55</v>
      </c>
      <c r="AD757" s="41">
        <f t="shared" si="183"/>
        <v>0.28138506892298232</v>
      </c>
      <c r="AE757" s="41">
        <f t="shared" si="184"/>
        <v>0.34765735537858272</v>
      </c>
      <c r="AF757">
        <f t="shared" si="185"/>
        <v>2.25522125</v>
      </c>
      <c r="AG757">
        <f t="shared" si="186"/>
        <v>2.4032662500000006E-3</v>
      </c>
      <c r="AH757">
        <f t="shared" si="187"/>
        <v>8.8000000000000009E-2</v>
      </c>
      <c r="AI757">
        <f>HLOOKUP(HLOOKUP(G757,'THP2'!$B$4:$J$8,5,FALSE),'Fuel &amp; Resister'!$B$3:$G$6,4,FALSE)</f>
        <v>1.048259259259259</v>
      </c>
      <c r="AJ757" s="41">
        <f>HLOOKUP(HLOOKUP(G757,'THP2'!$B$4:$J$8,5,FALSE),'Fuel &amp; Resister'!$B$3:$G$6,3,FALSE)</f>
        <v>5.829652622441694</v>
      </c>
      <c r="AO757" s="1">
        <v>1</v>
      </c>
      <c r="AP757" s="62">
        <v>0</v>
      </c>
    </row>
    <row r="758" spans="1:42" x14ac:dyDescent="0.15">
      <c r="A758"/>
      <c r="B758" s="80" t="s">
        <v>615</v>
      </c>
      <c r="C758" s="61">
        <f>VLOOKUP(B758,[1]SYS!$F$5:$G$359,2,FALSE)</f>
        <v>332</v>
      </c>
      <c r="D758" s="1" t="s">
        <v>23</v>
      </c>
      <c r="E758" s="65" t="s">
        <v>142</v>
      </c>
      <c r="F758" s="63" t="s">
        <v>433</v>
      </c>
      <c r="G758" s="1">
        <v>6</v>
      </c>
      <c r="H758" s="1">
        <f t="shared" si="178"/>
        <v>0.3</v>
      </c>
      <c r="I758" s="1">
        <f t="shared" si="179"/>
        <v>1</v>
      </c>
      <c r="J758" s="1">
        <f t="shared" si="177"/>
        <v>6.2000000000000055E-2</v>
      </c>
      <c r="K758" s="1">
        <f t="shared" si="180"/>
        <v>2.3969999999999998</v>
      </c>
      <c r="L758" s="1">
        <f t="shared" si="181"/>
        <v>2</v>
      </c>
      <c r="M758" s="49">
        <f t="shared" si="182"/>
        <v>1.575179810159083</v>
      </c>
      <c r="N758" s="49">
        <v>15</v>
      </c>
      <c r="O758" s="1">
        <v>1004</v>
      </c>
      <c r="P758" s="51">
        <v>0.05</v>
      </c>
      <c r="Q758" s="51">
        <v>8</v>
      </c>
      <c r="R758" s="51">
        <v>1</v>
      </c>
      <c r="S758" s="1">
        <v>1</v>
      </c>
      <c r="T758" s="1">
        <v>0</v>
      </c>
      <c r="U758" s="47">
        <v>1</v>
      </c>
      <c r="V758" s="47">
        <v>122</v>
      </c>
      <c r="W758" s="41">
        <v>300</v>
      </c>
      <c r="X758">
        <v>1000</v>
      </c>
      <c r="Y758">
        <v>0.93799999999999994</v>
      </c>
      <c r="Z758">
        <v>2397</v>
      </c>
      <c r="AA758">
        <v>2000</v>
      </c>
      <c r="AB758">
        <v>1500</v>
      </c>
      <c r="AC758">
        <v>55</v>
      </c>
      <c r="AD758" s="41">
        <f t="shared" si="183"/>
        <v>0.35878181059657904</v>
      </c>
      <c r="AE758" s="41">
        <f t="shared" si="184"/>
        <v>0.43</v>
      </c>
      <c r="AF758">
        <f t="shared" si="185"/>
        <v>1.8298571428571428</v>
      </c>
      <c r="AG758">
        <f t="shared" si="186"/>
        <v>0.17014285714285715</v>
      </c>
      <c r="AH758">
        <f t="shared" si="187"/>
        <v>15</v>
      </c>
      <c r="AI758">
        <f>HLOOKUP(HLOOKUP(G758,'THP2'!$B$4:$J$8,5,FALSE),'Fuel &amp; Resister'!$B$3:$G$6,4,FALSE)</f>
        <v>1.048259259259259</v>
      </c>
      <c r="AJ758" s="41">
        <f>HLOOKUP(HLOOKUP(G758,'THP2'!$B$4:$J$8,5,FALSE),'Fuel &amp; Resister'!$B$3:$G$6,3,FALSE)</f>
        <v>5.829652622441694</v>
      </c>
      <c r="AO758" s="1">
        <v>1</v>
      </c>
      <c r="AP758" s="62">
        <v>0</v>
      </c>
    </row>
    <row r="759" spans="1:42" x14ac:dyDescent="0.15">
      <c r="A759"/>
      <c r="B759" s="80" t="s">
        <v>616</v>
      </c>
      <c r="C759" s="61">
        <f>VLOOKUP(B759,[1]SYS!$F$5:$G$359,2,FALSE)</f>
        <v>341</v>
      </c>
      <c r="D759" s="1" t="s">
        <v>23</v>
      </c>
      <c r="E759" s="65" t="s">
        <v>143</v>
      </c>
      <c r="F759" s="42" t="s">
        <v>421</v>
      </c>
      <c r="G759" s="1">
        <v>6</v>
      </c>
      <c r="H759" s="1">
        <f t="shared" si="178"/>
        <v>0.15</v>
      </c>
      <c r="I759" s="1">
        <f t="shared" si="179"/>
        <v>0.7</v>
      </c>
      <c r="J759" s="1">
        <f t="shared" si="177"/>
        <v>6.2000000000000055E-2</v>
      </c>
      <c r="K759" s="1">
        <f t="shared" si="180"/>
        <v>2.8436900000000001</v>
      </c>
      <c r="L759" s="1">
        <f t="shared" si="181"/>
        <v>2.00935</v>
      </c>
      <c r="M759" s="49">
        <f t="shared" si="182"/>
        <v>1.1077806430401038</v>
      </c>
      <c r="N759" s="49">
        <v>7.28</v>
      </c>
      <c r="O759" s="1">
        <v>1103</v>
      </c>
      <c r="P759" s="51">
        <v>0.05</v>
      </c>
      <c r="Q759" s="51">
        <v>8</v>
      </c>
      <c r="R759" s="51">
        <v>1</v>
      </c>
      <c r="S759" s="1">
        <v>1</v>
      </c>
      <c r="T759" s="1">
        <v>0</v>
      </c>
      <c r="U759" s="47">
        <v>1</v>
      </c>
      <c r="V759" s="47">
        <v>123</v>
      </c>
      <c r="W759" s="41">
        <v>105</v>
      </c>
      <c r="X759">
        <v>700</v>
      </c>
      <c r="Y759">
        <v>0.93799999999999994</v>
      </c>
      <c r="Z759">
        <v>2843.69</v>
      </c>
      <c r="AA759">
        <v>2009.35</v>
      </c>
      <c r="AB759">
        <v>728</v>
      </c>
      <c r="AC759">
        <v>55</v>
      </c>
      <c r="AD759" s="41">
        <f t="shared" si="183"/>
        <v>0.30242396323087256</v>
      </c>
      <c r="AE759" s="41">
        <f t="shared" si="184"/>
        <v>0.42799910418792142</v>
      </c>
      <c r="AF759">
        <f t="shared" si="185"/>
        <v>1.8621135294117648</v>
      </c>
      <c r="AG759">
        <f t="shared" si="186"/>
        <v>0.10306552941176463</v>
      </c>
      <c r="AH759">
        <f t="shared" si="187"/>
        <v>7.28</v>
      </c>
      <c r="AI759">
        <f>HLOOKUP(HLOOKUP(G759,'THP2'!$B$4:$J$8,5,FALSE),'Fuel &amp; Resister'!$B$3:$G$6,4,FALSE)</f>
        <v>1.048259259259259</v>
      </c>
      <c r="AJ759" s="41">
        <f>HLOOKUP(HLOOKUP(G759,'THP2'!$B$4:$J$8,5,FALSE),'Fuel &amp; Resister'!$B$3:$G$6,3,FALSE)</f>
        <v>5.829652622441694</v>
      </c>
      <c r="AO759" s="1">
        <v>1</v>
      </c>
      <c r="AP759" s="62">
        <v>0</v>
      </c>
    </row>
    <row r="760" spans="1:42" x14ac:dyDescent="0.15">
      <c r="A760"/>
      <c r="B760" s="80" t="s">
        <v>616</v>
      </c>
      <c r="C760" s="61">
        <f>VLOOKUP(B760,[1]SYS!$F$5:$G$359,2,FALSE)</f>
        <v>341</v>
      </c>
      <c r="D760" s="1" t="s">
        <v>23</v>
      </c>
      <c r="E760" s="42" t="s">
        <v>144</v>
      </c>
      <c r="F760" s="63" t="s">
        <v>435</v>
      </c>
      <c r="G760" s="1">
        <v>6</v>
      </c>
      <c r="H760" s="1">
        <f t="shared" si="178"/>
        <v>0.30120481927710846</v>
      </c>
      <c r="I760" s="1">
        <f t="shared" si="179"/>
        <v>0.16600000000000001</v>
      </c>
      <c r="J760" s="1">
        <f t="shared" si="177"/>
        <v>6.0000000000000053E-2</v>
      </c>
      <c r="K760" s="1">
        <f t="shared" si="180"/>
        <v>2.4563099999999998</v>
      </c>
      <c r="L760" s="1">
        <f t="shared" si="181"/>
        <v>2.04948</v>
      </c>
      <c r="M760" s="49">
        <f t="shared" si="182"/>
        <v>0.26794885993796153</v>
      </c>
      <c r="N760" s="49">
        <v>1.3280000000000001</v>
      </c>
      <c r="O760" s="1">
        <v>504</v>
      </c>
      <c r="P760" s="51">
        <v>0</v>
      </c>
      <c r="Q760" s="51">
        <v>8</v>
      </c>
      <c r="R760" s="51">
        <v>1</v>
      </c>
      <c r="S760" s="1">
        <v>1</v>
      </c>
      <c r="T760" s="1">
        <v>0</v>
      </c>
      <c r="U760" s="47">
        <v>0</v>
      </c>
      <c r="V760" s="47">
        <v>124</v>
      </c>
      <c r="W760" s="41">
        <v>50</v>
      </c>
      <c r="X760">
        <v>166</v>
      </c>
      <c r="Y760">
        <v>0.94</v>
      </c>
      <c r="Z760">
        <v>2456.31</v>
      </c>
      <c r="AA760">
        <v>2049.48</v>
      </c>
      <c r="AB760">
        <v>132.80000000000001</v>
      </c>
      <c r="AC760">
        <v>55</v>
      </c>
      <c r="AD760" s="41">
        <f t="shared" si="183"/>
        <v>0.35011867394587814</v>
      </c>
      <c r="AE760" s="41">
        <f t="shared" si="184"/>
        <v>0.41961863497082186</v>
      </c>
      <c r="AF760">
        <f t="shared" si="185"/>
        <v>1.8741222413793104</v>
      </c>
      <c r="AG760">
        <f t="shared" si="186"/>
        <v>2.9109387931034472E-2</v>
      </c>
      <c r="AH760">
        <f t="shared" si="187"/>
        <v>1.3280000000000001</v>
      </c>
      <c r="AI760">
        <f>HLOOKUP(HLOOKUP(G760,'THP2'!$B$4:$J$8,5,FALSE),'Fuel &amp; Resister'!$B$3:$G$6,4,FALSE)</f>
        <v>1.048259259259259</v>
      </c>
      <c r="AJ760" s="41">
        <f>HLOOKUP(HLOOKUP(G760,'THP2'!$B$4:$J$8,5,FALSE),'Fuel &amp; Resister'!$B$3:$G$6,3,FALSE)</f>
        <v>5.829652622441694</v>
      </c>
      <c r="AO760" s="1">
        <v>1</v>
      </c>
      <c r="AP760" s="62">
        <v>0</v>
      </c>
    </row>
    <row r="761" spans="1:42" x14ac:dyDescent="0.15">
      <c r="A761"/>
      <c r="B761" s="80" t="s">
        <v>616</v>
      </c>
      <c r="C761" s="61">
        <f>VLOOKUP(B761,[1]SYS!$F$5:$G$359,2,FALSE)</f>
        <v>341</v>
      </c>
      <c r="D761" s="1" t="s">
        <v>23</v>
      </c>
      <c r="E761" s="42" t="s">
        <v>145</v>
      </c>
      <c r="F761" s="42" t="s">
        <v>421</v>
      </c>
      <c r="G761" s="1">
        <v>6</v>
      </c>
      <c r="H761" s="1">
        <f t="shared" si="178"/>
        <v>0.15</v>
      </c>
      <c r="I761" s="1">
        <f t="shared" si="179"/>
        <v>0.7</v>
      </c>
      <c r="J761" s="1">
        <f t="shared" si="177"/>
        <v>5.8000000000000052E-2</v>
      </c>
      <c r="K761" s="1">
        <f t="shared" si="180"/>
        <v>2.91106</v>
      </c>
      <c r="L761" s="1">
        <f t="shared" si="181"/>
        <v>2.0569499999999996</v>
      </c>
      <c r="M761" s="49">
        <f t="shared" si="182"/>
        <v>1.1340231386773538</v>
      </c>
      <c r="N761" s="49">
        <v>7.28</v>
      </c>
      <c r="O761" s="1">
        <v>401</v>
      </c>
      <c r="P761" s="51">
        <v>0.05</v>
      </c>
      <c r="Q761" s="51">
        <v>8</v>
      </c>
      <c r="R761" s="51">
        <v>1</v>
      </c>
      <c r="S761" s="1">
        <v>1</v>
      </c>
      <c r="T761" s="1">
        <v>0</v>
      </c>
      <c r="U761" s="47">
        <v>0</v>
      </c>
      <c r="V761" s="47">
        <v>125</v>
      </c>
      <c r="W761" s="41">
        <v>105</v>
      </c>
      <c r="X761">
        <v>700</v>
      </c>
      <c r="Y761">
        <v>0.94199999999999995</v>
      </c>
      <c r="Z761">
        <v>2911.06</v>
      </c>
      <c r="AA761">
        <v>2056.9499999999998</v>
      </c>
      <c r="AB761">
        <v>728</v>
      </c>
      <c r="AC761">
        <v>55</v>
      </c>
      <c r="AD761" s="41">
        <f t="shared" si="183"/>
        <v>0.29542503417998944</v>
      </c>
      <c r="AE761" s="41">
        <f t="shared" si="184"/>
        <v>0.41809475193854984</v>
      </c>
      <c r="AF761">
        <f t="shared" si="185"/>
        <v>1.9062247058823527</v>
      </c>
      <c r="AG761">
        <f t="shared" si="186"/>
        <v>0.10550770588235282</v>
      </c>
      <c r="AH761">
        <f t="shared" si="187"/>
        <v>7.28</v>
      </c>
      <c r="AI761">
        <f>HLOOKUP(HLOOKUP(G761,'THP2'!$B$4:$J$8,5,FALSE),'Fuel &amp; Resister'!$B$3:$G$6,4,FALSE)</f>
        <v>1.048259259259259</v>
      </c>
      <c r="AJ761" s="41">
        <f>HLOOKUP(HLOOKUP(G761,'THP2'!$B$4:$J$8,5,FALSE),'Fuel &amp; Resister'!$B$3:$G$6,3,FALSE)</f>
        <v>5.829652622441694</v>
      </c>
      <c r="AO761" s="1">
        <v>1</v>
      </c>
      <c r="AP761" s="1">
        <v>1</v>
      </c>
    </row>
    <row r="762" spans="1:42" x14ac:dyDescent="0.15">
      <c r="A762"/>
      <c r="B762" s="80" t="s">
        <v>615</v>
      </c>
      <c r="C762" s="61">
        <f>VLOOKUP(B762,[1]SYS!$F$5:$G$359,2,FALSE)</f>
        <v>332</v>
      </c>
      <c r="D762" s="1" t="s">
        <v>23</v>
      </c>
      <c r="E762" s="42" t="s">
        <v>146</v>
      </c>
      <c r="F762" s="63" t="s">
        <v>434</v>
      </c>
      <c r="G762" s="1">
        <v>6</v>
      </c>
      <c r="H762" s="1">
        <f t="shared" si="178"/>
        <v>0.35</v>
      </c>
      <c r="I762" s="1">
        <f t="shared" si="179"/>
        <v>1</v>
      </c>
      <c r="J762" s="1">
        <f t="shared" si="177"/>
        <v>5.149999999999999E-2</v>
      </c>
      <c r="K762" s="1">
        <f t="shared" si="180"/>
        <v>2.4436499999999999</v>
      </c>
      <c r="L762" s="1">
        <f t="shared" si="181"/>
        <v>2.1000100000000002</v>
      </c>
      <c r="M762" s="49">
        <f t="shared" si="182"/>
        <v>1.653946676566088</v>
      </c>
      <c r="N762" s="49">
        <v>15</v>
      </c>
      <c r="O762" s="1">
        <v>403</v>
      </c>
      <c r="P762" s="51">
        <v>0.05</v>
      </c>
      <c r="Q762" s="51">
        <v>8</v>
      </c>
      <c r="R762" s="51">
        <v>1</v>
      </c>
      <c r="S762" s="1">
        <v>1</v>
      </c>
      <c r="T762" s="1">
        <v>0</v>
      </c>
      <c r="U762" s="47">
        <v>0</v>
      </c>
      <c r="V762" s="47">
        <v>126</v>
      </c>
      <c r="W762" s="41">
        <v>350</v>
      </c>
      <c r="X762">
        <v>1000</v>
      </c>
      <c r="Y762">
        <v>0.94850000000000001</v>
      </c>
      <c r="Z762">
        <v>2443.65</v>
      </c>
      <c r="AA762">
        <v>2100.0100000000002</v>
      </c>
      <c r="AB762">
        <v>1500</v>
      </c>
      <c r="AC762">
        <v>55</v>
      </c>
      <c r="AD762" s="41">
        <f t="shared" si="183"/>
        <v>0.35193255990014938</v>
      </c>
      <c r="AE762" s="41">
        <f t="shared" si="184"/>
        <v>0.40952185941971697</v>
      </c>
      <c r="AF762">
        <f t="shared" si="185"/>
        <v>1.9149730769230773</v>
      </c>
      <c r="AG762">
        <f t="shared" si="186"/>
        <v>0.18503692307692288</v>
      </c>
      <c r="AH762">
        <f t="shared" si="187"/>
        <v>15</v>
      </c>
      <c r="AI762">
        <f>HLOOKUP(HLOOKUP(G762,'THP2'!$B$4:$J$8,5,FALSE),'Fuel &amp; Resister'!$B$3:$G$6,4,FALSE)</f>
        <v>1.048259259259259</v>
      </c>
      <c r="AJ762" s="41">
        <f>HLOOKUP(HLOOKUP(G762,'THP2'!$B$4:$J$8,5,FALSE),'Fuel &amp; Resister'!$B$3:$G$6,3,FALSE)</f>
        <v>5.829652622441694</v>
      </c>
      <c r="AO762" s="1">
        <v>1</v>
      </c>
      <c r="AP762" s="1">
        <v>1</v>
      </c>
    </row>
    <row r="763" spans="1:42" x14ac:dyDescent="0.15">
      <c r="A763"/>
      <c r="B763" s="80" t="s">
        <v>617</v>
      </c>
      <c r="C763" s="61">
        <f>VLOOKUP(B763,[1]SYS!$F$5:$G$359,2,FALSE)</f>
        <v>324</v>
      </c>
      <c r="D763" s="1" t="s">
        <v>23</v>
      </c>
      <c r="E763" s="65" t="s">
        <v>39</v>
      </c>
      <c r="F763" s="63" t="s">
        <v>436</v>
      </c>
      <c r="G763" s="1">
        <v>6</v>
      </c>
      <c r="H763" s="1">
        <f t="shared" si="178"/>
        <v>0.3</v>
      </c>
      <c r="I763" s="1">
        <f t="shared" si="179"/>
        <v>0.3</v>
      </c>
      <c r="J763" s="1">
        <f t="shared" si="177"/>
        <v>6.0000000000000053E-2</v>
      </c>
      <c r="K763" s="1">
        <f t="shared" si="180"/>
        <v>2.5767800000000003</v>
      </c>
      <c r="L763" s="1">
        <f t="shared" si="181"/>
        <v>2.15</v>
      </c>
      <c r="M763" s="49">
        <f t="shared" si="182"/>
        <v>0.50799548877630429</v>
      </c>
      <c r="N763" s="49">
        <v>2.7367000000000004</v>
      </c>
      <c r="O763" s="1">
        <v>1103</v>
      </c>
      <c r="P763" s="51">
        <v>0.05</v>
      </c>
      <c r="Q763" s="51">
        <v>8</v>
      </c>
      <c r="R763" s="51">
        <v>1</v>
      </c>
      <c r="S763" s="1">
        <v>1</v>
      </c>
      <c r="T763" s="1">
        <v>0</v>
      </c>
      <c r="U763" s="47">
        <v>1</v>
      </c>
      <c r="V763" s="47">
        <v>127</v>
      </c>
      <c r="W763" s="41">
        <v>90</v>
      </c>
      <c r="X763">
        <v>300</v>
      </c>
      <c r="Y763">
        <v>0.94</v>
      </c>
      <c r="Z763">
        <v>2576.7800000000002</v>
      </c>
      <c r="AA763">
        <v>2150</v>
      </c>
      <c r="AB763">
        <v>273.67</v>
      </c>
      <c r="AC763">
        <v>55</v>
      </c>
      <c r="AD763" s="41">
        <f t="shared" si="183"/>
        <v>0.33374987387359417</v>
      </c>
      <c r="AE763" s="41">
        <f t="shared" si="184"/>
        <v>0.4</v>
      </c>
      <c r="AF763">
        <f t="shared" si="185"/>
        <v>1.9670942857142857</v>
      </c>
      <c r="AG763">
        <f t="shared" si="186"/>
        <v>5.4871714285714267E-2</v>
      </c>
      <c r="AH763">
        <f t="shared" si="187"/>
        <v>2.7367000000000004</v>
      </c>
      <c r="AI763">
        <f>HLOOKUP(HLOOKUP(G763,'THP2'!$B$4:$J$8,5,FALSE),'Fuel &amp; Resister'!$B$3:$G$6,4,FALSE)</f>
        <v>1.048259259259259</v>
      </c>
      <c r="AJ763" s="41">
        <f>HLOOKUP(HLOOKUP(G763,'THP2'!$B$4:$J$8,5,FALSE),'Fuel &amp; Resister'!$B$3:$G$6,3,FALSE)</f>
        <v>5.829652622441694</v>
      </c>
      <c r="AO763" s="1">
        <v>1</v>
      </c>
      <c r="AP763" s="1">
        <v>1</v>
      </c>
    </row>
    <row r="764" spans="1:42" x14ac:dyDescent="0.15">
      <c r="A764"/>
      <c r="B764" s="80" t="s">
        <v>618</v>
      </c>
      <c r="C764" s="61">
        <f>VLOOKUP(B764,[1]SYS!$F$5:$G$359,2,FALSE)</f>
        <v>308</v>
      </c>
      <c r="D764" s="1" t="s">
        <v>23</v>
      </c>
      <c r="E764" s="42" t="s">
        <v>40</v>
      </c>
      <c r="F764" s="63" t="s">
        <v>437</v>
      </c>
      <c r="G764" s="1">
        <v>6</v>
      </c>
      <c r="H764" s="1">
        <f t="shared" si="178"/>
        <v>0.30434782608695654</v>
      </c>
      <c r="I764" s="1">
        <f t="shared" si="179"/>
        <v>9.1999999999999998E-2</v>
      </c>
      <c r="J764" s="1">
        <f t="shared" si="177"/>
        <v>6.3999999999999946E-2</v>
      </c>
      <c r="K764" s="1">
        <f t="shared" si="180"/>
        <v>2.6005400000000001</v>
      </c>
      <c r="L764" s="1">
        <f t="shared" si="181"/>
        <v>2.1698300000000001</v>
      </c>
      <c r="M764" s="49">
        <f t="shared" si="182"/>
        <v>0.15722213074396424</v>
      </c>
      <c r="N764" s="49">
        <v>0.73599999999999999</v>
      </c>
      <c r="O764" s="1">
        <v>603</v>
      </c>
      <c r="P764" s="51">
        <v>0.05</v>
      </c>
      <c r="Q764" s="51">
        <v>8</v>
      </c>
      <c r="R764" s="51">
        <v>1</v>
      </c>
      <c r="S764" s="1">
        <v>1</v>
      </c>
      <c r="T764" s="1">
        <v>0</v>
      </c>
      <c r="U764" s="47">
        <v>0</v>
      </c>
      <c r="V764" s="47">
        <v>128</v>
      </c>
      <c r="W764" s="41">
        <v>28</v>
      </c>
      <c r="X764">
        <v>92</v>
      </c>
      <c r="Y764">
        <v>0.93600000000000005</v>
      </c>
      <c r="Z764">
        <v>2600.54</v>
      </c>
      <c r="AA764">
        <v>2169.83</v>
      </c>
      <c r="AB764">
        <v>73.599999999999994</v>
      </c>
      <c r="AC764">
        <v>55</v>
      </c>
      <c r="AD764" s="41">
        <f t="shared" si="183"/>
        <v>0.33070054680950883</v>
      </c>
      <c r="AE764" s="41">
        <f t="shared" si="184"/>
        <v>0.39634441407852228</v>
      </c>
      <c r="AF764">
        <f t="shared" si="185"/>
        <v>1.9813943749999998</v>
      </c>
      <c r="AG764">
        <f t="shared" si="186"/>
        <v>1.7336077500000029E-2</v>
      </c>
      <c r="AH764">
        <f t="shared" si="187"/>
        <v>0.73599999999999999</v>
      </c>
      <c r="AI764">
        <f>HLOOKUP(HLOOKUP(G764,'THP2'!$B$4:$J$8,5,FALSE),'Fuel &amp; Resister'!$B$3:$G$6,4,FALSE)</f>
        <v>1.048259259259259</v>
      </c>
      <c r="AJ764" s="41">
        <f>HLOOKUP(HLOOKUP(G764,'THP2'!$B$4:$J$8,5,FALSE),'Fuel &amp; Resister'!$B$3:$G$6,3,FALSE)</f>
        <v>5.829652622441694</v>
      </c>
      <c r="AO764" s="1">
        <v>1</v>
      </c>
      <c r="AP764" s="1">
        <v>1</v>
      </c>
    </row>
    <row r="765" spans="1:42" x14ac:dyDescent="0.15">
      <c r="A765"/>
      <c r="B765" s="80" t="s">
        <v>619</v>
      </c>
      <c r="C765" s="61">
        <f>VLOOKUP(B765,[1]SYS!$F$5:$G$359,2,FALSE)</f>
        <v>321</v>
      </c>
      <c r="D765" s="1" t="s">
        <v>23</v>
      </c>
      <c r="E765" s="65" t="s">
        <v>41</v>
      </c>
      <c r="F765" s="63" t="s">
        <v>528</v>
      </c>
      <c r="G765" s="1">
        <v>6</v>
      </c>
      <c r="H765" s="1">
        <f t="shared" si="178"/>
        <v>0.30434782608695654</v>
      </c>
      <c r="I765" s="1">
        <f t="shared" si="179"/>
        <v>0.115</v>
      </c>
      <c r="J765" s="1">
        <f t="shared" ref="J765:J828" si="188">1-Y765</f>
        <v>6.3999999999999946E-2</v>
      </c>
      <c r="K765" s="1">
        <f t="shared" si="180"/>
        <v>2.6005400000000001</v>
      </c>
      <c r="L765" s="1">
        <f t="shared" si="181"/>
        <v>2.1698300000000001</v>
      </c>
      <c r="M765" s="49">
        <f t="shared" si="182"/>
        <v>0.19652766342995531</v>
      </c>
      <c r="N765" s="49">
        <v>0.92</v>
      </c>
      <c r="O765" s="1">
        <v>201</v>
      </c>
      <c r="P765" s="51">
        <v>0</v>
      </c>
      <c r="Q765" s="51">
        <v>8</v>
      </c>
      <c r="R765" s="51">
        <v>1</v>
      </c>
      <c r="S765" s="1">
        <v>1</v>
      </c>
      <c r="T765" s="1">
        <v>0</v>
      </c>
      <c r="U765" s="47">
        <v>1</v>
      </c>
      <c r="V765" s="47">
        <v>129</v>
      </c>
      <c r="W765" s="41">
        <v>35</v>
      </c>
      <c r="X765">
        <v>115</v>
      </c>
      <c r="Y765">
        <v>0.93600000000000005</v>
      </c>
      <c r="Z765">
        <v>2600.54</v>
      </c>
      <c r="AA765">
        <v>2169.83</v>
      </c>
      <c r="AB765">
        <v>92</v>
      </c>
      <c r="AC765">
        <v>55</v>
      </c>
      <c r="AD765" s="41">
        <f t="shared" si="183"/>
        <v>0.33070054680950883</v>
      </c>
      <c r="AE765" s="41">
        <f t="shared" si="184"/>
        <v>0.39634441407852228</v>
      </c>
      <c r="AF765">
        <f t="shared" si="185"/>
        <v>1.9813943749999998</v>
      </c>
      <c r="AG765">
        <f t="shared" si="186"/>
        <v>2.1670096875000038E-2</v>
      </c>
      <c r="AH765">
        <f t="shared" si="187"/>
        <v>0.92</v>
      </c>
      <c r="AI765">
        <f>HLOOKUP(HLOOKUP(G765,'THP2'!$B$4:$J$8,5,FALSE),'Fuel &amp; Resister'!$B$3:$G$6,4,FALSE)</f>
        <v>1.048259259259259</v>
      </c>
      <c r="AJ765" s="41">
        <f>HLOOKUP(HLOOKUP(G765,'THP2'!$B$4:$J$8,5,FALSE),'Fuel &amp; Resister'!$B$3:$G$6,3,FALSE)</f>
        <v>5.829652622441694</v>
      </c>
      <c r="AO765" s="1">
        <v>1</v>
      </c>
      <c r="AP765" s="1">
        <v>1</v>
      </c>
    </row>
    <row r="766" spans="1:42" x14ac:dyDescent="0.15">
      <c r="A766"/>
      <c r="B766" s="80" t="s">
        <v>618</v>
      </c>
      <c r="C766" s="61">
        <f>VLOOKUP(B766,[1]SYS!$F$5:$G$359,2,FALSE)</f>
        <v>308</v>
      </c>
      <c r="D766" s="1" t="s">
        <v>23</v>
      </c>
      <c r="E766" s="65" t="s">
        <v>42</v>
      </c>
      <c r="F766" s="63" t="s">
        <v>471</v>
      </c>
      <c r="G766" s="1">
        <v>6</v>
      </c>
      <c r="H766" s="1">
        <f t="shared" ref="H766:H829" si="189">W766/X766</f>
        <v>0.30476190476190479</v>
      </c>
      <c r="I766" s="1">
        <f t="shared" ref="I766:I829" si="190">X766/1000</f>
        <v>0.105</v>
      </c>
      <c r="J766" s="1">
        <f t="shared" si="188"/>
        <v>6.3999999999999946E-2</v>
      </c>
      <c r="K766" s="1">
        <f t="shared" ref="K766:K829" si="191">Z766/1000</f>
        <v>2.6005400000000001</v>
      </c>
      <c r="L766" s="1">
        <f t="shared" ref="L766:L829" si="192">AA766/1000</f>
        <v>2.1698300000000001</v>
      </c>
      <c r="M766" s="49">
        <f t="shared" ref="M766:M769" si="193">(I766*10^6*L766/AJ766*AI766/10^6)*24*365/1000*$A$638</f>
        <v>0.17943830139256792</v>
      </c>
      <c r="N766" s="49">
        <v>0.84</v>
      </c>
      <c r="O766" s="1">
        <v>1103</v>
      </c>
      <c r="P766" s="51">
        <v>0</v>
      </c>
      <c r="Q766" s="51">
        <v>8</v>
      </c>
      <c r="R766" s="51">
        <v>1</v>
      </c>
      <c r="S766" s="1">
        <v>1</v>
      </c>
      <c r="T766" s="1">
        <v>0</v>
      </c>
      <c r="U766" s="47">
        <v>1</v>
      </c>
      <c r="V766" s="47">
        <v>130</v>
      </c>
      <c r="W766" s="41">
        <v>32</v>
      </c>
      <c r="X766">
        <v>105</v>
      </c>
      <c r="Y766">
        <v>0.93600000000000005</v>
      </c>
      <c r="Z766">
        <v>2600.54</v>
      </c>
      <c r="AA766">
        <v>2169.83</v>
      </c>
      <c r="AB766">
        <v>84</v>
      </c>
      <c r="AC766">
        <v>55</v>
      </c>
      <c r="AD766" s="41">
        <f t="shared" ref="AD766:AD773" si="194">1/Z766*860</f>
        <v>0.33070054680950883</v>
      </c>
      <c r="AE766" s="41">
        <f t="shared" ref="AE766:AE773" si="195">1/AA766*860</f>
        <v>0.39634441407852228</v>
      </c>
      <c r="AF766">
        <f t="shared" ref="AF766:AF773" si="196">(L766-H766*K766)/(1-H766)</f>
        <v>1.9810256164383564</v>
      </c>
      <c r="AG766">
        <f t="shared" ref="AG766:AG773" si="197">I766*(L766-AF766)</f>
        <v>1.9824460273972593E-2</v>
      </c>
      <c r="AH766">
        <f t="shared" ref="AH766:AH773" si="198">AB766/100</f>
        <v>0.84</v>
      </c>
      <c r="AI766">
        <f>HLOOKUP(HLOOKUP(G766,'THP2'!$B$4:$J$8,5,FALSE),'Fuel &amp; Resister'!$B$3:$G$6,4,FALSE)</f>
        <v>1.048259259259259</v>
      </c>
      <c r="AJ766" s="41">
        <f>HLOOKUP(HLOOKUP(G766,'THP2'!$B$4:$J$8,5,FALSE),'Fuel &amp; Resister'!$B$3:$G$6,3,FALSE)</f>
        <v>5.829652622441694</v>
      </c>
      <c r="AO766" s="1">
        <v>1</v>
      </c>
      <c r="AP766" s="1">
        <v>1</v>
      </c>
    </row>
    <row r="767" spans="1:42" x14ac:dyDescent="0.15">
      <c r="A767"/>
      <c r="B767" s="80" t="s">
        <v>619</v>
      </c>
      <c r="C767" s="61">
        <f>VLOOKUP(B767,[1]SYS!$F$5:$G$359,2,FALSE)</f>
        <v>321</v>
      </c>
      <c r="D767" s="1" t="s">
        <v>23</v>
      </c>
      <c r="E767" s="65" t="s">
        <v>147</v>
      </c>
      <c r="F767" s="63" t="s">
        <v>470</v>
      </c>
      <c r="G767" s="1">
        <v>6</v>
      </c>
      <c r="H767" s="1">
        <f t="shared" si="189"/>
        <v>0.5</v>
      </c>
      <c r="I767" s="1">
        <f t="shared" si="190"/>
        <v>0.36</v>
      </c>
      <c r="J767" s="1">
        <f t="shared" si="188"/>
        <v>7.1999999999999953E-2</v>
      </c>
      <c r="K767" s="1">
        <f t="shared" si="191"/>
        <v>2.45506</v>
      </c>
      <c r="L767" s="1">
        <f t="shared" si="192"/>
        <v>2.2939499999999997</v>
      </c>
      <c r="M767" s="49">
        <f t="shared" si="193"/>
        <v>0.65040907059259712</v>
      </c>
      <c r="N767" s="49">
        <v>3.4186999999999999</v>
      </c>
      <c r="O767" s="1">
        <v>1004</v>
      </c>
      <c r="P767" s="51">
        <v>0.05</v>
      </c>
      <c r="Q767" s="51">
        <v>8</v>
      </c>
      <c r="R767" s="51">
        <v>1</v>
      </c>
      <c r="S767" s="1">
        <v>1</v>
      </c>
      <c r="T767" s="1">
        <v>0</v>
      </c>
      <c r="U767" s="47">
        <v>1</v>
      </c>
      <c r="V767" s="47">
        <v>131</v>
      </c>
      <c r="W767" s="41">
        <v>180</v>
      </c>
      <c r="X767">
        <v>360</v>
      </c>
      <c r="Y767">
        <v>0.92800000000000005</v>
      </c>
      <c r="Z767">
        <v>2455.06</v>
      </c>
      <c r="AA767">
        <v>2293.9499999999998</v>
      </c>
      <c r="AB767">
        <v>341.87</v>
      </c>
      <c r="AC767">
        <v>55</v>
      </c>
      <c r="AD767" s="41">
        <f t="shared" si="194"/>
        <v>0.35029693775304882</v>
      </c>
      <c r="AE767" s="41">
        <f t="shared" si="195"/>
        <v>0.37489919135116284</v>
      </c>
      <c r="AF767">
        <f t="shared" si="196"/>
        <v>2.1328399999999994</v>
      </c>
      <c r="AG767">
        <f t="shared" si="197"/>
        <v>5.7999600000000109E-2</v>
      </c>
      <c r="AH767">
        <f t="shared" si="198"/>
        <v>3.4186999999999999</v>
      </c>
      <c r="AI767">
        <f>HLOOKUP(HLOOKUP(G767,'THP2'!$B$4:$J$8,5,FALSE),'Fuel &amp; Resister'!$B$3:$G$6,4,FALSE)</f>
        <v>1.048259259259259</v>
      </c>
      <c r="AJ767" s="41">
        <f>HLOOKUP(HLOOKUP(G767,'THP2'!$B$4:$J$8,5,FALSE),'Fuel &amp; Resister'!$B$3:$G$6,3,FALSE)</f>
        <v>5.829652622441694</v>
      </c>
      <c r="AO767" s="1">
        <v>1</v>
      </c>
      <c r="AP767" s="1">
        <v>1</v>
      </c>
    </row>
    <row r="768" spans="1:42" x14ac:dyDescent="0.15">
      <c r="A768"/>
      <c r="B768" s="80" t="s">
        <v>618</v>
      </c>
      <c r="C768" s="61">
        <f>VLOOKUP(B768,[1]SYS!$F$5:$G$359,2,FALSE)</f>
        <v>308</v>
      </c>
      <c r="D768" s="1" t="s">
        <v>23</v>
      </c>
      <c r="E768" s="65" t="s">
        <v>43</v>
      </c>
      <c r="F768" s="42"/>
      <c r="G768" s="1">
        <v>6</v>
      </c>
      <c r="H768" s="1">
        <f t="shared" si="189"/>
        <v>0.3</v>
      </c>
      <c r="I768" s="1">
        <f t="shared" si="190"/>
        <v>0.05</v>
      </c>
      <c r="J768" s="1">
        <f t="shared" si="188"/>
        <v>6.0000000000000053E-2</v>
      </c>
      <c r="K768" s="1">
        <f t="shared" si="191"/>
        <v>2.7485599999999999</v>
      </c>
      <c r="L768" s="1">
        <f t="shared" si="192"/>
        <v>2.2933300000000001</v>
      </c>
      <c r="M768" s="49">
        <f t="shared" si="193"/>
        <v>9.0310177850803239E-2</v>
      </c>
      <c r="N768" s="49">
        <v>0.4</v>
      </c>
      <c r="O768" s="1">
        <v>901</v>
      </c>
      <c r="P768" s="51">
        <v>0</v>
      </c>
      <c r="Q768" s="51">
        <v>8</v>
      </c>
      <c r="R768" s="51">
        <v>1</v>
      </c>
      <c r="S768" s="1">
        <v>1</v>
      </c>
      <c r="T768" s="1">
        <v>0</v>
      </c>
      <c r="U768" s="47">
        <v>1</v>
      </c>
      <c r="V768" s="47">
        <v>132</v>
      </c>
      <c r="W768" s="41">
        <v>15</v>
      </c>
      <c r="X768">
        <v>50</v>
      </c>
      <c r="Y768">
        <v>0.94</v>
      </c>
      <c r="Z768">
        <v>2748.56</v>
      </c>
      <c r="AA768">
        <v>2293.33</v>
      </c>
      <c r="AB768">
        <v>40</v>
      </c>
      <c r="AC768">
        <v>55</v>
      </c>
      <c r="AD768" s="41">
        <f t="shared" si="194"/>
        <v>0.31289111389236546</v>
      </c>
      <c r="AE768" s="41">
        <f t="shared" si="195"/>
        <v>0.37500054505893177</v>
      </c>
      <c r="AF768">
        <f t="shared" si="196"/>
        <v>2.0982314285714287</v>
      </c>
      <c r="AG768">
        <f t="shared" si="197"/>
        <v>9.7549285714285672E-3</v>
      </c>
      <c r="AH768">
        <f t="shared" si="198"/>
        <v>0.4</v>
      </c>
      <c r="AI768">
        <f>HLOOKUP(HLOOKUP(G768,'THP2'!$B$4:$J$8,5,FALSE),'Fuel &amp; Resister'!$B$3:$G$6,4,FALSE)</f>
        <v>1.048259259259259</v>
      </c>
      <c r="AJ768" s="41">
        <f>HLOOKUP(HLOOKUP(G768,'THP2'!$B$4:$J$8,5,FALSE),'Fuel &amp; Resister'!$B$3:$G$6,3,FALSE)</f>
        <v>5.829652622441694</v>
      </c>
      <c r="AO768" s="1">
        <v>1</v>
      </c>
      <c r="AP768" s="1">
        <v>1</v>
      </c>
    </row>
    <row r="769" spans="1:42" x14ac:dyDescent="0.15">
      <c r="A769"/>
      <c r="B769" s="80" t="s">
        <v>618</v>
      </c>
      <c r="C769" s="61">
        <f>VLOOKUP(B769,[1]SYS!$F$5:$G$359,2,FALSE)</f>
        <v>308</v>
      </c>
      <c r="D769" s="1" t="s">
        <v>23</v>
      </c>
      <c r="E769" s="65" t="s">
        <v>44</v>
      </c>
      <c r="F769" s="63" t="s">
        <v>469</v>
      </c>
      <c r="G769" s="1">
        <v>6</v>
      </c>
      <c r="H769" s="1">
        <f t="shared" si="189"/>
        <v>0.30201342281879195</v>
      </c>
      <c r="I769" s="1">
        <f t="shared" si="190"/>
        <v>0.14899999999999999</v>
      </c>
      <c r="J769" s="1">
        <f t="shared" si="188"/>
        <v>7.6400000000000023E-2</v>
      </c>
      <c r="K769" s="1">
        <f t="shared" si="191"/>
        <v>3.0049899999999998</v>
      </c>
      <c r="L769" s="1">
        <f t="shared" si="192"/>
        <v>2.5072899999999998</v>
      </c>
      <c r="M769" s="49">
        <f t="shared" si="193"/>
        <v>0.29423272767292558</v>
      </c>
      <c r="N769" s="49">
        <v>1.1919999999999999</v>
      </c>
      <c r="O769" s="1">
        <v>403</v>
      </c>
      <c r="P769" s="51">
        <v>0</v>
      </c>
      <c r="Q769" s="51">
        <v>8</v>
      </c>
      <c r="R769" s="51">
        <v>1</v>
      </c>
      <c r="S769" s="1">
        <v>1</v>
      </c>
      <c r="T769" s="1">
        <v>0</v>
      </c>
      <c r="U769" s="47">
        <v>1</v>
      </c>
      <c r="V769" s="47">
        <v>133</v>
      </c>
      <c r="W769" s="41">
        <v>45</v>
      </c>
      <c r="X769">
        <v>149</v>
      </c>
      <c r="Y769">
        <v>0.92359999999999998</v>
      </c>
      <c r="Z769">
        <v>3004.99</v>
      </c>
      <c r="AA769">
        <v>2507.29</v>
      </c>
      <c r="AB769">
        <v>119.2</v>
      </c>
      <c r="AC769">
        <v>55</v>
      </c>
      <c r="AD769" s="41">
        <f t="shared" si="194"/>
        <v>0.28619063624171798</v>
      </c>
      <c r="AE769" s="41">
        <f t="shared" si="195"/>
        <v>0.34299981254661405</v>
      </c>
      <c r="AF769">
        <f t="shared" si="196"/>
        <v>2.2919390384615381</v>
      </c>
      <c r="AG769">
        <f t="shared" si="197"/>
        <v>3.2087293269230786E-2</v>
      </c>
      <c r="AH769">
        <f t="shared" si="198"/>
        <v>1.1919999999999999</v>
      </c>
      <c r="AI769">
        <f>HLOOKUP(HLOOKUP(G769,'THP2'!$B$4:$J$8,5,FALSE),'Fuel &amp; Resister'!$B$3:$G$6,4,FALSE)</f>
        <v>1.048259259259259</v>
      </c>
      <c r="AJ769" s="41">
        <f>HLOOKUP(HLOOKUP(G769,'THP2'!$B$4:$J$8,5,FALSE),'Fuel &amp; Resister'!$B$3:$G$6,3,FALSE)</f>
        <v>5.829652622441694</v>
      </c>
      <c r="AO769" s="1">
        <v>1</v>
      </c>
      <c r="AP769" s="1">
        <v>1</v>
      </c>
    </row>
    <row r="770" spans="1:42" x14ac:dyDescent="0.15">
      <c r="A770"/>
      <c r="B770" s="82" t="s">
        <v>620</v>
      </c>
      <c r="C770" s="61">
        <f>VLOOKUP(B770,[1]SYS!$F$5:$G$359,2,FALSE)</f>
        <v>0</v>
      </c>
      <c r="D770" s="1" t="s">
        <v>50</v>
      </c>
      <c r="E770" s="65" t="s">
        <v>422</v>
      </c>
      <c r="F770" s="63" t="s">
        <v>423</v>
      </c>
      <c r="G770" s="1">
        <v>7</v>
      </c>
      <c r="H770" s="1">
        <f t="shared" si="189"/>
        <v>0.40070298769771528</v>
      </c>
      <c r="I770" s="1">
        <f t="shared" si="190"/>
        <v>0.56899999999999995</v>
      </c>
      <c r="J770" s="1">
        <f t="shared" si="188"/>
        <v>2.0000000000000018E-2</v>
      </c>
      <c r="K770" s="1">
        <f t="shared" si="191"/>
        <v>2.0585200000000001</v>
      </c>
      <c r="L770" s="1">
        <f t="shared" si="192"/>
        <v>1.5779799999999999</v>
      </c>
      <c r="M770" s="49">
        <f>(I770*10^6*L770/AJ770*AI770/10^6)*24*365/1000*$A$772</f>
        <v>1.4574744528843446</v>
      </c>
      <c r="N770" s="49">
        <v>1.5436000000000001</v>
      </c>
      <c r="O770" s="1">
        <v>401</v>
      </c>
      <c r="P770" s="51">
        <v>0.05</v>
      </c>
      <c r="Q770" s="51">
        <v>11</v>
      </c>
      <c r="R770" s="51">
        <v>1</v>
      </c>
      <c r="S770" s="1">
        <v>1</v>
      </c>
      <c r="T770" s="1">
        <v>0</v>
      </c>
      <c r="U770" s="47">
        <v>1</v>
      </c>
      <c r="V770" s="47">
        <v>134</v>
      </c>
      <c r="W770" s="41">
        <v>228</v>
      </c>
      <c r="X770">
        <v>569</v>
      </c>
      <c r="Y770">
        <v>0.98</v>
      </c>
      <c r="Z770">
        <v>2058.52</v>
      </c>
      <c r="AA770">
        <v>1577.98</v>
      </c>
      <c r="AB770">
        <v>154.36000000000001</v>
      </c>
      <c r="AC770">
        <v>36</v>
      </c>
      <c r="AD770" s="41">
        <f t="shared" si="194"/>
        <v>0.41777587781512932</v>
      </c>
      <c r="AE770" s="41">
        <f t="shared" si="195"/>
        <v>0.54500057034943405</v>
      </c>
      <c r="AF770">
        <f t="shared" si="196"/>
        <v>1.2566805278592372</v>
      </c>
      <c r="AG770">
        <f t="shared" si="197"/>
        <v>0.18281939964809396</v>
      </c>
      <c r="AH770">
        <f t="shared" si="198"/>
        <v>1.5436000000000001</v>
      </c>
      <c r="AI770">
        <f>HLOOKUP(HLOOKUP(G770,'THP2'!$B$4:$J$8,5,FALSE),'Fuel &amp; Resister'!$B$3:$G$6,4,FALSE)</f>
        <v>2.7360666666666664</v>
      </c>
      <c r="AJ770" s="41">
        <f>HLOOKUP(HLOOKUP(G770,'THP2'!$B$4:$J$8,5,FALSE),'Fuel &amp; Resister'!$B$3:$G$6,3,FALSE)</f>
        <v>13.019</v>
      </c>
      <c r="AO770" s="1"/>
      <c r="AP770" s="1"/>
    </row>
    <row r="771" spans="1:42" x14ac:dyDescent="0.15">
      <c r="A771" s="41" t="s">
        <v>677</v>
      </c>
      <c r="B771" s="82" t="s">
        <v>620</v>
      </c>
      <c r="C771" s="61">
        <f>VLOOKUP(B771,[1]SYS!$F$5:$G$359,2,FALSE)</f>
        <v>0</v>
      </c>
      <c r="D771" s="1" t="s">
        <v>50</v>
      </c>
      <c r="E771" s="65" t="s">
        <v>424</v>
      </c>
      <c r="F771" s="63" t="s">
        <v>423</v>
      </c>
      <c r="G771" s="1">
        <v>7</v>
      </c>
      <c r="H771" s="1">
        <f t="shared" si="189"/>
        <v>0.40070298769771528</v>
      </c>
      <c r="I771" s="1">
        <f t="shared" si="190"/>
        <v>0.56899999999999995</v>
      </c>
      <c r="J771" s="1">
        <f t="shared" si="188"/>
        <v>2.0000000000000018E-2</v>
      </c>
      <c r="K771" s="1">
        <f t="shared" si="191"/>
        <v>2.0585200000000001</v>
      </c>
      <c r="L771" s="1">
        <f t="shared" si="192"/>
        <v>1.5779799999999999</v>
      </c>
      <c r="M771" s="49">
        <f t="shared" ref="M771:M834" si="199">(I771*10^6*L771/AJ771*AI771/10^6)*24*365/1000*$A$772</f>
        <v>1.4574744528843446</v>
      </c>
      <c r="N771" s="49">
        <v>1.5436000000000001</v>
      </c>
      <c r="O771" s="1">
        <v>913</v>
      </c>
      <c r="P771" s="51">
        <v>0.05</v>
      </c>
      <c r="Q771" s="51">
        <v>11</v>
      </c>
      <c r="R771" s="51">
        <v>1</v>
      </c>
      <c r="S771" s="1">
        <v>1</v>
      </c>
      <c r="T771" s="1">
        <v>0</v>
      </c>
      <c r="U771" s="47">
        <v>1</v>
      </c>
      <c r="V771" s="47">
        <v>135</v>
      </c>
      <c r="W771" s="41">
        <v>228</v>
      </c>
      <c r="X771">
        <v>569</v>
      </c>
      <c r="Y771">
        <v>0.98</v>
      </c>
      <c r="Z771">
        <v>2058.52</v>
      </c>
      <c r="AA771">
        <v>1577.98</v>
      </c>
      <c r="AB771">
        <v>154.36000000000001</v>
      </c>
      <c r="AC771">
        <v>36</v>
      </c>
      <c r="AD771" s="41">
        <f t="shared" si="194"/>
        <v>0.41777587781512932</v>
      </c>
      <c r="AE771" s="41">
        <f t="shared" si="195"/>
        <v>0.54500057034943405</v>
      </c>
      <c r="AF771">
        <f t="shared" si="196"/>
        <v>1.2566805278592372</v>
      </c>
      <c r="AG771">
        <f t="shared" si="197"/>
        <v>0.18281939964809396</v>
      </c>
      <c r="AH771">
        <f t="shared" si="198"/>
        <v>1.5436000000000001</v>
      </c>
      <c r="AI771">
        <f>HLOOKUP(HLOOKUP(G771,'THP2'!$B$4:$J$8,5,FALSE),'Fuel &amp; Resister'!$B$3:$G$6,4,FALSE)</f>
        <v>2.7360666666666664</v>
      </c>
      <c r="AJ771" s="41">
        <f>HLOOKUP(HLOOKUP(G771,'THP2'!$B$4:$J$8,5,FALSE),'Fuel &amp; Resister'!$B$3:$G$6,3,FALSE)</f>
        <v>13.019</v>
      </c>
      <c r="AO771" s="1">
        <v>1</v>
      </c>
      <c r="AP771" s="1">
        <v>1</v>
      </c>
    </row>
    <row r="772" spans="1:42" x14ac:dyDescent="0.15">
      <c r="A772">
        <f>(7*3.195/3)/(7*3.195/3+1)</f>
        <v>0.88172678888231826</v>
      </c>
      <c r="B772" s="82" t="s">
        <v>620</v>
      </c>
      <c r="C772" s="61">
        <f>VLOOKUP(B772,[1]SYS!$F$5:$G$359,2,FALSE)</f>
        <v>0</v>
      </c>
      <c r="D772" s="1" t="s">
        <v>50</v>
      </c>
      <c r="E772" s="65" t="s">
        <v>425</v>
      </c>
      <c r="F772" s="63" t="s">
        <v>423</v>
      </c>
      <c r="G772" s="1">
        <v>7</v>
      </c>
      <c r="H772" s="1">
        <f t="shared" si="189"/>
        <v>0.40070298769771528</v>
      </c>
      <c r="I772" s="1">
        <f t="shared" si="190"/>
        <v>0.56899999999999995</v>
      </c>
      <c r="J772" s="1">
        <f t="shared" si="188"/>
        <v>2.0000000000000018E-2</v>
      </c>
      <c r="K772" s="1">
        <f t="shared" si="191"/>
        <v>2.0585200000000001</v>
      </c>
      <c r="L772" s="1">
        <f t="shared" si="192"/>
        <v>1.5779799999999999</v>
      </c>
      <c r="M772" s="49">
        <f t="shared" si="199"/>
        <v>1.4574744528843446</v>
      </c>
      <c r="N772" s="49">
        <v>1.5436000000000001</v>
      </c>
      <c r="O772" s="1">
        <v>913</v>
      </c>
      <c r="P772" s="51">
        <v>0.05</v>
      </c>
      <c r="Q772" s="51">
        <v>11</v>
      </c>
      <c r="R772" s="51">
        <v>1</v>
      </c>
      <c r="S772" s="1">
        <v>1</v>
      </c>
      <c r="T772" s="1">
        <v>0</v>
      </c>
      <c r="U772" s="47">
        <v>1</v>
      </c>
      <c r="V772" s="47">
        <v>136</v>
      </c>
      <c r="W772" s="41">
        <v>228</v>
      </c>
      <c r="X772">
        <v>569</v>
      </c>
      <c r="Y772">
        <v>0.98</v>
      </c>
      <c r="Z772">
        <v>2058.52</v>
      </c>
      <c r="AA772">
        <v>1577.98</v>
      </c>
      <c r="AB772">
        <v>154.36000000000001</v>
      </c>
      <c r="AC772">
        <v>36</v>
      </c>
      <c r="AD772" s="41">
        <f t="shared" si="194"/>
        <v>0.41777587781512932</v>
      </c>
      <c r="AE772" s="41">
        <f t="shared" si="195"/>
        <v>0.54500057034943405</v>
      </c>
      <c r="AF772">
        <f t="shared" si="196"/>
        <v>1.2566805278592372</v>
      </c>
      <c r="AG772">
        <f t="shared" si="197"/>
        <v>0.18281939964809396</v>
      </c>
      <c r="AH772">
        <f t="shared" si="198"/>
        <v>1.5436000000000001</v>
      </c>
      <c r="AI772">
        <f>HLOOKUP(HLOOKUP(G772,'THP2'!$B$4:$J$8,5,FALSE),'Fuel &amp; Resister'!$B$3:$G$6,4,FALSE)</f>
        <v>2.7360666666666664</v>
      </c>
      <c r="AJ772" s="41">
        <f>HLOOKUP(HLOOKUP(G772,'THP2'!$B$4:$J$8,5,FALSE),'Fuel &amp; Resister'!$B$3:$G$6,3,FALSE)</f>
        <v>13.019</v>
      </c>
      <c r="AO772" s="62">
        <v>0</v>
      </c>
      <c r="AP772" s="62">
        <v>0</v>
      </c>
    </row>
    <row r="773" spans="1:42" x14ac:dyDescent="0.15">
      <c r="A773">
        <f>1-A772</f>
        <v>0.11827321111768174</v>
      </c>
      <c r="B773" s="82" t="s">
        <v>620</v>
      </c>
      <c r="C773" s="61">
        <f>VLOOKUP(B773,[1]SYS!$F$5:$G$359,2,FALSE)</f>
        <v>0</v>
      </c>
      <c r="D773" s="1" t="s">
        <v>5</v>
      </c>
      <c r="E773" s="65" t="s">
        <v>426</v>
      </c>
      <c r="F773" s="63" t="s">
        <v>427</v>
      </c>
      <c r="G773" s="1">
        <v>7</v>
      </c>
      <c r="H773" s="1">
        <f t="shared" si="189"/>
        <v>0.4</v>
      </c>
      <c r="I773" s="1">
        <f t="shared" si="190"/>
        <v>0.125</v>
      </c>
      <c r="J773" s="1">
        <f t="shared" si="188"/>
        <v>2.0000000000000018E-2</v>
      </c>
      <c r="K773" s="1">
        <f t="shared" si="191"/>
        <v>3.1163699999999999</v>
      </c>
      <c r="L773" s="1">
        <f t="shared" si="192"/>
        <v>2.38889</v>
      </c>
      <c r="M773" s="49">
        <f t="shared" si="199"/>
        <v>0.48472269670530066</v>
      </c>
      <c r="N773" s="49">
        <v>1.0667</v>
      </c>
      <c r="O773" s="1">
        <v>908</v>
      </c>
      <c r="P773" s="51">
        <v>0</v>
      </c>
      <c r="Q773" s="51">
        <v>8</v>
      </c>
      <c r="R773" s="51">
        <v>1</v>
      </c>
      <c r="S773" s="1">
        <v>1</v>
      </c>
      <c r="T773" s="1">
        <v>0</v>
      </c>
      <c r="U773" s="47">
        <v>1</v>
      </c>
      <c r="V773" s="47">
        <v>137</v>
      </c>
      <c r="W773" s="41">
        <v>50</v>
      </c>
      <c r="X773">
        <v>125</v>
      </c>
      <c r="Y773">
        <v>0.98</v>
      </c>
      <c r="Z773">
        <v>3116.37</v>
      </c>
      <c r="AA773">
        <v>2388.89</v>
      </c>
      <c r="AB773">
        <v>106.67</v>
      </c>
      <c r="AC773">
        <v>46</v>
      </c>
      <c r="AD773" s="41">
        <f t="shared" si="194"/>
        <v>0.27596209692687329</v>
      </c>
      <c r="AE773" s="41">
        <f t="shared" si="195"/>
        <v>0.35999983255821744</v>
      </c>
      <c r="AF773">
        <f t="shared" si="196"/>
        <v>1.9039033333333333</v>
      </c>
      <c r="AG773">
        <f t="shared" si="197"/>
        <v>6.0623333333333335E-2</v>
      </c>
      <c r="AH773">
        <f t="shared" si="198"/>
        <v>1.0667</v>
      </c>
      <c r="AI773">
        <f>HLOOKUP(HLOOKUP(G773,'THP2'!$B$4:$J$8,5,FALSE),'Fuel &amp; Resister'!$B$3:$G$6,4,FALSE)</f>
        <v>2.7360666666666664</v>
      </c>
      <c r="AJ773" s="41">
        <f>HLOOKUP(HLOOKUP(G773,'THP2'!$B$4:$J$8,5,FALSE),'Fuel &amp; Resister'!$B$3:$G$6,3,FALSE)</f>
        <v>13.019</v>
      </c>
      <c r="AO773" s="62">
        <v>0</v>
      </c>
      <c r="AP773" s="62">
        <v>0</v>
      </c>
    </row>
    <row r="774" spans="1:42" x14ac:dyDescent="0.15">
      <c r="A774"/>
      <c r="B774" s="82" t="s">
        <v>581</v>
      </c>
      <c r="C774" s="61">
        <f>VLOOKUP(B774,[1]SYS!$F$5:$G$359,2,FALSE)</f>
        <v>3</v>
      </c>
      <c r="D774" s="1" t="s">
        <v>50</v>
      </c>
      <c r="E774" s="65" t="s">
        <v>553</v>
      </c>
      <c r="F774" s="63" t="s">
        <v>554</v>
      </c>
      <c r="G774" s="1">
        <v>7</v>
      </c>
      <c r="H774" s="1">
        <f t="shared" si="189"/>
        <v>0.40070298769771528</v>
      </c>
      <c r="I774" s="1">
        <f t="shared" si="190"/>
        <v>0.56899999999999995</v>
      </c>
      <c r="J774" s="1">
        <f t="shared" si="188"/>
        <v>2.0000000000000018E-2</v>
      </c>
      <c r="K774" s="1">
        <f t="shared" si="191"/>
        <v>2.0585200000000001</v>
      </c>
      <c r="L774" s="1">
        <f t="shared" si="192"/>
        <v>1.5779799999999999</v>
      </c>
      <c r="M774" s="49">
        <f t="shared" si="199"/>
        <v>1.4574744528843446</v>
      </c>
      <c r="N774" s="49">
        <f>AB774/100</f>
        <v>1.5436000000000001</v>
      </c>
      <c r="O774" s="1">
        <v>903</v>
      </c>
      <c r="P774" s="51">
        <v>0.05</v>
      </c>
      <c r="Q774" s="51">
        <v>11</v>
      </c>
      <c r="R774" s="51">
        <v>1</v>
      </c>
      <c r="S774" s="1">
        <v>1</v>
      </c>
      <c r="T774" s="1">
        <v>0</v>
      </c>
      <c r="U774" s="47">
        <v>0</v>
      </c>
      <c r="V774" s="47"/>
      <c r="W774">
        <v>228</v>
      </c>
      <c r="X774">
        <v>569</v>
      </c>
      <c r="Y774">
        <v>0.98</v>
      </c>
      <c r="Z774">
        <v>2058.52</v>
      </c>
      <c r="AA774">
        <v>1577.98</v>
      </c>
      <c r="AB774">
        <v>154.36000000000001</v>
      </c>
      <c r="AC774"/>
      <c r="AD774" s="41"/>
      <c r="AI774">
        <f>HLOOKUP(HLOOKUP(G774,'THP2'!$B$4:$J$8,5,FALSE),'Fuel &amp; Resister'!$B$3:$G$6,4,FALSE)</f>
        <v>2.7360666666666664</v>
      </c>
      <c r="AJ774" s="41">
        <f>HLOOKUP(HLOOKUP(G774,'THP2'!$B$4:$J$8,5,FALSE),'Fuel &amp; Resister'!$B$3:$G$6,3,FALSE)</f>
        <v>13.019</v>
      </c>
      <c r="AO774" s="62">
        <v>0</v>
      </c>
      <c r="AP774" s="62">
        <v>0</v>
      </c>
    </row>
    <row r="775" spans="1:42" x14ac:dyDescent="0.15">
      <c r="B775" s="82" t="s">
        <v>581</v>
      </c>
      <c r="C775" s="61">
        <f>VLOOKUP(B775,[1]SYS!$F$5:$G$359,2,FALSE)</f>
        <v>3</v>
      </c>
      <c r="D775" s="1" t="s">
        <v>50</v>
      </c>
      <c r="E775" s="65" t="s">
        <v>553</v>
      </c>
      <c r="F775" s="63" t="s">
        <v>554</v>
      </c>
      <c r="G775" s="1">
        <v>7</v>
      </c>
      <c r="H775" s="1">
        <f t="shared" si="189"/>
        <v>0.40070298769771528</v>
      </c>
      <c r="I775" s="1">
        <f t="shared" si="190"/>
        <v>0.56899999999999995</v>
      </c>
      <c r="J775" s="1">
        <f t="shared" si="188"/>
        <v>2.0000000000000018E-2</v>
      </c>
      <c r="K775" s="1">
        <f t="shared" si="191"/>
        <v>2.0585200000000001</v>
      </c>
      <c r="L775" s="1">
        <f t="shared" si="192"/>
        <v>1.5779799999999999</v>
      </c>
      <c r="M775" s="49">
        <f t="shared" si="199"/>
        <v>1.4574744528843446</v>
      </c>
      <c r="N775" s="49">
        <f>AB775/100</f>
        <v>1.5436000000000001</v>
      </c>
      <c r="O775" s="1">
        <v>1009</v>
      </c>
      <c r="P775" s="51">
        <v>0.05</v>
      </c>
      <c r="Q775" s="51">
        <v>11</v>
      </c>
      <c r="R775" s="51">
        <v>1</v>
      </c>
      <c r="S775" s="1">
        <v>1</v>
      </c>
      <c r="T775" s="1">
        <v>0</v>
      </c>
      <c r="U775" s="47">
        <v>0</v>
      </c>
      <c r="V775" s="47"/>
      <c r="W775">
        <v>228</v>
      </c>
      <c r="X775">
        <v>569</v>
      </c>
      <c r="Y775">
        <v>0.98</v>
      </c>
      <c r="Z775">
        <v>2058.52</v>
      </c>
      <c r="AA775">
        <v>1577.98</v>
      </c>
      <c r="AB775">
        <v>154.36000000000001</v>
      </c>
      <c r="AC775"/>
      <c r="AD775" s="41"/>
      <c r="AI775">
        <f>HLOOKUP(HLOOKUP(G775,'THP2'!$B$4:$J$8,5,FALSE),'Fuel &amp; Resister'!$B$3:$G$6,4,FALSE)</f>
        <v>2.7360666666666664</v>
      </c>
      <c r="AJ775" s="41">
        <f>HLOOKUP(HLOOKUP(G775,'THP2'!$B$4:$J$8,5,FALSE),'Fuel &amp; Resister'!$B$3:$G$6,3,FALSE)</f>
        <v>13.019</v>
      </c>
      <c r="AO775" s="62">
        <v>0</v>
      </c>
      <c r="AP775" s="62">
        <v>0</v>
      </c>
    </row>
    <row r="776" spans="1:42" x14ac:dyDescent="0.15">
      <c r="B776" s="82" t="s">
        <v>589</v>
      </c>
      <c r="C776" s="61">
        <f>VLOOKUP(B776,[1]SYS!$F$5:$G$359,2,FALSE)</f>
        <v>59</v>
      </c>
      <c r="D776" s="1" t="s">
        <v>50</v>
      </c>
      <c r="E776" s="42" t="s">
        <v>428</v>
      </c>
      <c r="F776" s="63" t="s">
        <v>429</v>
      </c>
      <c r="G776" s="1">
        <v>7</v>
      </c>
      <c r="H776" s="1">
        <f t="shared" si="189"/>
        <v>0.40034965034965037</v>
      </c>
      <c r="I776" s="1">
        <f t="shared" si="190"/>
        <v>0.57199999999999995</v>
      </c>
      <c r="J776" s="1">
        <f t="shared" si="188"/>
        <v>2.1000000000000019E-2</v>
      </c>
      <c r="K776" s="1">
        <f t="shared" si="191"/>
        <v>2.0033799999999999</v>
      </c>
      <c r="L776" s="1">
        <f t="shared" si="192"/>
        <v>1.5357100000000001</v>
      </c>
      <c r="M776" s="49">
        <f t="shared" si="199"/>
        <v>1.4259110389939234</v>
      </c>
      <c r="N776" s="49">
        <v>1.5468000000000002</v>
      </c>
      <c r="O776" s="6">
        <v>314</v>
      </c>
      <c r="P776" s="51">
        <v>0.05</v>
      </c>
      <c r="Q776" s="51">
        <v>11</v>
      </c>
      <c r="R776" s="51">
        <v>1</v>
      </c>
      <c r="S776" s="1">
        <v>1</v>
      </c>
      <c r="T776" s="1">
        <v>0</v>
      </c>
      <c r="U776" s="47">
        <v>0</v>
      </c>
      <c r="V776" s="47">
        <v>138</v>
      </c>
      <c r="W776" s="41">
        <v>229</v>
      </c>
      <c r="X776">
        <v>572</v>
      </c>
      <c r="Y776">
        <v>0.97899999999999998</v>
      </c>
      <c r="Z776">
        <v>2003.38</v>
      </c>
      <c r="AA776">
        <v>1535.71</v>
      </c>
      <c r="AB776">
        <v>154.68</v>
      </c>
      <c r="AC776">
        <v>36</v>
      </c>
      <c r="AD776" s="41">
        <f t="shared" ref="AD776:AD787" si="200">1/Z776*860</f>
        <v>0.42927452605097377</v>
      </c>
      <c r="AE776" s="41">
        <f t="shared" ref="AE776:AE787" si="201">1/AA776*860</f>
        <v>0.56000156279505897</v>
      </c>
      <c r="AF776">
        <f t="shared" ref="AF776:AF787" si="202">(L776-H776*K776)/(1-H776)</f>
        <v>1.223475510204082</v>
      </c>
      <c r="AG776">
        <f t="shared" ref="AG776:AG787" si="203">I776*(L776-AF776)</f>
        <v>0.17859812816326517</v>
      </c>
      <c r="AH776">
        <f t="shared" ref="AH776:AH787" si="204">AB776/100</f>
        <v>1.5468000000000002</v>
      </c>
      <c r="AI776">
        <f>HLOOKUP(HLOOKUP(G776,'THP2'!$B$4:$J$8,5,FALSE),'Fuel &amp; Resister'!$B$3:$G$6,4,FALSE)</f>
        <v>2.7360666666666664</v>
      </c>
      <c r="AJ776" s="41">
        <f>HLOOKUP(HLOOKUP(G776,'THP2'!$B$4:$J$8,5,FALSE),'Fuel &amp; Resister'!$B$3:$G$6,3,FALSE)</f>
        <v>13.019</v>
      </c>
      <c r="AO776" s="62">
        <v>0</v>
      </c>
      <c r="AP776" s="62">
        <v>0</v>
      </c>
    </row>
    <row r="777" spans="1:42" x14ac:dyDescent="0.15">
      <c r="B777" s="82" t="s">
        <v>589</v>
      </c>
      <c r="C777" s="61">
        <f>VLOOKUP(B777,[1]SYS!$F$5:$G$359,2,FALSE)</f>
        <v>59</v>
      </c>
      <c r="D777" s="1" t="s">
        <v>50</v>
      </c>
      <c r="E777" s="42" t="s">
        <v>430</v>
      </c>
      <c r="F777" s="63" t="s">
        <v>429</v>
      </c>
      <c r="G777" s="1">
        <v>7</v>
      </c>
      <c r="H777" s="1">
        <f t="shared" si="189"/>
        <v>0.40034965034965037</v>
      </c>
      <c r="I777" s="1">
        <f t="shared" si="190"/>
        <v>0.57199999999999995</v>
      </c>
      <c r="J777" s="1">
        <f t="shared" si="188"/>
        <v>2.1000000000000019E-2</v>
      </c>
      <c r="K777" s="1">
        <f t="shared" si="191"/>
        <v>2.0033799999999999</v>
      </c>
      <c r="L777" s="1">
        <f t="shared" si="192"/>
        <v>1.5357100000000001</v>
      </c>
      <c r="M777" s="49">
        <f t="shared" si="199"/>
        <v>1.4259110389939234</v>
      </c>
      <c r="N777" s="49">
        <v>1.5468000000000002</v>
      </c>
      <c r="O777" s="1">
        <v>211</v>
      </c>
      <c r="P777" s="51">
        <v>0.05</v>
      </c>
      <c r="Q777" s="51">
        <v>11</v>
      </c>
      <c r="R777" s="51">
        <v>1</v>
      </c>
      <c r="S777" s="1">
        <v>1</v>
      </c>
      <c r="T777" s="1">
        <v>0</v>
      </c>
      <c r="U777" s="47">
        <v>0</v>
      </c>
      <c r="V777" s="47">
        <v>139</v>
      </c>
      <c r="W777" s="41">
        <v>229</v>
      </c>
      <c r="X777">
        <v>572</v>
      </c>
      <c r="Y777">
        <v>0.97899999999999998</v>
      </c>
      <c r="Z777">
        <v>2003.38</v>
      </c>
      <c r="AA777">
        <v>1535.71</v>
      </c>
      <c r="AB777">
        <v>154.68</v>
      </c>
      <c r="AC777">
        <v>36</v>
      </c>
      <c r="AD777" s="41">
        <f t="shared" si="200"/>
        <v>0.42927452605097377</v>
      </c>
      <c r="AE777" s="41">
        <f t="shared" si="201"/>
        <v>0.56000156279505897</v>
      </c>
      <c r="AF777">
        <f t="shared" si="202"/>
        <v>1.223475510204082</v>
      </c>
      <c r="AG777">
        <f t="shared" si="203"/>
        <v>0.17859812816326517</v>
      </c>
      <c r="AH777">
        <f t="shared" si="204"/>
        <v>1.5468000000000002</v>
      </c>
      <c r="AI777">
        <f>HLOOKUP(HLOOKUP(G777,'THP2'!$B$4:$J$8,5,FALSE),'Fuel &amp; Resister'!$B$3:$G$6,4,FALSE)</f>
        <v>2.7360666666666664</v>
      </c>
      <c r="AJ777" s="41">
        <f>HLOOKUP(HLOOKUP(G777,'THP2'!$B$4:$J$8,5,FALSE),'Fuel &amp; Resister'!$B$3:$G$6,3,FALSE)</f>
        <v>13.019</v>
      </c>
      <c r="AO777" s="62">
        <v>0</v>
      </c>
      <c r="AP777" s="62">
        <v>0</v>
      </c>
    </row>
    <row r="778" spans="1:42" x14ac:dyDescent="0.15">
      <c r="B778" s="82" t="s">
        <v>589</v>
      </c>
      <c r="C778" s="61">
        <f>VLOOKUP(B778,[1]SYS!$F$5:$G$359,2,FALSE)</f>
        <v>59</v>
      </c>
      <c r="D778" s="1" t="s">
        <v>50</v>
      </c>
      <c r="E778" s="42" t="s">
        <v>431</v>
      </c>
      <c r="F778" s="63" t="s">
        <v>429</v>
      </c>
      <c r="G778" s="1">
        <v>7</v>
      </c>
      <c r="H778" s="1">
        <f t="shared" si="189"/>
        <v>0.40034965034965037</v>
      </c>
      <c r="I778" s="1">
        <f t="shared" si="190"/>
        <v>0.57199999999999995</v>
      </c>
      <c r="J778" s="1">
        <f t="shared" si="188"/>
        <v>2.1000000000000019E-2</v>
      </c>
      <c r="K778" s="1">
        <f t="shared" si="191"/>
        <v>2.0033799999999999</v>
      </c>
      <c r="L778" s="1">
        <f t="shared" si="192"/>
        <v>1.5357100000000001</v>
      </c>
      <c r="M778" s="49">
        <f t="shared" si="199"/>
        <v>1.4259110389939234</v>
      </c>
      <c r="N778" s="49">
        <v>1.5468000000000002</v>
      </c>
      <c r="O778" s="1">
        <v>1202</v>
      </c>
      <c r="P778" s="51">
        <v>0.05</v>
      </c>
      <c r="Q778" s="51">
        <v>11</v>
      </c>
      <c r="R778" s="51">
        <v>1</v>
      </c>
      <c r="S778" s="1">
        <v>1</v>
      </c>
      <c r="T778" s="1">
        <v>0</v>
      </c>
      <c r="U778" s="47">
        <v>0</v>
      </c>
      <c r="V778" s="47">
        <v>140</v>
      </c>
      <c r="W778" s="41">
        <v>229</v>
      </c>
      <c r="X778">
        <v>572</v>
      </c>
      <c r="Y778">
        <v>0.97899999999999998</v>
      </c>
      <c r="Z778">
        <v>2003.38</v>
      </c>
      <c r="AA778">
        <v>1535.71</v>
      </c>
      <c r="AB778">
        <v>154.68</v>
      </c>
      <c r="AC778">
        <v>36</v>
      </c>
      <c r="AD778" s="41">
        <f t="shared" si="200"/>
        <v>0.42927452605097377</v>
      </c>
      <c r="AE778" s="41">
        <f t="shared" si="201"/>
        <v>0.56000156279505897</v>
      </c>
      <c r="AF778">
        <f t="shared" si="202"/>
        <v>1.223475510204082</v>
      </c>
      <c r="AG778">
        <f t="shared" si="203"/>
        <v>0.17859812816326517</v>
      </c>
      <c r="AH778">
        <f t="shared" si="204"/>
        <v>1.5468000000000002</v>
      </c>
      <c r="AI778">
        <f>HLOOKUP(HLOOKUP(G778,'THP2'!$B$4:$J$8,5,FALSE),'Fuel &amp; Resister'!$B$3:$G$6,4,FALSE)</f>
        <v>2.7360666666666664</v>
      </c>
      <c r="AJ778" s="41">
        <f>HLOOKUP(HLOOKUP(G778,'THP2'!$B$4:$J$8,5,FALSE),'Fuel &amp; Resister'!$B$3:$G$6,3,FALSE)</f>
        <v>13.019</v>
      </c>
      <c r="AO778" s="62">
        <v>0</v>
      </c>
      <c r="AP778" s="62">
        <v>0</v>
      </c>
    </row>
    <row r="779" spans="1:42" x14ac:dyDescent="0.15">
      <c r="B779" s="82" t="s">
        <v>589</v>
      </c>
      <c r="C779" s="61">
        <f>VLOOKUP(B779,[1]SYS!$F$5:$G$359,2,FALSE)</f>
        <v>59</v>
      </c>
      <c r="D779" s="1" t="s">
        <v>50</v>
      </c>
      <c r="E779" s="42" t="s">
        <v>432</v>
      </c>
      <c r="F779" s="63" t="s">
        <v>429</v>
      </c>
      <c r="G779" s="1">
        <v>7</v>
      </c>
      <c r="H779" s="1">
        <f t="shared" si="189"/>
        <v>0.40034965034965037</v>
      </c>
      <c r="I779" s="1">
        <f t="shared" si="190"/>
        <v>0.57199999999999995</v>
      </c>
      <c r="J779" s="1">
        <f t="shared" si="188"/>
        <v>2.1000000000000019E-2</v>
      </c>
      <c r="K779" s="1">
        <f t="shared" si="191"/>
        <v>2.0033799999999999</v>
      </c>
      <c r="L779" s="1">
        <f t="shared" si="192"/>
        <v>1.5357100000000001</v>
      </c>
      <c r="M779" s="49">
        <f t="shared" si="199"/>
        <v>1.4259110389939234</v>
      </c>
      <c r="N779" s="49">
        <v>1.5468000000000002</v>
      </c>
      <c r="O779" s="1">
        <v>1014</v>
      </c>
      <c r="P779" s="51">
        <v>0.05</v>
      </c>
      <c r="Q779" s="51">
        <v>11</v>
      </c>
      <c r="R779" s="51">
        <v>1</v>
      </c>
      <c r="S779" s="1">
        <v>1</v>
      </c>
      <c r="T779" s="1">
        <v>0</v>
      </c>
      <c r="U779" s="47">
        <v>0</v>
      </c>
      <c r="V779" s="47">
        <v>141</v>
      </c>
      <c r="W779" s="41">
        <v>229</v>
      </c>
      <c r="X779">
        <v>572</v>
      </c>
      <c r="Y779">
        <v>0.97899999999999998</v>
      </c>
      <c r="Z779">
        <v>2003.38</v>
      </c>
      <c r="AA779">
        <v>1535.71</v>
      </c>
      <c r="AB779">
        <v>154.68</v>
      </c>
      <c r="AC779">
        <v>36</v>
      </c>
      <c r="AD779" s="41">
        <f t="shared" si="200"/>
        <v>0.42927452605097377</v>
      </c>
      <c r="AE779" s="41">
        <f t="shared" si="201"/>
        <v>0.56000156279505897</v>
      </c>
      <c r="AF779">
        <f t="shared" si="202"/>
        <v>1.223475510204082</v>
      </c>
      <c r="AG779">
        <f t="shared" si="203"/>
        <v>0.17859812816326517</v>
      </c>
      <c r="AH779">
        <f t="shared" si="204"/>
        <v>1.5468000000000002</v>
      </c>
      <c r="AI779">
        <f>HLOOKUP(HLOOKUP(G779,'THP2'!$B$4:$J$8,5,FALSE),'Fuel &amp; Resister'!$B$3:$G$6,4,FALSE)</f>
        <v>2.7360666666666664</v>
      </c>
      <c r="AJ779" s="41">
        <f>HLOOKUP(HLOOKUP(G779,'THP2'!$B$4:$J$8,5,FALSE),'Fuel &amp; Resister'!$B$3:$G$6,3,FALSE)</f>
        <v>13.019</v>
      </c>
      <c r="AO779" s="62">
        <v>0</v>
      </c>
      <c r="AP779" s="62">
        <v>0</v>
      </c>
    </row>
    <row r="780" spans="1:42" x14ac:dyDescent="0.15">
      <c r="B780" s="82" t="s">
        <v>621</v>
      </c>
      <c r="C780" s="61">
        <f>VLOOKUP(B780,[1]SYS!$F$5:$G$359,2,FALSE)</f>
        <v>48</v>
      </c>
      <c r="D780" s="1" t="s">
        <v>50</v>
      </c>
      <c r="E780" s="65" t="s">
        <v>148</v>
      </c>
      <c r="F780" s="63" t="s">
        <v>491</v>
      </c>
      <c r="G780" s="1">
        <v>7</v>
      </c>
      <c r="H780" s="1">
        <f t="shared" si="189"/>
        <v>0.46845124282982792</v>
      </c>
      <c r="I780" s="1">
        <f t="shared" si="190"/>
        <v>0.52300000000000002</v>
      </c>
      <c r="J780" s="1">
        <f t="shared" si="188"/>
        <v>2.4499999999999966E-2</v>
      </c>
      <c r="K780" s="1">
        <f t="shared" si="191"/>
        <v>1.9200599999999999</v>
      </c>
      <c r="L780" s="1">
        <f t="shared" si="192"/>
        <v>1.5690599999999999</v>
      </c>
      <c r="M780" s="49">
        <f t="shared" si="199"/>
        <v>1.3320742407378667</v>
      </c>
      <c r="N780" s="49">
        <v>1.4944999999999999</v>
      </c>
      <c r="O780" s="1">
        <v>613</v>
      </c>
      <c r="P780" s="51">
        <v>0.05</v>
      </c>
      <c r="Q780" s="51">
        <v>11</v>
      </c>
      <c r="R780" s="51">
        <v>1</v>
      </c>
      <c r="S780" s="1">
        <v>1</v>
      </c>
      <c r="T780" s="1">
        <v>0</v>
      </c>
      <c r="U780" s="47">
        <v>1</v>
      </c>
      <c r="V780" s="47">
        <v>142</v>
      </c>
      <c r="W780" s="41">
        <v>245</v>
      </c>
      <c r="X780">
        <v>523</v>
      </c>
      <c r="Y780">
        <v>0.97550000000000003</v>
      </c>
      <c r="Z780">
        <v>1920.06</v>
      </c>
      <c r="AA780">
        <v>1569.06</v>
      </c>
      <c r="AB780">
        <v>149.44999999999999</v>
      </c>
      <c r="AC780">
        <v>36</v>
      </c>
      <c r="AD780" s="41">
        <f t="shared" si="200"/>
        <v>0.44790266970823828</v>
      </c>
      <c r="AE780" s="41">
        <f t="shared" si="201"/>
        <v>0.54809886173887556</v>
      </c>
      <c r="AF780">
        <f t="shared" si="202"/>
        <v>1.2597254676258993</v>
      </c>
      <c r="AG780">
        <f t="shared" si="203"/>
        <v>0.1617819604316546</v>
      </c>
      <c r="AH780">
        <f t="shared" si="204"/>
        <v>1.4944999999999999</v>
      </c>
      <c r="AI780">
        <f>HLOOKUP(HLOOKUP(G780,'THP2'!$B$4:$J$8,5,FALSE),'Fuel &amp; Resister'!$B$3:$G$6,4,FALSE)</f>
        <v>2.7360666666666664</v>
      </c>
      <c r="AJ780" s="41">
        <f>HLOOKUP(HLOOKUP(G780,'THP2'!$B$4:$J$8,5,FALSE),'Fuel &amp; Resister'!$B$3:$G$6,3,FALSE)</f>
        <v>13.019</v>
      </c>
      <c r="AO780" s="62">
        <v>0</v>
      </c>
      <c r="AP780" s="62">
        <v>0</v>
      </c>
    </row>
    <row r="781" spans="1:42" x14ac:dyDescent="0.15">
      <c r="B781" s="82" t="s">
        <v>621</v>
      </c>
      <c r="C781" s="61">
        <f>VLOOKUP(B781,[1]SYS!$F$5:$G$359,2,FALSE)</f>
        <v>48</v>
      </c>
      <c r="D781" s="1" t="s">
        <v>50</v>
      </c>
      <c r="E781" s="65" t="s">
        <v>149</v>
      </c>
      <c r="F781" s="63" t="s">
        <v>490</v>
      </c>
      <c r="G781" s="1">
        <v>7</v>
      </c>
      <c r="H781" s="1">
        <f t="shared" si="189"/>
        <v>0.47649572649572647</v>
      </c>
      <c r="I781" s="1">
        <f t="shared" si="190"/>
        <v>0.46800000000000003</v>
      </c>
      <c r="J781" s="1">
        <f t="shared" si="188"/>
        <v>2.0000000000000018E-2</v>
      </c>
      <c r="K781" s="1">
        <f t="shared" si="191"/>
        <v>1.9446400000000001</v>
      </c>
      <c r="L781" s="1">
        <f t="shared" si="192"/>
        <v>1.6876</v>
      </c>
      <c r="M781" s="49">
        <f t="shared" si="199"/>
        <v>1.2820429061035614</v>
      </c>
      <c r="N781" s="49">
        <v>1.4354</v>
      </c>
      <c r="O781" s="1">
        <v>925</v>
      </c>
      <c r="P781" s="51">
        <v>0.05</v>
      </c>
      <c r="Q781" s="51">
        <v>11</v>
      </c>
      <c r="R781" s="51">
        <v>1</v>
      </c>
      <c r="S781" s="1">
        <v>1</v>
      </c>
      <c r="T781" s="1">
        <v>0</v>
      </c>
      <c r="U781" s="47">
        <v>1</v>
      </c>
      <c r="V781" s="47">
        <v>143</v>
      </c>
      <c r="W781" s="41">
        <v>223</v>
      </c>
      <c r="X781">
        <v>468</v>
      </c>
      <c r="Y781">
        <v>0.98</v>
      </c>
      <c r="Z781">
        <v>1944.64</v>
      </c>
      <c r="AA781">
        <v>1687.6</v>
      </c>
      <c r="AB781">
        <v>143.54</v>
      </c>
      <c r="AC781">
        <v>36</v>
      </c>
      <c r="AD781" s="41">
        <f t="shared" si="200"/>
        <v>0.44224123745269045</v>
      </c>
      <c r="AE781" s="41">
        <f t="shared" si="201"/>
        <v>0.50959943114482109</v>
      </c>
      <c r="AF781">
        <f t="shared" si="202"/>
        <v>1.4536411428571427</v>
      </c>
      <c r="AG781">
        <f t="shared" si="203"/>
        <v>0.1094927451428572</v>
      </c>
      <c r="AH781">
        <f t="shared" si="204"/>
        <v>1.4354</v>
      </c>
      <c r="AI781">
        <f>HLOOKUP(HLOOKUP(G781,'THP2'!$B$4:$J$8,5,FALSE),'Fuel &amp; Resister'!$B$3:$G$6,4,FALSE)</f>
        <v>2.7360666666666664</v>
      </c>
      <c r="AJ781" s="41">
        <f>HLOOKUP(HLOOKUP(G781,'THP2'!$B$4:$J$8,5,FALSE),'Fuel &amp; Resister'!$B$3:$G$6,3,FALSE)</f>
        <v>13.019</v>
      </c>
      <c r="AO781" s="62">
        <v>0</v>
      </c>
      <c r="AP781" s="62">
        <v>0</v>
      </c>
    </row>
    <row r="782" spans="1:42" x14ac:dyDescent="0.15">
      <c r="B782" s="82" t="s">
        <v>621</v>
      </c>
      <c r="C782" s="61">
        <f>VLOOKUP(B782,[1]SYS!$F$5:$G$359,2,FALSE)</f>
        <v>48</v>
      </c>
      <c r="D782" s="1" t="s">
        <v>50</v>
      </c>
      <c r="E782" s="65" t="s">
        <v>150</v>
      </c>
      <c r="F782" s="63" t="s">
        <v>491</v>
      </c>
      <c r="G782" s="1">
        <v>7</v>
      </c>
      <c r="H782" s="1">
        <f t="shared" si="189"/>
        <v>0.46845124282982792</v>
      </c>
      <c r="I782" s="1">
        <f t="shared" si="190"/>
        <v>0.52300000000000002</v>
      </c>
      <c r="J782" s="1">
        <f t="shared" si="188"/>
        <v>2.4499999999999966E-2</v>
      </c>
      <c r="K782" s="1">
        <f t="shared" si="191"/>
        <v>2.0238199999999997</v>
      </c>
      <c r="L782" s="1">
        <f t="shared" si="192"/>
        <v>1.6538499999999998</v>
      </c>
      <c r="M782" s="49">
        <f t="shared" si="199"/>
        <v>1.4040578327433753</v>
      </c>
      <c r="N782" s="49">
        <v>1.4944999999999999</v>
      </c>
      <c r="O782" s="1">
        <v>1002</v>
      </c>
      <c r="P782" s="51">
        <v>0.05</v>
      </c>
      <c r="Q782" s="51">
        <v>11</v>
      </c>
      <c r="R782" s="51">
        <v>1</v>
      </c>
      <c r="S782" s="1">
        <v>1</v>
      </c>
      <c r="T782" s="1">
        <v>0</v>
      </c>
      <c r="U782" s="47">
        <v>1</v>
      </c>
      <c r="V782" s="47">
        <v>144</v>
      </c>
      <c r="W782" s="41">
        <v>245</v>
      </c>
      <c r="X782">
        <v>523</v>
      </c>
      <c r="Y782">
        <v>0.97550000000000003</v>
      </c>
      <c r="Z782">
        <v>2023.82</v>
      </c>
      <c r="AA782">
        <v>1653.85</v>
      </c>
      <c r="AB782">
        <v>149.44999999999999</v>
      </c>
      <c r="AC782">
        <v>36</v>
      </c>
      <c r="AD782" s="41">
        <f t="shared" si="200"/>
        <v>0.42493897678647308</v>
      </c>
      <c r="AE782" s="41">
        <f t="shared" si="201"/>
        <v>0.51999879070048671</v>
      </c>
      <c r="AF782">
        <f t="shared" si="202"/>
        <v>1.3277973021582734</v>
      </c>
      <c r="AG782">
        <f t="shared" si="203"/>
        <v>0.17052556097122293</v>
      </c>
      <c r="AH782">
        <f t="shared" si="204"/>
        <v>1.4944999999999999</v>
      </c>
      <c r="AI782">
        <f>HLOOKUP(HLOOKUP(G782,'THP2'!$B$4:$J$8,5,FALSE),'Fuel &amp; Resister'!$B$3:$G$6,4,FALSE)</f>
        <v>2.7360666666666664</v>
      </c>
      <c r="AJ782" s="41">
        <f>HLOOKUP(HLOOKUP(G782,'THP2'!$B$4:$J$8,5,FALSE),'Fuel &amp; Resister'!$B$3:$G$6,3,FALSE)</f>
        <v>13.019</v>
      </c>
      <c r="AO782" s="62">
        <v>0</v>
      </c>
      <c r="AP782" s="62">
        <v>0</v>
      </c>
    </row>
    <row r="783" spans="1:42" x14ac:dyDescent="0.15">
      <c r="B783" s="82" t="s">
        <v>621</v>
      </c>
      <c r="C783" s="61">
        <f>VLOOKUP(B783,[1]SYS!$F$5:$G$359,2,FALSE)</f>
        <v>48</v>
      </c>
      <c r="D783" s="1" t="s">
        <v>50</v>
      </c>
      <c r="E783" s="65" t="s">
        <v>151</v>
      </c>
      <c r="F783" s="63" t="s">
        <v>489</v>
      </c>
      <c r="G783" s="1">
        <v>7</v>
      </c>
      <c r="H783" s="1">
        <f t="shared" si="189"/>
        <v>0.43269230769230771</v>
      </c>
      <c r="I783" s="1">
        <f t="shared" si="190"/>
        <v>0.41599999999999998</v>
      </c>
      <c r="J783" s="1">
        <f t="shared" si="188"/>
        <v>2.7900000000000036E-2</v>
      </c>
      <c r="K783" s="1">
        <f t="shared" si="191"/>
        <v>2.0514299999999999</v>
      </c>
      <c r="L783" s="1">
        <f t="shared" si="192"/>
        <v>1.6764100000000002</v>
      </c>
      <c r="M783" s="49">
        <f t="shared" si="199"/>
        <v>1.1320373696879573</v>
      </c>
      <c r="N783" s="49">
        <v>1.3793</v>
      </c>
      <c r="O783" s="1">
        <v>514</v>
      </c>
      <c r="P783" s="51">
        <v>0.05</v>
      </c>
      <c r="Q783" s="51">
        <v>11</v>
      </c>
      <c r="R783" s="51">
        <v>1</v>
      </c>
      <c r="S783" s="1">
        <v>1</v>
      </c>
      <c r="T783" s="1">
        <v>0</v>
      </c>
      <c r="U783" s="47">
        <v>1</v>
      </c>
      <c r="V783" s="47">
        <v>145</v>
      </c>
      <c r="W783" s="41">
        <v>180</v>
      </c>
      <c r="X783">
        <v>416</v>
      </c>
      <c r="Y783">
        <v>0.97209999999999996</v>
      </c>
      <c r="Z783">
        <v>2051.4299999999998</v>
      </c>
      <c r="AA783">
        <v>1676.41</v>
      </c>
      <c r="AB783">
        <v>137.93</v>
      </c>
      <c r="AC783">
        <v>36</v>
      </c>
      <c r="AD783" s="41">
        <f t="shared" si="200"/>
        <v>0.41921976377453779</v>
      </c>
      <c r="AE783" s="41">
        <f t="shared" si="201"/>
        <v>0.51300099617635297</v>
      </c>
      <c r="AF783">
        <f t="shared" si="202"/>
        <v>1.39037779661017</v>
      </c>
      <c r="AG783">
        <f t="shared" si="203"/>
        <v>0.11898939661016934</v>
      </c>
      <c r="AH783">
        <f t="shared" si="204"/>
        <v>1.3793</v>
      </c>
      <c r="AI783">
        <f>HLOOKUP(HLOOKUP(G783,'THP2'!$B$4:$J$8,5,FALSE),'Fuel &amp; Resister'!$B$3:$G$6,4,FALSE)</f>
        <v>2.7360666666666664</v>
      </c>
      <c r="AJ783" s="41">
        <f>HLOOKUP(HLOOKUP(G783,'THP2'!$B$4:$J$8,5,FALSE),'Fuel &amp; Resister'!$B$3:$G$6,3,FALSE)</f>
        <v>13.019</v>
      </c>
      <c r="AO783" s="62">
        <v>0</v>
      </c>
      <c r="AP783" s="62">
        <v>0</v>
      </c>
    </row>
    <row r="784" spans="1:42" x14ac:dyDescent="0.15">
      <c r="B784" s="82" t="s">
        <v>622</v>
      </c>
      <c r="C784" s="61">
        <f>VLOOKUP(B784,[1]SYS!$F$5:$G$359,2,FALSE)</f>
        <v>53</v>
      </c>
      <c r="D784" s="1" t="s">
        <v>50</v>
      </c>
      <c r="E784" s="65" t="s">
        <v>152</v>
      </c>
      <c r="F784" s="63" t="s">
        <v>493</v>
      </c>
      <c r="G784" s="1">
        <v>7</v>
      </c>
      <c r="H784" s="1">
        <f t="shared" si="189"/>
        <v>0.74545454545454548</v>
      </c>
      <c r="I784" s="1">
        <f t="shared" si="190"/>
        <v>5.5E-2</v>
      </c>
      <c r="J784" s="1">
        <f t="shared" si="188"/>
        <v>2.0000000000000018E-2</v>
      </c>
      <c r="K784" s="1">
        <f t="shared" si="191"/>
        <v>1.9038599999999999</v>
      </c>
      <c r="L784" s="1">
        <f t="shared" si="192"/>
        <v>1.84748</v>
      </c>
      <c r="M784" s="49">
        <f t="shared" si="199"/>
        <v>0.16494138055415189</v>
      </c>
      <c r="N784" s="49">
        <v>0.57200000000000006</v>
      </c>
      <c r="O784" s="1">
        <v>1214</v>
      </c>
      <c r="P784" s="51">
        <v>0</v>
      </c>
      <c r="Q784" s="51">
        <v>11</v>
      </c>
      <c r="R784" s="51">
        <v>1</v>
      </c>
      <c r="S784" s="1">
        <v>1</v>
      </c>
      <c r="T784" s="1">
        <v>0</v>
      </c>
      <c r="U784" s="47">
        <v>1</v>
      </c>
      <c r="V784" s="47">
        <v>146</v>
      </c>
      <c r="W784" s="41">
        <v>41</v>
      </c>
      <c r="X784">
        <v>55</v>
      </c>
      <c r="Y784">
        <v>0.98</v>
      </c>
      <c r="Z784">
        <v>1903.86</v>
      </c>
      <c r="AA784">
        <v>1847.48</v>
      </c>
      <c r="AB784">
        <v>57.2</v>
      </c>
      <c r="AC784">
        <v>36</v>
      </c>
      <c r="AD784" s="41">
        <f t="shared" si="200"/>
        <v>0.45171388652526978</v>
      </c>
      <c r="AE784" s="41">
        <f t="shared" si="201"/>
        <v>0.4654989499209734</v>
      </c>
      <c r="AF784">
        <f t="shared" si="202"/>
        <v>1.6823671428571432</v>
      </c>
      <c r="AG784">
        <f t="shared" si="203"/>
        <v>9.0812071428571263E-3</v>
      </c>
      <c r="AH784">
        <f t="shared" si="204"/>
        <v>0.57200000000000006</v>
      </c>
      <c r="AI784">
        <f>HLOOKUP(HLOOKUP(G784,'THP2'!$B$4:$J$8,5,FALSE),'Fuel &amp; Resister'!$B$3:$G$6,4,FALSE)</f>
        <v>2.7360666666666664</v>
      </c>
      <c r="AJ784" s="41">
        <f>HLOOKUP(HLOOKUP(G784,'THP2'!$B$4:$J$8,5,FALSE),'Fuel &amp; Resister'!$B$3:$G$6,3,FALSE)</f>
        <v>13.019</v>
      </c>
      <c r="AO784" s="62">
        <v>0</v>
      </c>
      <c r="AP784" s="62">
        <v>0</v>
      </c>
    </row>
    <row r="785" spans="2:42" x14ac:dyDescent="0.15">
      <c r="B785" s="82" t="s">
        <v>622</v>
      </c>
      <c r="C785" s="61">
        <f>VLOOKUP(B785,[1]SYS!$F$5:$G$359,2,FALSE)</f>
        <v>53</v>
      </c>
      <c r="D785" s="1" t="s">
        <v>50</v>
      </c>
      <c r="E785" s="65" t="s">
        <v>153</v>
      </c>
      <c r="F785" s="63" t="s">
        <v>493</v>
      </c>
      <c r="G785" s="1">
        <v>7</v>
      </c>
      <c r="H785" s="1">
        <f t="shared" si="189"/>
        <v>0.7592592592592593</v>
      </c>
      <c r="I785" s="1">
        <f t="shared" si="190"/>
        <v>5.3999999999999999E-2</v>
      </c>
      <c r="J785" s="1">
        <f t="shared" si="188"/>
        <v>2.0000000000000018E-2</v>
      </c>
      <c r="K785" s="1">
        <f t="shared" si="191"/>
        <v>1.9038599999999999</v>
      </c>
      <c r="L785" s="1">
        <f t="shared" si="192"/>
        <v>1.84748</v>
      </c>
      <c r="M785" s="49">
        <f t="shared" si="199"/>
        <v>0.16194244636225824</v>
      </c>
      <c r="N785" s="49">
        <v>0.56159999999999999</v>
      </c>
      <c r="O785" s="1">
        <v>601</v>
      </c>
      <c r="P785" s="51">
        <v>0</v>
      </c>
      <c r="Q785" s="51">
        <v>11</v>
      </c>
      <c r="R785" s="51">
        <v>1</v>
      </c>
      <c r="S785" s="1">
        <v>1</v>
      </c>
      <c r="T785" s="1">
        <v>0</v>
      </c>
      <c r="U785" s="47">
        <v>1</v>
      </c>
      <c r="V785" s="47">
        <v>147</v>
      </c>
      <c r="W785" s="41">
        <v>41</v>
      </c>
      <c r="X785">
        <v>54</v>
      </c>
      <c r="Y785">
        <v>0.98</v>
      </c>
      <c r="Z785">
        <v>1903.86</v>
      </c>
      <c r="AA785">
        <v>1847.48</v>
      </c>
      <c r="AB785">
        <v>56.16</v>
      </c>
      <c r="AC785">
        <v>36</v>
      </c>
      <c r="AD785" s="41">
        <f t="shared" si="200"/>
        <v>0.45171388652526978</v>
      </c>
      <c r="AE785" s="41">
        <f t="shared" si="201"/>
        <v>0.4654989499209734</v>
      </c>
      <c r="AF785">
        <f t="shared" si="202"/>
        <v>1.6696661538461544</v>
      </c>
      <c r="AG785">
        <f t="shared" si="203"/>
        <v>9.6019476923076656E-3</v>
      </c>
      <c r="AH785">
        <f t="shared" si="204"/>
        <v>0.56159999999999999</v>
      </c>
      <c r="AI785">
        <f>HLOOKUP(HLOOKUP(G785,'THP2'!$B$4:$J$8,5,FALSE),'Fuel &amp; Resister'!$B$3:$G$6,4,FALSE)</f>
        <v>2.7360666666666664</v>
      </c>
      <c r="AJ785" s="41">
        <f>HLOOKUP(HLOOKUP(G785,'THP2'!$B$4:$J$8,5,FALSE),'Fuel &amp; Resister'!$B$3:$G$6,3,FALSE)</f>
        <v>13.019</v>
      </c>
      <c r="AO785" s="62">
        <v>0</v>
      </c>
      <c r="AP785" s="62">
        <v>0</v>
      </c>
    </row>
    <row r="786" spans="2:42" x14ac:dyDescent="0.15">
      <c r="B786" s="82" t="s">
        <v>623</v>
      </c>
      <c r="C786" s="61">
        <f>VLOOKUP(B786,[1]SYS!$F$5:$G$359,2,FALSE)</f>
        <v>52</v>
      </c>
      <c r="D786" s="1" t="s">
        <v>50</v>
      </c>
      <c r="E786" s="65" t="s">
        <v>154</v>
      </c>
      <c r="F786" s="63" t="s">
        <v>492</v>
      </c>
      <c r="G786" s="1">
        <v>7</v>
      </c>
      <c r="H786" s="1">
        <f t="shared" si="189"/>
        <v>0.2288329519450801</v>
      </c>
      <c r="I786" s="1">
        <f t="shared" si="190"/>
        <v>0.874</v>
      </c>
      <c r="J786" s="1">
        <f t="shared" si="188"/>
        <v>1.9599999999999951E-2</v>
      </c>
      <c r="K786" s="1">
        <f t="shared" si="191"/>
        <v>2.7859699999999998</v>
      </c>
      <c r="L786" s="1">
        <f t="shared" si="192"/>
        <v>1.7124699999999999</v>
      </c>
      <c r="M786" s="49">
        <f t="shared" si="199"/>
        <v>2.4295262445642405</v>
      </c>
      <c r="N786" s="49">
        <v>1.8652000000000002</v>
      </c>
      <c r="O786" s="1">
        <v>913</v>
      </c>
      <c r="P786" s="51">
        <v>0.05</v>
      </c>
      <c r="Q786" s="51">
        <v>11</v>
      </c>
      <c r="R786" s="51">
        <v>1</v>
      </c>
      <c r="S786" s="1">
        <v>1</v>
      </c>
      <c r="T786" s="1">
        <v>0</v>
      </c>
      <c r="U786" s="47">
        <v>1</v>
      </c>
      <c r="V786" s="47">
        <v>148</v>
      </c>
      <c r="W786" s="41">
        <v>200</v>
      </c>
      <c r="X786">
        <v>874</v>
      </c>
      <c r="Y786">
        <v>0.98040000000000005</v>
      </c>
      <c r="Z786">
        <v>2785.97</v>
      </c>
      <c r="AA786">
        <v>1712.47</v>
      </c>
      <c r="AB786">
        <v>186.52</v>
      </c>
      <c r="AC786">
        <v>36</v>
      </c>
      <c r="AD786" s="41">
        <f t="shared" si="200"/>
        <v>0.3086896125945362</v>
      </c>
      <c r="AE786" s="41">
        <f t="shared" si="201"/>
        <v>0.50219857866123208</v>
      </c>
      <c r="AF786">
        <f t="shared" si="202"/>
        <v>1.393924005934718</v>
      </c>
      <c r="AG786">
        <f t="shared" si="203"/>
        <v>0.27840919881305642</v>
      </c>
      <c r="AH786">
        <f t="shared" si="204"/>
        <v>1.8652000000000002</v>
      </c>
      <c r="AI786">
        <f>HLOOKUP(HLOOKUP(G786,'THP2'!$B$4:$J$8,5,FALSE),'Fuel &amp; Resister'!$B$3:$G$6,4,FALSE)</f>
        <v>2.7360666666666664</v>
      </c>
      <c r="AJ786" s="41">
        <f>HLOOKUP(HLOOKUP(G786,'THP2'!$B$4:$J$8,5,FALSE),'Fuel &amp; Resister'!$B$3:$G$6,3,FALSE)</f>
        <v>13.019</v>
      </c>
      <c r="AO786" s="62">
        <v>0</v>
      </c>
      <c r="AP786" s="62">
        <v>0</v>
      </c>
    </row>
    <row r="787" spans="2:42" x14ac:dyDescent="0.15">
      <c r="B787" s="82" t="s">
        <v>623</v>
      </c>
      <c r="C787" s="61">
        <f>VLOOKUP(B787,[1]SYS!$F$5:$G$359,2,FALSE)</f>
        <v>52</v>
      </c>
      <c r="D787" s="1" t="s">
        <v>50</v>
      </c>
      <c r="E787" s="65" t="s">
        <v>155</v>
      </c>
      <c r="F787" s="63" t="s">
        <v>492</v>
      </c>
      <c r="G787" s="1">
        <v>7</v>
      </c>
      <c r="H787" s="1">
        <f t="shared" si="189"/>
        <v>0.24213075060532688</v>
      </c>
      <c r="I787" s="1">
        <f t="shared" si="190"/>
        <v>0.82599999999999996</v>
      </c>
      <c r="J787" s="1">
        <f t="shared" si="188"/>
        <v>1.9599999999999951E-2</v>
      </c>
      <c r="K787" s="1">
        <f t="shared" si="191"/>
        <v>2.7959899999999998</v>
      </c>
      <c r="L787" s="1">
        <f t="shared" si="192"/>
        <v>1.7186300000000001</v>
      </c>
      <c r="M787" s="49">
        <f t="shared" si="199"/>
        <v>2.304356275140703</v>
      </c>
      <c r="N787" s="49">
        <v>1.8148</v>
      </c>
      <c r="O787" s="1">
        <v>413</v>
      </c>
      <c r="P787" s="51">
        <v>0.05</v>
      </c>
      <c r="Q787" s="51">
        <v>11</v>
      </c>
      <c r="R787" s="51">
        <v>1</v>
      </c>
      <c r="S787" s="1">
        <v>1</v>
      </c>
      <c r="T787" s="1">
        <v>0</v>
      </c>
      <c r="U787" s="47">
        <v>1</v>
      </c>
      <c r="V787" s="47">
        <v>149</v>
      </c>
      <c r="W787" s="41">
        <v>200</v>
      </c>
      <c r="X787">
        <v>826</v>
      </c>
      <c r="Y787">
        <v>0.98040000000000005</v>
      </c>
      <c r="Z787">
        <v>2795.99</v>
      </c>
      <c r="AA787">
        <v>1718.63</v>
      </c>
      <c r="AB787">
        <v>181.48</v>
      </c>
      <c r="AC787">
        <v>36</v>
      </c>
      <c r="AD787" s="41">
        <f t="shared" si="200"/>
        <v>0.30758336045550955</v>
      </c>
      <c r="AE787" s="41">
        <f t="shared" si="201"/>
        <v>0.50039857328220727</v>
      </c>
      <c r="AF787">
        <f t="shared" si="202"/>
        <v>1.3744255271565495</v>
      </c>
      <c r="AG787">
        <f t="shared" si="203"/>
        <v>0.28431289456869013</v>
      </c>
      <c r="AH787">
        <f t="shared" si="204"/>
        <v>1.8148</v>
      </c>
      <c r="AI787">
        <f>HLOOKUP(HLOOKUP(G787,'THP2'!$B$4:$J$8,5,FALSE),'Fuel &amp; Resister'!$B$3:$G$6,4,FALSE)</f>
        <v>2.7360666666666664</v>
      </c>
      <c r="AJ787" s="41">
        <f>HLOOKUP(HLOOKUP(G787,'THP2'!$B$4:$J$8,5,FALSE),'Fuel &amp; Resister'!$B$3:$G$6,3,FALSE)</f>
        <v>13.019</v>
      </c>
      <c r="AO787" s="62">
        <v>0</v>
      </c>
      <c r="AP787" s="62">
        <v>0</v>
      </c>
    </row>
    <row r="788" spans="2:42" x14ac:dyDescent="0.15">
      <c r="B788" s="82" t="s">
        <v>589</v>
      </c>
      <c r="C788" s="61">
        <f>VLOOKUP(B788,[1]SYS!$F$5:$G$359,2,FALSE)</f>
        <v>59</v>
      </c>
      <c r="D788" s="1" t="s">
        <v>50</v>
      </c>
      <c r="E788" s="65" t="s">
        <v>551</v>
      </c>
      <c r="F788" s="63" t="s">
        <v>552</v>
      </c>
      <c r="G788" s="1">
        <v>7</v>
      </c>
      <c r="H788" s="1">
        <f t="shared" si="189"/>
        <v>0.46845124282982792</v>
      </c>
      <c r="I788" s="1">
        <f t="shared" si="190"/>
        <v>0.52300000000000002</v>
      </c>
      <c r="J788" s="1">
        <f t="shared" si="188"/>
        <v>2.4499999999999966E-2</v>
      </c>
      <c r="K788" s="1">
        <f t="shared" si="191"/>
        <v>2.0238199999999997</v>
      </c>
      <c r="L788" s="1">
        <f t="shared" si="192"/>
        <v>1.6538499999999998</v>
      </c>
      <c r="M788" s="49">
        <f t="shared" si="199"/>
        <v>1.4040578327433753</v>
      </c>
      <c r="N788" s="49">
        <f>AB788/100</f>
        <v>1.4944999999999999</v>
      </c>
      <c r="O788" s="1">
        <v>504</v>
      </c>
      <c r="P788" s="51">
        <v>0.05</v>
      </c>
      <c r="Q788" s="51">
        <v>11</v>
      </c>
      <c r="R788" s="51">
        <v>1</v>
      </c>
      <c r="S788" s="1">
        <v>1</v>
      </c>
      <c r="T788" s="1">
        <v>0</v>
      </c>
      <c r="U788" s="47">
        <v>0</v>
      </c>
      <c r="V788" s="47"/>
      <c r="W788">
        <v>245</v>
      </c>
      <c r="X788">
        <v>523</v>
      </c>
      <c r="Y788">
        <v>0.97550000000000003</v>
      </c>
      <c r="Z788">
        <v>2023.82</v>
      </c>
      <c r="AA788">
        <v>1653.85</v>
      </c>
      <c r="AB788">
        <v>149.44999999999999</v>
      </c>
      <c r="AC788"/>
      <c r="AD788" s="41"/>
      <c r="AI788">
        <f>HLOOKUP(HLOOKUP(G788,'THP2'!$B$4:$J$8,5,FALSE),'Fuel &amp; Resister'!$B$3:$G$6,4,FALSE)</f>
        <v>2.7360666666666664</v>
      </c>
      <c r="AJ788" s="41">
        <f>HLOOKUP(HLOOKUP(G788,'THP2'!$B$4:$J$8,5,FALSE),'Fuel &amp; Resister'!$B$3:$G$6,3,FALSE)</f>
        <v>13.019</v>
      </c>
      <c r="AO788" s="62">
        <v>0</v>
      </c>
      <c r="AP788" s="62">
        <v>0</v>
      </c>
    </row>
    <row r="789" spans="2:42" x14ac:dyDescent="0.15">
      <c r="B789" s="82" t="s">
        <v>589</v>
      </c>
      <c r="C789" s="61">
        <f>VLOOKUP(B789,[1]SYS!$F$5:$G$359,2,FALSE)</f>
        <v>59</v>
      </c>
      <c r="D789" s="1" t="s">
        <v>50</v>
      </c>
      <c r="E789" s="65" t="s">
        <v>551</v>
      </c>
      <c r="F789" s="63" t="s">
        <v>552</v>
      </c>
      <c r="G789" s="1">
        <v>7</v>
      </c>
      <c r="H789" s="1">
        <f t="shared" si="189"/>
        <v>0.46845124282982792</v>
      </c>
      <c r="I789" s="1">
        <f t="shared" si="190"/>
        <v>0.52300000000000002</v>
      </c>
      <c r="J789" s="1">
        <f t="shared" si="188"/>
        <v>2.4499999999999966E-2</v>
      </c>
      <c r="K789" s="1">
        <f t="shared" si="191"/>
        <v>2.0238199999999997</v>
      </c>
      <c r="L789" s="1">
        <f t="shared" si="192"/>
        <v>1.6538499999999998</v>
      </c>
      <c r="M789" s="49">
        <f t="shared" si="199"/>
        <v>1.4040578327433753</v>
      </c>
      <c r="N789" s="49">
        <f>AB789/100</f>
        <v>1.4944999999999999</v>
      </c>
      <c r="O789" s="1">
        <v>609</v>
      </c>
      <c r="P789" s="51">
        <v>0.05</v>
      </c>
      <c r="Q789" s="51">
        <v>11</v>
      </c>
      <c r="R789" s="51">
        <v>1</v>
      </c>
      <c r="S789" s="1">
        <v>1</v>
      </c>
      <c r="T789" s="1">
        <v>0</v>
      </c>
      <c r="U789" s="47">
        <v>0</v>
      </c>
      <c r="V789" s="47"/>
      <c r="W789">
        <v>245</v>
      </c>
      <c r="X789">
        <v>523</v>
      </c>
      <c r="Y789">
        <v>0.97550000000000003</v>
      </c>
      <c r="Z789">
        <v>2023.82</v>
      </c>
      <c r="AA789">
        <v>1653.85</v>
      </c>
      <c r="AB789">
        <v>149.44999999999999</v>
      </c>
      <c r="AC789"/>
      <c r="AD789" s="41"/>
      <c r="AI789">
        <f>HLOOKUP(HLOOKUP(G789,'THP2'!$B$4:$J$8,5,FALSE),'Fuel &amp; Resister'!$B$3:$G$6,4,FALSE)</f>
        <v>2.7360666666666664</v>
      </c>
      <c r="AJ789" s="41">
        <f>HLOOKUP(HLOOKUP(G789,'THP2'!$B$4:$J$8,5,FALSE),'Fuel &amp; Resister'!$B$3:$G$6,3,FALSE)</f>
        <v>13.019</v>
      </c>
      <c r="AO789" s="62">
        <v>0</v>
      </c>
      <c r="AP789" s="62">
        <v>0</v>
      </c>
    </row>
    <row r="790" spans="2:42" x14ac:dyDescent="0.15">
      <c r="B790" s="82" t="s">
        <v>624</v>
      </c>
      <c r="C790" s="61">
        <f>VLOOKUP(B790,[1]SYS!$F$5:$G$359,2,FALSE)</f>
        <v>74</v>
      </c>
      <c r="D790" s="1" t="s">
        <v>50</v>
      </c>
      <c r="E790" s="65" t="s">
        <v>156</v>
      </c>
      <c r="F790" s="63" t="s">
        <v>442</v>
      </c>
      <c r="G790" s="1">
        <v>7</v>
      </c>
      <c r="H790" s="1">
        <f t="shared" si="189"/>
        <v>0.4</v>
      </c>
      <c r="I790" s="1">
        <f t="shared" si="190"/>
        <v>0.78</v>
      </c>
      <c r="J790" s="1">
        <f t="shared" si="188"/>
        <v>2.0000000000000018E-2</v>
      </c>
      <c r="K790" s="1">
        <f t="shared" si="191"/>
        <v>1.9562299999999999</v>
      </c>
      <c r="L790" s="1">
        <f t="shared" si="192"/>
        <v>1.4995699999999998</v>
      </c>
      <c r="M790" s="49">
        <f t="shared" si="199"/>
        <v>1.8986658377831607</v>
      </c>
      <c r="N790" s="49">
        <v>1.7665</v>
      </c>
      <c r="O790" s="1">
        <v>913</v>
      </c>
      <c r="P790" s="51">
        <v>0.05</v>
      </c>
      <c r="Q790" s="51">
        <v>11</v>
      </c>
      <c r="R790" s="51">
        <v>1</v>
      </c>
      <c r="S790" s="1">
        <v>1</v>
      </c>
      <c r="T790" s="1">
        <v>0</v>
      </c>
      <c r="U790" s="47">
        <v>1</v>
      </c>
      <c r="V790" s="47">
        <v>150</v>
      </c>
      <c r="W790" s="41">
        <v>312</v>
      </c>
      <c r="X790">
        <v>780</v>
      </c>
      <c r="Y790">
        <v>0.98</v>
      </c>
      <c r="Z790">
        <v>1956.23</v>
      </c>
      <c r="AA790">
        <v>1499.57</v>
      </c>
      <c r="AB790">
        <v>176.65</v>
      </c>
      <c r="AC790">
        <v>36</v>
      </c>
      <c r="AD790" s="41">
        <f t="shared" ref="AD790:AD857" si="205">1/Z790*860</f>
        <v>0.43962110794742953</v>
      </c>
      <c r="AE790" s="41">
        <f t="shared" ref="AE790:AE857" si="206">1/AA790*860</f>
        <v>0.57349773601765841</v>
      </c>
      <c r="AF790">
        <f t="shared" ref="AF790:AF857" si="207">(L790-H790*K790)/(1-H790)</f>
        <v>1.1951299999999998</v>
      </c>
      <c r="AG790">
        <f t="shared" ref="AG790:AG857" si="208">I790*(L790-AF790)</f>
        <v>0.23746320000000004</v>
      </c>
      <c r="AH790">
        <f t="shared" ref="AH790:AH857" si="209">AB790/100</f>
        <v>1.7665</v>
      </c>
      <c r="AI790">
        <f>HLOOKUP(HLOOKUP(G790,'THP2'!$B$4:$J$8,5,FALSE),'Fuel &amp; Resister'!$B$3:$G$6,4,FALSE)</f>
        <v>2.7360666666666664</v>
      </c>
      <c r="AJ790" s="41">
        <f>HLOOKUP(HLOOKUP(G790,'THP2'!$B$4:$J$8,5,FALSE),'Fuel &amp; Resister'!$B$3:$G$6,3,FALSE)</f>
        <v>13.019</v>
      </c>
      <c r="AO790" s="62">
        <v>0</v>
      </c>
      <c r="AP790" s="62">
        <v>0</v>
      </c>
    </row>
    <row r="791" spans="2:42" x14ac:dyDescent="0.15">
      <c r="B791" s="82" t="s">
        <v>624</v>
      </c>
      <c r="C791" s="61">
        <f>VLOOKUP(B791,[1]SYS!$F$5:$G$359,2,FALSE)</f>
        <v>74</v>
      </c>
      <c r="D791" s="1" t="s">
        <v>50</v>
      </c>
      <c r="E791" s="65" t="s">
        <v>157</v>
      </c>
      <c r="F791" s="63" t="s">
        <v>442</v>
      </c>
      <c r="G791" s="1">
        <v>7</v>
      </c>
      <c r="H791" s="1">
        <f t="shared" si="189"/>
        <v>0.4</v>
      </c>
      <c r="I791" s="1">
        <f t="shared" si="190"/>
        <v>0.78</v>
      </c>
      <c r="J791" s="1">
        <f t="shared" si="188"/>
        <v>2.0000000000000018E-2</v>
      </c>
      <c r="K791" s="1">
        <f t="shared" si="191"/>
        <v>1.9562299999999999</v>
      </c>
      <c r="L791" s="1">
        <f t="shared" si="192"/>
        <v>1.4995699999999998</v>
      </c>
      <c r="M791" s="49">
        <f t="shared" si="199"/>
        <v>1.8986658377831607</v>
      </c>
      <c r="N791" s="49">
        <v>1.7665</v>
      </c>
      <c r="O791" s="1">
        <v>514</v>
      </c>
      <c r="P791" s="51">
        <v>0.05</v>
      </c>
      <c r="Q791" s="51">
        <v>11</v>
      </c>
      <c r="R791" s="51">
        <v>1</v>
      </c>
      <c r="S791" s="1">
        <v>1</v>
      </c>
      <c r="T791" s="1">
        <v>0</v>
      </c>
      <c r="U791" s="47">
        <v>1</v>
      </c>
      <c r="V791" s="47">
        <v>151</v>
      </c>
      <c r="W791" s="41">
        <v>312</v>
      </c>
      <c r="X791">
        <v>780</v>
      </c>
      <c r="Y791">
        <v>0.98</v>
      </c>
      <c r="Z791">
        <v>1956.23</v>
      </c>
      <c r="AA791">
        <v>1499.57</v>
      </c>
      <c r="AB791">
        <v>176.65</v>
      </c>
      <c r="AC791">
        <v>36</v>
      </c>
      <c r="AD791" s="41">
        <f t="shared" si="205"/>
        <v>0.43962110794742953</v>
      </c>
      <c r="AE791" s="41">
        <f t="shared" si="206"/>
        <v>0.57349773601765841</v>
      </c>
      <c r="AF791">
        <f t="shared" si="207"/>
        <v>1.1951299999999998</v>
      </c>
      <c r="AG791">
        <f t="shared" si="208"/>
        <v>0.23746320000000004</v>
      </c>
      <c r="AH791">
        <f t="shared" si="209"/>
        <v>1.7665</v>
      </c>
      <c r="AI791">
        <f>HLOOKUP(HLOOKUP(G791,'THP2'!$B$4:$J$8,5,FALSE),'Fuel &amp; Resister'!$B$3:$G$6,4,FALSE)</f>
        <v>2.7360666666666664</v>
      </c>
      <c r="AJ791" s="41">
        <f>HLOOKUP(HLOOKUP(G791,'THP2'!$B$4:$J$8,5,FALSE),'Fuel &amp; Resister'!$B$3:$G$6,3,FALSE)</f>
        <v>13.019</v>
      </c>
      <c r="AO791" s="62">
        <v>0</v>
      </c>
      <c r="AP791" s="62">
        <v>0</v>
      </c>
    </row>
    <row r="792" spans="2:42" x14ac:dyDescent="0.15">
      <c r="B792" s="82" t="s">
        <v>624</v>
      </c>
      <c r="C792" s="61">
        <f>VLOOKUP(B792,[1]SYS!$F$5:$G$359,2,FALSE)</f>
        <v>74</v>
      </c>
      <c r="D792" s="1" t="s">
        <v>50</v>
      </c>
      <c r="E792" s="65" t="s">
        <v>158</v>
      </c>
      <c r="F792" s="63" t="s">
        <v>442</v>
      </c>
      <c r="G792" s="1">
        <v>7</v>
      </c>
      <c r="H792" s="1">
        <f t="shared" si="189"/>
        <v>0.4</v>
      </c>
      <c r="I792" s="1">
        <f t="shared" si="190"/>
        <v>0.78</v>
      </c>
      <c r="J792" s="1">
        <f t="shared" si="188"/>
        <v>2.0000000000000018E-2</v>
      </c>
      <c r="K792" s="1">
        <f t="shared" si="191"/>
        <v>1.9562299999999999</v>
      </c>
      <c r="L792" s="1">
        <f t="shared" si="192"/>
        <v>1.4995699999999998</v>
      </c>
      <c r="M792" s="49">
        <f t="shared" si="199"/>
        <v>1.8986658377831607</v>
      </c>
      <c r="N792" s="49">
        <v>1.7665</v>
      </c>
      <c r="O792" s="1">
        <v>613</v>
      </c>
      <c r="P792" s="51">
        <v>0.05</v>
      </c>
      <c r="Q792" s="51">
        <v>11</v>
      </c>
      <c r="R792" s="51">
        <v>1</v>
      </c>
      <c r="S792" s="1">
        <v>1</v>
      </c>
      <c r="T792" s="1">
        <v>0</v>
      </c>
      <c r="U792" s="47">
        <v>1</v>
      </c>
      <c r="V792" s="47">
        <v>152</v>
      </c>
      <c r="W792" s="41">
        <v>312</v>
      </c>
      <c r="X792">
        <v>780</v>
      </c>
      <c r="Y792">
        <v>0.98</v>
      </c>
      <c r="Z792">
        <v>1956.23</v>
      </c>
      <c r="AA792">
        <v>1499.57</v>
      </c>
      <c r="AB792">
        <v>176.65</v>
      </c>
      <c r="AC792">
        <v>36</v>
      </c>
      <c r="AD792" s="41">
        <f t="shared" si="205"/>
        <v>0.43962110794742953</v>
      </c>
      <c r="AE792" s="41">
        <f t="shared" si="206"/>
        <v>0.57349773601765841</v>
      </c>
      <c r="AF792">
        <f t="shared" si="207"/>
        <v>1.1951299999999998</v>
      </c>
      <c r="AG792">
        <f t="shared" si="208"/>
        <v>0.23746320000000004</v>
      </c>
      <c r="AH792">
        <f t="shared" si="209"/>
        <v>1.7665</v>
      </c>
      <c r="AI792">
        <f>HLOOKUP(HLOOKUP(G792,'THP2'!$B$4:$J$8,5,FALSE),'Fuel &amp; Resister'!$B$3:$G$6,4,FALSE)</f>
        <v>2.7360666666666664</v>
      </c>
      <c r="AJ792" s="41">
        <f>HLOOKUP(HLOOKUP(G792,'THP2'!$B$4:$J$8,5,FALSE),'Fuel &amp; Resister'!$B$3:$G$6,3,FALSE)</f>
        <v>13.019</v>
      </c>
      <c r="AO792" s="1">
        <v>1</v>
      </c>
      <c r="AP792" s="62">
        <v>0</v>
      </c>
    </row>
    <row r="793" spans="2:42" x14ac:dyDescent="0.15">
      <c r="B793" s="82" t="s">
        <v>624</v>
      </c>
      <c r="C793" s="61">
        <f>VLOOKUP(B793,[1]SYS!$F$5:$G$359,2,FALSE)</f>
        <v>74</v>
      </c>
      <c r="D793" s="1" t="s">
        <v>50</v>
      </c>
      <c r="E793" s="65" t="s">
        <v>159</v>
      </c>
      <c r="F793" s="63" t="s">
        <v>443</v>
      </c>
      <c r="G793" s="1">
        <v>7</v>
      </c>
      <c r="H793" s="1">
        <f t="shared" si="189"/>
        <v>0.4</v>
      </c>
      <c r="I793" s="1">
        <f t="shared" si="190"/>
        <v>0.65</v>
      </c>
      <c r="J793" s="1">
        <f t="shared" si="188"/>
        <v>2.0000000000000018E-2</v>
      </c>
      <c r="K793" s="1">
        <f t="shared" si="191"/>
        <v>1.9856500000000001</v>
      </c>
      <c r="L793" s="1">
        <f t="shared" si="192"/>
        <v>1.5221199999999999</v>
      </c>
      <c r="M793" s="49">
        <f t="shared" si="199"/>
        <v>1.6060144158028105</v>
      </c>
      <c r="N793" s="49">
        <v>1.63</v>
      </c>
      <c r="O793" s="1">
        <v>613</v>
      </c>
      <c r="P793" s="51">
        <v>0.05</v>
      </c>
      <c r="Q793" s="51">
        <v>11</v>
      </c>
      <c r="R793" s="51">
        <v>1</v>
      </c>
      <c r="S793" s="1">
        <v>1</v>
      </c>
      <c r="T793" s="1">
        <v>0</v>
      </c>
      <c r="U793" s="47">
        <v>1</v>
      </c>
      <c r="V793" s="47">
        <v>153</v>
      </c>
      <c r="W793" s="41">
        <v>260</v>
      </c>
      <c r="X793">
        <v>650</v>
      </c>
      <c r="Y793">
        <v>0.98</v>
      </c>
      <c r="Z793">
        <v>1985.65</v>
      </c>
      <c r="AA793">
        <v>1522.12</v>
      </c>
      <c r="AB793">
        <v>163</v>
      </c>
      <c r="AC793">
        <v>36</v>
      </c>
      <c r="AD793" s="41">
        <f t="shared" si="205"/>
        <v>0.43310754664719353</v>
      </c>
      <c r="AE793" s="41">
        <f t="shared" si="206"/>
        <v>0.56500144535253471</v>
      </c>
      <c r="AF793">
        <f t="shared" si="207"/>
        <v>1.2130999999999998</v>
      </c>
      <c r="AG793">
        <f t="shared" si="208"/>
        <v>0.20086300000000004</v>
      </c>
      <c r="AH793">
        <f t="shared" si="209"/>
        <v>1.63</v>
      </c>
      <c r="AI793">
        <f>HLOOKUP(HLOOKUP(G793,'THP2'!$B$4:$J$8,5,FALSE),'Fuel &amp; Resister'!$B$3:$G$6,4,FALSE)</f>
        <v>2.7360666666666664</v>
      </c>
      <c r="AJ793" s="41">
        <f>HLOOKUP(HLOOKUP(G793,'THP2'!$B$4:$J$8,5,FALSE),'Fuel &amp; Resister'!$B$3:$G$6,3,FALSE)</f>
        <v>13.019</v>
      </c>
      <c r="AO793" s="1">
        <v>1</v>
      </c>
      <c r="AP793" s="62">
        <v>0</v>
      </c>
    </row>
    <row r="794" spans="2:42" x14ac:dyDescent="0.15">
      <c r="B794" s="82" t="s">
        <v>624</v>
      </c>
      <c r="C794" s="61">
        <f>VLOOKUP(B794,[1]SYS!$F$5:$G$359,2,FALSE)</f>
        <v>74</v>
      </c>
      <c r="D794" s="1" t="s">
        <v>50</v>
      </c>
      <c r="E794" s="65" t="s">
        <v>160</v>
      </c>
      <c r="F794" s="63" t="s">
        <v>443</v>
      </c>
      <c r="G794" s="1">
        <v>7</v>
      </c>
      <c r="H794" s="1">
        <f t="shared" si="189"/>
        <v>0.4</v>
      </c>
      <c r="I794" s="1">
        <f t="shared" si="190"/>
        <v>0.65</v>
      </c>
      <c r="J794" s="1">
        <f t="shared" si="188"/>
        <v>2.0000000000000018E-2</v>
      </c>
      <c r="K794" s="1">
        <f t="shared" si="191"/>
        <v>1.9856500000000001</v>
      </c>
      <c r="L794" s="1">
        <f t="shared" si="192"/>
        <v>1.5221199999999999</v>
      </c>
      <c r="M794" s="49">
        <f t="shared" si="199"/>
        <v>1.6060144158028105</v>
      </c>
      <c r="N794" s="49">
        <v>1.63</v>
      </c>
      <c r="O794" s="1">
        <v>913</v>
      </c>
      <c r="P794" s="51">
        <v>0.05</v>
      </c>
      <c r="Q794" s="51">
        <v>11</v>
      </c>
      <c r="R794" s="51">
        <v>1</v>
      </c>
      <c r="S794" s="1">
        <v>1</v>
      </c>
      <c r="T794" s="1">
        <v>0</v>
      </c>
      <c r="U794" s="47">
        <v>1</v>
      </c>
      <c r="V794" s="47">
        <v>154</v>
      </c>
      <c r="W794" s="41">
        <v>260</v>
      </c>
      <c r="X794">
        <v>650</v>
      </c>
      <c r="Y794">
        <v>0.98</v>
      </c>
      <c r="Z794">
        <v>1985.65</v>
      </c>
      <c r="AA794">
        <v>1522.12</v>
      </c>
      <c r="AB794">
        <v>163</v>
      </c>
      <c r="AC794">
        <v>36</v>
      </c>
      <c r="AD794" s="41">
        <f t="shared" si="205"/>
        <v>0.43310754664719353</v>
      </c>
      <c r="AE794" s="41">
        <f t="shared" si="206"/>
        <v>0.56500144535253471</v>
      </c>
      <c r="AF794">
        <f t="shared" si="207"/>
        <v>1.2130999999999998</v>
      </c>
      <c r="AG794">
        <f t="shared" si="208"/>
        <v>0.20086300000000004</v>
      </c>
      <c r="AH794">
        <f t="shared" si="209"/>
        <v>1.63</v>
      </c>
      <c r="AI794">
        <f>HLOOKUP(HLOOKUP(G794,'THP2'!$B$4:$J$8,5,FALSE),'Fuel &amp; Resister'!$B$3:$G$6,4,FALSE)</f>
        <v>2.7360666666666664</v>
      </c>
      <c r="AJ794" s="41">
        <f>HLOOKUP(HLOOKUP(G794,'THP2'!$B$4:$J$8,5,FALSE),'Fuel &amp; Resister'!$B$3:$G$6,3,FALSE)</f>
        <v>13.019</v>
      </c>
      <c r="AO794" s="1">
        <v>1</v>
      </c>
      <c r="AP794" s="62">
        <v>0</v>
      </c>
    </row>
    <row r="795" spans="2:42" x14ac:dyDescent="0.15">
      <c r="B795" s="82" t="s">
        <v>624</v>
      </c>
      <c r="C795" s="61">
        <f>VLOOKUP(B795,[1]SYS!$F$5:$G$359,2,FALSE)</f>
        <v>74</v>
      </c>
      <c r="D795" s="1" t="s">
        <v>50</v>
      </c>
      <c r="E795" s="65" t="s">
        <v>161</v>
      </c>
      <c r="F795" s="63" t="s">
        <v>443</v>
      </c>
      <c r="G795" s="1">
        <v>7</v>
      </c>
      <c r="H795" s="1">
        <f t="shared" si="189"/>
        <v>0.4</v>
      </c>
      <c r="I795" s="1">
        <f t="shared" si="190"/>
        <v>0.65</v>
      </c>
      <c r="J795" s="1">
        <f t="shared" si="188"/>
        <v>2.0000000000000018E-2</v>
      </c>
      <c r="K795" s="1">
        <f t="shared" si="191"/>
        <v>1.9856500000000001</v>
      </c>
      <c r="L795" s="1">
        <f t="shared" si="192"/>
        <v>1.5221199999999999</v>
      </c>
      <c r="M795" s="49">
        <f t="shared" si="199"/>
        <v>1.6060144158028105</v>
      </c>
      <c r="N795" s="49">
        <v>1.63</v>
      </c>
      <c r="O795" s="1">
        <v>413</v>
      </c>
      <c r="P795" s="51">
        <v>0.05</v>
      </c>
      <c r="Q795" s="51">
        <v>11</v>
      </c>
      <c r="R795" s="51">
        <v>1</v>
      </c>
      <c r="S795" s="1">
        <v>1</v>
      </c>
      <c r="T795" s="1">
        <v>0</v>
      </c>
      <c r="U795" s="47">
        <v>1</v>
      </c>
      <c r="V795" s="47">
        <v>155</v>
      </c>
      <c r="W795" s="41">
        <v>260</v>
      </c>
      <c r="X795">
        <v>650</v>
      </c>
      <c r="Y795">
        <v>0.98</v>
      </c>
      <c r="Z795">
        <v>1985.65</v>
      </c>
      <c r="AA795">
        <v>1522.12</v>
      </c>
      <c r="AB795">
        <v>163</v>
      </c>
      <c r="AC795">
        <v>36</v>
      </c>
      <c r="AD795" s="41">
        <f t="shared" si="205"/>
        <v>0.43310754664719353</v>
      </c>
      <c r="AE795" s="41">
        <f t="shared" si="206"/>
        <v>0.56500144535253471</v>
      </c>
      <c r="AF795">
        <f t="shared" si="207"/>
        <v>1.2130999999999998</v>
      </c>
      <c r="AG795">
        <f t="shared" si="208"/>
        <v>0.20086300000000004</v>
      </c>
      <c r="AH795">
        <f t="shared" si="209"/>
        <v>1.63</v>
      </c>
      <c r="AI795">
        <f>HLOOKUP(HLOOKUP(G795,'THP2'!$B$4:$J$8,5,FALSE),'Fuel &amp; Resister'!$B$3:$G$6,4,FALSE)</f>
        <v>2.7360666666666664</v>
      </c>
      <c r="AJ795" s="41">
        <f>HLOOKUP(HLOOKUP(G795,'THP2'!$B$4:$J$8,5,FALSE),'Fuel &amp; Resister'!$B$3:$G$6,3,FALSE)</f>
        <v>13.019</v>
      </c>
      <c r="AO795" s="1">
        <v>1</v>
      </c>
      <c r="AP795" s="62">
        <v>0</v>
      </c>
    </row>
    <row r="796" spans="2:42" x14ac:dyDescent="0.15">
      <c r="B796" s="82" t="s">
        <v>624</v>
      </c>
      <c r="C796" s="61">
        <f>VLOOKUP(B796,[1]SYS!$F$5:$G$359,2,FALSE)</f>
        <v>74</v>
      </c>
      <c r="D796" s="1" t="s">
        <v>50</v>
      </c>
      <c r="E796" s="65" t="s">
        <v>162</v>
      </c>
      <c r="F796" s="42" t="s">
        <v>515</v>
      </c>
      <c r="G796" s="1">
        <v>7</v>
      </c>
      <c r="H796" s="1">
        <f t="shared" si="189"/>
        <v>0.4</v>
      </c>
      <c r="I796" s="1">
        <f t="shared" si="190"/>
        <v>1.07</v>
      </c>
      <c r="J796" s="1">
        <f t="shared" si="188"/>
        <v>2.0000000000000018E-2</v>
      </c>
      <c r="K796" s="1">
        <f t="shared" si="191"/>
        <v>2.0033799999999999</v>
      </c>
      <c r="L796" s="1">
        <f t="shared" si="192"/>
        <v>1.5357100000000001</v>
      </c>
      <c r="M796" s="49">
        <f t="shared" si="199"/>
        <v>2.6673510694466751</v>
      </c>
      <c r="N796" s="49">
        <v>2.0709999999999997</v>
      </c>
      <c r="O796" s="1">
        <v>514</v>
      </c>
      <c r="P796" s="51">
        <v>0.05</v>
      </c>
      <c r="Q796" s="51">
        <v>11</v>
      </c>
      <c r="R796" s="51">
        <v>1</v>
      </c>
      <c r="S796" s="1">
        <v>1</v>
      </c>
      <c r="T796" s="1">
        <v>0</v>
      </c>
      <c r="U796" s="47">
        <v>1</v>
      </c>
      <c r="V796" s="47">
        <v>156</v>
      </c>
      <c r="W796" s="41">
        <v>428</v>
      </c>
      <c r="X796">
        <v>1070</v>
      </c>
      <c r="Y796">
        <v>0.98</v>
      </c>
      <c r="Z796">
        <v>2003.38</v>
      </c>
      <c r="AA796">
        <v>1535.71</v>
      </c>
      <c r="AB796">
        <v>207.1</v>
      </c>
      <c r="AC796">
        <v>36</v>
      </c>
      <c r="AD796" s="41">
        <f t="shared" si="205"/>
        <v>0.42927452605097377</v>
      </c>
      <c r="AE796" s="41">
        <f t="shared" si="206"/>
        <v>0.56000156279505897</v>
      </c>
      <c r="AF796">
        <f t="shared" si="207"/>
        <v>1.2239300000000002</v>
      </c>
      <c r="AG796">
        <f t="shared" si="208"/>
        <v>0.33360459999999997</v>
      </c>
      <c r="AH796">
        <f t="shared" si="209"/>
        <v>2.0709999999999997</v>
      </c>
      <c r="AI796">
        <f>HLOOKUP(HLOOKUP(G796,'THP2'!$B$4:$J$8,5,FALSE),'Fuel &amp; Resister'!$B$3:$G$6,4,FALSE)</f>
        <v>2.7360666666666664</v>
      </c>
      <c r="AJ796" s="41">
        <f>HLOOKUP(HLOOKUP(G796,'THP2'!$B$4:$J$8,5,FALSE),'Fuel &amp; Resister'!$B$3:$G$6,3,FALSE)</f>
        <v>13.019</v>
      </c>
      <c r="AO796" s="1">
        <v>1</v>
      </c>
      <c r="AP796" s="62">
        <v>0</v>
      </c>
    </row>
    <row r="797" spans="2:42" x14ac:dyDescent="0.15">
      <c r="B797" s="82" t="s">
        <v>625</v>
      </c>
      <c r="C797" s="61">
        <f>VLOOKUP(B797,[1]SYS!$F$5:$G$359,2,FALSE)</f>
        <v>106</v>
      </c>
      <c r="D797" s="1" t="s">
        <v>50</v>
      </c>
      <c r="E797" s="65" t="s">
        <v>374</v>
      </c>
      <c r="F797" s="42" t="s">
        <v>375</v>
      </c>
      <c r="G797" s="1">
        <v>7</v>
      </c>
      <c r="H797" s="1">
        <f t="shared" si="189"/>
        <v>0.3981042654028436</v>
      </c>
      <c r="I797" s="1">
        <f t="shared" si="190"/>
        <v>0.21099999999999999</v>
      </c>
      <c r="J797" s="1">
        <f t="shared" si="188"/>
        <v>2.0000000000000018E-2</v>
      </c>
      <c r="K797" s="1">
        <f t="shared" si="191"/>
        <v>2.0349300000000001</v>
      </c>
      <c r="L797" s="1">
        <f t="shared" si="192"/>
        <v>1.5599000000000001</v>
      </c>
      <c r="M797" s="49">
        <f t="shared" si="199"/>
        <v>0.53427690751308365</v>
      </c>
      <c r="N797" s="49">
        <v>1.1584000000000001</v>
      </c>
      <c r="O797" s="1">
        <v>608</v>
      </c>
      <c r="P797" s="51">
        <v>0.05</v>
      </c>
      <c r="Q797" s="51">
        <v>11</v>
      </c>
      <c r="R797" s="51">
        <v>1</v>
      </c>
      <c r="S797" s="1">
        <v>1</v>
      </c>
      <c r="T797" s="1">
        <v>0</v>
      </c>
      <c r="U797" s="47">
        <v>1</v>
      </c>
      <c r="V797" s="47">
        <v>157</v>
      </c>
      <c r="W797" s="41">
        <v>84</v>
      </c>
      <c r="X797">
        <v>211</v>
      </c>
      <c r="Y797">
        <v>0.98</v>
      </c>
      <c r="Z797">
        <v>2034.93</v>
      </c>
      <c r="AA797">
        <v>1559.9</v>
      </c>
      <c r="AB797">
        <v>115.84</v>
      </c>
      <c r="AC797">
        <v>46</v>
      </c>
      <c r="AD797" s="41">
        <f t="shared" si="205"/>
        <v>0.42261895986594133</v>
      </c>
      <c r="AE797" s="41">
        <f t="shared" si="206"/>
        <v>0.55131739214052178</v>
      </c>
      <c r="AF797">
        <f t="shared" si="207"/>
        <v>1.2457069291338583</v>
      </c>
      <c r="AG797">
        <f t="shared" si="208"/>
        <v>6.6294737952755908E-2</v>
      </c>
      <c r="AH797">
        <f t="shared" si="209"/>
        <v>1.1584000000000001</v>
      </c>
      <c r="AI797">
        <f>HLOOKUP(HLOOKUP(G797,'THP2'!$B$4:$J$8,5,FALSE),'Fuel &amp; Resister'!$B$3:$G$6,4,FALSE)</f>
        <v>2.7360666666666664</v>
      </c>
      <c r="AJ797" s="41">
        <f>HLOOKUP(HLOOKUP(G797,'THP2'!$B$4:$J$8,5,FALSE),'Fuel &amp; Resister'!$B$3:$G$6,3,FALSE)</f>
        <v>13.019</v>
      </c>
      <c r="AO797" s="1">
        <v>1</v>
      </c>
      <c r="AP797" s="62">
        <v>0</v>
      </c>
    </row>
    <row r="798" spans="2:42" x14ac:dyDescent="0.15">
      <c r="B798" s="82" t="s">
        <v>625</v>
      </c>
      <c r="C798" s="61">
        <f>VLOOKUP(B798,[1]SYS!$F$5:$G$359,2,FALSE)</f>
        <v>106</v>
      </c>
      <c r="D798" s="1" t="s">
        <v>50</v>
      </c>
      <c r="E798" s="65" t="s">
        <v>376</v>
      </c>
      <c r="F798" s="42" t="s">
        <v>375</v>
      </c>
      <c r="G798" s="1">
        <v>7</v>
      </c>
      <c r="H798" s="1">
        <f t="shared" si="189"/>
        <v>0.3981042654028436</v>
      </c>
      <c r="I798" s="1">
        <f t="shared" si="190"/>
        <v>0.21099999999999999</v>
      </c>
      <c r="J798" s="1">
        <f t="shared" si="188"/>
        <v>2.0000000000000018E-2</v>
      </c>
      <c r="K798" s="1">
        <f t="shared" si="191"/>
        <v>2.0349300000000001</v>
      </c>
      <c r="L798" s="1">
        <f t="shared" si="192"/>
        <v>1.5599000000000001</v>
      </c>
      <c r="M798" s="49">
        <f t="shared" si="199"/>
        <v>0.53427690751308365</v>
      </c>
      <c r="N798" s="49">
        <v>1.1584000000000001</v>
      </c>
      <c r="O798" s="1">
        <v>509</v>
      </c>
      <c r="P798" s="51">
        <v>0.05</v>
      </c>
      <c r="Q798" s="51">
        <v>11</v>
      </c>
      <c r="R798" s="51">
        <v>1</v>
      </c>
      <c r="S798" s="1">
        <v>1</v>
      </c>
      <c r="T798" s="1">
        <v>0</v>
      </c>
      <c r="U798" s="47">
        <v>1</v>
      </c>
      <c r="V798" s="47">
        <v>158</v>
      </c>
      <c r="W798" s="41">
        <v>84</v>
      </c>
      <c r="X798">
        <v>211</v>
      </c>
      <c r="Y798">
        <v>0.98</v>
      </c>
      <c r="Z798">
        <v>2034.93</v>
      </c>
      <c r="AA798">
        <v>1559.9</v>
      </c>
      <c r="AB798">
        <v>115.84</v>
      </c>
      <c r="AC798">
        <v>46</v>
      </c>
      <c r="AD798" s="41">
        <f t="shared" si="205"/>
        <v>0.42261895986594133</v>
      </c>
      <c r="AE798" s="41">
        <f t="shared" si="206"/>
        <v>0.55131739214052178</v>
      </c>
      <c r="AF798">
        <f t="shared" si="207"/>
        <v>1.2457069291338583</v>
      </c>
      <c r="AG798">
        <f t="shared" si="208"/>
        <v>6.6294737952755908E-2</v>
      </c>
      <c r="AH798">
        <f t="shared" si="209"/>
        <v>1.1584000000000001</v>
      </c>
      <c r="AI798">
        <f>HLOOKUP(HLOOKUP(G798,'THP2'!$B$4:$J$8,5,FALSE),'Fuel &amp; Resister'!$B$3:$G$6,4,FALSE)</f>
        <v>2.7360666666666664</v>
      </c>
      <c r="AJ798" s="41">
        <f>HLOOKUP(HLOOKUP(G798,'THP2'!$B$4:$J$8,5,FALSE),'Fuel &amp; Resister'!$B$3:$G$6,3,FALSE)</f>
        <v>13.019</v>
      </c>
      <c r="AO798" s="1">
        <v>1</v>
      </c>
      <c r="AP798" s="62">
        <v>0</v>
      </c>
    </row>
    <row r="799" spans="2:42" x14ac:dyDescent="0.15">
      <c r="B799" s="82" t="s">
        <v>595</v>
      </c>
      <c r="C799" s="61">
        <f>VLOOKUP(B799,[1]SYS!$F$5:$G$359,2,FALSE)</f>
        <v>104</v>
      </c>
      <c r="D799" s="1" t="s">
        <v>50</v>
      </c>
      <c r="E799" s="65" t="s">
        <v>163</v>
      </c>
      <c r="F799" s="42"/>
      <c r="G799" s="1">
        <v>7</v>
      </c>
      <c r="H799" s="1">
        <f t="shared" si="189"/>
        <v>0.4</v>
      </c>
      <c r="I799" s="1">
        <f t="shared" si="190"/>
        <v>0.68500000000000005</v>
      </c>
      <c r="J799" s="1">
        <f t="shared" si="188"/>
        <v>1.8299999999999983E-2</v>
      </c>
      <c r="K799" s="1">
        <f t="shared" si="191"/>
        <v>2.04352</v>
      </c>
      <c r="L799" s="1">
        <f t="shared" si="192"/>
        <v>1.5664800000000001</v>
      </c>
      <c r="M799" s="49">
        <f t="shared" si="199"/>
        <v>1.7418173655728639</v>
      </c>
      <c r="N799" s="49">
        <v>3.2889999999999997</v>
      </c>
      <c r="O799" s="1">
        <v>613</v>
      </c>
      <c r="P799" s="51">
        <v>0.05</v>
      </c>
      <c r="Q799" s="51">
        <v>11</v>
      </c>
      <c r="R799" s="51">
        <v>1</v>
      </c>
      <c r="S799" s="1">
        <v>1</v>
      </c>
      <c r="T799" s="1">
        <v>0</v>
      </c>
      <c r="U799" s="47">
        <v>1</v>
      </c>
      <c r="V799" s="47">
        <v>159</v>
      </c>
      <c r="W799" s="41">
        <v>274</v>
      </c>
      <c r="X799">
        <v>685</v>
      </c>
      <c r="Y799">
        <v>0.98170000000000002</v>
      </c>
      <c r="Z799">
        <v>2043.52</v>
      </c>
      <c r="AA799">
        <v>1566.48</v>
      </c>
      <c r="AB799">
        <v>328.9</v>
      </c>
      <c r="AC799">
        <v>36</v>
      </c>
      <c r="AD799" s="41">
        <f t="shared" si="205"/>
        <v>0.42084246789852808</v>
      </c>
      <c r="AE799" s="41">
        <f t="shared" si="206"/>
        <v>0.54900158316735603</v>
      </c>
      <c r="AF799">
        <f t="shared" si="207"/>
        <v>1.2484533333333334</v>
      </c>
      <c r="AG799">
        <f t="shared" si="208"/>
        <v>0.21784826666666668</v>
      </c>
      <c r="AH799">
        <f t="shared" si="209"/>
        <v>3.2889999999999997</v>
      </c>
      <c r="AI799">
        <f>HLOOKUP(HLOOKUP(G799,'THP2'!$B$4:$J$8,5,FALSE),'Fuel &amp; Resister'!$B$3:$G$6,4,FALSE)</f>
        <v>2.7360666666666664</v>
      </c>
      <c r="AJ799" s="41">
        <f>HLOOKUP(HLOOKUP(G799,'THP2'!$B$4:$J$8,5,FALSE),'Fuel &amp; Resister'!$B$3:$G$6,3,FALSE)</f>
        <v>13.019</v>
      </c>
      <c r="AO799" s="1">
        <v>1</v>
      </c>
      <c r="AP799" s="62">
        <v>0</v>
      </c>
    </row>
    <row r="800" spans="2:42" x14ac:dyDescent="0.15">
      <c r="B800" s="82" t="s">
        <v>595</v>
      </c>
      <c r="C800" s="61">
        <f>VLOOKUP(B800,[1]SYS!$F$5:$G$359,2,FALSE)</f>
        <v>104</v>
      </c>
      <c r="D800" s="1" t="s">
        <v>50</v>
      </c>
      <c r="E800" s="65" t="s">
        <v>164</v>
      </c>
      <c r="F800" s="42"/>
      <c r="G800" s="1">
        <v>7</v>
      </c>
      <c r="H800" s="1">
        <f t="shared" si="189"/>
        <v>0.4</v>
      </c>
      <c r="I800" s="1">
        <f t="shared" si="190"/>
        <v>0.68500000000000005</v>
      </c>
      <c r="J800" s="1">
        <f t="shared" si="188"/>
        <v>1.8299999999999983E-2</v>
      </c>
      <c r="K800" s="1">
        <f t="shared" si="191"/>
        <v>2.04352</v>
      </c>
      <c r="L800" s="1">
        <f t="shared" si="192"/>
        <v>1.5664800000000001</v>
      </c>
      <c r="M800" s="49">
        <f t="shared" si="199"/>
        <v>1.7418173655728639</v>
      </c>
      <c r="N800" s="49">
        <v>1.6668000000000001</v>
      </c>
      <c r="O800" s="1">
        <v>913</v>
      </c>
      <c r="P800" s="51">
        <v>0.05</v>
      </c>
      <c r="Q800" s="51">
        <v>11</v>
      </c>
      <c r="R800" s="51">
        <v>1</v>
      </c>
      <c r="S800" s="1">
        <v>1</v>
      </c>
      <c r="T800" s="1">
        <v>0</v>
      </c>
      <c r="U800" s="47">
        <v>1</v>
      </c>
      <c r="V800" s="47">
        <v>160</v>
      </c>
      <c r="W800" s="41">
        <v>274</v>
      </c>
      <c r="X800">
        <v>685</v>
      </c>
      <c r="Y800">
        <v>0.98170000000000002</v>
      </c>
      <c r="Z800">
        <v>2043.52</v>
      </c>
      <c r="AA800">
        <v>1566.48</v>
      </c>
      <c r="AB800">
        <v>166.68</v>
      </c>
      <c r="AC800">
        <v>36</v>
      </c>
      <c r="AD800" s="41">
        <f t="shared" si="205"/>
        <v>0.42084246789852808</v>
      </c>
      <c r="AE800" s="41">
        <f t="shared" si="206"/>
        <v>0.54900158316735603</v>
      </c>
      <c r="AF800">
        <f t="shared" si="207"/>
        <v>1.2484533333333334</v>
      </c>
      <c r="AG800">
        <f t="shared" si="208"/>
        <v>0.21784826666666668</v>
      </c>
      <c r="AH800">
        <f t="shared" si="209"/>
        <v>1.6668000000000001</v>
      </c>
      <c r="AI800">
        <f>HLOOKUP(HLOOKUP(G800,'THP2'!$B$4:$J$8,5,FALSE),'Fuel &amp; Resister'!$B$3:$G$6,4,FALSE)</f>
        <v>2.7360666666666664</v>
      </c>
      <c r="AJ800" s="41">
        <f>HLOOKUP(HLOOKUP(G800,'THP2'!$B$4:$J$8,5,FALSE),'Fuel &amp; Resister'!$B$3:$G$6,3,FALSE)</f>
        <v>13.019</v>
      </c>
      <c r="AO800" s="1">
        <v>1</v>
      </c>
      <c r="AP800" s="62">
        <v>0</v>
      </c>
    </row>
    <row r="801" spans="2:42" x14ac:dyDescent="0.15">
      <c r="B801" s="82" t="s">
        <v>595</v>
      </c>
      <c r="C801" s="61">
        <f>VLOOKUP(B801,[1]SYS!$F$5:$G$359,2,FALSE)</f>
        <v>104</v>
      </c>
      <c r="D801" s="1" t="s">
        <v>50</v>
      </c>
      <c r="E801" s="65" t="s">
        <v>165</v>
      </c>
      <c r="F801" s="63" t="s">
        <v>477</v>
      </c>
      <c r="G801" s="1">
        <v>7</v>
      </c>
      <c r="H801" s="1">
        <f t="shared" si="189"/>
        <v>0.40064102564102566</v>
      </c>
      <c r="I801" s="1">
        <f t="shared" si="190"/>
        <v>0.624</v>
      </c>
      <c r="J801" s="1">
        <f t="shared" si="188"/>
        <v>2.0000000000000018E-2</v>
      </c>
      <c r="K801" s="1">
        <f t="shared" si="191"/>
        <v>2.0775799999999998</v>
      </c>
      <c r="L801" s="1">
        <f t="shared" si="192"/>
        <v>1.59259</v>
      </c>
      <c r="M801" s="49">
        <f t="shared" si="199"/>
        <v>1.6131537582614131</v>
      </c>
      <c r="N801" s="49">
        <v>1.6022999999999998</v>
      </c>
      <c r="O801" s="1">
        <v>413</v>
      </c>
      <c r="P801" s="51">
        <v>0.05</v>
      </c>
      <c r="Q801" s="51">
        <v>11</v>
      </c>
      <c r="R801" s="51">
        <v>1</v>
      </c>
      <c r="S801" s="1">
        <v>1</v>
      </c>
      <c r="T801" s="1">
        <v>0</v>
      </c>
      <c r="U801" s="47">
        <v>1</v>
      </c>
      <c r="V801" s="47">
        <v>161</v>
      </c>
      <c r="W801" s="41">
        <v>250</v>
      </c>
      <c r="X801">
        <v>624</v>
      </c>
      <c r="Y801">
        <v>0.98</v>
      </c>
      <c r="Z801">
        <v>2077.58</v>
      </c>
      <c r="AA801">
        <v>1592.59</v>
      </c>
      <c r="AB801">
        <v>160.22999999999999</v>
      </c>
      <c r="AC801">
        <v>36</v>
      </c>
      <c r="AD801" s="41">
        <f t="shared" si="205"/>
        <v>0.41394314539030991</v>
      </c>
      <c r="AE801" s="41">
        <f t="shared" si="206"/>
        <v>0.54000087907119854</v>
      </c>
      <c r="AF801">
        <f t="shared" si="207"/>
        <v>1.2683988235294117</v>
      </c>
      <c r="AG801">
        <f t="shared" si="208"/>
        <v>0.20229529411764707</v>
      </c>
      <c r="AH801">
        <f t="shared" si="209"/>
        <v>1.6022999999999998</v>
      </c>
      <c r="AI801">
        <f>HLOOKUP(HLOOKUP(G801,'THP2'!$B$4:$J$8,5,FALSE),'Fuel &amp; Resister'!$B$3:$G$6,4,FALSE)</f>
        <v>2.7360666666666664</v>
      </c>
      <c r="AJ801" s="41">
        <f>HLOOKUP(HLOOKUP(G801,'THP2'!$B$4:$J$8,5,FALSE),'Fuel &amp; Resister'!$B$3:$G$6,3,FALSE)</f>
        <v>13.019</v>
      </c>
      <c r="AO801" s="1">
        <v>1</v>
      </c>
      <c r="AP801" s="62">
        <v>0</v>
      </c>
    </row>
    <row r="802" spans="2:42" x14ac:dyDescent="0.15">
      <c r="B802" s="82" t="s">
        <v>595</v>
      </c>
      <c r="C802" s="61">
        <f>VLOOKUP(B802,[1]SYS!$F$5:$G$359,2,FALSE)</f>
        <v>104</v>
      </c>
      <c r="D802" s="1" t="s">
        <v>50</v>
      </c>
      <c r="E802" s="65" t="s">
        <v>166</v>
      </c>
      <c r="F802" s="63" t="s">
        <v>477</v>
      </c>
      <c r="G802" s="1">
        <v>7</v>
      </c>
      <c r="H802" s="1">
        <f t="shared" si="189"/>
        <v>0.40064102564102566</v>
      </c>
      <c r="I802" s="1">
        <f t="shared" si="190"/>
        <v>0.624</v>
      </c>
      <c r="J802" s="1">
        <f t="shared" si="188"/>
        <v>2.0000000000000018E-2</v>
      </c>
      <c r="K802" s="1">
        <f t="shared" si="191"/>
        <v>2.0775799999999998</v>
      </c>
      <c r="L802" s="1">
        <f t="shared" si="192"/>
        <v>1.59259</v>
      </c>
      <c r="M802" s="49">
        <f t="shared" si="199"/>
        <v>1.6131537582614131</v>
      </c>
      <c r="N802" s="49">
        <v>1.6022999999999998</v>
      </c>
      <c r="O802" s="1">
        <v>1014</v>
      </c>
      <c r="P802" s="51">
        <v>0.05</v>
      </c>
      <c r="Q802" s="51">
        <v>11</v>
      </c>
      <c r="R802" s="51">
        <v>1</v>
      </c>
      <c r="S802" s="1">
        <v>1</v>
      </c>
      <c r="T802" s="1">
        <v>0</v>
      </c>
      <c r="U802" s="47">
        <v>1</v>
      </c>
      <c r="V802" s="47">
        <v>162</v>
      </c>
      <c r="W802" s="41">
        <v>250</v>
      </c>
      <c r="X802">
        <v>624</v>
      </c>
      <c r="Y802">
        <v>0.98</v>
      </c>
      <c r="Z802">
        <v>2077.58</v>
      </c>
      <c r="AA802">
        <v>1592.59</v>
      </c>
      <c r="AB802">
        <v>160.22999999999999</v>
      </c>
      <c r="AC802">
        <v>36</v>
      </c>
      <c r="AD802" s="41">
        <f t="shared" si="205"/>
        <v>0.41394314539030991</v>
      </c>
      <c r="AE802" s="41">
        <f t="shared" si="206"/>
        <v>0.54000087907119854</v>
      </c>
      <c r="AF802">
        <f t="shared" si="207"/>
        <v>1.2683988235294117</v>
      </c>
      <c r="AG802">
        <f t="shared" si="208"/>
        <v>0.20229529411764707</v>
      </c>
      <c r="AH802">
        <f t="shared" si="209"/>
        <v>1.6022999999999998</v>
      </c>
      <c r="AI802">
        <f>HLOOKUP(HLOOKUP(G802,'THP2'!$B$4:$J$8,5,FALSE),'Fuel &amp; Resister'!$B$3:$G$6,4,FALSE)</f>
        <v>2.7360666666666664</v>
      </c>
      <c r="AJ802" s="41">
        <f>HLOOKUP(HLOOKUP(G802,'THP2'!$B$4:$J$8,5,FALSE),'Fuel &amp; Resister'!$B$3:$G$6,3,FALSE)</f>
        <v>13.019</v>
      </c>
      <c r="AO802" s="1">
        <v>1</v>
      </c>
      <c r="AP802" s="62">
        <v>0</v>
      </c>
    </row>
    <row r="803" spans="2:42" x14ac:dyDescent="0.15">
      <c r="B803" s="82" t="s">
        <v>590</v>
      </c>
      <c r="C803" s="61">
        <f>VLOOKUP(B803,[1]SYS!$F$5:$G$359,2,FALSE)</f>
        <v>64</v>
      </c>
      <c r="D803" s="1" t="s">
        <v>50</v>
      </c>
      <c r="E803" s="65" t="s">
        <v>167</v>
      </c>
      <c r="F803" s="63" t="s">
        <v>476</v>
      </c>
      <c r="G803" s="1">
        <v>7</v>
      </c>
      <c r="H803" s="1">
        <f t="shared" si="189"/>
        <v>0.4</v>
      </c>
      <c r="I803" s="1">
        <f t="shared" si="190"/>
        <v>0.59</v>
      </c>
      <c r="J803" s="1">
        <f t="shared" si="188"/>
        <v>2.0000000000000018E-2</v>
      </c>
      <c r="K803" s="1">
        <f t="shared" si="191"/>
        <v>2.1167800000000003</v>
      </c>
      <c r="L803" s="1">
        <f t="shared" si="192"/>
        <v>1.6226400000000001</v>
      </c>
      <c r="M803" s="49">
        <f t="shared" si="199"/>
        <v>1.5540370886338495</v>
      </c>
      <c r="N803" s="49">
        <v>1.5659999999999998</v>
      </c>
      <c r="O803" s="1">
        <v>613</v>
      </c>
      <c r="P803" s="51">
        <v>0.05</v>
      </c>
      <c r="Q803" s="51">
        <v>11</v>
      </c>
      <c r="R803" s="51">
        <v>1</v>
      </c>
      <c r="S803" s="1">
        <v>1</v>
      </c>
      <c r="T803" s="1">
        <v>0</v>
      </c>
      <c r="U803" s="47">
        <v>1</v>
      </c>
      <c r="V803" s="47">
        <v>163</v>
      </c>
      <c r="W803" s="41">
        <v>236</v>
      </c>
      <c r="X803">
        <v>590</v>
      </c>
      <c r="Y803">
        <v>0.98</v>
      </c>
      <c r="Z803">
        <v>2116.7800000000002</v>
      </c>
      <c r="AA803">
        <v>1622.64</v>
      </c>
      <c r="AB803">
        <v>156.6</v>
      </c>
      <c r="AC803">
        <v>36</v>
      </c>
      <c r="AD803" s="41">
        <f t="shared" si="205"/>
        <v>0.40627745915966701</v>
      </c>
      <c r="AE803" s="41">
        <f t="shared" si="206"/>
        <v>0.53000049302371444</v>
      </c>
      <c r="AF803">
        <f t="shared" si="207"/>
        <v>1.2932133333333333</v>
      </c>
      <c r="AG803">
        <f t="shared" si="208"/>
        <v>0.19436173333333337</v>
      </c>
      <c r="AH803">
        <f t="shared" si="209"/>
        <v>1.5659999999999998</v>
      </c>
      <c r="AI803">
        <f>HLOOKUP(HLOOKUP(G803,'THP2'!$B$4:$J$8,5,FALSE),'Fuel &amp; Resister'!$B$3:$G$6,4,FALSE)</f>
        <v>2.7360666666666664</v>
      </c>
      <c r="AJ803" s="41">
        <f>HLOOKUP(HLOOKUP(G803,'THP2'!$B$4:$J$8,5,FALSE),'Fuel &amp; Resister'!$B$3:$G$6,3,FALSE)</f>
        <v>13.019</v>
      </c>
      <c r="AO803" s="1">
        <v>1</v>
      </c>
      <c r="AP803" s="62">
        <v>0</v>
      </c>
    </row>
    <row r="804" spans="2:42" x14ac:dyDescent="0.15">
      <c r="B804" s="82" t="s">
        <v>590</v>
      </c>
      <c r="C804" s="61">
        <f>VLOOKUP(B804,[1]SYS!$F$5:$G$359,2,FALSE)</f>
        <v>64</v>
      </c>
      <c r="D804" s="1" t="s">
        <v>50</v>
      </c>
      <c r="E804" s="65" t="s">
        <v>168</v>
      </c>
      <c r="F804" s="63" t="s">
        <v>476</v>
      </c>
      <c r="G804" s="1">
        <v>7</v>
      </c>
      <c r="H804" s="1">
        <f t="shared" si="189"/>
        <v>0.4</v>
      </c>
      <c r="I804" s="1">
        <f t="shared" si="190"/>
        <v>0.59</v>
      </c>
      <c r="J804" s="1">
        <f t="shared" si="188"/>
        <v>2.0000000000000018E-2</v>
      </c>
      <c r="K804" s="1">
        <f t="shared" si="191"/>
        <v>2.1167800000000003</v>
      </c>
      <c r="L804" s="1">
        <f t="shared" si="192"/>
        <v>1.6226400000000001</v>
      </c>
      <c r="M804" s="49">
        <f t="shared" si="199"/>
        <v>1.5540370886338495</v>
      </c>
      <c r="N804" s="49">
        <v>1.5659999999999998</v>
      </c>
      <c r="O804" s="1">
        <v>913</v>
      </c>
      <c r="P804" s="51">
        <v>0.05</v>
      </c>
      <c r="Q804" s="51">
        <v>11</v>
      </c>
      <c r="R804" s="51">
        <v>1</v>
      </c>
      <c r="S804" s="1">
        <v>1</v>
      </c>
      <c r="T804" s="1">
        <v>0</v>
      </c>
      <c r="U804" s="47">
        <v>1</v>
      </c>
      <c r="V804" s="47">
        <v>164</v>
      </c>
      <c r="W804" s="41">
        <v>236</v>
      </c>
      <c r="X804">
        <v>590</v>
      </c>
      <c r="Y804">
        <v>0.98</v>
      </c>
      <c r="Z804">
        <v>2116.7800000000002</v>
      </c>
      <c r="AA804">
        <v>1622.64</v>
      </c>
      <c r="AB804">
        <v>156.6</v>
      </c>
      <c r="AC804">
        <v>36</v>
      </c>
      <c r="AD804" s="41">
        <f t="shared" si="205"/>
        <v>0.40627745915966701</v>
      </c>
      <c r="AE804" s="41">
        <f t="shared" si="206"/>
        <v>0.53000049302371444</v>
      </c>
      <c r="AF804">
        <f t="shared" si="207"/>
        <v>1.2932133333333333</v>
      </c>
      <c r="AG804">
        <f t="shared" si="208"/>
        <v>0.19436173333333337</v>
      </c>
      <c r="AH804">
        <f t="shared" si="209"/>
        <v>1.5659999999999998</v>
      </c>
      <c r="AI804">
        <f>HLOOKUP(HLOOKUP(G804,'THP2'!$B$4:$J$8,5,FALSE),'Fuel &amp; Resister'!$B$3:$G$6,4,FALSE)</f>
        <v>2.7360666666666664</v>
      </c>
      <c r="AJ804" s="41">
        <f>HLOOKUP(HLOOKUP(G804,'THP2'!$B$4:$J$8,5,FALSE),'Fuel &amp; Resister'!$B$3:$G$6,3,FALSE)</f>
        <v>13.019</v>
      </c>
      <c r="AO804" s="1">
        <v>1</v>
      </c>
      <c r="AP804" s="62">
        <v>0</v>
      </c>
    </row>
    <row r="805" spans="2:42" x14ac:dyDescent="0.15">
      <c r="B805" s="82" t="s">
        <v>626</v>
      </c>
      <c r="C805" s="61">
        <f>VLOOKUP(B805,[1]SYS!$F$5:$G$359,2,FALSE)</f>
        <v>73</v>
      </c>
      <c r="D805" s="1" t="s">
        <v>50</v>
      </c>
      <c r="E805" s="65" t="s">
        <v>169</v>
      </c>
      <c r="F805" s="63" t="s">
        <v>440</v>
      </c>
      <c r="G805" s="1">
        <v>7</v>
      </c>
      <c r="H805" s="1">
        <f t="shared" si="189"/>
        <v>0.39920948616600793</v>
      </c>
      <c r="I805" s="1">
        <f t="shared" si="190"/>
        <v>0.50600000000000001</v>
      </c>
      <c r="J805" s="1">
        <f t="shared" si="188"/>
        <v>2.0000000000000018E-2</v>
      </c>
      <c r="K805" s="1">
        <f t="shared" si="191"/>
        <v>2.1272099999999998</v>
      </c>
      <c r="L805" s="1">
        <f t="shared" si="192"/>
        <v>1.6306400000000001</v>
      </c>
      <c r="M805" s="49">
        <f t="shared" si="199"/>
        <v>1.339355293501832</v>
      </c>
      <c r="N805" s="49">
        <v>1.4763999999999999</v>
      </c>
      <c r="O805" s="1">
        <v>413</v>
      </c>
      <c r="P805" s="51">
        <v>0.05</v>
      </c>
      <c r="Q805" s="51">
        <v>11</v>
      </c>
      <c r="R805" s="51">
        <v>1</v>
      </c>
      <c r="S805" s="1">
        <v>1</v>
      </c>
      <c r="T805" s="1">
        <v>0</v>
      </c>
      <c r="U805" s="47">
        <v>1</v>
      </c>
      <c r="V805" s="47">
        <v>165</v>
      </c>
      <c r="W805" s="41">
        <v>202</v>
      </c>
      <c r="X805">
        <v>506</v>
      </c>
      <c r="Y805">
        <v>0.98</v>
      </c>
      <c r="Z805">
        <v>2127.21</v>
      </c>
      <c r="AA805">
        <v>1630.64</v>
      </c>
      <c r="AB805">
        <v>147.63999999999999</v>
      </c>
      <c r="AC805">
        <v>36</v>
      </c>
      <c r="AD805" s="41">
        <f t="shared" si="205"/>
        <v>0.40428542551041036</v>
      </c>
      <c r="AE805" s="41">
        <f t="shared" si="206"/>
        <v>0.52740028455085119</v>
      </c>
      <c r="AF805">
        <f t="shared" si="207"/>
        <v>1.3006823026315792</v>
      </c>
      <c r="AG805">
        <f t="shared" si="208"/>
        <v>0.16695859486842096</v>
      </c>
      <c r="AH805">
        <f t="shared" si="209"/>
        <v>1.4763999999999999</v>
      </c>
      <c r="AI805">
        <f>HLOOKUP(HLOOKUP(G805,'THP2'!$B$4:$J$8,5,FALSE),'Fuel &amp; Resister'!$B$3:$G$6,4,FALSE)</f>
        <v>2.7360666666666664</v>
      </c>
      <c r="AJ805" s="41">
        <f>HLOOKUP(HLOOKUP(G805,'THP2'!$B$4:$J$8,5,FALSE),'Fuel &amp; Resister'!$B$3:$G$6,3,FALSE)</f>
        <v>13.019</v>
      </c>
      <c r="AO805" s="1">
        <v>1</v>
      </c>
      <c r="AP805" s="62">
        <v>0</v>
      </c>
    </row>
    <row r="806" spans="2:42" x14ac:dyDescent="0.15">
      <c r="B806" s="82" t="s">
        <v>627</v>
      </c>
      <c r="C806" s="61">
        <f>VLOOKUP(B806,[1]SYS!$F$5:$G$359,2,FALSE)</f>
        <v>123</v>
      </c>
      <c r="D806" s="1" t="s">
        <v>50</v>
      </c>
      <c r="E806" s="65" t="s">
        <v>170</v>
      </c>
      <c r="F806" s="63" t="s">
        <v>441</v>
      </c>
      <c r="G806" s="1">
        <v>7</v>
      </c>
      <c r="H806" s="1">
        <f t="shared" si="189"/>
        <v>0.4</v>
      </c>
      <c r="I806" s="1">
        <f t="shared" si="190"/>
        <v>0.5</v>
      </c>
      <c r="J806" s="1">
        <f t="shared" si="188"/>
        <v>2.0000000000000018E-2</v>
      </c>
      <c r="K806" s="1">
        <f t="shared" si="191"/>
        <v>2.1272099999999998</v>
      </c>
      <c r="L806" s="1">
        <f t="shared" si="192"/>
        <v>1.6306400000000001</v>
      </c>
      <c r="M806" s="49">
        <f t="shared" si="199"/>
        <v>1.323473610179676</v>
      </c>
      <c r="N806" s="49">
        <v>1.47</v>
      </c>
      <c r="O806" s="1">
        <v>913</v>
      </c>
      <c r="P806" s="51">
        <v>0.05</v>
      </c>
      <c r="Q806" s="51">
        <v>11</v>
      </c>
      <c r="R806" s="51">
        <v>1</v>
      </c>
      <c r="S806" s="1">
        <v>1</v>
      </c>
      <c r="T806" s="1">
        <v>0</v>
      </c>
      <c r="U806" s="47">
        <v>1</v>
      </c>
      <c r="V806" s="47">
        <v>166</v>
      </c>
      <c r="W806" s="41">
        <v>200</v>
      </c>
      <c r="X806">
        <v>500</v>
      </c>
      <c r="Y806">
        <v>0.98</v>
      </c>
      <c r="Z806">
        <v>2127.21</v>
      </c>
      <c r="AA806">
        <v>1630.64</v>
      </c>
      <c r="AB806">
        <v>147</v>
      </c>
      <c r="AC806">
        <v>36</v>
      </c>
      <c r="AD806" s="41">
        <f t="shared" si="205"/>
        <v>0.40428542551041036</v>
      </c>
      <c r="AE806" s="41">
        <f t="shared" si="206"/>
        <v>0.52740028455085119</v>
      </c>
      <c r="AF806">
        <f t="shared" si="207"/>
        <v>1.2995933333333336</v>
      </c>
      <c r="AG806">
        <f t="shared" si="208"/>
        <v>0.16552333333333324</v>
      </c>
      <c r="AH806">
        <f t="shared" si="209"/>
        <v>1.47</v>
      </c>
      <c r="AI806">
        <f>HLOOKUP(HLOOKUP(G806,'THP2'!$B$4:$J$8,5,FALSE),'Fuel &amp; Resister'!$B$3:$G$6,4,FALSE)</f>
        <v>2.7360666666666664</v>
      </c>
      <c r="AJ806" s="41">
        <f>HLOOKUP(HLOOKUP(G806,'THP2'!$B$4:$J$8,5,FALSE),'Fuel &amp; Resister'!$B$3:$G$6,3,FALSE)</f>
        <v>13.019</v>
      </c>
      <c r="AO806" s="1">
        <v>1</v>
      </c>
      <c r="AP806" s="62">
        <v>0</v>
      </c>
    </row>
    <row r="807" spans="2:42" x14ac:dyDescent="0.15">
      <c r="B807" s="82" t="s">
        <v>627</v>
      </c>
      <c r="C807" s="61">
        <f>VLOOKUP(B807,[1]SYS!$F$5:$G$359,2,FALSE)</f>
        <v>123</v>
      </c>
      <c r="D807" s="1" t="s">
        <v>50</v>
      </c>
      <c r="E807" s="65" t="s">
        <v>171</v>
      </c>
      <c r="F807" s="63" t="s">
        <v>441</v>
      </c>
      <c r="G807" s="1">
        <v>7</v>
      </c>
      <c r="H807" s="1">
        <f t="shared" si="189"/>
        <v>0.4</v>
      </c>
      <c r="I807" s="1">
        <f t="shared" si="190"/>
        <v>0.5</v>
      </c>
      <c r="J807" s="1">
        <f t="shared" si="188"/>
        <v>2.0000000000000018E-2</v>
      </c>
      <c r="K807" s="1">
        <f t="shared" si="191"/>
        <v>2.1272099999999998</v>
      </c>
      <c r="L807" s="1">
        <f t="shared" si="192"/>
        <v>1.6306400000000001</v>
      </c>
      <c r="M807" s="49">
        <f t="shared" si="199"/>
        <v>1.323473610179676</v>
      </c>
      <c r="N807" s="49">
        <v>1.47</v>
      </c>
      <c r="O807" s="1">
        <v>1214</v>
      </c>
      <c r="P807" s="51">
        <v>0.05</v>
      </c>
      <c r="Q807" s="51">
        <v>11</v>
      </c>
      <c r="R807" s="51">
        <v>1</v>
      </c>
      <c r="S807" s="1">
        <v>1</v>
      </c>
      <c r="T807" s="1">
        <v>0</v>
      </c>
      <c r="U807" s="47">
        <v>1</v>
      </c>
      <c r="V807" s="47">
        <v>167</v>
      </c>
      <c r="W807" s="41">
        <v>200</v>
      </c>
      <c r="X807">
        <v>500</v>
      </c>
      <c r="Y807">
        <v>0.98</v>
      </c>
      <c r="Z807">
        <v>2127.21</v>
      </c>
      <c r="AA807">
        <v>1630.64</v>
      </c>
      <c r="AB807">
        <v>147</v>
      </c>
      <c r="AC807">
        <v>36</v>
      </c>
      <c r="AD807" s="41">
        <f t="shared" si="205"/>
        <v>0.40428542551041036</v>
      </c>
      <c r="AE807" s="41">
        <f t="shared" si="206"/>
        <v>0.52740028455085119</v>
      </c>
      <c r="AF807">
        <f t="shared" si="207"/>
        <v>1.2995933333333336</v>
      </c>
      <c r="AG807">
        <f t="shared" si="208"/>
        <v>0.16552333333333324</v>
      </c>
      <c r="AH807">
        <f t="shared" si="209"/>
        <v>1.47</v>
      </c>
      <c r="AI807">
        <f>HLOOKUP(HLOOKUP(G807,'THP2'!$B$4:$J$8,5,FALSE),'Fuel &amp; Resister'!$B$3:$G$6,4,FALSE)</f>
        <v>2.7360666666666664</v>
      </c>
      <c r="AJ807" s="41">
        <f>HLOOKUP(HLOOKUP(G807,'THP2'!$B$4:$J$8,5,FALSE),'Fuel &amp; Resister'!$B$3:$G$6,3,FALSE)</f>
        <v>13.019</v>
      </c>
      <c r="AO807" s="1">
        <v>1</v>
      </c>
      <c r="AP807" s="62">
        <v>0</v>
      </c>
    </row>
    <row r="808" spans="2:42" x14ac:dyDescent="0.15">
      <c r="B808" s="82" t="s">
        <v>627</v>
      </c>
      <c r="C808" s="61">
        <f>VLOOKUP(B808,[1]SYS!$F$5:$G$359,2,FALSE)</f>
        <v>123</v>
      </c>
      <c r="D808" s="1" t="s">
        <v>50</v>
      </c>
      <c r="E808" s="65" t="s">
        <v>172</v>
      </c>
      <c r="F808" s="63" t="s">
        <v>441</v>
      </c>
      <c r="G808" s="1">
        <v>7</v>
      </c>
      <c r="H808" s="1">
        <f t="shared" si="189"/>
        <v>0.4</v>
      </c>
      <c r="I808" s="1">
        <f t="shared" si="190"/>
        <v>0.5</v>
      </c>
      <c r="J808" s="1">
        <f t="shared" si="188"/>
        <v>2.0000000000000018E-2</v>
      </c>
      <c r="K808" s="1">
        <f t="shared" si="191"/>
        <v>2.1272099999999998</v>
      </c>
      <c r="L808" s="1">
        <f t="shared" si="192"/>
        <v>1.6306400000000001</v>
      </c>
      <c r="M808" s="49">
        <f t="shared" si="199"/>
        <v>1.323473610179676</v>
      </c>
      <c r="N808" s="49">
        <v>1.47</v>
      </c>
      <c r="O808" s="1">
        <v>1014</v>
      </c>
      <c r="P808" s="51">
        <v>0.05</v>
      </c>
      <c r="Q808" s="51">
        <v>11</v>
      </c>
      <c r="R808" s="51">
        <v>1</v>
      </c>
      <c r="S808" s="1">
        <v>1</v>
      </c>
      <c r="T808" s="1">
        <v>0</v>
      </c>
      <c r="U808" s="47">
        <v>1</v>
      </c>
      <c r="V808" s="47">
        <v>168</v>
      </c>
      <c r="W808" s="41">
        <v>200</v>
      </c>
      <c r="X808">
        <v>500</v>
      </c>
      <c r="Y808">
        <v>0.98</v>
      </c>
      <c r="Z808">
        <v>2127.21</v>
      </c>
      <c r="AA808">
        <v>1630.64</v>
      </c>
      <c r="AB808">
        <v>147</v>
      </c>
      <c r="AC808">
        <v>36</v>
      </c>
      <c r="AD808" s="41">
        <f t="shared" si="205"/>
        <v>0.40428542551041036</v>
      </c>
      <c r="AE808" s="41">
        <f t="shared" si="206"/>
        <v>0.52740028455085119</v>
      </c>
      <c r="AF808">
        <f t="shared" si="207"/>
        <v>1.2995933333333336</v>
      </c>
      <c r="AG808">
        <f t="shared" si="208"/>
        <v>0.16552333333333324</v>
      </c>
      <c r="AH808">
        <f t="shared" si="209"/>
        <v>1.47</v>
      </c>
      <c r="AI808">
        <f>HLOOKUP(HLOOKUP(G808,'THP2'!$B$4:$J$8,5,FALSE),'Fuel &amp; Resister'!$B$3:$G$6,4,FALSE)</f>
        <v>2.7360666666666664</v>
      </c>
      <c r="AJ808" s="41">
        <f>HLOOKUP(HLOOKUP(G808,'THP2'!$B$4:$J$8,5,FALSE),'Fuel &amp; Resister'!$B$3:$G$6,3,FALSE)</f>
        <v>13.019</v>
      </c>
      <c r="AO808" s="1">
        <v>1</v>
      </c>
      <c r="AP808" s="62">
        <v>0</v>
      </c>
    </row>
    <row r="809" spans="2:42" x14ac:dyDescent="0.15">
      <c r="B809" s="82" t="s">
        <v>627</v>
      </c>
      <c r="C809" s="61">
        <f>VLOOKUP(B809,[1]SYS!$F$5:$G$359,2,FALSE)</f>
        <v>123</v>
      </c>
      <c r="D809" s="1" t="s">
        <v>50</v>
      </c>
      <c r="E809" s="65" t="s">
        <v>173</v>
      </c>
      <c r="F809" s="63" t="s">
        <v>441</v>
      </c>
      <c r="G809" s="1">
        <v>7</v>
      </c>
      <c r="H809" s="1">
        <f t="shared" si="189"/>
        <v>0.4</v>
      </c>
      <c r="I809" s="1">
        <f t="shared" si="190"/>
        <v>0.5</v>
      </c>
      <c r="J809" s="1">
        <f t="shared" si="188"/>
        <v>2.0000000000000018E-2</v>
      </c>
      <c r="K809" s="1">
        <f t="shared" si="191"/>
        <v>2.1272099999999998</v>
      </c>
      <c r="L809" s="1">
        <f t="shared" si="192"/>
        <v>1.6306400000000001</v>
      </c>
      <c r="M809" s="49">
        <f t="shared" si="199"/>
        <v>1.323473610179676</v>
      </c>
      <c r="N809" s="49">
        <v>1.47</v>
      </c>
      <c r="O809" s="1">
        <v>613</v>
      </c>
      <c r="P809" s="51">
        <v>0.05</v>
      </c>
      <c r="Q809" s="51">
        <v>11</v>
      </c>
      <c r="R809" s="51">
        <v>1</v>
      </c>
      <c r="S809" s="1">
        <v>1</v>
      </c>
      <c r="T809" s="1">
        <v>0</v>
      </c>
      <c r="U809" s="47">
        <v>1</v>
      </c>
      <c r="V809" s="47">
        <v>169</v>
      </c>
      <c r="W809" s="41">
        <v>200</v>
      </c>
      <c r="X809">
        <v>500</v>
      </c>
      <c r="Y809">
        <v>0.98</v>
      </c>
      <c r="Z809">
        <v>2127.21</v>
      </c>
      <c r="AA809">
        <v>1630.64</v>
      </c>
      <c r="AB809">
        <v>147</v>
      </c>
      <c r="AC809">
        <v>36</v>
      </c>
      <c r="AD809" s="41">
        <f t="shared" si="205"/>
        <v>0.40428542551041036</v>
      </c>
      <c r="AE809" s="41">
        <f t="shared" si="206"/>
        <v>0.52740028455085119</v>
      </c>
      <c r="AF809">
        <f t="shared" si="207"/>
        <v>1.2995933333333336</v>
      </c>
      <c r="AG809">
        <f t="shared" si="208"/>
        <v>0.16552333333333324</v>
      </c>
      <c r="AH809">
        <f t="shared" si="209"/>
        <v>1.47</v>
      </c>
      <c r="AI809">
        <f>HLOOKUP(HLOOKUP(G809,'THP2'!$B$4:$J$8,5,FALSE),'Fuel &amp; Resister'!$B$3:$G$6,4,FALSE)</f>
        <v>2.7360666666666664</v>
      </c>
      <c r="AJ809" s="41">
        <f>HLOOKUP(HLOOKUP(G809,'THP2'!$B$4:$J$8,5,FALSE),'Fuel &amp; Resister'!$B$3:$G$6,3,FALSE)</f>
        <v>13.019</v>
      </c>
      <c r="AO809" s="1">
        <v>1</v>
      </c>
      <c r="AP809" s="62">
        <v>0</v>
      </c>
    </row>
    <row r="810" spans="2:42" x14ac:dyDescent="0.15">
      <c r="B810" s="82" t="s">
        <v>626</v>
      </c>
      <c r="C810" s="61">
        <f>VLOOKUP(B810,[1]SYS!$F$5:$G$359,2,FALSE)</f>
        <v>73</v>
      </c>
      <c r="D810" s="1" t="s">
        <v>50</v>
      </c>
      <c r="E810" s="65" t="s">
        <v>174</v>
      </c>
      <c r="F810" s="63" t="s">
        <v>440</v>
      </c>
      <c r="G810" s="1">
        <v>7</v>
      </c>
      <c r="H810" s="1">
        <f t="shared" si="189"/>
        <v>0.40039447731755423</v>
      </c>
      <c r="I810" s="1">
        <f t="shared" si="190"/>
        <v>0.50700000000000001</v>
      </c>
      <c r="J810" s="1">
        <f t="shared" si="188"/>
        <v>2.0000000000000018E-2</v>
      </c>
      <c r="K810" s="1">
        <f t="shared" si="191"/>
        <v>2.1272099999999998</v>
      </c>
      <c r="L810" s="1">
        <f t="shared" si="192"/>
        <v>1.6306400000000001</v>
      </c>
      <c r="M810" s="49">
        <f t="shared" si="199"/>
        <v>1.3420022407221919</v>
      </c>
      <c r="N810" s="49">
        <v>1.4775</v>
      </c>
      <c r="O810" s="1">
        <v>1214</v>
      </c>
      <c r="P810" s="51">
        <v>0.05</v>
      </c>
      <c r="Q810" s="51">
        <v>11</v>
      </c>
      <c r="R810" s="51">
        <v>1</v>
      </c>
      <c r="S810" s="1">
        <v>1</v>
      </c>
      <c r="T810" s="1">
        <v>0</v>
      </c>
      <c r="U810" s="47">
        <v>1</v>
      </c>
      <c r="V810" s="47">
        <v>170</v>
      </c>
      <c r="W810" s="41">
        <v>203</v>
      </c>
      <c r="X810">
        <v>507</v>
      </c>
      <c r="Y810">
        <v>0.98</v>
      </c>
      <c r="Z810">
        <v>2127.21</v>
      </c>
      <c r="AA810">
        <v>1630.64</v>
      </c>
      <c r="AB810">
        <v>147.75</v>
      </c>
      <c r="AC810">
        <v>36</v>
      </c>
      <c r="AD810" s="41">
        <f t="shared" si="205"/>
        <v>0.40428542551041036</v>
      </c>
      <c r="AE810" s="41">
        <f t="shared" si="206"/>
        <v>0.52740028455085119</v>
      </c>
      <c r="AF810">
        <f t="shared" si="207"/>
        <v>1.2990488486842109</v>
      </c>
      <c r="AG810">
        <f t="shared" si="208"/>
        <v>0.16811671371710513</v>
      </c>
      <c r="AH810">
        <f t="shared" si="209"/>
        <v>1.4775</v>
      </c>
      <c r="AI810">
        <f>HLOOKUP(HLOOKUP(G810,'THP2'!$B$4:$J$8,5,FALSE),'Fuel &amp; Resister'!$B$3:$G$6,4,FALSE)</f>
        <v>2.7360666666666664</v>
      </c>
      <c r="AJ810" s="41">
        <f>HLOOKUP(HLOOKUP(G810,'THP2'!$B$4:$J$8,5,FALSE),'Fuel &amp; Resister'!$B$3:$G$6,3,FALSE)</f>
        <v>13.019</v>
      </c>
      <c r="AO810" s="1">
        <v>1</v>
      </c>
      <c r="AP810" s="62">
        <v>0</v>
      </c>
    </row>
    <row r="811" spans="2:42" x14ac:dyDescent="0.15">
      <c r="B811" s="82" t="s">
        <v>626</v>
      </c>
      <c r="C811" s="61">
        <f>VLOOKUP(B811,[1]SYS!$F$5:$G$359,2,FALSE)</f>
        <v>73</v>
      </c>
      <c r="D811" s="1" t="s">
        <v>50</v>
      </c>
      <c r="E811" s="65" t="s">
        <v>175</v>
      </c>
      <c r="F811" s="63" t="s">
        <v>440</v>
      </c>
      <c r="G811" s="1">
        <v>7</v>
      </c>
      <c r="H811" s="1">
        <f t="shared" si="189"/>
        <v>0.40039447731755423</v>
      </c>
      <c r="I811" s="1">
        <f t="shared" si="190"/>
        <v>0.50700000000000001</v>
      </c>
      <c r="J811" s="1">
        <f t="shared" si="188"/>
        <v>2.0000000000000018E-2</v>
      </c>
      <c r="K811" s="1">
        <f t="shared" si="191"/>
        <v>2.1272099999999998</v>
      </c>
      <c r="L811" s="1">
        <f t="shared" si="192"/>
        <v>1.6306400000000001</v>
      </c>
      <c r="M811" s="49">
        <f t="shared" si="199"/>
        <v>1.3420022407221919</v>
      </c>
      <c r="N811" s="49">
        <v>1.4775</v>
      </c>
      <c r="O811" s="1">
        <v>1014</v>
      </c>
      <c r="P811" s="51">
        <v>0.05</v>
      </c>
      <c r="Q811" s="51">
        <v>11</v>
      </c>
      <c r="R811" s="51">
        <v>1</v>
      </c>
      <c r="S811" s="1">
        <v>1</v>
      </c>
      <c r="T811" s="1">
        <v>0</v>
      </c>
      <c r="U811" s="47">
        <v>1</v>
      </c>
      <c r="V811" s="47">
        <v>171</v>
      </c>
      <c r="W811" s="41">
        <v>203</v>
      </c>
      <c r="X811">
        <v>507</v>
      </c>
      <c r="Y811">
        <v>0.98</v>
      </c>
      <c r="Z811">
        <v>2127.21</v>
      </c>
      <c r="AA811">
        <v>1630.64</v>
      </c>
      <c r="AB811">
        <v>147.75</v>
      </c>
      <c r="AC811">
        <v>36</v>
      </c>
      <c r="AD811" s="41">
        <f t="shared" si="205"/>
        <v>0.40428542551041036</v>
      </c>
      <c r="AE811" s="41">
        <f t="shared" si="206"/>
        <v>0.52740028455085119</v>
      </c>
      <c r="AF811">
        <f t="shared" si="207"/>
        <v>1.2990488486842109</v>
      </c>
      <c r="AG811">
        <f t="shared" si="208"/>
        <v>0.16811671371710513</v>
      </c>
      <c r="AH811">
        <f t="shared" si="209"/>
        <v>1.4775</v>
      </c>
      <c r="AI811">
        <f>HLOOKUP(HLOOKUP(G811,'THP2'!$B$4:$J$8,5,FALSE),'Fuel &amp; Resister'!$B$3:$G$6,4,FALSE)</f>
        <v>2.7360666666666664</v>
      </c>
      <c r="AJ811" s="41">
        <f>HLOOKUP(HLOOKUP(G811,'THP2'!$B$4:$J$8,5,FALSE),'Fuel &amp; Resister'!$B$3:$G$6,3,FALSE)</f>
        <v>13.019</v>
      </c>
      <c r="AO811" s="1">
        <v>1</v>
      </c>
      <c r="AP811" s="62">
        <v>0</v>
      </c>
    </row>
    <row r="812" spans="2:42" x14ac:dyDescent="0.15">
      <c r="B812" s="82" t="s">
        <v>628</v>
      </c>
      <c r="C812" s="61">
        <f>VLOOKUP(B812,[1]SYS!$F$5:$G$359,2,FALSE)</f>
        <v>98</v>
      </c>
      <c r="D812" s="1" t="s">
        <v>50</v>
      </c>
      <c r="E812" s="65" t="s">
        <v>377</v>
      </c>
      <c r="F812" s="63" t="s">
        <v>378</v>
      </c>
      <c r="G812" s="1">
        <v>7</v>
      </c>
      <c r="H812" s="1">
        <f t="shared" si="189"/>
        <v>0.40049140049140047</v>
      </c>
      <c r="I812" s="1">
        <f t="shared" si="190"/>
        <v>0.40699999999999997</v>
      </c>
      <c r="J812" s="1">
        <f t="shared" si="188"/>
        <v>3.0000000000000027E-2</v>
      </c>
      <c r="K812" s="1">
        <f t="shared" si="191"/>
        <v>2.1492199999999997</v>
      </c>
      <c r="L812" s="1">
        <f t="shared" si="192"/>
        <v>1.64751</v>
      </c>
      <c r="M812" s="49">
        <f t="shared" si="199"/>
        <v>1.0884529449239528</v>
      </c>
      <c r="N812" s="49">
        <v>1.3696000000000002</v>
      </c>
      <c r="O812" s="1">
        <v>1214</v>
      </c>
      <c r="P812" s="51">
        <v>0.05</v>
      </c>
      <c r="Q812" s="51">
        <v>11</v>
      </c>
      <c r="R812" s="51">
        <v>1</v>
      </c>
      <c r="S812" s="1">
        <v>1</v>
      </c>
      <c r="T812" s="1">
        <v>0</v>
      </c>
      <c r="U812" s="47">
        <v>1</v>
      </c>
      <c r="V812" s="47">
        <v>172</v>
      </c>
      <c r="W812" s="41">
        <v>163</v>
      </c>
      <c r="X812">
        <v>407</v>
      </c>
      <c r="Y812">
        <v>0.97</v>
      </c>
      <c r="Z812">
        <v>2149.2199999999998</v>
      </c>
      <c r="AA812">
        <v>1647.51</v>
      </c>
      <c r="AB812">
        <v>136.96</v>
      </c>
      <c r="AC812">
        <v>36</v>
      </c>
      <c r="AD812" s="41">
        <f t="shared" si="205"/>
        <v>0.40014516894501267</v>
      </c>
      <c r="AE812" s="41">
        <f t="shared" si="206"/>
        <v>0.52199986646515051</v>
      </c>
      <c r="AF812">
        <f t="shared" si="207"/>
        <v>1.3123512704918034</v>
      </c>
      <c r="AG812">
        <f t="shared" si="208"/>
        <v>0.136409602909836</v>
      </c>
      <c r="AH812">
        <f t="shared" si="209"/>
        <v>1.3696000000000002</v>
      </c>
      <c r="AI812">
        <f>HLOOKUP(HLOOKUP(G812,'THP2'!$B$4:$J$8,5,FALSE),'Fuel &amp; Resister'!$B$3:$G$6,4,FALSE)</f>
        <v>2.7360666666666664</v>
      </c>
      <c r="AJ812" s="41">
        <f>HLOOKUP(HLOOKUP(G812,'THP2'!$B$4:$J$8,5,FALSE),'Fuel &amp; Resister'!$B$3:$G$6,3,FALSE)</f>
        <v>13.019</v>
      </c>
      <c r="AO812" s="1">
        <v>1</v>
      </c>
      <c r="AP812" s="62">
        <v>0</v>
      </c>
    </row>
    <row r="813" spans="2:42" x14ac:dyDescent="0.15">
      <c r="B813" s="82" t="s">
        <v>628</v>
      </c>
      <c r="C813" s="61">
        <f>VLOOKUP(B813,[1]SYS!$F$5:$G$359,2,FALSE)</f>
        <v>98</v>
      </c>
      <c r="D813" s="1" t="s">
        <v>50</v>
      </c>
      <c r="E813" s="65" t="s">
        <v>379</v>
      </c>
      <c r="F813" s="63" t="s">
        <v>378</v>
      </c>
      <c r="G813" s="1">
        <v>7</v>
      </c>
      <c r="H813" s="1">
        <f t="shared" si="189"/>
        <v>0.40049140049140047</v>
      </c>
      <c r="I813" s="1">
        <f t="shared" si="190"/>
        <v>0.40699999999999997</v>
      </c>
      <c r="J813" s="1">
        <f t="shared" si="188"/>
        <v>3.0000000000000027E-2</v>
      </c>
      <c r="K813" s="1">
        <f t="shared" si="191"/>
        <v>2.1492199999999997</v>
      </c>
      <c r="L813" s="1">
        <f t="shared" si="192"/>
        <v>1.64751</v>
      </c>
      <c r="M813" s="49">
        <f t="shared" si="199"/>
        <v>1.0884529449239528</v>
      </c>
      <c r="N813" s="49">
        <v>1.3696000000000002</v>
      </c>
      <c r="O813" s="1">
        <v>913</v>
      </c>
      <c r="P813" s="51">
        <v>0.05</v>
      </c>
      <c r="Q813" s="51">
        <v>11</v>
      </c>
      <c r="R813" s="51">
        <v>1</v>
      </c>
      <c r="S813" s="1">
        <v>1</v>
      </c>
      <c r="T813" s="1">
        <v>0</v>
      </c>
      <c r="U813" s="47">
        <v>1</v>
      </c>
      <c r="V813" s="47">
        <v>173</v>
      </c>
      <c r="W813" s="41">
        <v>163</v>
      </c>
      <c r="X813">
        <v>407</v>
      </c>
      <c r="Y813">
        <v>0.97</v>
      </c>
      <c r="Z813">
        <v>2149.2199999999998</v>
      </c>
      <c r="AA813">
        <v>1647.51</v>
      </c>
      <c r="AB813">
        <v>136.96</v>
      </c>
      <c r="AC813">
        <v>36</v>
      </c>
      <c r="AD813" s="41">
        <f t="shared" si="205"/>
        <v>0.40014516894501267</v>
      </c>
      <c r="AE813" s="41">
        <f t="shared" si="206"/>
        <v>0.52199986646515051</v>
      </c>
      <c r="AF813">
        <f t="shared" si="207"/>
        <v>1.3123512704918034</v>
      </c>
      <c r="AG813">
        <f t="shared" si="208"/>
        <v>0.136409602909836</v>
      </c>
      <c r="AH813">
        <f t="shared" si="209"/>
        <v>1.3696000000000002</v>
      </c>
      <c r="AI813">
        <f>HLOOKUP(HLOOKUP(G813,'THP2'!$B$4:$J$8,5,FALSE),'Fuel &amp; Resister'!$B$3:$G$6,4,FALSE)</f>
        <v>2.7360666666666664</v>
      </c>
      <c r="AJ813" s="41">
        <f>HLOOKUP(HLOOKUP(G813,'THP2'!$B$4:$J$8,5,FALSE),'Fuel &amp; Resister'!$B$3:$G$6,3,FALSE)</f>
        <v>13.019</v>
      </c>
      <c r="AO813" s="1">
        <v>1</v>
      </c>
      <c r="AP813" s="62">
        <v>0</v>
      </c>
    </row>
    <row r="814" spans="2:42" x14ac:dyDescent="0.15">
      <c r="B814" s="82" t="s">
        <v>628</v>
      </c>
      <c r="C814" s="61">
        <f>VLOOKUP(B814,[1]SYS!$F$5:$G$359,2,FALSE)</f>
        <v>98</v>
      </c>
      <c r="D814" s="1" t="s">
        <v>50</v>
      </c>
      <c r="E814" s="65" t="s">
        <v>380</v>
      </c>
      <c r="F814" s="63" t="s">
        <v>378</v>
      </c>
      <c r="G814" s="1">
        <v>7</v>
      </c>
      <c r="H814" s="1">
        <f t="shared" si="189"/>
        <v>0.40049140049140047</v>
      </c>
      <c r="I814" s="1">
        <f t="shared" si="190"/>
        <v>0.40699999999999997</v>
      </c>
      <c r="J814" s="1">
        <f t="shared" si="188"/>
        <v>3.0000000000000027E-2</v>
      </c>
      <c r="K814" s="1">
        <f t="shared" si="191"/>
        <v>2.1492199999999997</v>
      </c>
      <c r="L814" s="1">
        <f t="shared" si="192"/>
        <v>1.64751</v>
      </c>
      <c r="M814" s="49">
        <f t="shared" si="199"/>
        <v>1.0884529449239528</v>
      </c>
      <c r="N814" s="49">
        <v>1.3696000000000002</v>
      </c>
      <c r="O814" s="1">
        <v>413</v>
      </c>
      <c r="P814" s="51">
        <v>0.05</v>
      </c>
      <c r="Q814" s="51">
        <v>11</v>
      </c>
      <c r="R814" s="51">
        <v>1</v>
      </c>
      <c r="S814" s="1">
        <v>1</v>
      </c>
      <c r="T814" s="1">
        <v>0</v>
      </c>
      <c r="U814" s="47">
        <v>1</v>
      </c>
      <c r="V814" s="47">
        <v>174</v>
      </c>
      <c r="W814" s="41">
        <v>163</v>
      </c>
      <c r="X814">
        <v>407</v>
      </c>
      <c r="Y814">
        <v>0.97</v>
      </c>
      <c r="Z814">
        <v>2149.2199999999998</v>
      </c>
      <c r="AA814">
        <v>1647.51</v>
      </c>
      <c r="AB814">
        <v>136.96</v>
      </c>
      <c r="AC814">
        <v>36</v>
      </c>
      <c r="AD814" s="41">
        <f t="shared" si="205"/>
        <v>0.40014516894501267</v>
      </c>
      <c r="AE814" s="41">
        <f t="shared" si="206"/>
        <v>0.52199986646515051</v>
      </c>
      <c r="AF814">
        <f t="shared" si="207"/>
        <v>1.3123512704918034</v>
      </c>
      <c r="AG814">
        <f t="shared" si="208"/>
        <v>0.136409602909836</v>
      </c>
      <c r="AH814">
        <f t="shared" si="209"/>
        <v>1.3696000000000002</v>
      </c>
      <c r="AI814">
        <f>HLOOKUP(HLOOKUP(G814,'THP2'!$B$4:$J$8,5,FALSE),'Fuel &amp; Resister'!$B$3:$G$6,4,FALSE)</f>
        <v>2.7360666666666664</v>
      </c>
      <c r="AJ814" s="41">
        <f>HLOOKUP(HLOOKUP(G814,'THP2'!$B$4:$J$8,5,FALSE),'Fuel &amp; Resister'!$B$3:$G$6,3,FALSE)</f>
        <v>13.019</v>
      </c>
      <c r="AO814" s="1">
        <v>1</v>
      </c>
      <c r="AP814" s="62">
        <v>0</v>
      </c>
    </row>
    <row r="815" spans="2:42" x14ac:dyDescent="0.15">
      <c r="B815" s="82" t="s">
        <v>624</v>
      </c>
      <c r="C815" s="61">
        <f>VLOOKUP(B815,[1]SYS!$F$5:$G$359,2,FALSE)</f>
        <v>74</v>
      </c>
      <c r="D815" s="1" t="s">
        <v>50</v>
      </c>
      <c r="E815" s="65" t="s">
        <v>176</v>
      </c>
      <c r="F815" s="63" t="s">
        <v>472</v>
      </c>
      <c r="G815" s="1">
        <v>7</v>
      </c>
      <c r="H815" s="1">
        <f t="shared" si="189"/>
        <v>0.4</v>
      </c>
      <c r="I815" s="1">
        <f t="shared" si="190"/>
        <v>0.5</v>
      </c>
      <c r="J815" s="1">
        <f t="shared" si="188"/>
        <v>2.0000000000000018E-2</v>
      </c>
      <c r="K815" s="1">
        <f t="shared" si="191"/>
        <v>2.16039</v>
      </c>
      <c r="L815" s="1">
        <f t="shared" si="192"/>
        <v>1.65608</v>
      </c>
      <c r="M815" s="49">
        <f t="shared" si="199"/>
        <v>1.3441214347411803</v>
      </c>
      <c r="N815" s="49">
        <v>1.47</v>
      </c>
      <c r="O815" s="1">
        <v>1014</v>
      </c>
      <c r="P815" s="51">
        <v>0.05</v>
      </c>
      <c r="Q815" s="51">
        <v>11</v>
      </c>
      <c r="R815" s="51">
        <v>1</v>
      </c>
      <c r="S815" s="1">
        <v>1</v>
      </c>
      <c r="T815" s="1">
        <v>0</v>
      </c>
      <c r="U815" s="47">
        <v>1</v>
      </c>
      <c r="V815" s="47">
        <v>175</v>
      </c>
      <c r="W815" s="41">
        <v>200</v>
      </c>
      <c r="X815">
        <v>500</v>
      </c>
      <c r="Y815">
        <v>0.98</v>
      </c>
      <c r="Z815">
        <v>2160.39</v>
      </c>
      <c r="AA815">
        <v>1656.08</v>
      </c>
      <c r="AB815">
        <v>147</v>
      </c>
      <c r="AC815">
        <v>36</v>
      </c>
      <c r="AD815" s="41">
        <f t="shared" si="205"/>
        <v>0.39807627326547523</v>
      </c>
      <c r="AE815" s="41">
        <f t="shared" si="206"/>
        <v>0.51929858460943923</v>
      </c>
      <c r="AF815">
        <f t="shared" si="207"/>
        <v>1.3198733333333332</v>
      </c>
      <c r="AG815">
        <f t="shared" si="208"/>
        <v>0.16810333333333338</v>
      </c>
      <c r="AH815">
        <f t="shared" si="209"/>
        <v>1.47</v>
      </c>
      <c r="AI815">
        <f>HLOOKUP(HLOOKUP(G815,'THP2'!$B$4:$J$8,5,FALSE),'Fuel &amp; Resister'!$B$3:$G$6,4,FALSE)</f>
        <v>2.7360666666666664</v>
      </c>
      <c r="AJ815" s="41">
        <f>HLOOKUP(HLOOKUP(G815,'THP2'!$B$4:$J$8,5,FALSE),'Fuel &amp; Resister'!$B$3:$G$6,3,FALSE)</f>
        <v>13.019</v>
      </c>
      <c r="AO815" s="1">
        <v>1</v>
      </c>
      <c r="AP815" s="62">
        <v>0</v>
      </c>
    </row>
    <row r="816" spans="2:42" x14ac:dyDescent="0.15">
      <c r="B816" s="82" t="s">
        <v>595</v>
      </c>
      <c r="C816" s="61">
        <f>VLOOKUP(B816,[1]SYS!$F$5:$G$359,2,FALSE)</f>
        <v>104</v>
      </c>
      <c r="D816" s="1" t="s">
        <v>50</v>
      </c>
      <c r="E816" s="65" t="s">
        <v>177</v>
      </c>
      <c r="F816" s="63" t="s">
        <v>478</v>
      </c>
      <c r="G816" s="1">
        <v>7</v>
      </c>
      <c r="H816" s="1">
        <f t="shared" si="189"/>
        <v>0.40094339622641512</v>
      </c>
      <c r="I816" s="1">
        <f t="shared" si="190"/>
        <v>0.42399999999999999</v>
      </c>
      <c r="J816" s="1">
        <f t="shared" si="188"/>
        <v>3.0000000000000027E-2</v>
      </c>
      <c r="K816" s="1">
        <f t="shared" si="191"/>
        <v>2.1641399999999997</v>
      </c>
      <c r="L816" s="1">
        <f t="shared" si="192"/>
        <v>1.6589500000000001</v>
      </c>
      <c r="M816" s="49">
        <f t="shared" si="199"/>
        <v>1.1417902852102377</v>
      </c>
      <c r="N816" s="49">
        <v>1.8771</v>
      </c>
      <c r="O816" s="1">
        <v>613</v>
      </c>
      <c r="P816" s="51">
        <v>0.05</v>
      </c>
      <c r="Q816" s="51">
        <v>11</v>
      </c>
      <c r="R816" s="51">
        <v>1</v>
      </c>
      <c r="S816" s="1">
        <v>1</v>
      </c>
      <c r="T816" s="1">
        <v>0</v>
      </c>
      <c r="U816" s="47">
        <v>1</v>
      </c>
      <c r="V816" s="47">
        <v>176</v>
      </c>
      <c r="W816" s="41">
        <v>170</v>
      </c>
      <c r="X816">
        <v>424</v>
      </c>
      <c r="Y816">
        <v>0.97</v>
      </c>
      <c r="Z816">
        <v>2164.14</v>
      </c>
      <c r="AA816">
        <v>1658.95</v>
      </c>
      <c r="AB816">
        <v>187.71</v>
      </c>
      <c r="AC816">
        <v>36</v>
      </c>
      <c r="AD816" s="41">
        <f t="shared" si="205"/>
        <v>0.39738649070762522</v>
      </c>
      <c r="AE816" s="41">
        <f t="shared" si="206"/>
        <v>0.51840019289309502</v>
      </c>
      <c r="AF816">
        <f t="shared" si="207"/>
        <v>1.3208307086614177</v>
      </c>
      <c r="AG816">
        <f t="shared" si="208"/>
        <v>0.14336257952755896</v>
      </c>
      <c r="AH816">
        <f t="shared" si="209"/>
        <v>1.8771</v>
      </c>
      <c r="AI816">
        <f>HLOOKUP(HLOOKUP(G816,'THP2'!$B$4:$J$8,5,FALSE),'Fuel &amp; Resister'!$B$3:$G$6,4,FALSE)</f>
        <v>2.7360666666666664</v>
      </c>
      <c r="AJ816" s="41">
        <f>HLOOKUP(HLOOKUP(G816,'THP2'!$B$4:$J$8,5,FALSE),'Fuel &amp; Resister'!$B$3:$G$6,3,FALSE)</f>
        <v>13.019</v>
      </c>
      <c r="AO816" s="1">
        <v>1</v>
      </c>
      <c r="AP816" s="62">
        <v>0</v>
      </c>
    </row>
    <row r="817" spans="2:42" x14ac:dyDescent="0.15">
      <c r="B817" s="82" t="s">
        <v>595</v>
      </c>
      <c r="C817" s="61">
        <f>VLOOKUP(B817,[1]SYS!$F$5:$G$359,2,FALSE)</f>
        <v>104</v>
      </c>
      <c r="D817" s="1" t="s">
        <v>50</v>
      </c>
      <c r="E817" s="65" t="s">
        <v>178</v>
      </c>
      <c r="F817" s="63" t="s">
        <v>478</v>
      </c>
      <c r="G817" s="1">
        <v>7</v>
      </c>
      <c r="H817" s="1">
        <f t="shared" si="189"/>
        <v>0.40094339622641512</v>
      </c>
      <c r="I817" s="1">
        <f t="shared" si="190"/>
        <v>0.42399999999999999</v>
      </c>
      <c r="J817" s="1">
        <f t="shared" si="188"/>
        <v>3.0000000000000027E-2</v>
      </c>
      <c r="K817" s="1">
        <f t="shared" si="191"/>
        <v>2.1641399999999997</v>
      </c>
      <c r="L817" s="1">
        <f t="shared" si="192"/>
        <v>1.6589500000000001</v>
      </c>
      <c r="M817" s="49">
        <f t="shared" si="199"/>
        <v>1.1417902852102377</v>
      </c>
      <c r="N817" s="49">
        <v>1.8771</v>
      </c>
      <c r="O817" s="1">
        <v>1002</v>
      </c>
      <c r="P817" s="51">
        <v>0.05</v>
      </c>
      <c r="Q817" s="51">
        <v>11</v>
      </c>
      <c r="R817" s="51">
        <v>1</v>
      </c>
      <c r="S817" s="1">
        <v>1</v>
      </c>
      <c r="T817" s="1">
        <v>0</v>
      </c>
      <c r="U817" s="47">
        <v>1</v>
      </c>
      <c r="V817" s="47">
        <v>177</v>
      </c>
      <c r="W817" s="41">
        <v>170</v>
      </c>
      <c r="X817">
        <v>424</v>
      </c>
      <c r="Y817">
        <v>0.97</v>
      </c>
      <c r="Z817">
        <v>2164.14</v>
      </c>
      <c r="AA817">
        <v>1658.95</v>
      </c>
      <c r="AB817">
        <v>187.71</v>
      </c>
      <c r="AC817">
        <v>36</v>
      </c>
      <c r="AD817" s="41">
        <f t="shared" si="205"/>
        <v>0.39738649070762522</v>
      </c>
      <c r="AE817" s="41">
        <f t="shared" si="206"/>
        <v>0.51840019289309502</v>
      </c>
      <c r="AF817">
        <f t="shared" si="207"/>
        <v>1.3208307086614177</v>
      </c>
      <c r="AG817">
        <f t="shared" si="208"/>
        <v>0.14336257952755896</v>
      </c>
      <c r="AH817">
        <f t="shared" si="209"/>
        <v>1.8771</v>
      </c>
      <c r="AI817">
        <f>HLOOKUP(HLOOKUP(G817,'THP2'!$B$4:$J$8,5,FALSE),'Fuel &amp; Resister'!$B$3:$G$6,4,FALSE)</f>
        <v>2.7360666666666664</v>
      </c>
      <c r="AJ817" s="41">
        <f>HLOOKUP(HLOOKUP(G817,'THP2'!$B$4:$J$8,5,FALSE),'Fuel &amp; Resister'!$B$3:$G$6,3,FALSE)</f>
        <v>13.019</v>
      </c>
      <c r="AO817" s="1">
        <v>1</v>
      </c>
      <c r="AP817" s="62">
        <v>0</v>
      </c>
    </row>
    <row r="818" spans="2:42" x14ac:dyDescent="0.15">
      <c r="B818" s="82" t="s">
        <v>624</v>
      </c>
      <c r="C818" s="61">
        <f>VLOOKUP(B818,[1]SYS!$F$5:$G$359,2,FALSE)</f>
        <v>74</v>
      </c>
      <c r="D818" s="1" t="s">
        <v>50</v>
      </c>
      <c r="E818" s="65" t="s">
        <v>179</v>
      </c>
      <c r="F818" s="63" t="s">
        <v>472</v>
      </c>
      <c r="G818" s="1">
        <v>7</v>
      </c>
      <c r="H818" s="1">
        <f t="shared" si="189"/>
        <v>0.4</v>
      </c>
      <c r="I818" s="1">
        <f t="shared" si="190"/>
        <v>0.5</v>
      </c>
      <c r="J818" s="1">
        <f t="shared" si="188"/>
        <v>2.0000000000000018E-2</v>
      </c>
      <c r="K818" s="1">
        <f t="shared" si="191"/>
        <v>2.1754699999999998</v>
      </c>
      <c r="L818" s="1">
        <f t="shared" si="192"/>
        <v>1.66764</v>
      </c>
      <c r="M818" s="49">
        <f t="shared" si="199"/>
        <v>1.3535038581661403</v>
      </c>
      <c r="N818" s="49">
        <v>1.47</v>
      </c>
      <c r="O818" s="1">
        <v>613</v>
      </c>
      <c r="P818" s="51">
        <v>0.05</v>
      </c>
      <c r="Q818" s="51">
        <v>11</v>
      </c>
      <c r="R818" s="51">
        <v>1</v>
      </c>
      <c r="S818" s="1">
        <v>1</v>
      </c>
      <c r="T818" s="1">
        <v>0</v>
      </c>
      <c r="U818" s="47">
        <v>1</v>
      </c>
      <c r="V818" s="47">
        <v>178</v>
      </c>
      <c r="W818" s="41">
        <v>200</v>
      </c>
      <c r="X818">
        <v>500</v>
      </c>
      <c r="Y818">
        <v>0.98</v>
      </c>
      <c r="Z818">
        <v>2175.4699999999998</v>
      </c>
      <c r="AA818">
        <v>1667.64</v>
      </c>
      <c r="AB818">
        <v>147</v>
      </c>
      <c r="AC818">
        <v>36</v>
      </c>
      <c r="AD818" s="41">
        <f t="shared" si="205"/>
        <v>0.39531687405480198</v>
      </c>
      <c r="AE818" s="41">
        <f t="shared" si="206"/>
        <v>0.5156988318821808</v>
      </c>
      <c r="AF818">
        <f t="shared" si="207"/>
        <v>1.3290866666666667</v>
      </c>
      <c r="AG818">
        <f t="shared" si="208"/>
        <v>0.16927666666666663</v>
      </c>
      <c r="AH818">
        <f t="shared" si="209"/>
        <v>1.47</v>
      </c>
      <c r="AI818">
        <f>HLOOKUP(HLOOKUP(G818,'THP2'!$B$4:$J$8,5,FALSE),'Fuel &amp; Resister'!$B$3:$G$6,4,FALSE)</f>
        <v>2.7360666666666664</v>
      </c>
      <c r="AJ818" s="41">
        <f>HLOOKUP(HLOOKUP(G818,'THP2'!$B$4:$J$8,5,FALSE),'Fuel &amp; Resister'!$B$3:$G$6,3,FALSE)</f>
        <v>13.019</v>
      </c>
      <c r="AO818" s="1">
        <v>1</v>
      </c>
      <c r="AP818" s="62">
        <v>0</v>
      </c>
    </row>
    <row r="819" spans="2:42" x14ac:dyDescent="0.15">
      <c r="B819" s="82" t="s">
        <v>624</v>
      </c>
      <c r="C819" s="61">
        <f>VLOOKUP(B819,[1]SYS!$F$5:$G$359,2,FALSE)</f>
        <v>74</v>
      </c>
      <c r="D819" s="1" t="s">
        <v>50</v>
      </c>
      <c r="E819" s="65" t="s">
        <v>180</v>
      </c>
      <c r="F819" s="63" t="s">
        <v>472</v>
      </c>
      <c r="G819" s="1">
        <v>7</v>
      </c>
      <c r="H819" s="1">
        <f t="shared" si="189"/>
        <v>0.4</v>
      </c>
      <c r="I819" s="1">
        <f t="shared" si="190"/>
        <v>0.5</v>
      </c>
      <c r="J819" s="1">
        <f t="shared" si="188"/>
        <v>2.0000000000000018E-2</v>
      </c>
      <c r="K819" s="1">
        <f t="shared" si="191"/>
        <v>2.1754699999999998</v>
      </c>
      <c r="L819" s="1">
        <f t="shared" si="192"/>
        <v>1.66764</v>
      </c>
      <c r="M819" s="49">
        <f t="shared" si="199"/>
        <v>1.3535038581661403</v>
      </c>
      <c r="N819" s="49">
        <v>1.47</v>
      </c>
      <c r="O819" s="1">
        <v>913</v>
      </c>
      <c r="P819" s="51">
        <v>0.05</v>
      </c>
      <c r="Q819" s="51">
        <v>11</v>
      </c>
      <c r="R819" s="51">
        <v>1</v>
      </c>
      <c r="S819" s="1">
        <v>1</v>
      </c>
      <c r="T819" s="1">
        <v>0</v>
      </c>
      <c r="U819" s="47">
        <v>1</v>
      </c>
      <c r="V819" s="47">
        <v>179</v>
      </c>
      <c r="W819" s="41">
        <v>200</v>
      </c>
      <c r="X819">
        <v>500</v>
      </c>
      <c r="Y819">
        <v>0.98</v>
      </c>
      <c r="Z819">
        <v>2175.4699999999998</v>
      </c>
      <c r="AA819">
        <v>1667.64</v>
      </c>
      <c r="AB819">
        <v>147</v>
      </c>
      <c r="AC819">
        <v>36</v>
      </c>
      <c r="AD819" s="41">
        <f t="shared" si="205"/>
        <v>0.39531687405480198</v>
      </c>
      <c r="AE819" s="41">
        <f t="shared" si="206"/>
        <v>0.5156988318821808</v>
      </c>
      <c r="AF819">
        <f t="shared" si="207"/>
        <v>1.3290866666666667</v>
      </c>
      <c r="AG819">
        <f t="shared" si="208"/>
        <v>0.16927666666666663</v>
      </c>
      <c r="AH819">
        <f t="shared" si="209"/>
        <v>1.47</v>
      </c>
      <c r="AI819">
        <f>HLOOKUP(HLOOKUP(G819,'THP2'!$B$4:$J$8,5,FALSE),'Fuel &amp; Resister'!$B$3:$G$6,4,FALSE)</f>
        <v>2.7360666666666664</v>
      </c>
      <c r="AJ819" s="41">
        <f>HLOOKUP(HLOOKUP(G819,'THP2'!$B$4:$J$8,5,FALSE),'Fuel &amp; Resister'!$B$3:$G$6,3,FALSE)</f>
        <v>13.019</v>
      </c>
      <c r="AO819" s="1">
        <v>1</v>
      </c>
      <c r="AP819" s="62">
        <v>0</v>
      </c>
    </row>
    <row r="820" spans="2:42" x14ac:dyDescent="0.15">
      <c r="B820" s="82" t="s">
        <v>592</v>
      </c>
      <c r="C820" s="61">
        <f>VLOOKUP(B820,[1]SYS!$F$5:$G$359,2,FALSE)</f>
        <v>77</v>
      </c>
      <c r="D820" s="1" t="s">
        <v>50</v>
      </c>
      <c r="E820" s="65" t="s">
        <v>181</v>
      </c>
      <c r="F820" s="63" t="s">
        <v>468</v>
      </c>
      <c r="G820" s="1">
        <v>7</v>
      </c>
      <c r="H820" s="1">
        <f t="shared" si="189"/>
        <v>0.4</v>
      </c>
      <c r="I820" s="1">
        <f t="shared" si="190"/>
        <v>0.42</v>
      </c>
      <c r="J820" s="1">
        <f t="shared" si="188"/>
        <v>2.0000000000000018E-2</v>
      </c>
      <c r="K820" s="1">
        <f t="shared" si="191"/>
        <v>2.1869200000000002</v>
      </c>
      <c r="L820" s="1">
        <f t="shared" si="192"/>
        <v>1.6764100000000002</v>
      </c>
      <c r="M820" s="49">
        <f t="shared" si="199"/>
        <v>1.1429223443964953</v>
      </c>
      <c r="N820" s="49">
        <v>1.3836000000000002</v>
      </c>
      <c r="O820" s="1">
        <v>913</v>
      </c>
      <c r="P820" s="51">
        <v>0.05</v>
      </c>
      <c r="Q820" s="51">
        <v>11</v>
      </c>
      <c r="R820" s="51">
        <v>1</v>
      </c>
      <c r="S820" s="1">
        <v>1</v>
      </c>
      <c r="T820" s="1">
        <v>0</v>
      </c>
      <c r="U820" s="47">
        <v>1</v>
      </c>
      <c r="V820" s="47">
        <v>180</v>
      </c>
      <c r="W820" s="41">
        <v>168</v>
      </c>
      <c r="X820">
        <v>420</v>
      </c>
      <c r="Y820">
        <v>0.98</v>
      </c>
      <c r="Z820">
        <v>2186.92</v>
      </c>
      <c r="AA820">
        <v>1676.41</v>
      </c>
      <c r="AB820">
        <v>138.36000000000001</v>
      </c>
      <c r="AC820">
        <v>36</v>
      </c>
      <c r="AD820" s="41">
        <f t="shared" si="205"/>
        <v>0.39324712380882698</v>
      </c>
      <c r="AE820" s="41">
        <f t="shared" si="206"/>
        <v>0.51300099617635297</v>
      </c>
      <c r="AF820">
        <f t="shared" si="207"/>
        <v>1.3360700000000001</v>
      </c>
      <c r="AG820">
        <f t="shared" si="208"/>
        <v>0.14294280000000004</v>
      </c>
      <c r="AH820">
        <f t="shared" si="209"/>
        <v>1.3836000000000002</v>
      </c>
      <c r="AI820">
        <f>HLOOKUP(HLOOKUP(G820,'THP2'!$B$4:$J$8,5,FALSE),'Fuel &amp; Resister'!$B$3:$G$6,4,FALSE)</f>
        <v>2.7360666666666664</v>
      </c>
      <c r="AJ820" s="41">
        <f>HLOOKUP(HLOOKUP(G820,'THP2'!$B$4:$J$8,5,FALSE),'Fuel &amp; Resister'!$B$3:$G$6,3,FALSE)</f>
        <v>13.019</v>
      </c>
      <c r="AO820" s="1">
        <v>1</v>
      </c>
      <c r="AP820" s="62">
        <v>0</v>
      </c>
    </row>
    <row r="821" spans="2:42" x14ac:dyDescent="0.15">
      <c r="B821" s="82" t="s">
        <v>592</v>
      </c>
      <c r="C821" s="61">
        <f>VLOOKUP(B821,[1]SYS!$F$5:$G$359,2,FALSE)</f>
        <v>77</v>
      </c>
      <c r="D821" s="1" t="s">
        <v>50</v>
      </c>
      <c r="E821" s="65" t="s">
        <v>182</v>
      </c>
      <c r="F821" s="63" t="s">
        <v>468</v>
      </c>
      <c r="G821" s="1">
        <v>7</v>
      </c>
      <c r="H821" s="1">
        <f t="shared" si="189"/>
        <v>0.4</v>
      </c>
      <c r="I821" s="1">
        <f t="shared" si="190"/>
        <v>0.42</v>
      </c>
      <c r="J821" s="1">
        <f t="shared" si="188"/>
        <v>2.0000000000000018E-2</v>
      </c>
      <c r="K821" s="1">
        <f t="shared" si="191"/>
        <v>2.1869200000000002</v>
      </c>
      <c r="L821" s="1">
        <f t="shared" si="192"/>
        <v>1.6764100000000002</v>
      </c>
      <c r="M821" s="49">
        <f t="shared" si="199"/>
        <v>1.1429223443964953</v>
      </c>
      <c r="N821" s="49">
        <v>1.3836000000000002</v>
      </c>
      <c r="O821" s="1">
        <v>1214</v>
      </c>
      <c r="P821" s="51">
        <v>0.05</v>
      </c>
      <c r="Q821" s="51">
        <v>11</v>
      </c>
      <c r="R821" s="51">
        <v>1</v>
      </c>
      <c r="S821" s="1">
        <v>1</v>
      </c>
      <c r="T821" s="1">
        <v>0</v>
      </c>
      <c r="U821" s="47">
        <v>1</v>
      </c>
      <c r="V821" s="47">
        <v>181</v>
      </c>
      <c r="W821" s="41">
        <v>168</v>
      </c>
      <c r="X821">
        <v>420</v>
      </c>
      <c r="Y821">
        <v>0.98</v>
      </c>
      <c r="Z821">
        <v>2186.92</v>
      </c>
      <c r="AA821">
        <v>1676.41</v>
      </c>
      <c r="AB821">
        <v>138.36000000000001</v>
      </c>
      <c r="AC821">
        <v>36</v>
      </c>
      <c r="AD821" s="41">
        <f t="shared" si="205"/>
        <v>0.39324712380882698</v>
      </c>
      <c r="AE821" s="41">
        <f t="shared" si="206"/>
        <v>0.51300099617635297</v>
      </c>
      <c r="AF821">
        <f t="shared" si="207"/>
        <v>1.3360700000000001</v>
      </c>
      <c r="AG821">
        <f t="shared" si="208"/>
        <v>0.14294280000000004</v>
      </c>
      <c r="AH821">
        <f t="shared" si="209"/>
        <v>1.3836000000000002</v>
      </c>
      <c r="AI821">
        <f>HLOOKUP(HLOOKUP(G821,'THP2'!$B$4:$J$8,5,FALSE),'Fuel &amp; Resister'!$B$3:$G$6,4,FALSE)</f>
        <v>2.7360666666666664</v>
      </c>
      <c r="AJ821" s="41">
        <f>HLOOKUP(HLOOKUP(G821,'THP2'!$B$4:$J$8,5,FALSE),'Fuel &amp; Resister'!$B$3:$G$6,3,FALSE)</f>
        <v>13.019</v>
      </c>
      <c r="AO821" s="1">
        <v>1</v>
      </c>
      <c r="AP821" s="62">
        <v>0</v>
      </c>
    </row>
    <row r="822" spans="2:42" x14ac:dyDescent="0.15">
      <c r="B822" s="82" t="s">
        <v>592</v>
      </c>
      <c r="C822" s="61">
        <f>VLOOKUP(B822,[1]SYS!$F$5:$G$359,2,FALSE)</f>
        <v>77</v>
      </c>
      <c r="D822" s="1" t="s">
        <v>50</v>
      </c>
      <c r="E822" s="65" t="s">
        <v>183</v>
      </c>
      <c r="F822" s="63" t="s">
        <v>468</v>
      </c>
      <c r="G822" s="1">
        <v>7</v>
      </c>
      <c r="H822" s="1">
        <f t="shared" si="189"/>
        <v>0.4</v>
      </c>
      <c r="I822" s="1">
        <f t="shared" si="190"/>
        <v>0.42</v>
      </c>
      <c r="J822" s="1">
        <f t="shared" si="188"/>
        <v>2.0000000000000018E-2</v>
      </c>
      <c r="K822" s="1">
        <f t="shared" si="191"/>
        <v>2.1869200000000002</v>
      </c>
      <c r="L822" s="1">
        <f t="shared" si="192"/>
        <v>1.6764100000000002</v>
      </c>
      <c r="M822" s="49">
        <f t="shared" si="199"/>
        <v>1.1429223443964953</v>
      </c>
      <c r="N822" s="49">
        <v>1.3836000000000002</v>
      </c>
      <c r="O822" s="1">
        <v>1214</v>
      </c>
      <c r="P822" s="51">
        <v>0.05</v>
      </c>
      <c r="Q822" s="51">
        <v>11</v>
      </c>
      <c r="R822" s="51">
        <v>1</v>
      </c>
      <c r="S822" s="1">
        <v>1</v>
      </c>
      <c r="T822" s="1">
        <v>0</v>
      </c>
      <c r="U822" s="47">
        <v>1</v>
      </c>
      <c r="V822" s="47">
        <v>182</v>
      </c>
      <c r="W822" s="41">
        <v>168</v>
      </c>
      <c r="X822">
        <v>420</v>
      </c>
      <c r="Y822">
        <v>0.98</v>
      </c>
      <c r="Z822">
        <v>2186.92</v>
      </c>
      <c r="AA822">
        <v>1676.41</v>
      </c>
      <c r="AB822">
        <v>138.36000000000001</v>
      </c>
      <c r="AC822">
        <v>36</v>
      </c>
      <c r="AD822" s="41">
        <f t="shared" si="205"/>
        <v>0.39324712380882698</v>
      </c>
      <c r="AE822" s="41">
        <f t="shared" si="206"/>
        <v>0.51300099617635297</v>
      </c>
      <c r="AF822">
        <f t="shared" si="207"/>
        <v>1.3360700000000001</v>
      </c>
      <c r="AG822">
        <f t="shared" si="208"/>
        <v>0.14294280000000004</v>
      </c>
      <c r="AH822">
        <f t="shared" si="209"/>
        <v>1.3836000000000002</v>
      </c>
      <c r="AI822">
        <f>HLOOKUP(HLOOKUP(G822,'THP2'!$B$4:$J$8,5,FALSE),'Fuel &amp; Resister'!$B$3:$G$6,4,FALSE)</f>
        <v>2.7360666666666664</v>
      </c>
      <c r="AJ822" s="41">
        <f>HLOOKUP(HLOOKUP(G822,'THP2'!$B$4:$J$8,5,FALSE),'Fuel &amp; Resister'!$B$3:$G$6,3,FALSE)</f>
        <v>13.019</v>
      </c>
      <c r="AO822" s="1">
        <v>1</v>
      </c>
      <c r="AP822" s="62">
        <v>0</v>
      </c>
    </row>
    <row r="823" spans="2:42" x14ac:dyDescent="0.15">
      <c r="B823" s="82" t="s">
        <v>593</v>
      </c>
      <c r="C823" s="61">
        <f>VLOOKUP(B823,[1]SYS!$F$5:$G$359,2,FALSE)</f>
        <v>105</v>
      </c>
      <c r="D823" s="1" t="s">
        <v>50</v>
      </c>
      <c r="E823" s="65" t="s">
        <v>184</v>
      </c>
      <c r="F823" s="42" t="s">
        <v>479</v>
      </c>
      <c r="G823" s="1">
        <v>7</v>
      </c>
      <c r="H823" s="1">
        <f t="shared" si="189"/>
        <v>0.4</v>
      </c>
      <c r="I823" s="1">
        <f t="shared" si="190"/>
        <v>0.25</v>
      </c>
      <c r="J823" s="1">
        <f t="shared" si="188"/>
        <v>2.0000000000000018E-2</v>
      </c>
      <c r="K823" s="1">
        <f t="shared" si="191"/>
        <v>2.1989099999999997</v>
      </c>
      <c r="L823" s="1">
        <f t="shared" si="192"/>
        <v>1.6856</v>
      </c>
      <c r="M823" s="49">
        <f t="shared" si="199"/>
        <v>0.68404035143221753</v>
      </c>
      <c r="N823" s="49">
        <v>1.2</v>
      </c>
      <c r="O823" s="1">
        <v>1014</v>
      </c>
      <c r="P823" s="51">
        <v>0.05</v>
      </c>
      <c r="Q823" s="51">
        <v>11</v>
      </c>
      <c r="R823" s="51">
        <v>1</v>
      </c>
      <c r="S823" s="1">
        <v>1</v>
      </c>
      <c r="T823" s="1">
        <v>0</v>
      </c>
      <c r="U823" s="47">
        <v>1</v>
      </c>
      <c r="V823" s="47">
        <v>183</v>
      </c>
      <c r="W823" s="41">
        <v>100</v>
      </c>
      <c r="X823">
        <v>250</v>
      </c>
      <c r="Y823">
        <v>0.98</v>
      </c>
      <c r="Z823">
        <v>2198.91</v>
      </c>
      <c r="AA823">
        <v>1685.6</v>
      </c>
      <c r="AB823">
        <v>120</v>
      </c>
      <c r="AC823">
        <v>36</v>
      </c>
      <c r="AD823" s="41">
        <f t="shared" si="205"/>
        <v>0.39110286460109783</v>
      </c>
      <c r="AE823" s="41">
        <f t="shared" si="206"/>
        <v>0.51020408163265307</v>
      </c>
      <c r="AF823">
        <f t="shared" si="207"/>
        <v>1.3433933333333334</v>
      </c>
      <c r="AG823">
        <f t="shared" si="208"/>
        <v>8.5551666666666637E-2</v>
      </c>
      <c r="AH823">
        <f t="shared" si="209"/>
        <v>1.2</v>
      </c>
      <c r="AI823">
        <f>HLOOKUP(HLOOKUP(G823,'THP2'!$B$4:$J$8,5,FALSE),'Fuel &amp; Resister'!$B$3:$G$6,4,FALSE)</f>
        <v>2.7360666666666664</v>
      </c>
      <c r="AJ823" s="41">
        <f>HLOOKUP(HLOOKUP(G823,'THP2'!$B$4:$J$8,5,FALSE),'Fuel &amp; Resister'!$B$3:$G$6,3,FALSE)</f>
        <v>13.019</v>
      </c>
      <c r="AO823" s="1">
        <v>1</v>
      </c>
      <c r="AP823" s="1">
        <v>1</v>
      </c>
    </row>
    <row r="824" spans="2:42" x14ac:dyDescent="0.15">
      <c r="B824" s="82" t="s">
        <v>625</v>
      </c>
      <c r="C824" s="61">
        <f>VLOOKUP(B824,[1]SYS!$F$5:$G$359,2,FALSE)</f>
        <v>106</v>
      </c>
      <c r="D824" s="1" t="s">
        <v>50</v>
      </c>
      <c r="E824" s="65" t="s">
        <v>185</v>
      </c>
      <c r="F824" s="42" t="s">
        <v>375</v>
      </c>
      <c r="G824" s="1">
        <v>7</v>
      </c>
      <c r="H824" s="1">
        <f t="shared" si="189"/>
        <v>0.3981042654028436</v>
      </c>
      <c r="I824" s="1">
        <f t="shared" si="190"/>
        <v>0.21099999999999999</v>
      </c>
      <c r="J824" s="1">
        <f t="shared" si="188"/>
        <v>2.0000000000000018E-2</v>
      </c>
      <c r="K824" s="1">
        <f t="shared" si="191"/>
        <v>2.2315500000000004</v>
      </c>
      <c r="L824" s="1">
        <f t="shared" si="192"/>
        <v>1.7106300000000001</v>
      </c>
      <c r="M824" s="49">
        <f t="shared" si="199"/>
        <v>0.58590301064113492</v>
      </c>
      <c r="N824" s="49">
        <v>1.1584000000000001</v>
      </c>
      <c r="O824" s="6">
        <v>309</v>
      </c>
      <c r="P824" s="51">
        <v>0.05</v>
      </c>
      <c r="Q824" s="51">
        <v>11</v>
      </c>
      <c r="R824" s="51">
        <v>1</v>
      </c>
      <c r="S824" s="1">
        <v>1</v>
      </c>
      <c r="T824" s="1">
        <v>0</v>
      </c>
      <c r="U824" s="47">
        <v>1</v>
      </c>
      <c r="V824" s="47">
        <v>184</v>
      </c>
      <c r="W824" s="41">
        <v>84</v>
      </c>
      <c r="X824">
        <v>211</v>
      </c>
      <c r="Y824">
        <v>0.98</v>
      </c>
      <c r="Z824">
        <v>2231.5500000000002</v>
      </c>
      <c r="AA824">
        <v>1710.63</v>
      </c>
      <c r="AB824">
        <v>115.84</v>
      </c>
      <c r="AC824">
        <v>46</v>
      </c>
      <c r="AD824" s="41">
        <f t="shared" si="205"/>
        <v>0.38538235755416633</v>
      </c>
      <c r="AE824" s="41">
        <f t="shared" si="206"/>
        <v>0.50273875706611015</v>
      </c>
      <c r="AF824">
        <f t="shared" si="207"/>
        <v>1.3660844881889762</v>
      </c>
      <c r="AG824">
        <f t="shared" si="208"/>
        <v>7.2699102992126036E-2</v>
      </c>
      <c r="AH824">
        <f t="shared" si="209"/>
        <v>1.1584000000000001</v>
      </c>
      <c r="AI824">
        <f>HLOOKUP(HLOOKUP(G824,'THP2'!$B$4:$J$8,5,FALSE),'Fuel &amp; Resister'!$B$3:$G$6,4,FALSE)</f>
        <v>2.7360666666666664</v>
      </c>
      <c r="AJ824" s="41">
        <f>HLOOKUP(HLOOKUP(G824,'THP2'!$B$4:$J$8,5,FALSE),'Fuel &amp; Resister'!$B$3:$G$6,3,FALSE)</f>
        <v>13.019</v>
      </c>
      <c r="AO824" s="1">
        <v>1</v>
      </c>
      <c r="AP824" s="1">
        <v>1</v>
      </c>
    </row>
    <row r="825" spans="2:42" x14ac:dyDescent="0.15">
      <c r="B825" s="82" t="s">
        <v>595</v>
      </c>
      <c r="C825" s="61">
        <f>VLOOKUP(B825,[1]SYS!$F$5:$G$359,2,FALSE)</f>
        <v>104</v>
      </c>
      <c r="D825" s="1" t="s">
        <v>50</v>
      </c>
      <c r="E825" s="65" t="s">
        <v>186</v>
      </c>
      <c r="F825" s="63" t="s">
        <v>473</v>
      </c>
      <c r="G825" s="1">
        <v>7</v>
      </c>
      <c r="H825" s="1">
        <f t="shared" si="189"/>
        <v>0.39892183288409705</v>
      </c>
      <c r="I825" s="1">
        <f t="shared" si="190"/>
        <v>0.371</v>
      </c>
      <c r="J825" s="1">
        <f t="shared" si="188"/>
        <v>2.1599999999999953E-2</v>
      </c>
      <c r="K825" s="1">
        <f t="shared" si="191"/>
        <v>2.2339499999999997</v>
      </c>
      <c r="L825" s="1">
        <f t="shared" si="192"/>
        <v>1.7124699999999999</v>
      </c>
      <c r="M825" s="49">
        <f t="shared" si="199"/>
        <v>1.0312977536994659</v>
      </c>
      <c r="N825" s="49">
        <v>1.5891</v>
      </c>
      <c r="O825" s="6">
        <v>314</v>
      </c>
      <c r="P825" s="51">
        <v>0.05</v>
      </c>
      <c r="Q825" s="51">
        <v>11</v>
      </c>
      <c r="R825" s="51">
        <v>1</v>
      </c>
      <c r="S825" s="1">
        <v>1</v>
      </c>
      <c r="T825" s="1">
        <v>0</v>
      </c>
      <c r="U825" s="47">
        <v>1</v>
      </c>
      <c r="V825" s="47">
        <v>185</v>
      </c>
      <c r="W825" s="41">
        <v>148</v>
      </c>
      <c r="X825">
        <v>371</v>
      </c>
      <c r="Y825">
        <v>0.97840000000000005</v>
      </c>
      <c r="Z825">
        <v>2233.9499999999998</v>
      </c>
      <c r="AA825">
        <v>1712.47</v>
      </c>
      <c r="AB825">
        <v>158.91</v>
      </c>
      <c r="AC825">
        <v>36</v>
      </c>
      <c r="AD825" s="41">
        <f t="shared" si="205"/>
        <v>0.38496832964032324</v>
      </c>
      <c r="AE825" s="41">
        <f t="shared" si="206"/>
        <v>0.50219857866123208</v>
      </c>
      <c r="AF825">
        <f t="shared" si="207"/>
        <v>1.3663756502242155</v>
      </c>
      <c r="AG825">
        <f t="shared" si="208"/>
        <v>0.12840100376681604</v>
      </c>
      <c r="AH825">
        <f t="shared" si="209"/>
        <v>1.5891</v>
      </c>
      <c r="AI825">
        <f>HLOOKUP(HLOOKUP(G825,'THP2'!$B$4:$J$8,5,FALSE),'Fuel &amp; Resister'!$B$3:$G$6,4,FALSE)</f>
        <v>2.7360666666666664</v>
      </c>
      <c r="AJ825" s="41">
        <f>HLOOKUP(HLOOKUP(G825,'THP2'!$B$4:$J$8,5,FALSE),'Fuel &amp; Resister'!$B$3:$G$6,3,FALSE)</f>
        <v>13.019</v>
      </c>
      <c r="AO825" s="1">
        <v>1</v>
      </c>
      <c r="AP825" s="1">
        <v>1</v>
      </c>
    </row>
    <row r="826" spans="2:42" x14ac:dyDescent="0.15">
      <c r="B826" s="82" t="s">
        <v>595</v>
      </c>
      <c r="C826" s="61">
        <f>VLOOKUP(B826,[1]SYS!$F$5:$G$359,2,FALSE)</f>
        <v>104</v>
      </c>
      <c r="D826" s="1" t="s">
        <v>50</v>
      </c>
      <c r="E826" s="65" t="s">
        <v>187</v>
      </c>
      <c r="F826" s="63" t="s">
        <v>473</v>
      </c>
      <c r="G826" s="1">
        <v>7</v>
      </c>
      <c r="H826" s="1">
        <f t="shared" si="189"/>
        <v>0.39944903581267216</v>
      </c>
      <c r="I826" s="1">
        <f t="shared" si="190"/>
        <v>0.36299999999999999</v>
      </c>
      <c r="J826" s="1">
        <f t="shared" si="188"/>
        <v>2.1599999999999953E-2</v>
      </c>
      <c r="K826" s="1">
        <f t="shared" si="191"/>
        <v>2.2339499999999997</v>
      </c>
      <c r="L826" s="1">
        <f t="shared" si="192"/>
        <v>1.7124699999999999</v>
      </c>
      <c r="M826" s="49">
        <f t="shared" si="199"/>
        <v>1.0090595272045988</v>
      </c>
      <c r="N826" s="49">
        <v>1.5456000000000001</v>
      </c>
      <c r="O826" s="6">
        <v>314</v>
      </c>
      <c r="P826" s="51">
        <v>0.05</v>
      </c>
      <c r="Q826" s="51">
        <v>11</v>
      </c>
      <c r="R826" s="51">
        <v>1</v>
      </c>
      <c r="S826" s="1">
        <v>1</v>
      </c>
      <c r="T826" s="1">
        <v>0</v>
      </c>
      <c r="U826" s="47">
        <v>1</v>
      </c>
      <c r="V826" s="47">
        <v>186</v>
      </c>
      <c r="W826" s="41">
        <v>145</v>
      </c>
      <c r="X826">
        <v>363</v>
      </c>
      <c r="Y826">
        <v>0.97840000000000005</v>
      </c>
      <c r="Z826">
        <v>2233.9499999999998</v>
      </c>
      <c r="AA826">
        <v>1712.47</v>
      </c>
      <c r="AB826">
        <v>154.56</v>
      </c>
      <c r="AC826">
        <v>36</v>
      </c>
      <c r="AD826" s="41">
        <f t="shared" si="205"/>
        <v>0.38496832964032324</v>
      </c>
      <c r="AE826" s="41">
        <f t="shared" si="206"/>
        <v>0.50219857866123208</v>
      </c>
      <c r="AF826">
        <f t="shared" si="207"/>
        <v>1.3656140366972478</v>
      </c>
      <c r="AG826">
        <f t="shared" si="208"/>
        <v>0.12590871467889903</v>
      </c>
      <c r="AH826">
        <f t="shared" si="209"/>
        <v>1.5456000000000001</v>
      </c>
      <c r="AI826">
        <f>HLOOKUP(HLOOKUP(G826,'THP2'!$B$4:$J$8,5,FALSE),'Fuel &amp; Resister'!$B$3:$G$6,4,FALSE)</f>
        <v>2.7360666666666664</v>
      </c>
      <c r="AJ826" s="41">
        <f>HLOOKUP(HLOOKUP(G826,'THP2'!$B$4:$J$8,5,FALSE),'Fuel &amp; Resister'!$B$3:$G$6,3,FALSE)</f>
        <v>13.019</v>
      </c>
      <c r="AO826" s="1">
        <v>1</v>
      </c>
      <c r="AP826" s="1">
        <v>1</v>
      </c>
    </row>
    <row r="827" spans="2:42" x14ac:dyDescent="0.15">
      <c r="B827" s="82" t="s">
        <v>595</v>
      </c>
      <c r="C827" s="61">
        <f>VLOOKUP(B827,[1]SYS!$F$5:$G$359,2,FALSE)</f>
        <v>104</v>
      </c>
      <c r="D827" s="1" t="s">
        <v>50</v>
      </c>
      <c r="E827" s="65" t="s">
        <v>188</v>
      </c>
      <c r="F827" s="63" t="s">
        <v>473</v>
      </c>
      <c r="G827" s="1">
        <v>7</v>
      </c>
      <c r="H827" s="1">
        <f t="shared" si="189"/>
        <v>0.4</v>
      </c>
      <c r="I827" s="1">
        <f t="shared" si="190"/>
        <v>0.37</v>
      </c>
      <c r="J827" s="1">
        <f t="shared" si="188"/>
        <v>2.0599999999999952E-2</v>
      </c>
      <c r="K827" s="1">
        <f t="shared" si="191"/>
        <v>2.2339499999999997</v>
      </c>
      <c r="L827" s="1">
        <f t="shared" si="192"/>
        <v>1.7124699999999999</v>
      </c>
      <c r="M827" s="49">
        <f t="shared" si="199"/>
        <v>1.0285179753876077</v>
      </c>
      <c r="N827" s="49">
        <v>1.5837000000000001</v>
      </c>
      <c r="O827" s="6">
        <v>314</v>
      </c>
      <c r="P827" s="51">
        <v>0.05</v>
      </c>
      <c r="Q827" s="51">
        <v>11</v>
      </c>
      <c r="R827" s="51">
        <v>1</v>
      </c>
      <c r="S827" s="1">
        <v>1</v>
      </c>
      <c r="T827" s="1">
        <v>0</v>
      </c>
      <c r="U827" s="47">
        <v>1</v>
      </c>
      <c r="V827" s="47">
        <v>187</v>
      </c>
      <c r="W827" s="41">
        <v>148</v>
      </c>
      <c r="X827">
        <v>370</v>
      </c>
      <c r="Y827">
        <v>0.97940000000000005</v>
      </c>
      <c r="Z827">
        <v>2233.9499999999998</v>
      </c>
      <c r="AA827">
        <v>1712.47</v>
      </c>
      <c r="AB827">
        <v>158.37</v>
      </c>
      <c r="AC827">
        <v>36</v>
      </c>
      <c r="AD827" s="41">
        <f t="shared" si="205"/>
        <v>0.38496832964032324</v>
      </c>
      <c r="AE827" s="41">
        <f t="shared" si="206"/>
        <v>0.50219857866123208</v>
      </c>
      <c r="AF827">
        <f t="shared" si="207"/>
        <v>1.3648166666666668</v>
      </c>
      <c r="AG827">
        <f t="shared" si="208"/>
        <v>0.12863173333333328</v>
      </c>
      <c r="AH827">
        <f t="shared" si="209"/>
        <v>1.5837000000000001</v>
      </c>
      <c r="AI827">
        <f>HLOOKUP(HLOOKUP(G827,'THP2'!$B$4:$J$8,5,FALSE),'Fuel &amp; Resister'!$B$3:$G$6,4,FALSE)</f>
        <v>2.7360666666666664</v>
      </c>
      <c r="AJ827" s="41">
        <f>HLOOKUP(HLOOKUP(G827,'THP2'!$B$4:$J$8,5,FALSE),'Fuel &amp; Resister'!$B$3:$G$6,3,FALSE)</f>
        <v>13.019</v>
      </c>
      <c r="AO827" s="1">
        <v>1</v>
      </c>
      <c r="AP827" s="1">
        <v>1</v>
      </c>
    </row>
    <row r="828" spans="2:42" x14ac:dyDescent="0.15">
      <c r="B828" s="82" t="s">
        <v>595</v>
      </c>
      <c r="C828" s="61">
        <f>VLOOKUP(B828,[1]SYS!$F$5:$G$359,2,FALSE)</f>
        <v>104</v>
      </c>
      <c r="D828" s="1" t="s">
        <v>50</v>
      </c>
      <c r="E828" s="65" t="s">
        <v>189</v>
      </c>
      <c r="F828" s="63" t="s">
        <v>473</v>
      </c>
      <c r="G828" s="1">
        <v>7</v>
      </c>
      <c r="H828" s="1">
        <f t="shared" si="189"/>
        <v>0.4</v>
      </c>
      <c r="I828" s="1">
        <f t="shared" si="190"/>
        <v>0.37</v>
      </c>
      <c r="J828" s="1">
        <f t="shared" si="188"/>
        <v>2.0599999999999952E-2</v>
      </c>
      <c r="K828" s="1">
        <f t="shared" si="191"/>
        <v>2.2339499999999997</v>
      </c>
      <c r="L828" s="1">
        <f t="shared" si="192"/>
        <v>1.7124699999999999</v>
      </c>
      <c r="M828" s="49">
        <f t="shared" si="199"/>
        <v>1.0285179753876077</v>
      </c>
      <c r="N828" s="49">
        <v>1.3296000000000001</v>
      </c>
      <c r="O828" s="6">
        <v>314</v>
      </c>
      <c r="P828" s="51">
        <v>0.05</v>
      </c>
      <c r="Q828" s="51">
        <v>11</v>
      </c>
      <c r="R828" s="51">
        <v>1</v>
      </c>
      <c r="S828" s="1">
        <v>1</v>
      </c>
      <c r="T828" s="1">
        <v>0</v>
      </c>
      <c r="U828" s="47">
        <v>1</v>
      </c>
      <c r="V828" s="47">
        <v>188</v>
      </c>
      <c r="W828" s="41">
        <v>148</v>
      </c>
      <c r="X828">
        <v>370</v>
      </c>
      <c r="Y828">
        <v>0.97940000000000005</v>
      </c>
      <c r="Z828">
        <v>2233.9499999999998</v>
      </c>
      <c r="AA828">
        <v>1712.47</v>
      </c>
      <c r="AB828">
        <v>132.96</v>
      </c>
      <c r="AC828">
        <v>36</v>
      </c>
      <c r="AD828" s="41">
        <f t="shared" si="205"/>
        <v>0.38496832964032324</v>
      </c>
      <c r="AE828" s="41">
        <f t="shared" si="206"/>
        <v>0.50219857866123208</v>
      </c>
      <c r="AF828">
        <f t="shared" si="207"/>
        <v>1.3648166666666668</v>
      </c>
      <c r="AG828">
        <f t="shared" si="208"/>
        <v>0.12863173333333328</v>
      </c>
      <c r="AH828">
        <f t="shared" si="209"/>
        <v>1.3296000000000001</v>
      </c>
      <c r="AI828">
        <f>HLOOKUP(HLOOKUP(G828,'THP2'!$B$4:$J$8,5,FALSE),'Fuel &amp; Resister'!$B$3:$G$6,4,FALSE)</f>
        <v>2.7360666666666664</v>
      </c>
      <c r="AJ828" s="41">
        <f>HLOOKUP(HLOOKUP(G828,'THP2'!$B$4:$J$8,5,FALSE),'Fuel &amp; Resister'!$B$3:$G$6,3,FALSE)</f>
        <v>13.019</v>
      </c>
      <c r="AO828" s="1">
        <v>1</v>
      </c>
      <c r="AP828" s="1">
        <v>1</v>
      </c>
    </row>
    <row r="829" spans="2:42" x14ac:dyDescent="0.15">
      <c r="B829" s="82" t="s">
        <v>595</v>
      </c>
      <c r="C829" s="61">
        <f>VLOOKUP(B829,[1]SYS!$F$5:$G$359,2,FALSE)</f>
        <v>104</v>
      </c>
      <c r="D829" s="1" t="s">
        <v>50</v>
      </c>
      <c r="E829" s="65" t="s">
        <v>190</v>
      </c>
      <c r="F829" s="63" t="s">
        <v>473</v>
      </c>
      <c r="G829" s="1">
        <v>7</v>
      </c>
      <c r="H829" s="1">
        <f t="shared" si="189"/>
        <v>0.4</v>
      </c>
      <c r="I829" s="1">
        <f t="shared" si="190"/>
        <v>0.37</v>
      </c>
      <c r="J829" s="1">
        <f t="shared" ref="J829:J896" si="210">1-Y829</f>
        <v>2.1100000000000008E-2</v>
      </c>
      <c r="K829" s="1">
        <f t="shared" si="191"/>
        <v>2.2339499999999997</v>
      </c>
      <c r="L829" s="1">
        <f t="shared" si="192"/>
        <v>1.7124699999999999</v>
      </c>
      <c r="M829" s="49">
        <f t="shared" si="199"/>
        <v>1.0285179753876077</v>
      </c>
      <c r="N829" s="49">
        <v>1.5837000000000001</v>
      </c>
      <c r="O829" s="6">
        <v>314</v>
      </c>
      <c r="P829" s="51">
        <v>0.05</v>
      </c>
      <c r="Q829" s="51">
        <v>11</v>
      </c>
      <c r="R829" s="51">
        <v>1</v>
      </c>
      <c r="S829" s="1">
        <v>1</v>
      </c>
      <c r="T829" s="1">
        <v>0</v>
      </c>
      <c r="U829" s="47">
        <v>1</v>
      </c>
      <c r="V829" s="47">
        <v>189</v>
      </c>
      <c r="W829" s="41">
        <v>148</v>
      </c>
      <c r="X829">
        <v>370</v>
      </c>
      <c r="Y829">
        <v>0.97889999999999999</v>
      </c>
      <c r="Z829">
        <v>2233.9499999999998</v>
      </c>
      <c r="AA829">
        <v>1712.47</v>
      </c>
      <c r="AB829">
        <v>158.37</v>
      </c>
      <c r="AC829">
        <v>36</v>
      </c>
      <c r="AD829" s="41">
        <f t="shared" si="205"/>
        <v>0.38496832964032324</v>
      </c>
      <c r="AE829" s="41">
        <f t="shared" si="206"/>
        <v>0.50219857866123208</v>
      </c>
      <c r="AF829">
        <f t="shared" si="207"/>
        <v>1.3648166666666668</v>
      </c>
      <c r="AG829">
        <f t="shared" si="208"/>
        <v>0.12863173333333328</v>
      </c>
      <c r="AH829">
        <f t="shared" si="209"/>
        <v>1.5837000000000001</v>
      </c>
      <c r="AI829">
        <f>HLOOKUP(HLOOKUP(G829,'THP2'!$B$4:$J$8,5,FALSE),'Fuel &amp; Resister'!$B$3:$G$6,4,FALSE)</f>
        <v>2.7360666666666664</v>
      </c>
      <c r="AJ829" s="41">
        <f>HLOOKUP(HLOOKUP(G829,'THP2'!$B$4:$J$8,5,FALSE),'Fuel &amp; Resister'!$B$3:$G$6,3,FALSE)</f>
        <v>13.019</v>
      </c>
      <c r="AO829" s="1">
        <v>1</v>
      </c>
      <c r="AP829" s="1">
        <v>1</v>
      </c>
    </row>
    <row r="830" spans="2:42" x14ac:dyDescent="0.15">
      <c r="B830" s="82" t="s">
        <v>595</v>
      </c>
      <c r="C830" s="61">
        <f>VLOOKUP(B830,[1]SYS!$F$5:$G$359,2,FALSE)</f>
        <v>104</v>
      </c>
      <c r="D830" s="1" t="s">
        <v>50</v>
      </c>
      <c r="E830" s="65" t="s">
        <v>191</v>
      </c>
      <c r="F830" s="63" t="s">
        <v>473</v>
      </c>
      <c r="G830" s="1">
        <v>7</v>
      </c>
      <c r="H830" s="1">
        <f t="shared" ref="H830:H897" si="211">W830/X830</f>
        <v>0.40109890109890112</v>
      </c>
      <c r="I830" s="1">
        <f t="shared" ref="I830:I868" si="212">X830/1000</f>
        <v>0.36399999999999999</v>
      </c>
      <c r="J830" s="1">
        <f t="shared" si="210"/>
        <v>2.0599999999999952E-2</v>
      </c>
      <c r="K830" s="1">
        <f t="shared" ref="K830:K897" si="213">Z830/1000</f>
        <v>2.2339499999999997</v>
      </c>
      <c r="L830" s="1">
        <f t="shared" ref="L830:L897" si="214">AA830/1000</f>
        <v>1.7124699999999999</v>
      </c>
      <c r="M830" s="49">
        <f t="shared" si="199"/>
        <v>1.0118393055164572</v>
      </c>
      <c r="N830" s="49">
        <v>1.5511000000000001</v>
      </c>
      <c r="O830" s="6">
        <v>314</v>
      </c>
      <c r="P830" s="51">
        <v>0.05</v>
      </c>
      <c r="Q830" s="51">
        <v>11</v>
      </c>
      <c r="R830" s="51">
        <v>1</v>
      </c>
      <c r="S830" s="1">
        <v>1</v>
      </c>
      <c r="T830" s="1">
        <v>0</v>
      </c>
      <c r="U830" s="47">
        <v>1</v>
      </c>
      <c r="V830" s="47">
        <v>190</v>
      </c>
      <c r="W830" s="41">
        <v>146</v>
      </c>
      <c r="X830">
        <v>364</v>
      </c>
      <c r="Y830">
        <v>0.97940000000000005</v>
      </c>
      <c r="Z830">
        <v>2233.9499999999998</v>
      </c>
      <c r="AA830">
        <v>1712.47</v>
      </c>
      <c r="AB830">
        <v>155.11000000000001</v>
      </c>
      <c r="AC830">
        <v>36</v>
      </c>
      <c r="AD830" s="41">
        <f t="shared" si="205"/>
        <v>0.38496832964032324</v>
      </c>
      <c r="AE830" s="41">
        <f t="shared" si="206"/>
        <v>0.50219857866123208</v>
      </c>
      <c r="AF830">
        <f t="shared" si="207"/>
        <v>1.3632219266055048</v>
      </c>
      <c r="AG830">
        <f t="shared" si="208"/>
        <v>0.12712629871559622</v>
      </c>
      <c r="AH830">
        <f t="shared" si="209"/>
        <v>1.5511000000000001</v>
      </c>
      <c r="AI830">
        <f>HLOOKUP(HLOOKUP(G830,'THP2'!$B$4:$J$8,5,FALSE),'Fuel &amp; Resister'!$B$3:$G$6,4,FALSE)</f>
        <v>2.7360666666666664</v>
      </c>
      <c r="AJ830" s="41">
        <f>HLOOKUP(HLOOKUP(G830,'THP2'!$B$4:$J$8,5,FALSE),'Fuel &amp; Resister'!$B$3:$G$6,3,FALSE)</f>
        <v>13.019</v>
      </c>
      <c r="AO830" s="1">
        <v>1</v>
      </c>
      <c r="AP830" s="1">
        <v>1</v>
      </c>
    </row>
    <row r="831" spans="2:42" x14ac:dyDescent="0.15">
      <c r="B831" s="82" t="s">
        <v>595</v>
      </c>
      <c r="C831" s="61">
        <f>VLOOKUP(B831,[1]SYS!$F$5:$G$359,2,FALSE)</f>
        <v>104</v>
      </c>
      <c r="D831" s="1" t="s">
        <v>50</v>
      </c>
      <c r="E831" s="65" t="s">
        <v>192</v>
      </c>
      <c r="F831" s="63" t="s">
        <v>473</v>
      </c>
      <c r="G831" s="1">
        <v>7</v>
      </c>
      <c r="H831" s="1">
        <f t="shared" si="211"/>
        <v>0.40109890109890112</v>
      </c>
      <c r="I831" s="1">
        <f t="shared" si="212"/>
        <v>0.36399999999999999</v>
      </c>
      <c r="J831" s="1">
        <f t="shared" si="210"/>
        <v>2.0599999999999952E-2</v>
      </c>
      <c r="K831" s="1">
        <f t="shared" si="213"/>
        <v>2.2339499999999997</v>
      </c>
      <c r="L831" s="1">
        <f t="shared" si="214"/>
        <v>1.7124699999999999</v>
      </c>
      <c r="M831" s="49">
        <f t="shared" si="199"/>
        <v>1.0118393055164572</v>
      </c>
      <c r="N831" s="49">
        <v>1.5511000000000001</v>
      </c>
      <c r="O831" s="6">
        <v>314</v>
      </c>
      <c r="P831" s="51">
        <v>0.05</v>
      </c>
      <c r="Q831" s="51">
        <v>11</v>
      </c>
      <c r="R831" s="51">
        <v>1</v>
      </c>
      <c r="S831" s="1">
        <v>1</v>
      </c>
      <c r="T831" s="1">
        <v>0</v>
      </c>
      <c r="U831" s="47">
        <v>1</v>
      </c>
      <c r="V831" s="47">
        <v>191</v>
      </c>
      <c r="W831" s="41">
        <v>146</v>
      </c>
      <c r="X831">
        <v>364</v>
      </c>
      <c r="Y831">
        <v>0.97940000000000005</v>
      </c>
      <c r="Z831">
        <v>2233.9499999999998</v>
      </c>
      <c r="AA831">
        <v>1712.47</v>
      </c>
      <c r="AB831">
        <v>155.11000000000001</v>
      </c>
      <c r="AC831">
        <v>36</v>
      </c>
      <c r="AD831" s="41">
        <f t="shared" si="205"/>
        <v>0.38496832964032324</v>
      </c>
      <c r="AE831" s="41">
        <f t="shared" si="206"/>
        <v>0.50219857866123208</v>
      </c>
      <c r="AF831">
        <f t="shared" si="207"/>
        <v>1.3632219266055048</v>
      </c>
      <c r="AG831">
        <f t="shared" si="208"/>
        <v>0.12712629871559622</v>
      </c>
      <c r="AH831">
        <f t="shared" si="209"/>
        <v>1.5511000000000001</v>
      </c>
      <c r="AI831">
        <f>HLOOKUP(HLOOKUP(G831,'THP2'!$B$4:$J$8,5,FALSE),'Fuel &amp; Resister'!$B$3:$G$6,4,FALSE)</f>
        <v>2.7360666666666664</v>
      </c>
      <c r="AJ831" s="41">
        <f>HLOOKUP(HLOOKUP(G831,'THP2'!$B$4:$J$8,5,FALSE),'Fuel &amp; Resister'!$B$3:$G$6,3,FALSE)</f>
        <v>13.019</v>
      </c>
      <c r="AO831" s="1">
        <v>1</v>
      </c>
      <c r="AP831" s="1">
        <v>1</v>
      </c>
    </row>
    <row r="832" spans="2:42" x14ac:dyDescent="0.15">
      <c r="B832" s="82" t="s">
        <v>628</v>
      </c>
      <c r="C832" s="61">
        <f>VLOOKUP(B832,[1]SYS!$F$5:$G$359,2,FALSE)</f>
        <v>98</v>
      </c>
      <c r="D832" s="1" t="s">
        <v>50</v>
      </c>
      <c r="E832" s="65" t="s">
        <v>193</v>
      </c>
      <c r="F832" s="63" t="s">
        <v>474</v>
      </c>
      <c r="G832" s="1">
        <v>7</v>
      </c>
      <c r="H832" s="1">
        <f t="shared" si="211"/>
        <v>0.4</v>
      </c>
      <c r="I832" s="1">
        <f t="shared" si="212"/>
        <v>0.38</v>
      </c>
      <c r="J832" s="1">
        <f t="shared" si="210"/>
        <v>2.3599999999999954E-2</v>
      </c>
      <c r="K832" s="1">
        <f t="shared" si="213"/>
        <v>2.2541500000000001</v>
      </c>
      <c r="L832" s="1">
        <f t="shared" si="214"/>
        <v>1.7279500000000001</v>
      </c>
      <c r="M832" s="49">
        <f t="shared" si="199"/>
        <v>1.0658644034118983</v>
      </c>
      <c r="N832" s="49">
        <v>1.3403999999999998</v>
      </c>
      <c r="O832" s="1">
        <v>413</v>
      </c>
      <c r="P832" s="51">
        <v>0.05</v>
      </c>
      <c r="Q832" s="51">
        <v>11</v>
      </c>
      <c r="R832" s="51">
        <v>1</v>
      </c>
      <c r="S832" s="1">
        <v>1</v>
      </c>
      <c r="T832" s="1">
        <v>0</v>
      </c>
      <c r="U832" s="47">
        <v>1</v>
      </c>
      <c r="V832" s="47">
        <v>192</v>
      </c>
      <c r="W832" s="41">
        <v>152</v>
      </c>
      <c r="X832">
        <v>380</v>
      </c>
      <c r="Y832">
        <v>0.97640000000000005</v>
      </c>
      <c r="Z832">
        <v>2254.15</v>
      </c>
      <c r="AA832">
        <v>1727.95</v>
      </c>
      <c r="AB832">
        <v>134.04</v>
      </c>
      <c r="AC832">
        <v>36</v>
      </c>
      <c r="AD832" s="41">
        <f t="shared" si="205"/>
        <v>0.38151853248452855</v>
      </c>
      <c r="AE832" s="41">
        <f t="shared" si="206"/>
        <v>0.49769958621487886</v>
      </c>
      <c r="AF832">
        <f t="shared" si="207"/>
        <v>1.3771500000000001</v>
      </c>
      <c r="AG832">
        <f t="shared" si="208"/>
        <v>0.13330400000000001</v>
      </c>
      <c r="AH832">
        <f t="shared" si="209"/>
        <v>1.3403999999999998</v>
      </c>
      <c r="AI832">
        <f>HLOOKUP(HLOOKUP(G832,'THP2'!$B$4:$J$8,5,FALSE),'Fuel &amp; Resister'!$B$3:$G$6,4,FALSE)</f>
        <v>2.7360666666666664</v>
      </c>
      <c r="AJ832" s="41">
        <f>HLOOKUP(HLOOKUP(G832,'THP2'!$B$4:$J$8,5,FALSE),'Fuel &amp; Resister'!$B$3:$G$6,3,FALSE)</f>
        <v>13.019</v>
      </c>
      <c r="AO832" s="1">
        <v>1</v>
      </c>
      <c r="AP832" s="1">
        <v>1</v>
      </c>
    </row>
    <row r="833" spans="2:42" x14ac:dyDescent="0.15">
      <c r="B833" s="82" t="s">
        <v>628</v>
      </c>
      <c r="C833" s="61">
        <f>VLOOKUP(B833,[1]SYS!$F$5:$G$359,2,FALSE)</f>
        <v>98</v>
      </c>
      <c r="D833" s="1" t="s">
        <v>50</v>
      </c>
      <c r="E833" s="65" t="s">
        <v>194</v>
      </c>
      <c r="F833" s="63" t="s">
        <v>474</v>
      </c>
      <c r="G833" s="1">
        <v>7</v>
      </c>
      <c r="H833" s="1">
        <f t="shared" si="211"/>
        <v>0.4</v>
      </c>
      <c r="I833" s="1">
        <f t="shared" si="212"/>
        <v>0.38</v>
      </c>
      <c r="J833" s="1">
        <f t="shared" si="210"/>
        <v>2.3199999999999998E-2</v>
      </c>
      <c r="K833" s="1">
        <f t="shared" si="213"/>
        <v>2.2541500000000001</v>
      </c>
      <c r="L833" s="1">
        <f t="shared" si="214"/>
        <v>1.7279500000000001</v>
      </c>
      <c r="M833" s="49">
        <f t="shared" si="199"/>
        <v>1.0658644034118983</v>
      </c>
      <c r="N833" s="49">
        <v>1.3403999999999998</v>
      </c>
      <c r="O833" s="6">
        <v>302</v>
      </c>
      <c r="P833" s="51">
        <v>0.05</v>
      </c>
      <c r="Q833" s="51">
        <v>11</v>
      </c>
      <c r="R833" s="51">
        <v>1</v>
      </c>
      <c r="S833" s="1">
        <v>1</v>
      </c>
      <c r="T833" s="1">
        <v>0</v>
      </c>
      <c r="U833" s="47">
        <v>1</v>
      </c>
      <c r="V833" s="47">
        <v>193</v>
      </c>
      <c r="W833" s="41">
        <v>152</v>
      </c>
      <c r="X833">
        <v>380</v>
      </c>
      <c r="Y833">
        <v>0.9768</v>
      </c>
      <c r="Z833">
        <v>2254.15</v>
      </c>
      <c r="AA833">
        <v>1727.95</v>
      </c>
      <c r="AB833">
        <v>134.04</v>
      </c>
      <c r="AC833">
        <v>36</v>
      </c>
      <c r="AD833" s="41">
        <f t="shared" si="205"/>
        <v>0.38151853248452855</v>
      </c>
      <c r="AE833" s="41">
        <f t="shared" si="206"/>
        <v>0.49769958621487886</v>
      </c>
      <c r="AF833">
        <f t="shared" si="207"/>
        <v>1.3771500000000001</v>
      </c>
      <c r="AG833">
        <f t="shared" si="208"/>
        <v>0.13330400000000001</v>
      </c>
      <c r="AH833">
        <f t="shared" si="209"/>
        <v>1.3403999999999998</v>
      </c>
      <c r="AI833">
        <f>HLOOKUP(HLOOKUP(G833,'THP2'!$B$4:$J$8,5,FALSE),'Fuel &amp; Resister'!$B$3:$G$6,4,FALSE)</f>
        <v>2.7360666666666664</v>
      </c>
      <c r="AJ833" s="41">
        <f>HLOOKUP(HLOOKUP(G833,'THP2'!$B$4:$J$8,5,FALSE),'Fuel &amp; Resister'!$B$3:$G$6,3,FALSE)</f>
        <v>13.019</v>
      </c>
      <c r="AO833" s="1">
        <v>1</v>
      </c>
      <c r="AP833" s="1">
        <v>1</v>
      </c>
    </row>
    <row r="834" spans="2:42" x14ac:dyDescent="0.15">
      <c r="B834" s="82" t="s">
        <v>628</v>
      </c>
      <c r="C834" s="61">
        <f>VLOOKUP(B834,[1]SYS!$F$5:$G$359,2,FALSE)</f>
        <v>98</v>
      </c>
      <c r="D834" s="1" t="s">
        <v>50</v>
      </c>
      <c r="E834" s="65" t="s">
        <v>195</v>
      </c>
      <c r="F834" s="63" t="s">
        <v>474</v>
      </c>
      <c r="G834" s="1">
        <v>7</v>
      </c>
      <c r="H834" s="1">
        <f t="shared" si="211"/>
        <v>0.4</v>
      </c>
      <c r="I834" s="1">
        <f t="shared" si="212"/>
        <v>0.38</v>
      </c>
      <c r="J834" s="1">
        <f t="shared" si="210"/>
        <v>2.2199999999999998E-2</v>
      </c>
      <c r="K834" s="1">
        <f t="shared" si="213"/>
        <v>2.2541500000000001</v>
      </c>
      <c r="L834" s="1">
        <f t="shared" si="214"/>
        <v>1.7279500000000001</v>
      </c>
      <c r="M834" s="49">
        <f t="shared" si="199"/>
        <v>1.0658644034118983</v>
      </c>
      <c r="N834" s="49">
        <v>1.3403999999999998</v>
      </c>
      <c r="O834" s="1">
        <v>613</v>
      </c>
      <c r="P834" s="51">
        <v>0.05</v>
      </c>
      <c r="Q834" s="51">
        <v>11</v>
      </c>
      <c r="R834" s="51">
        <v>1</v>
      </c>
      <c r="S834" s="1">
        <v>1</v>
      </c>
      <c r="T834" s="1">
        <v>0</v>
      </c>
      <c r="U834" s="47">
        <v>1</v>
      </c>
      <c r="V834" s="47">
        <v>194</v>
      </c>
      <c r="W834" s="41">
        <v>152</v>
      </c>
      <c r="X834">
        <v>380</v>
      </c>
      <c r="Y834">
        <v>0.9778</v>
      </c>
      <c r="Z834">
        <v>2254.15</v>
      </c>
      <c r="AA834">
        <v>1727.95</v>
      </c>
      <c r="AB834">
        <v>134.04</v>
      </c>
      <c r="AC834">
        <v>36</v>
      </c>
      <c r="AD834" s="41">
        <f t="shared" si="205"/>
        <v>0.38151853248452855</v>
      </c>
      <c r="AE834" s="41">
        <f t="shared" si="206"/>
        <v>0.49769958621487886</v>
      </c>
      <c r="AF834">
        <f t="shared" si="207"/>
        <v>1.3771500000000001</v>
      </c>
      <c r="AG834">
        <f t="shared" si="208"/>
        <v>0.13330400000000001</v>
      </c>
      <c r="AH834">
        <f t="shared" si="209"/>
        <v>1.3403999999999998</v>
      </c>
      <c r="AI834">
        <f>HLOOKUP(HLOOKUP(G834,'THP2'!$B$4:$J$8,5,FALSE),'Fuel &amp; Resister'!$B$3:$G$6,4,FALSE)</f>
        <v>2.7360666666666664</v>
      </c>
      <c r="AJ834" s="41">
        <f>HLOOKUP(HLOOKUP(G834,'THP2'!$B$4:$J$8,5,FALSE),'Fuel &amp; Resister'!$B$3:$G$6,3,FALSE)</f>
        <v>13.019</v>
      </c>
      <c r="AO834" s="1">
        <v>1</v>
      </c>
      <c r="AP834" s="1">
        <v>1</v>
      </c>
    </row>
    <row r="835" spans="2:42" x14ac:dyDescent="0.15">
      <c r="B835" s="82" t="s">
        <v>626</v>
      </c>
      <c r="C835" s="61">
        <f>VLOOKUP(B835,[1]SYS!$F$5:$G$359,2,FALSE)</f>
        <v>73</v>
      </c>
      <c r="D835" s="1" t="s">
        <v>50</v>
      </c>
      <c r="E835" s="65" t="s">
        <v>196</v>
      </c>
      <c r="F835" s="63" t="s">
        <v>440</v>
      </c>
      <c r="G835" s="1">
        <v>7</v>
      </c>
      <c r="H835" s="1">
        <f t="shared" si="211"/>
        <v>0.4</v>
      </c>
      <c r="I835" s="1">
        <f t="shared" si="212"/>
        <v>0.38</v>
      </c>
      <c r="J835" s="1">
        <f t="shared" si="210"/>
        <v>1.5399999999999969E-2</v>
      </c>
      <c r="K835" s="1">
        <f t="shared" si="213"/>
        <v>2.2541500000000001</v>
      </c>
      <c r="L835" s="1">
        <f t="shared" si="214"/>
        <v>1.7279500000000001</v>
      </c>
      <c r="M835" s="49">
        <f t="shared" ref="M835:M898" si="215">(I835*10^6*L835/AJ835*AI835/10^6)*24*365/1000*$A$772</f>
        <v>1.0658644034118983</v>
      </c>
      <c r="N835" s="49">
        <v>1.3403999999999998</v>
      </c>
      <c r="O835" s="1">
        <v>814</v>
      </c>
      <c r="P835" s="51">
        <v>0.05</v>
      </c>
      <c r="Q835" s="51">
        <v>11</v>
      </c>
      <c r="R835" s="51">
        <v>1</v>
      </c>
      <c r="S835" s="1">
        <v>1</v>
      </c>
      <c r="T835" s="1">
        <v>0</v>
      </c>
      <c r="U835" s="47">
        <v>1</v>
      </c>
      <c r="V835" s="47">
        <v>195</v>
      </c>
      <c r="W835" s="41">
        <v>152</v>
      </c>
      <c r="X835">
        <v>380</v>
      </c>
      <c r="Y835">
        <v>0.98460000000000003</v>
      </c>
      <c r="Z835">
        <v>2254.15</v>
      </c>
      <c r="AA835">
        <v>1727.95</v>
      </c>
      <c r="AB835">
        <v>134.04</v>
      </c>
      <c r="AC835">
        <v>36</v>
      </c>
      <c r="AD835" s="41">
        <f t="shared" si="205"/>
        <v>0.38151853248452855</v>
      </c>
      <c r="AE835" s="41">
        <f t="shared" si="206"/>
        <v>0.49769958621487886</v>
      </c>
      <c r="AF835">
        <f t="shared" si="207"/>
        <v>1.3771500000000001</v>
      </c>
      <c r="AG835">
        <f t="shared" si="208"/>
        <v>0.13330400000000001</v>
      </c>
      <c r="AH835">
        <f t="shared" si="209"/>
        <v>1.3403999999999998</v>
      </c>
      <c r="AI835">
        <f>HLOOKUP(HLOOKUP(G835,'THP2'!$B$4:$J$8,5,FALSE),'Fuel &amp; Resister'!$B$3:$G$6,4,FALSE)</f>
        <v>2.7360666666666664</v>
      </c>
      <c r="AJ835" s="41">
        <f>HLOOKUP(HLOOKUP(G835,'THP2'!$B$4:$J$8,5,FALSE),'Fuel &amp; Resister'!$B$3:$G$6,3,FALSE)</f>
        <v>13.019</v>
      </c>
      <c r="AO835" s="1">
        <v>1</v>
      </c>
      <c r="AP835" s="1">
        <v>1</v>
      </c>
    </row>
    <row r="836" spans="2:42" x14ac:dyDescent="0.15">
      <c r="B836" s="82" t="s">
        <v>626</v>
      </c>
      <c r="C836" s="61">
        <f>VLOOKUP(B836,[1]SYS!$F$5:$G$359,2,FALSE)</f>
        <v>73</v>
      </c>
      <c r="D836" s="1" t="s">
        <v>50</v>
      </c>
      <c r="E836" s="65" t="s">
        <v>197</v>
      </c>
      <c r="F836" s="63" t="s">
        <v>440</v>
      </c>
      <c r="G836" s="1">
        <v>7</v>
      </c>
      <c r="H836" s="1">
        <f t="shared" si="211"/>
        <v>0.4</v>
      </c>
      <c r="I836" s="1">
        <f t="shared" si="212"/>
        <v>0.38</v>
      </c>
      <c r="J836" s="1">
        <f t="shared" si="210"/>
        <v>1.5399999999999969E-2</v>
      </c>
      <c r="K836" s="1">
        <f t="shared" si="213"/>
        <v>2.2541500000000001</v>
      </c>
      <c r="L836" s="1">
        <f t="shared" si="214"/>
        <v>1.7279500000000001</v>
      </c>
      <c r="M836" s="49">
        <f t="shared" si="215"/>
        <v>1.0658644034118983</v>
      </c>
      <c r="N836" s="49">
        <v>1.3403999999999998</v>
      </c>
      <c r="O836" s="1">
        <v>413</v>
      </c>
      <c r="P836" s="51">
        <v>0.05</v>
      </c>
      <c r="Q836" s="51">
        <v>11</v>
      </c>
      <c r="R836" s="51">
        <v>1</v>
      </c>
      <c r="S836" s="1">
        <v>1</v>
      </c>
      <c r="T836" s="1">
        <v>0</v>
      </c>
      <c r="U836" s="47">
        <v>1</v>
      </c>
      <c r="V836" s="47">
        <v>196</v>
      </c>
      <c r="W836" s="41">
        <v>152</v>
      </c>
      <c r="X836">
        <v>380</v>
      </c>
      <c r="Y836">
        <v>0.98460000000000003</v>
      </c>
      <c r="Z836">
        <v>2254.15</v>
      </c>
      <c r="AA836">
        <v>1727.95</v>
      </c>
      <c r="AB836">
        <v>134.04</v>
      </c>
      <c r="AC836">
        <v>36</v>
      </c>
      <c r="AD836" s="41">
        <f t="shared" si="205"/>
        <v>0.38151853248452855</v>
      </c>
      <c r="AE836" s="41">
        <f t="shared" si="206"/>
        <v>0.49769958621487886</v>
      </c>
      <c r="AF836">
        <f t="shared" si="207"/>
        <v>1.3771500000000001</v>
      </c>
      <c r="AG836">
        <f t="shared" si="208"/>
        <v>0.13330400000000001</v>
      </c>
      <c r="AH836">
        <f t="shared" si="209"/>
        <v>1.3403999999999998</v>
      </c>
      <c r="AI836">
        <f>HLOOKUP(HLOOKUP(G836,'THP2'!$B$4:$J$8,5,FALSE),'Fuel &amp; Resister'!$B$3:$G$6,4,FALSE)</f>
        <v>2.7360666666666664</v>
      </c>
      <c r="AJ836" s="41">
        <f>HLOOKUP(HLOOKUP(G836,'THP2'!$B$4:$J$8,5,FALSE),'Fuel &amp; Resister'!$B$3:$G$6,3,FALSE)</f>
        <v>13.019</v>
      </c>
      <c r="AO836" s="1">
        <v>1</v>
      </c>
      <c r="AP836" s="1">
        <v>1</v>
      </c>
    </row>
    <row r="837" spans="2:42" x14ac:dyDescent="0.15">
      <c r="B837" s="82" t="s">
        <v>626</v>
      </c>
      <c r="C837" s="61">
        <f>VLOOKUP(B837,[1]SYS!$F$5:$G$359,2,FALSE)</f>
        <v>73</v>
      </c>
      <c r="D837" s="1" t="s">
        <v>50</v>
      </c>
      <c r="E837" s="65" t="s">
        <v>198</v>
      </c>
      <c r="F837" s="63" t="s">
        <v>440</v>
      </c>
      <c r="G837" s="1">
        <v>7</v>
      </c>
      <c r="H837" s="1">
        <f t="shared" si="211"/>
        <v>0.4</v>
      </c>
      <c r="I837" s="1">
        <f t="shared" si="212"/>
        <v>0.38</v>
      </c>
      <c r="J837" s="1">
        <f t="shared" si="210"/>
        <v>1.5399999999999969E-2</v>
      </c>
      <c r="K837" s="1">
        <f t="shared" si="213"/>
        <v>2.2541500000000001</v>
      </c>
      <c r="L837" s="1">
        <f t="shared" si="214"/>
        <v>1.7279500000000001</v>
      </c>
      <c r="M837" s="49">
        <f t="shared" si="215"/>
        <v>1.0658644034118983</v>
      </c>
      <c r="N837" s="49">
        <v>1.3403999999999998</v>
      </c>
      <c r="O837" s="1">
        <v>1002</v>
      </c>
      <c r="P837" s="51">
        <v>0.05</v>
      </c>
      <c r="Q837" s="51">
        <v>11</v>
      </c>
      <c r="R837" s="51">
        <v>1</v>
      </c>
      <c r="S837" s="1">
        <v>1</v>
      </c>
      <c r="T837" s="1">
        <v>0</v>
      </c>
      <c r="U837" s="47">
        <v>1</v>
      </c>
      <c r="V837" s="47">
        <v>197</v>
      </c>
      <c r="W837" s="41">
        <v>152</v>
      </c>
      <c r="X837">
        <v>380</v>
      </c>
      <c r="Y837">
        <v>0.98460000000000003</v>
      </c>
      <c r="Z837">
        <v>2254.15</v>
      </c>
      <c r="AA837">
        <v>1727.95</v>
      </c>
      <c r="AB837">
        <v>134.04</v>
      </c>
      <c r="AC837">
        <v>36</v>
      </c>
      <c r="AD837" s="41">
        <f t="shared" si="205"/>
        <v>0.38151853248452855</v>
      </c>
      <c r="AE837" s="41">
        <f t="shared" si="206"/>
        <v>0.49769958621487886</v>
      </c>
      <c r="AF837">
        <f t="shared" si="207"/>
        <v>1.3771500000000001</v>
      </c>
      <c r="AG837">
        <f t="shared" si="208"/>
        <v>0.13330400000000001</v>
      </c>
      <c r="AH837">
        <f t="shared" si="209"/>
        <v>1.3403999999999998</v>
      </c>
      <c r="AI837">
        <f>HLOOKUP(HLOOKUP(G837,'THP2'!$B$4:$J$8,5,FALSE),'Fuel &amp; Resister'!$B$3:$G$6,4,FALSE)</f>
        <v>2.7360666666666664</v>
      </c>
      <c r="AJ837" s="41">
        <f>HLOOKUP(HLOOKUP(G837,'THP2'!$B$4:$J$8,5,FALSE),'Fuel &amp; Resister'!$B$3:$G$6,3,FALSE)</f>
        <v>13.019</v>
      </c>
      <c r="AO837" s="1">
        <v>1</v>
      </c>
      <c r="AP837" s="1">
        <v>1</v>
      </c>
    </row>
    <row r="838" spans="2:42" x14ac:dyDescent="0.15">
      <c r="B838" s="82" t="s">
        <v>626</v>
      </c>
      <c r="C838" s="61">
        <f>VLOOKUP(B838,[1]SYS!$F$5:$G$359,2,FALSE)</f>
        <v>73</v>
      </c>
      <c r="D838" s="1" t="s">
        <v>50</v>
      </c>
      <c r="E838" s="65" t="s">
        <v>199</v>
      </c>
      <c r="F838" s="63" t="s">
        <v>440</v>
      </c>
      <c r="G838" s="1">
        <v>7</v>
      </c>
      <c r="H838" s="1">
        <f t="shared" si="211"/>
        <v>0.4</v>
      </c>
      <c r="I838" s="1">
        <f t="shared" si="212"/>
        <v>0.38</v>
      </c>
      <c r="J838" s="1">
        <f t="shared" si="210"/>
        <v>1.5399999999999969E-2</v>
      </c>
      <c r="K838" s="1">
        <f t="shared" si="213"/>
        <v>2.2541500000000001</v>
      </c>
      <c r="L838" s="1">
        <f t="shared" si="214"/>
        <v>1.7279500000000001</v>
      </c>
      <c r="M838" s="49">
        <f t="shared" si="215"/>
        <v>1.0658644034118983</v>
      </c>
      <c r="N838" s="49">
        <v>1.3403999999999998</v>
      </c>
      <c r="O838" s="1">
        <v>1214</v>
      </c>
      <c r="P838" s="51">
        <v>0.05</v>
      </c>
      <c r="Q838" s="51">
        <v>11</v>
      </c>
      <c r="R838" s="51">
        <v>1</v>
      </c>
      <c r="S838" s="1">
        <v>1</v>
      </c>
      <c r="T838" s="1">
        <v>0</v>
      </c>
      <c r="U838" s="47">
        <v>1</v>
      </c>
      <c r="V838" s="47">
        <v>198</v>
      </c>
      <c r="W838" s="41">
        <v>152</v>
      </c>
      <c r="X838">
        <v>380</v>
      </c>
      <c r="Y838">
        <v>0.98460000000000003</v>
      </c>
      <c r="Z838">
        <v>2254.15</v>
      </c>
      <c r="AA838">
        <v>1727.95</v>
      </c>
      <c r="AB838">
        <v>134.04</v>
      </c>
      <c r="AC838">
        <v>36</v>
      </c>
      <c r="AD838" s="41">
        <f t="shared" si="205"/>
        <v>0.38151853248452855</v>
      </c>
      <c r="AE838" s="41">
        <f t="shared" si="206"/>
        <v>0.49769958621487886</v>
      </c>
      <c r="AF838">
        <f t="shared" si="207"/>
        <v>1.3771500000000001</v>
      </c>
      <c r="AG838">
        <f t="shared" si="208"/>
        <v>0.13330400000000001</v>
      </c>
      <c r="AH838">
        <f t="shared" si="209"/>
        <v>1.3403999999999998</v>
      </c>
      <c r="AI838">
        <f>HLOOKUP(HLOOKUP(G838,'THP2'!$B$4:$J$8,5,FALSE),'Fuel &amp; Resister'!$B$3:$G$6,4,FALSE)</f>
        <v>2.7360666666666664</v>
      </c>
      <c r="AJ838" s="41">
        <f>HLOOKUP(HLOOKUP(G838,'THP2'!$B$4:$J$8,5,FALSE),'Fuel &amp; Resister'!$B$3:$G$6,3,FALSE)</f>
        <v>13.019</v>
      </c>
      <c r="AO838" s="1">
        <v>1</v>
      </c>
      <c r="AP838" s="1">
        <v>1</v>
      </c>
    </row>
    <row r="839" spans="2:42" x14ac:dyDescent="0.15">
      <c r="B839" s="82" t="s">
        <v>626</v>
      </c>
      <c r="C839" s="61">
        <f>VLOOKUP(B839,[1]SYS!$F$5:$G$359,2,FALSE)</f>
        <v>73</v>
      </c>
      <c r="D839" s="1" t="s">
        <v>50</v>
      </c>
      <c r="E839" s="65" t="s">
        <v>200</v>
      </c>
      <c r="F839" s="42" t="s">
        <v>516</v>
      </c>
      <c r="G839" s="1">
        <v>7</v>
      </c>
      <c r="H839" s="1">
        <f t="shared" si="211"/>
        <v>0.39759036144578314</v>
      </c>
      <c r="I839" s="1">
        <f t="shared" si="212"/>
        <v>0.16600000000000001</v>
      </c>
      <c r="J839" s="1">
        <f t="shared" si="210"/>
        <v>2.0000000000000018E-2</v>
      </c>
      <c r="K839" s="1">
        <f t="shared" si="213"/>
        <v>2.2895799999999999</v>
      </c>
      <c r="L839" s="1">
        <f t="shared" si="214"/>
        <v>1.7550999999999999</v>
      </c>
      <c r="M839" s="49">
        <f t="shared" si="215"/>
        <v>0.47293030529801061</v>
      </c>
      <c r="N839" s="49">
        <v>1.1104000000000001</v>
      </c>
      <c r="O839" s="6">
        <v>309</v>
      </c>
      <c r="P839" s="51">
        <v>0</v>
      </c>
      <c r="Q839" s="51">
        <v>11</v>
      </c>
      <c r="R839" s="51">
        <v>1</v>
      </c>
      <c r="S839" s="1">
        <v>1</v>
      </c>
      <c r="T839" s="1">
        <v>0</v>
      </c>
      <c r="U839" s="47">
        <v>1</v>
      </c>
      <c r="V839" s="47">
        <v>199</v>
      </c>
      <c r="W839" s="41">
        <v>66</v>
      </c>
      <c r="X839">
        <v>166</v>
      </c>
      <c r="Y839">
        <v>0.98</v>
      </c>
      <c r="Z839">
        <v>2289.58</v>
      </c>
      <c r="AA839">
        <v>1755.1</v>
      </c>
      <c r="AB839">
        <v>111.04</v>
      </c>
      <c r="AC839">
        <v>46</v>
      </c>
      <c r="AD839" s="41">
        <f t="shared" si="205"/>
        <v>0.37561474156832259</v>
      </c>
      <c r="AE839" s="41">
        <f t="shared" si="206"/>
        <v>0.49000056976810441</v>
      </c>
      <c r="AF839">
        <f t="shared" si="207"/>
        <v>1.4023432</v>
      </c>
      <c r="AG839">
        <f t="shared" si="208"/>
        <v>5.8557628799999983E-2</v>
      </c>
      <c r="AH839">
        <f t="shared" si="209"/>
        <v>1.1104000000000001</v>
      </c>
      <c r="AI839">
        <f>HLOOKUP(HLOOKUP(G839,'THP2'!$B$4:$J$8,5,FALSE),'Fuel &amp; Resister'!$B$3:$G$6,4,FALSE)</f>
        <v>2.7360666666666664</v>
      </c>
      <c r="AJ839" s="41">
        <f>HLOOKUP(HLOOKUP(G839,'THP2'!$B$4:$J$8,5,FALSE),'Fuel &amp; Resister'!$B$3:$G$6,3,FALSE)</f>
        <v>13.019</v>
      </c>
      <c r="AO839" s="1">
        <v>1</v>
      </c>
      <c r="AP839" s="1">
        <v>1</v>
      </c>
    </row>
    <row r="840" spans="2:42" x14ac:dyDescent="0.15">
      <c r="B840" s="82" t="s">
        <v>626</v>
      </c>
      <c r="C840" s="61">
        <f>VLOOKUP(B840,[1]SYS!$F$5:$G$359,2,FALSE)</f>
        <v>73</v>
      </c>
      <c r="D840" s="1" t="s">
        <v>50</v>
      </c>
      <c r="E840" s="65" t="s">
        <v>201</v>
      </c>
      <c r="F840" s="63" t="s">
        <v>440</v>
      </c>
      <c r="G840" s="1">
        <v>7</v>
      </c>
      <c r="H840" s="1">
        <f t="shared" si="211"/>
        <v>0.4</v>
      </c>
      <c r="I840" s="1">
        <f t="shared" si="212"/>
        <v>0.16</v>
      </c>
      <c r="J840" s="1">
        <f t="shared" si="210"/>
        <v>2.3299999999999987E-2</v>
      </c>
      <c r="K840" s="1">
        <f t="shared" si="213"/>
        <v>2.2956699999999999</v>
      </c>
      <c r="L840" s="1">
        <f t="shared" si="214"/>
        <v>1.7597700000000001</v>
      </c>
      <c r="M840" s="49">
        <f t="shared" si="215"/>
        <v>0.45704933620877963</v>
      </c>
      <c r="N840" s="49">
        <v>0.52800000000000002</v>
      </c>
      <c r="O840" s="1">
        <v>613</v>
      </c>
      <c r="P840" s="51">
        <v>0.05</v>
      </c>
      <c r="Q840" s="51">
        <v>11</v>
      </c>
      <c r="R840" s="51">
        <v>1</v>
      </c>
      <c r="S840" s="1">
        <v>1</v>
      </c>
      <c r="T840" s="1">
        <v>0</v>
      </c>
      <c r="U840" s="47">
        <v>1</v>
      </c>
      <c r="V840" s="47">
        <v>200</v>
      </c>
      <c r="W840" s="41">
        <v>64</v>
      </c>
      <c r="X840">
        <v>160</v>
      </c>
      <c r="Y840">
        <v>0.97670000000000001</v>
      </c>
      <c r="Z840">
        <v>2295.67</v>
      </c>
      <c r="AA840">
        <v>1759.77</v>
      </c>
      <c r="AB840">
        <v>52.8</v>
      </c>
      <c r="AC840">
        <v>36</v>
      </c>
      <c r="AD840" s="41">
        <f t="shared" si="205"/>
        <v>0.37461830315332778</v>
      </c>
      <c r="AE840" s="41">
        <f t="shared" si="206"/>
        <v>0.48870022787068768</v>
      </c>
      <c r="AF840">
        <f t="shared" si="207"/>
        <v>1.4025033333333334</v>
      </c>
      <c r="AG840">
        <f t="shared" si="208"/>
        <v>5.716266666666666E-2</v>
      </c>
      <c r="AH840">
        <f t="shared" si="209"/>
        <v>0.52800000000000002</v>
      </c>
      <c r="AI840">
        <f>HLOOKUP(HLOOKUP(G840,'THP2'!$B$4:$J$8,5,FALSE),'Fuel &amp; Resister'!$B$3:$G$6,4,FALSE)</f>
        <v>2.7360666666666664</v>
      </c>
      <c r="AJ840" s="41">
        <f>HLOOKUP(HLOOKUP(G840,'THP2'!$B$4:$J$8,5,FALSE),'Fuel &amp; Resister'!$B$3:$G$6,3,FALSE)</f>
        <v>13.019</v>
      </c>
      <c r="AO840" s="1">
        <v>1</v>
      </c>
      <c r="AP840" s="1">
        <v>1</v>
      </c>
    </row>
    <row r="841" spans="2:42" x14ac:dyDescent="0.15">
      <c r="B841" s="82" t="s">
        <v>626</v>
      </c>
      <c r="C841" s="61">
        <f>VLOOKUP(B841,[1]SYS!$F$5:$G$359,2,FALSE)</f>
        <v>73</v>
      </c>
      <c r="D841" s="1" t="s">
        <v>50</v>
      </c>
      <c r="E841" s="65" t="s">
        <v>202</v>
      </c>
      <c r="F841" s="63" t="s">
        <v>440</v>
      </c>
      <c r="G841" s="1">
        <v>7</v>
      </c>
      <c r="H841" s="1">
        <f t="shared" si="211"/>
        <v>0.4</v>
      </c>
      <c r="I841" s="1">
        <f t="shared" si="212"/>
        <v>0.16</v>
      </c>
      <c r="J841" s="1">
        <f t="shared" si="210"/>
        <v>2.3299999999999987E-2</v>
      </c>
      <c r="K841" s="1">
        <f t="shared" si="213"/>
        <v>2.2956699999999999</v>
      </c>
      <c r="L841" s="1">
        <f t="shared" si="214"/>
        <v>1.7597700000000001</v>
      </c>
      <c r="M841" s="49">
        <f t="shared" si="215"/>
        <v>0.45704933620877963</v>
      </c>
      <c r="N841" s="49">
        <v>0.52800000000000002</v>
      </c>
      <c r="O841" s="1">
        <v>613</v>
      </c>
      <c r="P841" s="51">
        <v>0.05</v>
      </c>
      <c r="Q841" s="51">
        <v>11</v>
      </c>
      <c r="R841" s="51">
        <v>1</v>
      </c>
      <c r="S841" s="1">
        <v>1</v>
      </c>
      <c r="T841" s="1">
        <v>0</v>
      </c>
      <c r="U841" s="47">
        <v>1</v>
      </c>
      <c r="V841" s="47">
        <v>201</v>
      </c>
      <c r="W841" s="41">
        <v>64</v>
      </c>
      <c r="X841">
        <v>160</v>
      </c>
      <c r="Y841">
        <v>0.97670000000000001</v>
      </c>
      <c r="Z841">
        <v>2295.67</v>
      </c>
      <c r="AA841">
        <v>1759.77</v>
      </c>
      <c r="AB841">
        <v>52.8</v>
      </c>
      <c r="AC841">
        <v>36</v>
      </c>
      <c r="AD841" s="41">
        <f t="shared" si="205"/>
        <v>0.37461830315332778</v>
      </c>
      <c r="AE841" s="41">
        <f t="shared" si="206"/>
        <v>0.48870022787068768</v>
      </c>
      <c r="AF841">
        <f t="shared" si="207"/>
        <v>1.4025033333333334</v>
      </c>
      <c r="AG841">
        <f t="shared" si="208"/>
        <v>5.716266666666666E-2</v>
      </c>
      <c r="AH841">
        <f t="shared" si="209"/>
        <v>0.52800000000000002</v>
      </c>
      <c r="AI841">
        <f>HLOOKUP(HLOOKUP(G841,'THP2'!$B$4:$J$8,5,FALSE),'Fuel &amp; Resister'!$B$3:$G$6,4,FALSE)</f>
        <v>2.7360666666666664</v>
      </c>
      <c r="AJ841" s="41">
        <f>HLOOKUP(HLOOKUP(G841,'THP2'!$B$4:$J$8,5,FALSE),'Fuel &amp; Resister'!$B$3:$G$6,3,FALSE)</f>
        <v>13.019</v>
      </c>
      <c r="AO841" s="1">
        <v>1</v>
      </c>
      <c r="AP841" s="1">
        <v>1</v>
      </c>
    </row>
    <row r="842" spans="2:42" x14ac:dyDescent="0.15">
      <c r="B842" s="82" t="s">
        <v>626</v>
      </c>
      <c r="C842" s="61">
        <f>VLOOKUP(B842,[1]SYS!$F$5:$G$359,2,FALSE)</f>
        <v>73</v>
      </c>
      <c r="D842" s="1" t="s">
        <v>50</v>
      </c>
      <c r="E842" s="65" t="s">
        <v>203</v>
      </c>
      <c r="F842" s="63" t="s">
        <v>440</v>
      </c>
      <c r="G842" s="1">
        <v>7</v>
      </c>
      <c r="H842" s="1">
        <f t="shared" si="211"/>
        <v>0.4</v>
      </c>
      <c r="I842" s="1">
        <f t="shared" si="212"/>
        <v>0.16</v>
      </c>
      <c r="J842" s="1">
        <f t="shared" si="210"/>
        <v>2.3299999999999987E-2</v>
      </c>
      <c r="K842" s="1">
        <f t="shared" si="213"/>
        <v>2.2956699999999999</v>
      </c>
      <c r="L842" s="1">
        <f t="shared" si="214"/>
        <v>1.7597700000000001</v>
      </c>
      <c r="M842" s="49">
        <f t="shared" si="215"/>
        <v>0.45704933620877963</v>
      </c>
      <c r="N842" s="49">
        <v>0.52800000000000002</v>
      </c>
      <c r="O842" s="1">
        <v>514</v>
      </c>
      <c r="P842" s="51">
        <v>0.05</v>
      </c>
      <c r="Q842" s="51">
        <v>11</v>
      </c>
      <c r="R842" s="51">
        <v>1</v>
      </c>
      <c r="S842" s="1">
        <v>1</v>
      </c>
      <c r="T842" s="1">
        <v>0</v>
      </c>
      <c r="U842" s="47">
        <v>1</v>
      </c>
      <c r="V842" s="47">
        <v>202</v>
      </c>
      <c r="W842" s="41">
        <v>64</v>
      </c>
      <c r="X842">
        <v>160</v>
      </c>
      <c r="Y842">
        <v>0.97670000000000001</v>
      </c>
      <c r="Z842">
        <v>2295.67</v>
      </c>
      <c r="AA842">
        <v>1759.77</v>
      </c>
      <c r="AB842">
        <v>52.8</v>
      </c>
      <c r="AC842">
        <v>36</v>
      </c>
      <c r="AD842" s="41">
        <f t="shared" si="205"/>
        <v>0.37461830315332778</v>
      </c>
      <c r="AE842" s="41">
        <f t="shared" si="206"/>
        <v>0.48870022787068768</v>
      </c>
      <c r="AF842">
        <f t="shared" si="207"/>
        <v>1.4025033333333334</v>
      </c>
      <c r="AG842">
        <f t="shared" si="208"/>
        <v>5.716266666666666E-2</v>
      </c>
      <c r="AH842">
        <f t="shared" si="209"/>
        <v>0.52800000000000002</v>
      </c>
      <c r="AI842">
        <f>HLOOKUP(HLOOKUP(G842,'THP2'!$B$4:$J$8,5,FALSE),'Fuel &amp; Resister'!$B$3:$G$6,4,FALSE)</f>
        <v>2.7360666666666664</v>
      </c>
      <c r="AJ842" s="41">
        <f>HLOOKUP(HLOOKUP(G842,'THP2'!$B$4:$J$8,5,FALSE),'Fuel &amp; Resister'!$B$3:$G$6,3,FALSE)</f>
        <v>13.019</v>
      </c>
      <c r="AO842" s="1">
        <v>1</v>
      </c>
      <c r="AP842" s="1">
        <v>1</v>
      </c>
    </row>
    <row r="843" spans="2:42" x14ac:dyDescent="0.15">
      <c r="B843" s="82" t="s">
        <v>626</v>
      </c>
      <c r="C843" s="61">
        <f>VLOOKUP(B843,[1]SYS!$F$5:$G$359,2,FALSE)</f>
        <v>73</v>
      </c>
      <c r="D843" s="1" t="s">
        <v>50</v>
      </c>
      <c r="E843" s="65" t="s">
        <v>204</v>
      </c>
      <c r="F843" s="63" t="s">
        <v>440</v>
      </c>
      <c r="G843" s="1">
        <v>7</v>
      </c>
      <c r="H843" s="1">
        <f t="shared" si="211"/>
        <v>0.4</v>
      </c>
      <c r="I843" s="1">
        <f t="shared" si="212"/>
        <v>0.16</v>
      </c>
      <c r="J843" s="1">
        <f t="shared" si="210"/>
        <v>2.3299999999999987E-2</v>
      </c>
      <c r="K843" s="1">
        <f t="shared" si="213"/>
        <v>2.2956699999999999</v>
      </c>
      <c r="L843" s="1">
        <f t="shared" si="214"/>
        <v>1.7597700000000001</v>
      </c>
      <c r="M843" s="49">
        <f t="shared" si="215"/>
        <v>0.45704933620877963</v>
      </c>
      <c r="N843" s="49">
        <v>0.52800000000000002</v>
      </c>
      <c r="O843" s="1">
        <v>514</v>
      </c>
      <c r="P843" s="51">
        <v>0.05</v>
      </c>
      <c r="Q843" s="51">
        <v>11</v>
      </c>
      <c r="R843" s="51">
        <v>1</v>
      </c>
      <c r="S843" s="1">
        <v>1</v>
      </c>
      <c r="T843" s="1">
        <v>0</v>
      </c>
      <c r="U843" s="47">
        <v>1</v>
      </c>
      <c r="V843" s="47">
        <v>203</v>
      </c>
      <c r="W843" s="41">
        <v>64</v>
      </c>
      <c r="X843">
        <v>160</v>
      </c>
      <c r="Y843">
        <v>0.97670000000000001</v>
      </c>
      <c r="Z843">
        <v>2295.67</v>
      </c>
      <c r="AA843">
        <v>1759.77</v>
      </c>
      <c r="AB843">
        <v>52.8</v>
      </c>
      <c r="AC843">
        <v>36</v>
      </c>
      <c r="AD843" s="41">
        <f t="shared" si="205"/>
        <v>0.37461830315332778</v>
      </c>
      <c r="AE843" s="41">
        <f t="shared" si="206"/>
        <v>0.48870022787068768</v>
      </c>
      <c r="AF843">
        <f t="shared" si="207"/>
        <v>1.4025033333333334</v>
      </c>
      <c r="AG843">
        <f t="shared" si="208"/>
        <v>5.716266666666666E-2</v>
      </c>
      <c r="AH843">
        <f t="shared" si="209"/>
        <v>0.52800000000000002</v>
      </c>
      <c r="AI843">
        <f>HLOOKUP(HLOOKUP(G843,'THP2'!$B$4:$J$8,5,FALSE),'Fuel &amp; Resister'!$B$3:$G$6,4,FALSE)</f>
        <v>2.7360666666666664</v>
      </c>
      <c r="AJ843" s="41">
        <f>HLOOKUP(HLOOKUP(G843,'THP2'!$B$4:$J$8,5,FALSE),'Fuel &amp; Resister'!$B$3:$G$6,3,FALSE)</f>
        <v>13.019</v>
      </c>
      <c r="AO843" s="1">
        <v>1</v>
      </c>
      <c r="AP843" s="1">
        <v>1</v>
      </c>
    </row>
    <row r="844" spans="2:42" x14ac:dyDescent="0.15">
      <c r="B844" s="82" t="s">
        <v>626</v>
      </c>
      <c r="C844" s="61">
        <f>VLOOKUP(B844,[1]SYS!$F$5:$G$359,2,FALSE)</f>
        <v>73</v>
      </c>
      <c r="D844" s="1" t="s">
        <v>50</v>
      </c>
      <c r="E844" s="65" t="s">
        <v>205</v>
      </c>
      <c r="F844" s="63" t="s">
        <v>440</v>
      </c>
      <c r="G844" s="1">
        <v>7</v>
      </c>
      <c r="H844" s="1">
        <f t="shared" si="211"/>
        <v>0.4</v>
      </c>
      <c r="I844" s="1">
        <f t="shared" si="212"/>
        <v>0.16</v>
      </c>
      <c r="J844" s="1">
        <f t="shared" si="210"/>
        <v>2.2900000000000031E-2</v>
      </c>
      <c r="K844" s="1">
        <f t="shared" si="213"/>
        <v>2.2956699999999999</v>
      </c>
      <c r="L844" s="1">
        <f t="shared" si="214"/>
        <v>1.7597700000000001</v>
      </c>
      <c r="M844" s="49">
        <f t="shared" si="215"/>
        <v>0.45704933620877963</v>
      </c>
      <c r="N844" s="49">
        <v>0.52800000000000002</v>
      </c>
      <c r="O844" s="1">
        <v>1214</v>
      </c>
      <c r="P844" s="51">
        <v>0.05</v>
      </c>
      <c r="Q844" s="51">
        <v>11</v>
      </c>
      <c r="R844" s="51">
        <v>1</v>
      </c>
      <c r="S844" s="1">
        <v>1</v>
      </c>
      <c r="T844" s="1">
        <v>0</v>
      </c>
      <c r="U844" s="47">
        <v>1</v>
      </c>
      <c r="V844" s="47">
        <v>204</v>
      </c>
      <c r="W844" s="41">
        <v>64</v>
      </c>
      <c r="X844">
        <v>160</v>
      </c>
      <c r="Y844">
        <v>0.97709999999999997</v>
      </c>
      <c r="Z844">
        <v>2295.67</v>
      </c>
      <c r="AA844">
        <v>1759.77</v>
      </c>
      <c r="AB844">
        <v>52.8</v>
      </c>
      <c r="AC844">
        <v>36</v>
      </c>
      <c r="AD844" s="41">
        <f t="shared" si="205"/>
        <v>0.37461830315332778</v>
      </c>
      <c r="AE844" s="41">
        <f t="shared" si="206"/>
        <v>0.48870022787068768</v>
      </c>
      <c r="AF844">
        <f t="shared" si="207"/>
        <v>1.4025033333333334</v>
      </c>
      <c r="AG844">
        <f t="shared" si="208"/>
        <v>5.716266666666666E-2</v>
      </c>
      <c r="AH844">
        <f t="shared" si="209"/>
        <v>0.52800000000000002</v>
      </c>
      <c r="AI844">
        <f>HLOOKUP(HLOOKUP(G844,'THP2'!$B$4:$J$8,5,FALSE),'Fuel &amp; Resister'!$B$3:$G$6,4,FALSE)</f>
        <v>2.7360666666666664</v>
      </c>
      <c r="AJ844" s="41">
        <f>HLOOKUP(HLOOKUP(G844,'THP2'!$B$4:$J$8,5,FALSE),'Fuel &amp; Resister'!$B$3:$G$6,3,FALSE)</f>
        <v>13.019</v>
      </c>
      <c r="AO844" s="62">
        <v>0</v>
      </c>
      <c r="AP844" s="62">
        <v>0</v>
      </c>
    </row>
    <row r="845" spans="2:42" x14ac:dyDescent="0.15">
      <c r="B845" s="82" t="s">
        <v>626</v>
      </c>
      <c r="C845" s="61">
        <f>VLOOKUP(B845,[1]SYS!$F$5:$G$359,2,FALSE)</f>
        <v>73</v>
      </c>
      <c r="D845" s="1" t="s">
        <v>50</v>
      </c>
      <c r="E845" s="65" t="s">
        <v>206</v>
      </c>
      <c r="F845" s="63" t="s">
        <v>440</v>
      </c>
      <c r="G845" s="1">
        <v>7</v>
      </c>
      <c r="H845" s="1">
        <f t="shared" si="211"/>
        <v>0.4</v>
      </c>
      <c r="I845" s="1">
        <f t="shared" si="212"/>
        <v>0.16</v>
      </c>
      <c r="J845" s="1">
        <f t="shared" si="210"/>
        <v>2.2900000000000031E-2</v>
      </c>
      <c r="K845" s="1">
        <f t="shared" si="213"/>
        <v>2.2956699999999999</v>
      </c>
      <c r="L845" s="1">
        <f t="shared" si="214"/>
        <v>1.7597700000000001</v>
      </c>
      <c r="M845" s="49">
        <f t="shared" si="215"/>
        <v>0.45704933620877963</v>
      </c>
      <c r="N845" s="49">
        <v>0.52800000000000002</v>
      </c>
      <c r="O845" s="6">
        <v>314</v>
      </c>
      <c r="P845" s="51">
        <v>0.05</v>
      </c>
      <c r="Q845" s="51">
        <v>11</v>
      </c>
      <c r="R845" s="51">
        <v>1</v>
      </c>
      <c r="S845" s="1">
        <v>1</v>
      </c>
      <c r="T845" s="1">
        <v>0</v>
      </c>
      <c r="U845" s="47">
        <v>1</v>
      </c>
      <c r="V845" s="47">
        <v>205</v>
      </c>
      <c r="W845" s="41">
        <v>64</v>
      </c>
      <c r="X845">
        <v>160</v>
      </c>
      <c r="Y845">
        <v>0.97709999999999997</v>
      </c>
      <c r="Z845">
        <v>2295.67</v>
      </c>
      <c r="AA845">
        <v>1759.77</v>
      </c>
      <c r="AB845">
        <v>52.8</v>
      </c>
      <c r="AC845">
        <v>36</v>
      </c>
      <c r="AD845" s="41">
        <f t="shared" si="205"/>
        <v>0.37461830315332778</v>
      </c>
      <c r="AE845" s="41">
        <f t="shared" si="206"/>
        <v>0.48870022787068768</v>
      </c>
      <c r="AF845">
        <f t="shared" si="207"/>
        <v>1.4025033333333334</v>
      </c>
      <c r="AG845">
        <f t="shared" si="208"/>
        <v>5.716266666666666E-2</v>
      </c>
      <c r="AH845">
        <f t="shared" si="209"/>
        <v>0.52800000000000002</v>
      </c>
      <c r="AI845">
        <f>HLOOKUP(HLOOKUP(G845,'THP2'!$B$4:$J$8,5,FALSE),'Fuel &amp; Resister'!$B$3:$G$6,4,FALSE)</f>
        <v>2.7360666666666664</v>
      </c>
      <c r="AJ845" s="41">
        <f>HLOOKUP(HLOOKUP(G845,'THP2'!$B$4:$J$8,5,FALSE),'Fuel &amp; Resister'!$B$3:$G$6,3,FALSE)</f>
        <v>13.019</v>
      </c>
      <c r="AO845" s="62">
        <v>0</v>
      </c>
      <c r="AP845" s="62">
        <v>0</v>
      </c>
    </row>
    <row r="846" spans="2:42" x14ac:dyDescent="0.15">
      <c r="B846" s="82" t="s">
        <v>626</v>
      </c>
      <c r="C846" s="61">
        <f>VLOOKUP(B846,[1]SYS!$F$5:$G$359,2,FALSE)</f>
        <v>73</v>
      </c>
      <c r="D846" s="1" t="s">
        <v>50</v>
      </c>
      <c r="E846" s="65" t="s">
        <v>207</v>
      </c>
      <c r="F846" s="63" t="s">
        <v>440</v>
      </c>
      <c r="G846" s="1">
        <v>7</v>
      </c>
      <c r="H846" s="1">
        <f t="shared" si="211"/>
        <v>0.4</v>
      </c>
      <c r="I846" s="1">
        <f t="shared" si="212"/>
        <v>0.16</v>
      </c>
      <c r="J846" s="1">
        <f t="shared" si="210"/>
        <v>2.2900000000000031E-2</v>
      </c>
      <c r="K846" s="1">
        <f t="shared" si="213"/>
        <v>2.2956699999999999</v>
      </c>
      <c r="L846" s="1">
        <f t="shared" si="214"/>
        <v>1.7597700000000001</v>
      </c>
      <c r="M846" s="49">
        <f t="shared" si="215"/>
        <v>0.45704933620877963</v>
      </c>
      <c r="N846" s="49">
        <v>0.52800000000000002</v>
      </c>
      <c r="O846" s="1">
        <v>925</v>
      </c>
      <c r="P846" s="51">
        <v>0.05</v>
      </c>
      <c r="Q846" s="51">
        <v>11</v>
      </c>
      <c r="R846" s="51">
        <v>1</v>
      </c>
      <c r="S846" s="1">
        <v>1</v>
      </c>
      <c r="T846" s="1">
        <v>0</v>
      </c>
      <c r="U846" s="47">
        <v>1</v>
      </c>
      <c r="V846" s="47">
        <v>206</v>
      </c>
      <c r="W846" s="41">
        <v>64</v>
      </c>
      <c r="X846">
        <v>160</v>
      </c>
      <c r="Y846">
        <v>0.97709999999999997</v>
      </c>
      <c r="Z846">
        <v>2295.67</v>
      </c>
      <c r="AA846">
        <v>1759.77</v>
      </c>
      <c r="AB846">
        <v>52.8</v>
      </c>
      <c r="AC846">
        <v>36</v>
      </c>
      <c r="AD846" s="41">
        <f t="shared" si="205"/>
        <v>0.37461830315332778</v>
      </c>
      <c r="AE846" s="41">
        <f t="shared" si="206"/>
        <v>0.48870022787068768</v>
      </c>
      <c r="AF846">
        <f t="shared" si="207"/>
        <v>1.4025033333333334</v>
      </c>
      <c r="AG846">
        <f t="shared" si="208"/>
        <v>5.716266666666666E-2</v>
      </c>
      <c r="AH846">
        <f t="shared" si="209"/>
        <v>0.52800000000000002</v>
      </c>
      <c r="AI846">
        <f>HLOOKUP(HLOOKUP(G846,'THP2'!$B$4:$J$8,5,FALSE),'Fuel &amp; Resister'!$B$3:$G$6,4,FALSE)</f>
        <v>2.7360666666666664</v>
      </c>
      <c r="AJ846" s="41">
        <f>HLOOKUP(HLOOKUP(G846,'THP2'!$B$4:$J$8,5,FALSE),'Fuel &amp; Resister'!$B$3:$G$6,3,FALSE)</f>
        <v>13.019</v>
      </c>
      <c r="AO846" s="62">
        <v>0</v>
      </c>
      <c r="AP846" s="62">
        <v>0</v>
      </c>
    </row>
    <row r="847" spans="2:42" x14ac:dyDescent="0.15">
      <c r="B847" s="82" t="s">
        <v>624</v>
      </c>
      <c r="C847" s="61">
        <f>VLOOKUP(B847,[1]SYS!$F$5:$G$359,2,FALSE)</f>
        <v>74</v>
      </c>
      <c r="D847" s="1" t="s">
        <v>50</v>
      </c>
      <c r="E847" s="42" t="s">
        <v>208</v>
      </c>
      <c r="F847" s="63" t="s">
        <v>472</v>
      </c>
      <c r="G847" s="1">
        <v>7</v>
      </c>
      <c r="H847" s="1">
        <f t="shared" si="211"/>
        <v>0.4</v>
      </c>
      <c r="I847" s="1">
        <f t="shared" si="212"/>
        <v>0.36</v>
      </c>
      <c r="J847" s="1">
        <f t="shared" si="210"/>
        <v>1.7800000000000038E-2</v>
      </c>
      <c r="K847" s="1">
        <f t="shared" si="213"/>
        <v>2.2999000000000001</v>
      </c>
      <c r="L847" s="1">
        <f t="shared" si="214"/>
        <v>1.76302</v>
      </c>
      <c r="M847" s="49">
        <f t="shared" si="215"/>
        <v>1.0302602167478165</v>
      </c>
      <c r="N847" s="49">
        <v>1.3188</v>
      </c>
      <c r="O847" s="1">
        <v>1002</v>
      </c>
      <c r="P847" s="51">
        <v>0.05</v>
      </c>
      <c r="Q847" s="51">
        <v>11</v>
      </c>
      <c r="R847" s="51">
        <v>1</v>
      </c>
      <c r="S847" s="1">
        <v>1</v>
      </c>
      <c r="T847" s="1">
        <v>0</v>
      </c>
      <c r="U847" s="47">
        <v>0</v>
      </c>
      <c r="V847" s="47">
        <v>207</v>
      </c>
      <c r="W847" s="41">
        <v>144</v>
      </c>
      <c r="X847">
        <v>360</v>
      </c>
      <c r="Y847">
        <v>0.98219999999999996</v>
      </c>
      <c r="Z847">
        <v>2299.9</v>
      </c>
      <c r="AA847">
        <v>1763.02</v>
      </c>
      <c r="AB847">
        <v>131.88</v>
      </c>
      <c r="AC847">
        <v>36</v>
      </c>
      <c r="AD847" s="41">
        <f t="shared" si="205"/>
        <v>0.3739293012739684</v>
      </c>
      <c r="AE847" s="41">
        <f t="shared" si="206"/>
        <v>0.4877993443069279</v>
      </c>
      <c r="AF847">
        <f t="shared" si="207"/>
        <v>1.4051</v>
      </c>
      <c r="AG847">
        <f t="shared" si="208"/>
        <v>0.1288512</v>
      </c>
      <c r="AH847">
        <f t="shared" si="209"/>
        <v>1.3188</v>
      </c>
      <c r="AI847">
        <f>HLOOKUP(HLOOKUP(G847,'THP2'!$B$4:$J$8,5,FALSE),'Fuel &amp; Resister'!$B$3:$G$6,4,FALSE)</f>
        <v>2.7360666666666664</v>
      </c>
      <c r="AJ847" s="41">
        <f>HLOOKUP(HLOOKUP(G847,'THP2'!$B$4:$J$8,5,FALSE),'Fuel &amp; Resister'!$B$3:$G$6,3,FALSE)</f>
        <v>13.019</v>
      </c>
      <c r="AO847" s="62">
        <v>0</v>
      </c>
      <c r="AP847" s="62">
        <v>0</v>
      </c>
    </row>
    <row r="848" spans="2:42" x14ac:dyDescent="0.15">
      <c r="B848" s="82" t="s">
        <v>624</v>
      </c>
      <c r="C848" s="61">
        <f>VLOOKUP(B848,[1]SYS!$F$5:$G$359,2,FALSE)</f>
        <v>74</v>
      </c>
      <c r="D848" s="1" t="s">
        <v>50</v>
      </c>
      <c r="E848" s="42" t="s">
        <v>209</v>
      </c>
      <c r="F848" s="63" t="s">
        <v>472</v>
      </c>
      <c r="G848" s="1">
        <v>7</v>
      </c>
      <c r="H848" s="1">
        <f t="shared" si="211"/>
        <v>0.4</v>
      </c>
      <c r="I848" s="1">
        <f t="shared" si="212"/>
        <v>0.36</v>
      </c>
      <c r="J848" s="1">
        <f t="shared" si="210"/>
        <v>1.7800000000000038E-2</v>
      </c>
      <c r="K848" s="1">
        <f t="shared" si="213"/>
        <v>2.2999000000000001</v>
      </c>
      <c r="L848" s="1">
        <f t="shared" si="214"/>
        <v>1.76302</v>
      </c>
      <c r="M848" s="49">
        <f t="shared" si="215"/>
        <v>1.0302602167478165</v>
      </c>
      <c r="N848" s="49">
        <v>1.3188</v>
      </c>
      <c r="O848" s="6">
        <v>314</v>
      </c>
      <c r="P848" s="51">
        <v>0.05</v>
      </c>
      <c r="Q848" s="51">
        <v>11</v>
      </c>
      <c r="R848" s="51">
        <v>1</v>
      </c>
      <c r="S848" s="1">
        <v>1</v>
      </c>
      <c r="T848" s="1">
        <v>0</v>
      </c>
      <c r="U848" s="47">
        <v>0</v>
      </c>
      <c r="V848" s="47">
        <v>208</v>
      </c>
      <c r="W848" s="41">
        <v>144</v>
      </c>
      <c r="X848">
        <v>360</v>
      </c>
      <c r="Y848">
        <v>0.98219999999999996</v>
      </c>
      <c r="Z848">
        <v>2299.9</v>
      </c>
      <c r="AA848">
        <v>1763.02</v>
      </c>
      <c r="AB848">
        <v>131.88</v>
      </c>
      <c r="AC848">
        <v>36</v>
      </c>
      <c r="AD848" s="41">
        <f t="shared" si="205"/>
        <v>0.3739293012739684</v>
      </c>
      <c r="AE848" s="41">
        <f t="shared" si="206"/>
        <v>0.4877993443069279</v>
      </c>
      <c r="AF848">
        <f t="shared" si="207"/>
        <v>1.4051</v>
      </c>
      <c r="AG848">
        <f t="shared" si="208"/>
        <v>0.1288512</v>
      </c>
      <c r="AH848">
        <f t="shared" si="209"/>
        <v>1.3188</v>
      </c>
      <c r="AI848">
        <f>HLOOKUP(HLOOKUP(G848,'THP2'!$B$4:$J$8,5,FALSE),'Fuel &amp; Resister'!$B$3:$G$6,4,FALSE)</f>
        <v>2.7360666666666664</v>
      </c>
      <c r="AJ848" s="41">
        <f>HLOOKUP(HLOOKUP(G848,'THP2'!$B$4:$J$8,5,FALSE),'Fuel &amp; Resister'!$B$3:$G$6,3,FALSE)</f>
        <v>13.019</v>
      </c>
      <c r="AO848" s="62">
        <v>0</v>
      </c>
      <c r="AP848" s="62">
        <v>0</v>
      </c>
    </row>
    <row r="849" spans="2:42" x14ac:dyDescent="0.15">
      <c r="B849" s="82" t="s">
        <v>624</v>
      </c>
      <c r="C849" s="61">
        <f>VLOOKUP(B849,[1]SYS!$F$5:$G$359,2,FALSE)</f>
        <v>74</v>
      </c>
      <c r="D849" s="1" t="s">
        <v>50</v>
      </c>
      <c r="E849" s="42" t="s">
        <v>210</v>
      </c>
      <c r="F849" s="63" t="s">
        <v>472</v>
      </c>
      <c r="G849" s="1">
        <v>7</v>
      </c>
      <c r="H849" s="1">
        <f t="shared" si="211"/>
        <v>0.4</v>
      </c>
      <c r="I849" s="1">
        <f t="shared" si="212"/>
        <v>0.36</v>
      </c>
      <c r="J849" s="1">
        <f t="shared" si="210"/>
        <v>1.8000000000000016E-2</v>
      </c>
      <c r="K849" s="1">
        <f t="shared" si="213"/>
        <v>2.2999000000000001</v>
      </c>
      <c r="L849" s="1">
        <f t="shared" si="214"/>
        <v>1.76302</v>
      </c>
      <c r="M849" s="49">
        <f t="shared" si="215"/>
        <v>1.0302602167478165</v>
      </c>
      <c r="N849" s="49">
        <v>1.3188</v>
      </c>
      <c r="O849" s="1">
        <v>925</v>
      </c>
      <c r="P849" s="51">
        <v>0.05</v>
      </c>
      <c r="Q849" s="51">
        <v>11</v>
      </c>
      <c r="R849" s="51">
        <v>1</v>
      </c>
      <c r="S849" s="1">
        <v>1</v>
      </c>
      <c r="T849" s="1">
        <v>0</v>
      </c>
      <c r="U849" s="47">
        <v>0</v>
      </c>
      <c r="V849" s="47">
        <v>209</v>
      </c>
      <c r="W849" s="41">
        <v>144</v>
      </c>
      <c r="X849">
        <v>360</v>
      </c>
      <c r="Y849">
        <v>0.98199999999999998</v>
      </c>
      <c r="Z849">
        <v>2299.9</v>
      </c>
      <c r="AA849">
        <v>1763.02</v>
      </c>
      <c r="AB849">
        <v>131.88</v>
      </c>
      <c r="AC849">
        <v>36</v>
      </c>
      <c r="AD849" s="41">
        <f t="shared" si="205"/>
        <v>0.3739293012739684</v>
      </c>
      <c r="AE849" s="41">
        <f t="shared" si="206"/>
        <v>0.4877993443069279</v>
      </c>
      <c r="AF849">
        <f t="shared" si="207"/>
        <v>1.4051</v>
      </c>
      <c r="AG849">
        <f t="shared" si="208"/>
        <v>0.1288512</v>
      </c>
      <c r="AH849">
        <f t="shared" si="209"/>
        <v>1.3188</v>
      </c>
      <c r="AI849">
        <f>HLOOKUP(HLOOKUP(G849,'THP2'!$B$4:$J$8,5,FALSE),'Fuel &amp; Resister'!$B$3:$G$6,4,FALSE)</f>
        <v>2.7360666666666664</v>
      </c>
      <c r="AJ849" s="41">
        <f>HLOOKUP(HLOOKUP(G849,'THP2'!$B$4:$J$8,5,FALSE),'Fuel &amp; Resister'!$B$3:$G$6,3,FALSE)</f>
        <v>13.019</v>
      </c>
      <c r="AO849" s="62">
        <v>0</v>
      </c>
      <c r="AP849" s="62">
        <v>0</v>
      </c>
    </row>
    <row r="850" spans="2:42" x14ac:dyDescent="0.15">
      <c r="B850" s="82" t="s">
        <v>624</v>
      </c>
      <c r="C850" s="61">
        <f>VLOOKUP(B850,[1]SYS!$F$5:$G$359,2,FALSE)</f>
        <v>74</v>
      </c>
      <c r="D850" s="1" t="s">
        <v>50</v>
      </c>
      <c r="E850" s="42" t="s">
        <v>211</v>
      </c>
      <c r="F850" s="63" t="s">
        <v>472</v>
      </c>
      <c r="G850" s="1">
        <v>7</v>
      </c>
      <c r="H850" s="1">
        <f t="shared" si="211"/>
        <v>0.4</v>
      </c>
      <c r="I850" s="1">
        <f t="shared" si="212"/>
        <v>0.36</v>
      </c>
      <c r="J850" s="1">
        <f t="shared" si="210"/>
        <v>1.7800000000000038E-2</v>
      </c>
      <c r="K850" s="1">
        <f t="shared" si="213"/>
        <v>2.2999000000000001</v>
      </c>
      <c r="L850" s="1">
        <f t="shared" si="214"/>
        <v>1.76302</v>
      </c>
      <c r="M850" s="49">
        <f t="shared" si="215"/>
        <v>1.0302602167478165</v>
      </c>
      <c r="N850" s="49">
        <v>1.3188</v>
      </c>
      <c r="O850" s="1">
        <v>1214</v>
      </c>
      <c r="P850" s="51">
        <v>0.05</v>
      </c>
      <c r="Q850" s="51">
        <v>11</v>
      </c>
      <c r="R850" s="51">
        <v>1</v>
      </c>
      <c r="S850" s="1">
        <v>1</v>
      </c>
      <c r="T850" s="1">
        <v>0</v>
      </c>
      <c r="U850" s="47">
        <v>0</v>
      </c>
      <c r="V850" s="47">
        <v>210</v>
      </c>
      <c r="W850" s="41">
        <v>144</v>
      </c>
      <c r="X850">
        <v>360</v>
      </c>
      <c r="Y850">
        <v>0.98219999999999996</v>
      </c>
      <c r="Z850">
        <v>2299.9</v>
      </c>
      <c r="AA850">
        <v>1763.02</v>
      </c>
      <c r="AB850">
        <v>131.88</v>
      </c>
      <c r="AC850">
        <v>36</v>
      </c>
      <c r="AD850" s="41">
        <f t="shared" si="205"/>
        <v>0.3739293012739684</v>
      </c>
      <c r="AE850" s="41">
        <f t="shared" si="206"/>
        <v>0.4877993443069279</v>
      </c>
      <c r="AF850">
        <f t="shared" si="207"/>
        <v>1.4051</v>
      </c>
      <c r="AG850">
        <f t="shared" si="208"/>
        <v>0.1288512</v>
      </c>
      <c r="AH850">
        <f t="shared" si="209"/>
        <v>1.3188</v>
      </c>
      <c r="AI850">
        <f>HLOOKUP(HLOOKUP(G850,'THP2'!$B$4:$J$8,5,FALSE),'Fuel &amp; Resister'!$B$3:$G$6,4,FALSE)</f>
        <v>2.7360666666666664</v>
      </c>
      <c r="AJ850" s="41">
        <f>HLOOKUP(HLOOKUP(G850,'THP2'!$B$4:$J$8,5,FALSE),'Fuel &amp; Resister'!$B$3:$G$6,3,FALSE)</f>
        <v>13.019</v>
      </c>
      <c r="AO850" s="62">
        <v>0</v>
      </c>
      <c r="AP850" s="62">
        <v>0</v>
      </c>
    </row>
    <row r="851" spans="2:42" x14ac:dyDescent="0.15">
      <c r="B851" s="82" t="s">
        <v>624</v>
      </c>
      <c r="C851" s="61">
        <f>VLOOKUP(B851,[1]SYS!$F$5:$G$359,2,FALSE)</f>
        <v>74</v>
      </c>
      <c r="D851" s="1" t="s">
        <v>50</v>
      </c>
      <c r="E851" s="42" t="s">
        <v>212</v>
      </c>
      <c r="F851" s="63" t="s">
        <v>472</v>
      </c>
      <c r="G851" s="1">
        <v>7</v>
      </c>
      <c r="H851" s="1">
        <f t="shared" si="211"/>
        <v>0.4</v>
      </c>
      <c r="I851" s="1">
        <f t="shared" si="212"/>
        <v>0.36</v>
      </c>
      <c r="J851" s="1">
        <f t="shared" si="210"/>
        <v>1.8199999999999994E-2</v>
      </c>
      <c r="K851" s="1">
        <f t="shared" si="213"/>
        <v>2.2999000000000001</v>
      </c>
      <c r="L851" s="1">
        <f t="shared" si="214"/>
        <v>1.76302</v>
      </c>
      <c r="M851" s="49">
        <f t="shared" si="215"/>
        <v>1.0302602167478165</v>
      </c>
      <c r="N851" s="49">
        <v>1.3188</v>
      </c>
      <c r="O851" s="1">
        <v>925</v>
      </c>
      <c r="P851" s="51">
        <v>0.05</v>
      </c>
      <c r="Q851" s="51">
        <v>11</v>
      </c>
      <c r="R851" s="51">
        <v>1</v>
      </c>
      <c r="S851" s="1">
        <v>1</v>
      </c>
      <c r="T851" s="1">
        <v>0</v>
      </c>
      <c r="U851" s="47">
        <v>0</v>
      </c>
      <c r="V851" s="47">
        <v>211</v>
      </c>
      <c r="W851" s="41">
        <v>144</v>
      </c>
      <c r="X851">
        <v>360</v>
      </c>
      <c r="Y851">
        <v>0.98180000000000001</v>
      </c>
      <c r="Z851">
        <v>2299.9</v>
      </c>
      <c r="AA851">
        <v>1763.02</v>
      </c>
      <c r="AB851">
        <v>131.88</v>
      </c>
      <c r="AC851">
        <v>36</v>
      </c>
      <c r="AD851" s="41">
        <f t="shared" si="205"/>
        <v>0.3739293012739684</v>
      </c>
      <c r="AE851" s="41">
        <f t="shared" si="206"/>
        <v>0.4877993443069279</v>
      </c>
      <c r="AF851">
        <f t="shared" si="207"/>
        <v>1.4051</v>
      </c>
      <c r="AG851">
        <f t="shared" si="208"/>
        <v>0.1288512</v>
      </c>
      <c r="AH851">
        <f t="shared" si="209"/>
        <v>1.3188</v>
      </c>
      <c r="AI851">
        <f>HLOOKUP(HLOOKUP(G851,'THP2'!$B$4:$J$8,5,FALSE),'Fuel &amp; Resister'!$B$3:$G$6,4,FALSE)</f>
        <v>2.7360666666666664</v>
      </c>
      <c r="AJ851" s="41">
        <f>HLOOKUP(HLOOKUP(G851,'THP2'!$B$4:$J$8,5,FALSE),'Fuel &amp; Resister'!$B$3:$G$6,3,FALSE)</f>
        <v>13.019</v>
      </c>
      <c r="AO851" s="1">
        <v>1</v>
      </c>
      <c r="AP851" s="1">
        <v>1</v>
      </c>
    </row>
    <row r="852" spans="2:42" x14ac:dyDescent="0.15">
      <c r="B852" s="82" t="s">
        <v>624</v>
      </c>
      <c r="C852" s="61">
        <f>VLOOKUP(B852,[1]SYS!$F$5:$G$359,2,FALSE)</f>
        <v>74</v>
      </c>
      <c r="D852" s="1" t="s">
        <v>50</v>
      </c>
      <c r="E852" s="42" t="s">
        <v>213</v>
      </c>
      <c r="F852" s="63" t="s">
        <v>472</v>
      </c>
      <c r="G852" s="1">
        <v>7</v>
      </c>
      <c r="H852" s="1">
        <f t="shared" si="211"/>
        <v>0.4</v>
      </c>
      <c r="I852" s="1">
        <f t="shared" si="212"/>
        <v>0.36</v>
      </c>
      <c r="J852" s="1">
        <f t="shared" si="210"/>
        <v>1.8199999999999994E-2</v>
      </c>
      <c r="K852" s="1">
        <f t="shared" si="213"/>
        <v>2.2999000000000001</v>
      </c>
      <c r="L852" s="1">
        <f t="shared" si="214"/>
        <v>1.76302</v>
      </c>
      <c r="M852" s="49">
        <f t="shared" si="215"/>
        <v>1.0302602167478165</v>
      </c>
      <c r="N852" s="49">
        <v>1.3188</v>
      </c>
      <c r="O852" s="1">
        <v>1214</v>
      </c>
      <c r="P852" s="51">
        <v>0.05</v>
      </c>
      <c r="Q852" s="51">
        <v>11</v>
      </c>
      <c r="R852" s="51">
        <v>1</v>
      </c>
      <c r="S852" s="1">
        <v>1</v>
      </c>
      <c r="T852" s="1">
        <v>0</v>
      </c>
      <c r="U852" s="47">
        <v>0</v>
      </c>
      <c r="V852" s="47">
        <v>212</v>
      </c>
      <c r="W852" s="41">
        <v>144</v>
      </c>
      <c r="X852">
        <v>360</v>
      </c>
      <c r="Y852">
        <v>0.98180000000000001</v>
      </c>
      <c r="Z852">
        <v>2299.9</v>
      </c>
      <c r="AA852">
        <v>1763.02</v>
      </c>
      <c r="AB852">
        <v>131.88</v>
      </c>
      <c r="AC852">
        <v>36</v>
      </c>
      <c r="AD852" s="41">
        <f t="shared" si="205"/>
        <v>0.3739293012739684</v>
      </c>
      <c r="AE852" s="41">
        <f t="shared" si="206"/>
        <v>0.4877993443069279</v>
      </c>
      <c r="AF852">
        <f t="shared" si="207"/>
        <v>1.4051</v>
      </c>
      <c r="AG852">
        <f t="shared" si="208"/>
        <v>0.1288512</v>
      </c>
      <c r="AH852">
        <f t="shared" si="209"/>
        <v>1.3188</v>
      </c>
      <c r="AI852">
        <f>HLOOKUP(HLOOKUP(G852,'THP2'!$B$4:$J$8,5,FALSE),'Fuel &amp; Resister'!$B$3:$G$6,4,FALSE)</f>
        <v>2.7360666666666664</v>
      </c>
      <c r="AJ852" s="41">
        <f>HLOOKUP(HLOOKUP(G852,'THP2'!$B$4:$J$8,5,FALSE),'Fuel &amp; Resister'!$B$3:$G$6,3,FALSE)</f>
        <v>13.019</v>
      </c>
      <c r="AO852" s="1">
        <v>1</v>
      </c>
      <c r="AP852" s="1">
        <v>1</v>
      </c>
    </row>
    <row r="853" spans="2:42" x14ac:dyDescent="0.15">
      <c r="B853" s="82" t="s">
        <v>624</v>
      </c>
      <c r="C853" s="61">
        <f>VLOOKUP(B853,[1]SYS!$F$5:$G$359,2,FALSE)</f>
        <v>74</v>
      </c>
      <c r="D853" s="1" t="s">
        <v>50</v>
      </c>
      <c r="E853" s="42" t="s">
        <v>214</v>
      </c>
      <c r="F853" s="63" t="s">
        <v>472</v>
      </c>
      <c r="G853" s="1">
        <v>7</v>
      </c>
      <c r="H853" s="1">
        <f t="shared" si="211"/>
        <v>0.4</v>
      </c>
      <c r="I853" s="1">
        <f t="shared" si="212"/>
        <v>0.36</v>
      </c>
      <c r="J853" s="1">
        <f t="shared" si="210"/>
        <v>1.8199999999999994E-2</v>
      </c>
      <c r="K853" s="1">
        <f t="shared" si="213"/>
        <v>2.2999000000000001</v>
      </c>
      <c r="L853" s="1">
        <f t="shared" si="214"/>
        <v>1.76302</v>
      </c>
      <c r="M853" s="49">
        <f t="shared" si="215"/>
        <v>1.0302602167478165</v>
      </c>
      <c r="N853" s="49">
        <v>1.3188</v>
      </c>
      <c r="O853" s="1">
        <v>613</v>
      </c>
      <c r="P853" s="51">
        <v>0.05</v>
      </c>
      <c r="Q853" s="51">
        <v>11</v>
      </c>
      <c r="R853" s="51">
        <v>1</v>
      </c>
      <c r="S853" s="1">
        <v>1</v>
      </c>
      <c r="T853" s="1">
        <v>0</v>
      </c>
      <c r="U853" s="47">
        <v>0</v>
      </c>
      <c r="V853" s="47">
        <v>213</v>
      </c>
      <c r="W853" s="41">
        <v>144</v>
      </c>
      <c r="X853">
        <v>360</v>
      </c>
      <c r="Y853">
        <v>0.98180000000000001</v>
      </c>
      <c r="Z853">
        <v>2299.9</v>
      </c>
      <c r="AA853">
        <v>1763.02</v>
      </c>
      <c r="AB853">
        <v>131.88</v>
      </c>
      <c r="AC853">
        <v>36</v>
      </c>
      <c r="AD853" s="41">
        <f t="shared" si="205"/>
        <v>0.3739293012739684</v>
      </c>
      <c r="AE853" s="41">
        <f t="shared" si="206"/>
        <v>0.4877993443069279</v>
      </c>
      <c r="AF853">
        <f t="shared" si="207"/>
        <v>1.4051</v>
      </c>
      <c r="AG853">
        <f t="shared" si="208"/>
        <v>0.1288512</v>
      </c>
      <c r="AH853">
        <f t="shared" si="209"/>
        <v>1.3188</v>
      </c>
      <c r="AI853">
        <f>HLOOKUP(HLOOKUP(G853,'THP2'!$B$4:$J$8,5,FALSE),'Fuel &amp; Resister'!$B$3:$G$6,4,FALSE)</f>
        <v>2.7360666666666664</v>
      </c>
      <c r="AJ853" s="41">
        <f>HLOOKUP(HLOOKUP(G853,'THP2'!$B$4:$J$8,5,FALSE),'Fuel &amp; Resister'!$B$3:$G$6,3,FALSE)</f>
        <v>13.019</v>
      </c>
      <c r="AO853" s="1">
        <v>1</v>
      </c>
      <c r="AP853" s="1">
        <v>1</v>
      </c>
    </row>
    <row r="854" spans="2:42" x14ac:dyDescent="0.15">
      <c r="B854" s="82" t="s">
        <v>624</v>
      </c>
      <c r="C854" s="61">
        <f>VLOOKUP(B854,[1]SYS!$F$5:$G$359,2,FALSE)</f>
        <v>74</v>
      </c>
      <c r="D854" s="1" t="s">
        <v>50</v>
      </c>
      <c r="E854" s="42" t="s">
        <v>215</v>
      </c>
      <c r="F854" s="63" t="s">
        <v>472</v>
      </c>
      <c r="G854" s="1">
        <v>7</v>
      </c>
      <c r="H854" s="1">
        <f t="shared" si="211"/>
        <v>0.4</v>
      </c>
      <c r="I854" s="1">
        <f t="shared" si="212"/>
        <v>0.36</v>
      </c>
      <c r="J854" s="1">
        <f t="shared" si="210"/>
        <v>1.8199999999999994E-2</v>
      </c>
      <c r="K854" s="1">
        <f t="shared" si="213"/>
        <v>2.2999000000000001</v>
      </c>
      <c r="L854" s="1">
        <f t="shared" si="214"/>
        <v>1.76302</v>
      </c>
      <c r="M854" s="49">
        <f t="shared" si="215"/>
        <v>1.0302602167478165</v>
      </c>
      <c r="N854" s="49">
        <v>1.3188</v>
      </c>
      <c r="O854" s="6">
        <v>314</v>
      </c>
      <c r="P854" s="51">
        <v>0.05</v>
      </c>
      <c r="Q854" s="51">
        <v>11</v>
      </c>
      <c r="R854" s="51">
        <v>1</v>
      </c>
      <c r="S854" s="1">
        <v>1</v>
      </c>
      <c r="T854" s="1">
        <v>0</v>
      </c>
      <c r="U854" s="47">
        <v>0</v>
      </c>
      <c r="V854" s="47">
        <v>214</v>
      </c>
      <c r="W854" s="41">
        <v>144</v>
      </c>
      <c r="X854">
        <v>360</v>
      </c>
      <c r="Y854">
        <v>0.98180000000000001</v>
      </c>
      <c r="Z854">
        <v>2299.9</v>
      </c>
      <c r="AA854">
        <v>1763.02</v>
      </c>
      <c r="AB854">
        <v>131.88</v>
      </c>
      <c r="AC854">
        <v>36</v>
      </c>
      <c r="AD854" s="41">
        <f t="shared" si="205"/>
        <v>0.3739293012739684</v>
      </c>
      <c r="AE854" s="41">
        <f t="shared" si="206"/>
        <v>0.4877993443069279</v>
      </c>
      <c r="AF854">
        <f t="shared" si="207"/>
        <v>1.4051</v>
      </c>
      <c r="AG854">
        <f t="shared" si="208"/>
        <v>0.1288512</v>
      </c>
      <c r="AH854">
        <f t="shared" si="209"/>
        <v>1.3188</v>
      </c>
      <c r="AI854">
        <f>HLOOKUP(HLOOKUP(G854,'THP2'!$B$4:$J$8,5,FALSE),'Fuel &amp; Resister'!$B$3:$G$6,4,FALSE)</f>
        <v>2.7360666666666664</v>
      </c>
      <c r="AJ854" s="41">
        <f>HLOOKUP(HLOOKUP(G854,'THP2'!$B$4:$J$8,5,FALSE),'Fuel &amp; Resister'!$B$3:$G$6,3,FALSE)</f>
        <v>13.019</v>
      </c>
      <c r="AO854" s="62">
        <v>0</v>
      </c>
      <c r="AP854" s="62">
        <v>0</v>
      </c>
    </row>
    <row r="855" spans="2:42" x14ac:dyDescent="0.15">
      <c r="B855" s="82" t="s">
        <v>628</v>
      </c>
      <c r="C855" s="61">
        <f>VLOOKUP(B855,[1]SYS!$F$5:$G$359,2,FALSE)</f>
        <v>98</v>
      </c>
      <c r="D855" s="1" t="s">
        <v>50</v>
      </c>
      <c r="E855" s="65" t="s">
        <v>216</v>
      </c>
      <c r="F855" s="63" t="s">
        <v>473</v>
      </c>
      <c r="G855" s="1">
        <v>7</v>
      </c>
      <c r="H855" s="1">
        <f t="shared" si="211"/>
        <v>0.39944903581267216</v>
      </c>
      <c r="I855" s="1">
        <f t="shared" si="212"/>
        <v>0.36299999999999999</v>
      </c>
      <c r="J855" s="1">
        <f t="shared" si="210"/>
        <v>2.1100000000000008E-2</v>
      </c>
      <c r="K855" s="1">
        <f t="shared" si="213"/>
        <v>2.3041499999999999</v>
      </c>
      <c r="L855" s="1">
        <f t="shared" si="214"/>
        <v>1.7662800000000001</v>
      </c>
      <c r="M855" s="49">
        <f t="shared" si="215"/>
        <v>1.0407666480060607</v>
      </c>
      <c r="N855" s="49">
        <v>1.5456000000000001</v>
      </c>
      <c r="O855" s="6">
        <v>314</v>
      </c>
      <c r="P855" s="51">
        <v>0.05</v>
      </c>
      <c r="Q855" s="51">
        <v>11</v>
      </c>
      <c r="R855" s="51">
        <v>1</v>
      </c>
      <c r="S855" s="1">
        <v>1</v>
      </c>
      <c r="T855" s="1">
        <v>0</v>
      </c>
      <c r="U855" s="47">
        <v>1</v>
      </c>
      <c r="V855" s="47">
        <v>215</v>
      </c>
      <c r="W855" s="41">
        <v>145</v>
      </c>
      <c r="X855">
        <v>363</v>
      </c>
      <c r="Y855">
        <v>0.97889999999999999</v>
      </c>
      <c r="Z855">
        <v>2304.15</v>
      </c>
      <c r="AA855">
        <v>1766.28</v>
      </c>
      <c r="AB855">
        <v>154.56</v>
      </c>
      <c r="AC855">
        <v>36</v>
      </c>
      <c r="AD855" s="41">
        <f t="shared" si="205"/>
        <v>0.37323958943645158</v>
      </c>
      <c r="AE855" s="41">
        <f t="shared" si="206"/>
        <v>0.48689901940802133</v>
      </c>
      <c r="AF855">
        <f t="shared" si="207"/>
        <v>1.4085224311926605</v>
      </c>
      <c r="AG855">
        <f t="shared" si="208"/>
        <v>0.12986599747706426</v>
      </c>
      <c r="AH855">
        <f t="shared" si="209"/>
        <v>1.5456000000000001</v>
      </c>
      <c r="AI855">
        <f>HLOOKUP(HLOOKUP(G855,'THP2'!$B$4:$J$8,5,FALSE),'Fuel &amp; Resister'!$B$3:$G$6,4,FALSE)</f>
        <v>2.7360666666666664</v>
      </c>
      <c r="AJ855" s="41">
        <f>HLOOKUP(HLOOKUP(G855,'THP2'!$B$4:$J$8,5,FALSE),'Fuel &amp; Resister'!$B$3:$G$6,3,FALSE)</f>
        <v>13.019</v>
      </c>
      <c r="AO855" s="1">
        <v>1</v>
      </c>
      <c r="AP855" s="1">
        <v>1</v>
      </c>
    </row>
    <row r="856" spans="2:42" x14ac:dyDescent="0.15">
      <c r="B856" s="82" t="s">
        <v>595</v>
      </c>
      <c r="C856" s="61">
        <f>VLOOKUP(B856,[1]SYS!$F$5:$G$359,2,FALSE)</f>
        <v>104</v>
      </c>
      <c r="D856" s="1" t="s">
        <v>50</v>
      </c>
      <c r="E856" s="65" t="s">
        <v>217</v>
      </c>
      <c r="F856" s="63" t="s">
        <v>527</v>
      </c>
      <c r="G856" s="1">
        <v>7</v>
      </c>
      <c r="H856" s="1">
        <f t="shared" si="211"/>
        <v>0.4</v>
      </c>
      <c r="I856" s="1">
        <f t="shared" si="212"/>
        <v>0.2</v>
      </c>
      <c r="J856" s="1">
        <f t="shared" si="210"/>
        <v>0</v>
      </c>
      <c r="K856" s="1">
        <f t="shared" si="213"/>
        <v>2.31318</v>
      </c>
      <c r="L856" s="1">
        <f t="shared" si="214"/>
        <v>1.7732000000000001</v>
      </c>
      <c r="M856" s="49">
        <f t="shared" si="215"/>
        <v>0.57567173761727941</v>
      </c>
      <c r="N856" s="49">
        <v>0.66</v>
      </c>
      <c r="O856" s="1">
        <v>1209</v>
      </c>
      <c r="P856" s="51">
        <v>0.05</v>
      </c>
      <c r="Q856" s="51">
        <v>11</v>
      </c>
      <c r="R856" s="51">
        <v>1</v>
      </c>
      <c r="S856" s="1">
        <v>1</v>
      </c>
      <c r="T856" s="1">
        <v>0</v>
      </c>
      <c r="U856" s="47">
        <v>1</v>
      </c>
      <c r="V856" s="47">
        <v>216</v>
      </c>
      <c r="W856" s="41">
        <v>80</v>
      </c>
      <c r="X856">
        <v>200</v>
      </c>
      <c r="Y856">
        <v>1</v>
      </c>
      <c r="Z856">
        <v>2313.1799999999998</v>
      </c>
      <c r="AA856">
        <v>1773.2</v>
      </c>
      <c r="AB856">
        <v>66</v>
      </c>
      <c r="AC856">
        <v>46</v>
      </c>
      <c r="AD856" s="41">
        <f t="shared" si="205"/>
        <v>0.37178256772062701</v>
      </c>
      <c r="AE856" s="41">
        <f t="shared" si="206"/>
        <v>0.48499887209564629</v>
      </c>
      <c r="AF856">
        <f t="shared" si="207"/>
        <v>1.4132133333333334</v>
      </c>
      <c r="AG856">
        <f t="shared" si="208"/>
        <v>7.1997333333333344E-2</v>
      </c>
      <c r="AH856">
        <f t="shared" si="209"/>
        <v>0.66</v>
      </c>
      <c r="AI856">
        <f>HLOOKUP(HLOOKUP(G856,'THP2'!$B$4:$J$8,5,FALSE),'Fuel &amp; Resister'!$B$3:$G$6,4,FALSE)</f>
        <v>2.7360666666666664</v>
      </c>
      <c r="AJ856" s="41">
        <f>HLOOKUP(HLOOKUP(G856,'THP2'!$B$4:$J$8,5,FALSE),'Fuel &amp; Resister'!$B$3:$G$6,3,FALSE)</f>
        <v>13.019</v>
      </c>
      <c r="AO856" s="1">
        <v>1</v>
      </c>
      <c r="AP856" s="1">
        <v>1</v>
      </c>
    </row>
    <row r="857" spans="2:42" x14ac:dyDescent="0.15">
      <c r="B857" s="82" t="s">
        <v>628</v>
      </c>
      <c r="C857" s="61">
        <f>VLOOKUP(B857,[1]SYS!$F$5:$G$359,2,FALSE)</f>
        <v>98</v>
      </c>
      <c r="D857" s="1" t="s">
        <v>50</v>
      </c>
      <c r="E857" s="65" t="s">
        <v>218</v>
      </c>
      <c r="F857" s="42"/>
      <c r="G857" s="1">
        <v>7</v>
      </c>
      <c r="H857" s="1">
        <f t="shared" si="211"/>
        <v>0.40051020408163263</v>
      </c>
      <c r="I857" s="1">
        <f t="shared" si="212"/>
        <v>0.39200000000000002</v>
      </c>
      <c r="J857" s="1">
        <f t="shared" si="210"/>
        <v>0</v>
      </c>
      <c r="K857" s="1">
        <f t="shared" si="213"/>
        <v>2.31318</v>
      </c>
      <c r="L857" s="1">
        <f t="shared" si="214"/>
        <v>1.7732000000000001</v>
      </c>
      <c r="M857" s="49">
        <f t="shared" si="215"/>
        <v>1.1283166057298677</v>
      </c>
      <c r="N857" s="49">
        <v>1.7031999999999998</v>
      </c>
      <c r="O857" s="1">
        <v>1014</v>
      </c>
      <c r="P857" s="51">
        <v>0.05</v>
      </c>
      <c r="Q857" s="51">
        <v>11</v>
      </c>
      <c r="R857" s="51">
        <v>1</v>
      </c>
      <c r="S857" s="1">
        <v>1</v>
      </c>
      <c r="T857" s="1">
        <v>0</v>
      </c>
      <c r="U857" s="47">
        <v>1</v>
      </c>
      <c r="V857" s="47">
        <v>217</v>
      </c>
      <c r="W857" s="41">
        <v>157</v>
      </c>
      <c r="X857">
        <v>392</v>
      </c>
      <c r="Y857">
        <v>1</v>
      </c>
      <c r="Z857">
        <v>2313.1799999999998</v>
      </c>
      <c r="AA857">
        <v>1773.2</v>
      </c>
      <c r="AB857">
        <v>170.32</v>
      </c>
      <c r="AC857">
        <v>36</v>
      </c>
      <c r="AD857" s="41">
        <f t="shared" si="205"/>
        <v>0.37178256772062701</v>
      </c>
      <c r="AE857" s="41">
        <f t="shared" si="206"/>
        <v>0.48499887209564629</v>
      </c>
      <c r="AF857">
        <f t="shared" si="207"/>
        <v>1.4124474042553194</v>
      </c>
      <c r="AG857">
        <f t="shared" si="208"/>
        <v>0.14141501753191482</v>
      </c>
      <c r="AH857">
        <f t="shared" si="209"/>
        <v>1.7031999999999998</v>
      </c>
      <c r="AI857">
        <f>HLOOKUP(HLOOKUP(G857,'THP2'!$B$4:$J$8,5,FALSE),'Fuel &amp; Resister'!$B$3:$G$6,4,FALSE)</f>
        <v>2.7360666666666664</v>
      </c>
      <c r="AJ857" s="41">
        <f>HLOOKUP(HLOOKUP(G857,'THP2'!$B$4:$J$8,5,FALSE),'Fuel &amp; Resister'!$B$3:$G$6,3,FALSE)</f>
        <v>13.019</v>
      </c>
      <c r="AO857" s="1">
        <v>1</v>
      </c>
      <c r="AP857" s="62">
        <v>0</v>
      </c>
    </row>
    <row r="858" spans="2:42" x14ac:dyDescent="0.15">
      <c r="B858" s="82" t="s">
        <v>626</v>
      </c>
      <c r="C858" s="61">
        <f>VLOOKUP(B858,[1]SYS!$F$5:$G$359,2,FALSE)</f>
        <v>73</v>
      </c>
      <c r="D858" s="1" t="s">
        <v>50</v>
      </c>
      <c r="E858" s="65" t="s">
        <v>219</v>
      </c>
      <c r="F858" s="63" t="s">
        <v>480</v>
      </c>
      <c r="G858" s="1">
        <v>7</v>
      </c>
      <c r="H858" s="1">
        <f t="shared" si="211"/>
        <v>0.39869281045751637</v>
      </c>
      <c r="I858" s="1">
        <f t="shared" si="212"/>
        <v>0.153</v>
      </c>
      <c r="J858" s="1">
        <f t="shared" si="210"/>
        <v>2.0000000000000018E-2</v>
      </c>
      <c r="K858" s="1">
        <f t="shared" si="213"/>
        <v>2.3372700000000002</v>
      </c>
      <c r="L858" s="1">
        <f t="shared" si="214"/>
        <v>1.7916700000000001</v>
      </c>
      <c r="M858" s="49">
        <f t="shared" si="215"/>
        <v>0.44497605647113392</v>
      </c>
      <c r="N858" s="49">
        <v>1.0965</v>
      </c>
      <c r="O858" s="1">
        <v>908</v>
      </c>
      <c r="P858" s="51">
        <v>0</v>
      </c>
      <c r="Q858" s="51">
        <v>11</v>
      </c>
      <c r="R858" s="51">
        <v>1</v>
      </c>
      <c r="S858" s="1">
        <v>1</v>
      </c>
      <c r="T858" s="1">
        <v>0</v>
      </c>
      <c r="U858" s="47">
        <v>1</v>
      </c>
      <c r="V858" s="47">
        <v>218</v>
      </c>
      <c r="W858" s="41">
        <v>61</v>
      </c>
      <c r="X858">
        <v>153</v>
      </c>
      <c r="Y858">
        <v>0.98</v>
      </c>
      <c r="Z858">
        <v>2337.27</v>
      </c>
      <c r="AA858">
        <v>1791.67</v>
      </c>
      <c r="AB858">
        <v>109.65</v>
      </c>
      <c r="AC858">
        <v>46</v>
      </c>
      <c r="AD858" s="41">
        <f t="shared" ref="AD858:AD901" si="216">1/Z858*860</f>
        <v>0.36795064327185134</v>
      </c>
      <c r="AE858" s="41">
        <f t="shared" ref="AE858:AE901" si="217">1/AA858*860</f>
        <v>0.47999910697840559</v>
      </c>
      <c r="AF858">
        <f t="shared" ref="AF858:AF901" si="218">(L858-H858*K858)/(1-H858)</f>
        <v>1.4299134782608696</v>
      </c>
      <c r="AG858">
        <f t="shared" ref="AG858:AG901" si="219">I858*(L858-AF858)</f>
        <v>5.5348747826086973E-2</v>
      </c>
      <c r="AH858">
        <f t="shared" ref="AH858:AH901" si="220">AB858/100</f>
        <v>1.0965</v>
      </c>
      <c r="AI858">
        <f>HLOOKUP(HLOOKUP(G858,'THP2'!$B$4:$J$8,5,FALSE),'Fuel &amp; Resister'!$B$3:$G$6,4,FALSE)</f>
        <v>2.7360666666666664</v>
      </c>
      <c r="AJ858" s="41">
        <f>HLOOKUP(HLOOKUP(G858,'THP2'!$B$4:$J$8,5,FALSE),'Fuel &amp; Resister'!$B$3:$G$6,3,FALSE)</f>
        <v>13.019</v>
      </c>
      <c r="AO858" s="1">
        <v>1</v>
      </c>
      <c r="AP858" s="62">
        <v>0</v>
      </c>
    </row>
    <row r="859" spans="2:42" x14ac:dyDescent="0.15">
      <c r="B859" s="82" t="s">
        <v>626</v>
      </c>
      <c r="C859" s="61">
        <f>VLOOKUP(B859,[1]SYS!$F$5:$G$359,2,FALSE)</f>
        <v>73</v>
      </c>
      <c r="D859" s="1" t="s">
        <v>50</v>
      </c>
      <c r="E859" s="65" t="s">
        <v>220</v>
      </c>
      <c r="F859" s="63" t="s">
        <v>480</v>
      </c>
      <c r="G859" s="1">
        <v>7</v>
      </c>
      <c r="H859" s="1">
        <f t="shared" si="211"/>
        <v>0.4</v>
      </c>
      <c r="I859" s="1">
        <f t="shared" si="212"/>
        <v>0.3</v>
      </c>
      <c r="J859" s="1">
        <f t="shared" si="210"/>
        <v>4.3599999999999972E-2</v>
      </c>
      <c r="K859" s="1">
        <f t="shared" si="213"/>
        <v>2.3618800000000002</v>
      </c>
      <c r="L859" s="1">
        <f t="shared" si="214"/>
        <v>1.81053</v>
      </c>
      <c r="M859" s="49">
        <f t="shared" si="215"/>
        <v>0.88168645762594156</v>
      </c>
      <c r="N859" s="49">
        <v>1.2033</v>
      </c>
      <c r="O859" s="6">
        <v>302</v>
      </c>
      <c r="P859" s="51">
        <v>0.05</v>
      </c>
      <c r="Q859" s="51">
        <v>11</v>
      </c>
      <c r="R859" s="51">
        <v>1</v>
      </c>
      <c r="S859" s="1">
        <v>1</v>
      </c>
      <c r="T859" s="1">
        <v>0</v>
      </c>
      <c r="U859" s="47">
        <v>1</v>
      </c>
      <c r="V859" s="47">
        <v>219</v>
      </c>
      <c r="W859" s="41">
        <v>120</v>
      </c>
      <c r="X859">
        <v>300</v>
      </c>
      <c r="Y859">
        <v>0.95640000000000003</v>
      </c>
      <c r="Z859">
        <v>2361.88</v>
      </c>
      <c r="AA859">
        <v>1810.53</v>
      </c>
      <c r="AB859">
        <v>120.33</v>
      </c>
      <c r="AC859">
        <v>46</v>
      </c>
      <c r="AD859" s="41">
        <f t="shared" si="216"/>
        <v>0.36411672057852218</v>
      </c>
      <c r="AE859" s="41">
        <f t="shared" si="217"/>
        <v>0.4749990334321994</v>
      </c>
      <c r="AF859">
        <f t="shared" si="218"/>
        <v>1.4429633333333332</v>
      </c>
      <c r="AG859">
        <f t="shared" si="219"/>
        <v>0.11027000000000005</v>
      </c>
      <c r="AH859">
        <f t="shared" si="220"/>
        <v>1.2033</v>
      </c>
      <c r="AI859">
        <f>HLOOKUP(HLOOKUP(G859,'THP2'!$B$4:$J$8,5,FALSE),'Fuel &amp; Resister'!$B$3:$G$6,4,FALSE)</f>
        <v>2.7360666666666664</v>
      </c>
      <c r="AJ859" s="41">
        <f>HLOOKUP(HLOOKUP(G859,'THP2'!$B$4:$J$8,5,FALSE),'Fuel &amp; Resister'!$B$3:$G$6,3,FALSE)</f>
        <v>13.019</v>
      </c>
      <c r="AO859" s="1">
        <v>1</v>
      </c>
      <c r="AP859" s="62">
        <v>0</v>
      </c>
    </row>
    <row r="860" spans="2:42" x14ac:dyDescent="0.15">
      <c r="B860" s="82" t="s">
        <v>594</v>
      </c>
      <c r="C860" s="61">
        <f>VLOOKUP(B860,[1]SYS!$F$5:$G$359,2,FALSE)</f>
        <v>70</v>
      </c>
      <c r="D860" s="1" t="s">
        <v>50</v>
      </c>
      <c r="E860" s="65" t="s">
        <v>221</v>
      </c>
      <c r="F860" s="42"/>
      <c r="G860" s="1">
        <v>7</v>
      </c>
      <c r="H860" s="1">
        <f t="shared" si="211"/>
        <v>0.4</v>
      </c>
      <c r="I860" s="1">
        <f t="shared" si="212"/>
        <v>0.05</v>
      </c>
      <c r="J860" s="1">
        <f t="shared" si="210"/>
        <v>3.0000000000000027E-2</v>
      </c>
      <c r="K860" s="1">
        <f t="shared" si="213"/>
        <v>2.49309</v>
      </c>
      <c r="L860" s="1">
        <f t="shared" si="214"/>
        <v>1.9111099999999999</v>
      </c>
      <c r="M860" s="49">
        <f t="shared" si="215"/>
        <v>0.15511110062003144</v>
      </c>
      <c r="N860" s="49">
        <v>0.16500000000000001</v>
      </c>
      <c r="O860" s="1">
        <v>514</v>
      </c>
      <c r="P860" s="51">
        <v>0</v>
      </c>
      <c r="Q860" s="51">
        <v>11</v>
      </c>
      <c r="R860" s="51">
        <v>1</v>
      </c>
      <c r="S860" s="1">
        <v>1</v>
      </c>
      <c r="T860" s="1">
        <v>0</v>
      </c>
      <c r="U860" s="47">
        <v>1</v>
      </c>
      <c r="V860" s="47">
        <v>220</v>
      </c>
      <c r="W860" s="41">
        <v>20</v>
      </c>
      <c r="X860">
        <v>50</v>
      </c>
      <c r="Y860">
        <v>0.97</v>
      </c>
      <c r="Z860">
        <v>2493.09</v>
      </c>
      <c r="AA860">
        <v>1911.11</v>
      </c>
      <c r="AB860">
        <v>16.5</v>
      </c>
      <c r="AC860">
        <v>36</v>
      </c>
      <c r="AD860" s="41">
        <f t="shared" si="216"/>
        <v>0.34495345133950234</v>
      </c>
      <c r="AE860" s="41">
        <f t="shared" si="217"/>
        <v>0.45000026162805912</v>
      </c>
      <c r="AF860">
        <f t="shared" si="218"/>
        <v>1.5231233333333332</v>
      </c>
      <c r="AG860">
        <f t="shared" si="219"/>
        <v>1.9399333333333338E-2</v>
      </c>
      <c r="AH860">
        <f t="shared" si="220"/>
        <v>0.16500000000000001</v>
      </c>
      <c r="AI860">
        <f>HLOOKUP(HLOOKUP(G860,'THP2'!$B$4:$J$8,5,FALSE),'Fuel &amp; Resister'!$B$3:$G$6,4,FALSE)</f>
        <v>2.7360666666666664</v>
      </c>
      <c r="AJ860" s="41">
        <f>HLOOKUP(HLOOKUP(G860,'THP2'!$B$4:$J$8,5,FALSE),'Fuel &amp; Resister'!$B$3:$G$6,3,FALSE)</f>
        <v>13.019</v>
      </c>
      <c r="AO860" s="1">
        <v>1</v>
      </c>
      <c r="AP860" s="62">
        <v>0</v>
      </c>
    </row>
    <row r="861" spans="2:42" x14ac:dyDescent="0.15">
      <c r="B861" s="82" t="s">
        <v>594</v>
      </c>
      <c r="C861" s="61">
        <f>VLOOKUP(B861,[1]SYS!$F$5:$G$359,2,FALSE)</f>
        <v>70</v>
      </c>
      <c r="D861" s="1" t="s">
        <v>50</v>
      </c>
      <c r="E861" s="65" t="s">
        <v>222</v>
      </c>
      <c r="F861" s="42"/>
      <c r="G861" s="1">
        <v>7</v>
      </c>
      <c r="H861" s="1">
        <f t="shared" si="211"/>
        <v>0.40816326530612246</v>
      </c>
      <c r="I861" s="1">
        <f t="shared" si="212"/>
        <v>4.9000000000000002E-2</v>
      </c>
      <c r="J861" s="1">
        <f t="shared" si="210"/>
        <v>3.0000000000000027E-2</v>
      </c>
      <c r="K861" s="1">
        <f t="shared" si="213"/>
        <v>2.49309</v>
      </c>
      <c r="L861" s="1">
        <f t="shared" si="214"/>
        <v>1.9111099999999999</v>
      </c>
      <c r="M861" s="49">
        <f t="shared" si="215"/>
        <v>0.15200887860763082</v>
      </c>
      <c r="N861" s="49">
        <v>0.16170000000000001</v>
      </c>
      <c r="O861" s="6">
        <v>314</v>
      </c>
      <c r="P861" s="51">
        <v>0</v>
      </c>
      <c r="Q861" s="51">
        <v>11</v>
      </c>
      <c r="R861" s="51">
        <v>1</v>
      </c>
      <c r="S861" s="1">
        <v>1</v>
      </c>
      <c r="T861" s="1">
        <v>0</v>
      </c>
      <c r="U861" s="47">
        <v>1</v>
      </c>
      <c r="V861" s="47">
        <v>221</v>
      </c>
      <c r="W861" s="41">
        <v>20</v>
      </c>
      <c r="X861">
        <v>49</v>
      </c>
      <c r="Y861">
        <v>0.97</v>
      </c>
      <c r="Z861">
        <v>2493.09</v>
      </c>
      <c r="AA861">
        <v>1911.11</v>
      </c>
      <c r="AB861">
        <v>16.170000000000002</v>
      </c>
      <c r="AC861">
        <v>36</v>
      </c>
      <c r="AD861" s="41">
        <f t="shared" si="216"/>
        <v>0.34495345133950234</v>
      </c>
      <c r="AE861" s="41">
        <f t="shared" si="217"/>
        <v>0.45000026162805912</v>
      </c>
      <c r="AF861">
        <f t="shared" si="218"/>
        <v>1.5097444827586204</v>
      </c>
      <c r="AG861">
        <f t="shared" si="219"/>
        <v>1.9666910344827596E-2</v>
      </c>
      <c r="AH861">
        <f t="shared" si="220"/>
        <v>0.16170000000000001</v>
      </c>
      <c r="AI861">
        <f>HLOOKUP(HLOOKUP(G861,'THP2'!$B$4:$J$8,5,FALSE),'Fuel &amp; Resister'!$B$3:$G$6,4,FALSE)</f>
        <v>2.7360666666666664</v>
      </c>
      <c r="AJ861" s="41">
        <f>HLOOKUP(HLOOKUP(G861,'THP2'!$B$4:$J$8,5,FALSE),'Fuel &amp; Resister'!$B$3:$G$6,3,FALSE)</f>
        <v>13.019</v>
      </c>
      <c r="AO861" s="1">
        <v>1</v>
      </c>
      <c r="AP861" s="62">
        <v>0</v>
      </c>
    </row>
    <row r="862" spans="2:42" x14ac:dyDescent="0.15">
      <c r="B862" s="82" t="s">
        <v>592</v>
      </c>
      <c r="C862" s="61">
        <f>VLOOKUP(B862,[1]SYS!$F$5:$G$359,2,FALSE)</f>
        <v>77</v>
      </c>
      <c r="D862" s="1" t="s">
        <v>50</v>
      </c>
      <c r="E862" s="65" t="s">
        <v>372</v>
      </c>
      <c r="F862" s="63" t="s">
        <v>373</v>
      </c>
      <c r="G862" s="1">
        <v>7</v>
      </c>
      <c r="H862" s="1">
        <f t="shared" si="211"/>
        <v>0.4</v>
      </c>
      <c r="I862" s="1">
        <f t="shared" si="212"/>
        <v>0.3</v>
      </c>
      <c r="J862" s="1">
        <f t="shared" si="210"/>
        <v>2.0000000000000018E-2</v>
      </c>
      <c r="K862" s="1">
        <f t="shared" si="213"/>
        <v>2.49309</v>
      </c>
      <c r="L862" s="1">
        <f t="shared" si="214"/>
        <v>1.9111099999999999</v>
      </c>
      <c r="M862" s="49">
        <f t="shared" si="215"/>
        <v>0.93066660372018861</v>
      </c>
      <c r="N862" s="49">
        <v>1.254</v>
      </c>
      <c r="O862" s="1">
        <v>608</v>
      </c>
      <c r="P862" s="51">
        <v>0.05</v>
      </c>
      <c r="Q862" s="51">
        <v>11</v>
      </c>
      <c r="R862" s="51">
        <v>1</v>
      </c>
      <c r="S862" s="1">
        <v>1</v>
      </c>
      <c r="T862" s="1">
        <v>0</v>
      </c>
      <c r="U862" s="47">
        <v>1</v>
      </c>
      <c r="V862" s="47">
        <v>222</v>
      </c>
      <c r="W862" s="41">
        <v>120</v>
      </c>
      <c r="X862">
        <v>300</v>
      </c>
      <c r="Y862">
        <v>0.98</v>
      </c>
      <c r="Z862">
        <v>2493.09</v>
      </c>
      <c r="AA862">
        <v>1911.11</v>
      </c>
      <c r="AB862">
        <v>125.4</v>
      </c>
      <c r="AC862">
        <v>46</v>
      </c>
      <c r="AD862" s="41">
        <f t="shared" si="216"/>
        <v>0.34495345133950234</v>
      </c>
      <c r="AE862" s="41">
        <f t="shared" si="217"/>
        <v>0.45000026162805912</v>
      </c>
      <c r="AF862">
        <f t="shared" si="218"/>
        <v>1.5231233333333332</v>
      </c>
      <c r="AG862">
        <f t="shared" si="219"/>
        <v>0.116396</v>
      </c>
      <c r="AH862">
        <f t="shared" si="220"/>
        <v>1.254</v>
      </c>
      <c r="AI862">
        <f>HLOOKUP(HLOOKUP(G862,'THP2'!$B$4:$J$8,5,FALSE),'Fuel &amp; Resister'!$B$3:$G$6,4,FALSE)</f>
        <v>2.7360666666666664</v>
      </c>
      <c r="AJ862" s="41">
        <f>HLOOKUP(HLOOKUP(G862,'THP2'!$B$4:$J$8,5,FALSE),'Fuel &amp; Resister'!$B$3:$G$6,3,FALSE)</f>
        <v>13.019</v>
      </c>
      <c r="AO862" s="1">
        <v>1</v>
      </c>
      <c r="AP862" s="62">
        <v>0</v>
      </c>
    </row>
    <row r="863" spans="2:42" x14ac:dyDescent="0.15">
      <c r="B863" s="82" t="s">
        <v>626</v>
      </c>
      <c r="C863" s="61">
        <f>VLOOKUP(B863,[1]SYS!$F$5:$G$359,2,FALSE)</f>
        <v>73</v>
      </c>
      <c r="D863" s="1" t="s">
        <v>50</v>
      </c>
      <c r="E863" s="65" t="s">
        <v>370</v>
      </c>
      <c r="F863" s="63" t="s">
        <v>371</v>
      </c>
      <c r="G863" s="1">
        <v>7</v>
      </c>
      <c r="H863" s="1">
        <f t="shared" si="211"/>
        <v>0.4</v>
      </c>
      <c r="I863" s="1">
        <f t="shared" si="212"/>
        <v>0.1</v>
      </c>
      <c r="J863" s="1">
        <f t="shared" si="210"/>
        <v>3.0000000000000027E-2</v>
      </c>
      <c r="K863" s="1">
        <f t="shared" si="213"/>
        <v>2.49309</v>
      </c>
      <c r="L863" s="1">
        <f t="shared" si="214"/>
        <v>1.9111099999999999</v>
      </c>
      <c r="M863" s="49">
        <f t="shared" si="215"/>
        <v>0.31022220124006289</v>
      </c>
      <c r="N863" s="49">
        <v>0.33</v>
      </c>
      <c r="O863" s="1">
        <v>1014</v>
      </c>
      <c r="P863" s="51">
        <v>0</v>
      </c>
      <c r="Q863" s="51">
        <v>11</v>
      </c>
      <c r="R863" s="51">
        <v>1</v>
      </c>
      <c r="S863" s="1">
        <v>1</v>
      </c>
      <c r="T863" s="1">
        <v>0</v>
      </c>
      <c r="U863" s="47">
        <v>1</v>
      </c>
      <c r="V863" s="47">
        <v>223</v>
      </c>
      <c r="W863" s="41">
        <v>40</v>
      </c>
      <c r="X863">
        <v>100</v>
      </c>
      <c r="Y863">
        <v>0.97</v>
      </c>
      <c r="Z863">
        <v>2493.09</v>
      </c>
      <c r="AA863">
        <v>1911.11</v>
      </c>
      <c r="AB863">
        <v>33</v>
      </c>
      <c r="AC863">
        <v>36</v>
      </c>
      <c r="AD863" s="41">
        <f t="shared" si="216"/>
        <v>0.34495345133950234</v>
      </c>
      <c r="AE863" s="41">
        <f t="shared" si="217"/>
        <v>0.45000026162805912</v>
      </c>
      <c r="AF863">
        <f t="shared" si="218"/>
        <v>1.5231233333333332</v>
      </c>
      <c r="AG863">
        <f t="shared" si="219"/>
        <v>3.8798666666666676E-2</v>
      </c>
      <c r="AH863">
        <f t="shared" si="220"/>
        <v>0.33</v>
      </c>
      <c r="AI863">
        <f>HLOOKUP(HLOOKUP(G863,'THP2'!$B$4:$J$8,5,FALSE),'Fuel &amp; Resister'!$B$3:$G$6,4,FALSE)</f>
        <v>2.7360666666666664</v>
      </c>
      <c r="AJ863" s="41">
        <f>HLOOKUP(HLOOKUP(G863,'THP2'!$B$4:$J$8,5,FALSE),'Fuel &amp; Resister'!$B$3:$G$6,3,FALSE)</f>
        <v>13.019</v>
      </c>
      <c r="AO863" s="1">
        <v>1</v>
      </c>
      <c r="AP863" s="62">
        <v>0</v>
      </c>
    </row>
    <row r="864" spans="2:42" x14ac:dyDescent="0.15">
      <c r="B864" s="82" t="s">
        <v>626</v>
      </c>
      <c r="C864" s="61">
        <f>VLOOKUP(B864,[1]SYS!$F$5:$G$359,2,FALSE)</f>
        <v>73</v>
      </c>
      <c r="D864" s="1" t="s">
        <v>50</v>
      </c>
      <c r="E864" s="65" t="s">
        <v>368</v>
      </c>
      <c r="F864" s="63" t="s">
        <v>369</v>
      </c>
      <c r="G864" s="1">
        <v>7</v>
      </c>
      <c r="H864" s="1">
        <f t="shared" si="211"/>
        <v>0.4</v>
      </c>
      <c r="I864" s="1">
        <f t="shared" si="212"/>
        <v>0.1</v>
      </c>
      <c r="J864" s="1">
        <f t="shared" si="210"/>
        <v>3.0000000000000027E-2</v>
      </c>
      <c r="K864" s="1">
        <f t="shared" si="213"/>
        <v>2.49309</v>
      </c>
      <c r="L864" s="1">
        <f t="shared" si="214"/>
        <v>1.9111099999999999</v>
      </c>
      <c r="M864" s="49">
        <f t="shared" si="215"/>
        <v>0.31022220124006289</v>
      </c>
      <c r="N864" s="49">
        <v>0.33</v>
      </c>
      <c r="O864" s="6">
        <v>302</v>
      </c>
      <c r="P864" s="51">
        <v>0</v>
      </c>
      <c r="Q864" s="51">
        <v>11</v>
      </c>
      <c r="R864" s="51">
        <v>1</v>
      </c>
      <c r="S864" s="1">
        <v>1</v>
      </c>
      <c r="T864" s="1">
        <v>0</v>
      </c>
      <c r="U864" s="47">
        <v>1</v>
      </c>
      <c r="V864" s="47">
        <v>224</v>
      </c>
      <c r="W864" s="41">
        <v>40</v>
      </c>
      <c r="X864">
        <v>100</v>
      </c>
      <c r="Y864">
        <v>0.97</v>
      </c>
      <c r="Z864">
        <v>2493.09</v>
      </c>
      <c r="AA864">
        <v>1911.11</v>
      </c>
      <c r="AB864">
        <v>33</v>
      </c>
      <c r="AC864">
        <v>36</v>
      </c>
      <c r="AD864" s="41">
        <f t="shared" si="216"/>
        <v>0.34495345133950234</v>
      </c>
      <c r="AE864" s="41">
        <f t="shared" si="217"/>
        <v>0.45000026162805912</v>
      </c>
      <c r="AF864">
        <f t="shared" si="218"/>
        <v>1.5231233333333332</v>
      </c>
      <c r="AG864">
        <f t="shared" si="219"/>
        <v>3.8798666666666676E-2</v>
      </c>
      <c r="AH864">
        <f t="shared" si="220"/>
        <v>0.33</v>
      </c>
      <c r="AI864">
        <f>HLOOKUP(HLOOKUP(G864,'THP2'!$B$4:$J$8,5,FALSE),'Fuel &amp; Resister'!$B$3:$G$6,4,FALSE)</f>
        <v>2.7360666666666664</v>
      </c>
      <c r="AJ864" s="41">
        <f>HLOOKUP(HLOOKUP(G864,'THP2'!$B$4:$J$8,5,FALSE),'Fuel &amp; Resister'!$B$3:$G$6,3,FALSE)</f>
        <v>13.019</v>
      </c>
      <c r="AO864" s="1">
        <v>1</v>
      </c>
      <c r="AP864" s="62">
        <v>0</v>
      </c>
    </row>
    <row r="865" spans="2:42" x14ac:dyDescent="0.15">
      <c r="B865" s="82" t="s">
        <v>626</v>
      </c>
      <c r="C865" s="61">
        <f>VLOOKUP(B865,[1]SYS!$F$5:$G$359,2,FALSE)</f>
        <v>73</v>
      </c>
      <c r="D865" s="1" t="s">
        <v>50</v>
      </c>
      <c r="E865" s="65" t="s">
        <v>366</v>
      </c>
      <c r="F865" s="63" t="s">
        <v>367</v>
      </c>
      <c r="G865" s="1">
        <v>7</v>
      </c>
      <c r="H865" s="1">
        <f t="shared" si="211"/>
        <v>0.4</v>
      </c>
      <c r="I865" s="1">
        <f t="shared" si="212"/>
        <v>0.1</v>
      </c>
      <c r="J865" s="1">
        <f t="shared" si="210"/>
        <v>3.0000000000000027E-2</v>
      </c>
      <c r="K865" s="1">
        <f t="shared" si="213"/>
        <v>2.49309</v>
      </c>
      <c r="L865" s="1">
        <f t="shared" si="214"/>
        <v>1.9111099999999999</v>
      </c>
      <c r="M865" s="49">
        <f t="shared" si="215"/>
        <v>0.31022220124006289</v>
      </c>
      <c r="N865" s="49">
        <v>0.33</v>
      </c>
      <c r="O865" s="6">
        <v>314</v>
      </c>
      <c r="P865" s="51">
        <v>0</v>
      </c>
      <c r="Q865" s="51">
        <v>11</v>
      </c>
      <c r="R865" s="51">
        <v>1</v>
      </c>
      <c r="S865" s="1">
        <v>1</v>
      </c>
      <c r="T865" s="1">
        <v>0</v>
      </c>
      <c r="U865" s="47">
        <v>1</v>
      </c>
      <c r="V865" s="47">
        <v>225</v>
      </c>
      <c r="W865" s="41">
        <v>40</v>
      </c>
      <c r="X865">
        <v>100</v>
      </c>
      <c r="Y865">
        <v>0.97</v>
      </c>
      <c r="Z865">
        <v>2493.09</v>
      </c>
      <c r="AA865">
        <v>1911.11</v>
      </c>
      <c r="AB865">
        <v>33</v>
      </c>
      <c r="AC865">
        <v>36</v>
      </c>
      <c r="AD865" s="41">
        <f t="shared" si="216"/>
        <v>0.34495345133950234</v>
      </c>
      <c r="AE865" s="41">
        <f t="shared" si="217"/>
        <v>0.45000026162805912</v>
      </c>
      <c r="AF865">
        <f t="shared" si="218"/>
        <v>1.5231233333333332</v>
      </c>
      <c r="AG865">
        <f t="shared" si="219"/>
        <v>3.8798666666666676E-2</v>
      </c>
      <c r="AH865">
        <f t="shared" si="220"/>
        <v>0.33</v>
      </c>
      <c r="AI865">
        <f>HLOOKUP(HLOOKUP(G865,'THP2'!$B$4:$J$8,5,FALSE),'Fuel &amp; Resister'!$B$3:$G$6,4,FALSE)</f>
        <v>2.7360666666666664</v>
      </c>
      <c r="AJ865" s="41">
        <f>HLOOKUP(HLOOKUP(G865,'THP2'!$B$4:$J$8,5,FALSE),'Fuel &amp; Resister'!$B$3:$G$6,3,FALSE)</f>
        <v>13.019</v>
      </c>
      <c r="AO865" s="1">
        <v>1</v>
      </c>
      <c r="AP865" s="62">
        <v>0</v>
      </c>
    </row>
    <row r="866" spans="2:42" x14ac:dyDescent="0.15">
      <c r="B866" s="82" t="s">
        <v>626</v>
      </c>
      <c r="C866" s="61">
        <f>VLOOKUP(B866,[1]SYS!$F$5:$G$359,2,FALSE)</f>
        <v>73</v>
      </c>
      <c r="D866" s="1" t="s">
        <v>50</v>
      </c>
      <c r="E866" s="65" t="s">
        <v>364</v>
      </c>
      <c r="F866" s="63" t="s">
        <v>365</v>
      </c>
      <c r="G866" s="1">
        <v>7</v>
      </c>
      <c r="H866" s="1">
        <f t="shared" si="211"/>
        <v>0.4</v>
      </c>
      <c r="I866" s="1">
        <f t="shared" si="212"/>
        <v>0.1</v>
      </c>
      <c r="J866" s="1">
        <f t="shared" si="210"/>
        <v>3.0000000000000027E-2</v>
      </c>
      <c r="K866" s="1">
        <f t="shared" si="213"/>
        <v>2.49309</v>
      </c>
      <c r="L866" s="1">
        <f t="shared" si="214"/>
        <v>1.9111099999999999</v>
      </c>
      <c r="M866" s="49">
        <f t="shared" si="215"/>
        <v>0.31022220124006289</v>
      </c>
      <c r="N866" s="49">
        <v>0.33</v>
      </c>
      <c r="O866" s="1">
        <v>613</v>
      </c>
      <c r="P866" s="51">
        <v>0</v>
      </c>
      <c r="Q866" s="51">
        <v>11</v>
      </c>
      <c r="R866" s="51">
        <v>1</v>
      </c>
      <c r="S866" s="1">
        <v>1</v>
      </c>
      <c r="T866" s="1">
        <v>0</v>
      </c>
      <c r="U866" s="47">
        <v>1</v>
      </c>
      <c r="V866" s="47">
        <v>226</v>
      </c>
      <c r="W866" s="41">
        <v>40</v>
      </c>
      <c r="X866">
        <v>100</v>
      </c>
      <c r="Y866">
        <v>0.97</v>
      </c>
      <c r="Z866">
        <v>2493.09</v>
      </c>
      <c r="AA866">
        <v>1911.11</v>
      </c>
      <c r="AB866">
        <v>33</v>
      </c>
      <c r="AC866">
        <v>36</v>
      </c>
      <c r="AD866" s="41">
        <f t="shared" si="216"/>
        <v>0.34495345133950234</v>
      </c>
      <c r="AE866" s="41">
        <f t="shared" si="217"/>
        <v>0.45000026162805912</v>
      </c>
      <c r="AF866">
        <f t="shared" si="218"/>
        <v>1.5231233333333332</v>
      </c>
      <c r="AG866">
        <f t="shared" si="219"/>
        <v>3.8798666666666676E-2</v>
      </c>
      <c r="AH866">
        <f t="shared" si="220"/>
        <v>0.33</v>
      </c>
      <c r="AI866">
        <f>HLOOKUP(HLOOKUP(G866,'THP2'!$B$4:$J$8,5,FALSE),'Fuel &amp; Resister'!$B$3:$G$6,4,FALSE)</f>
        <v>2.7360666666666664</v>
      </c>
      <c r="AJ866" s="41">
        <f>HLOOKUP(HLOOKUP(G866,'THP2'!$B$4:$J$8,5,FALSE),'Fuel &amp; Resister'!$B$3:$G$6,3,FALSE)</f>
        <v>13.019</v>
      </c>
      <c r="AO866" s="1">
        <v>1</v>
      </c>
      <c r="AP866" s="62">
        <v>0</v>
      </c>
    </row>
    <row r="867" spans="2:42" x14ac:dyDescent="0.15">
      <c r="B867" s="82" t="s">
        <v>626</v>
      </c>
      <c r="C867" s="61">
        <f>VLOOKUP(B867,[1]SYS!$F$5:$G$359,2,FALSE)</f>
        <v>73</v>
      </c>
      <c r="D867" s="1" t="s">
        <v>50</v>
      </c>
      <c r="E867" s="42" t="s">
        <v>223</v>
      </c>
      <c r="F867" s="42"/>
      <c r="G867" s="1">
        <v>7</v>
      </c>
      <c r="H867" s="1">
        <f t="shared" si="211"/>
        <v>0.40625</v>
      </c>
      <c r="I867" s="1">
        <f t="shared" si="212"/>
        <v>6.4000000000000001E-2</v>
      </c>
      <c r="J867" s="1">
        <f t="shared" si="210"/>
        <v>0</v>
      </c>
      <c r="K867" s="1">
        <f t="shared" si="213"/>
        <v>2.5701999999999998</v>
      </c>
      <c r="L867" s="1">
        <f t="shared" si="214"/>
        <v>1.9702200000000001</v>
      </c>
      <c r="M867" s="49">
        <f t="shared" si="215"/>
        <v>0.20468305362297609</v>
      </c>
      <c r="N867" s="49">
        <v>0.2112</v>
      </c>
      <c r="O867" s="1">
        <v>913</v>
      </c>
      <c r="P867" s="51">
        <v>0</v>
      </c>
      <c r="Q867" s="51">
        <v>11</v>
      </c>
      <c r="R867" s="51">
        <v>1</v>
      </c>
      <c r="S867" s="1">
        <v>1</v>
      </c>
      <c r="T867" s="1">
        <v>0</v>
      </c>
      <c r="U867" s="47">
        <v>0</v>
      </c>
      <c r="V867" s="47">
        <v>227</v>
      </c>
      <c r="W867" s="41">
        <v>26</v>
      </c>
      <c r="X867">
        <v>64</v>
      </c>
      <c r="Y867">
        <v>1</v>
      </c>
      <c r="Z867">
        <v>2570.1999999999998</v>
      </c>
      <c r="AA867">
        <v>1970.22</v>
      </c>
      <c r="AB867">
        <v>21.12</v>
      </c>
      <c r="AC867">
        <v>36</v>
      </c>
      <c r="AD867" s="41">
        <f t="shared" si="216"/>
        <v>0.3346043109485643</v>
      </c>
      <c r="AE867" s="41">
        <f t="shared" si="217"/>
        <v>0.43649947721574245</v>
      </c>
      <c r="AF867">
        <f t="shared" si="218"/>
        <v>1.559707368421053</v>
      </c>
      <c r="AG867">
        <f t="shared" si="219"/>
        <v>2.6272808421052618E-2</v>
      </c>
      <c r="AH867">
        <f t="shared" si="220"/>
        <v>0.2112</v>
      </c>
      <c r="AI867">
        <f>HLOOKUP(HLOOKUP(G867,'THP2'!$B$4:$J$8,5,FALSE),'Fuel &amp; Resister'!$B$3:$G$6,4,FALSE)</f>
        <v>2.7360666666666664</v>
      </c>
      <c r="AJ867" s="41">
        <f>HLOOKUP(HLOOKUP(G867,'THP2'!$B$4:$J$8,5,FALSE),'Fuel &amp; Resister'!$B$3:$G$6,3,FALSE)</f>
        <v>13.019</v>
      </c>
      <c r="AO867" s="1">
        <v>1</v>
      </c>
      <c r="AP867" s="62">
        <v>0</v>
      </c>
    </row>
    <row r="868" spans="2:42" x14ac:dyDescent="0.15">
      <c r="B868" s="82" t="s">
        <v>592</v>
      </c>
      <c r="C868" s="61">
        <f>VLOOKUP(B868,[1]SYS!$F$5:$G$359,2,FALSE)</f>
        <v>77</v>
      </c>
      <c r="D868" s="1" t="s">
        <v>50</v>
      </c>
      <c r="E868" s="42" t="s">
        <v>224</v>
      </c>
      <c r="F868" s="63" t="s">
        <v>504</v>
      </c>
      <c r="G868" s="1">
        <v>7</v>
      </c>
      <c r="H868" s="1">
        <f t="shared" si="211"/>
        <v>0.2982456140350877</v>
      </c>
      <c r="I868" s="1">
        <f t="shared" si="212"/>
        <v>0.114</v>
      </c>
      <c r="J868" s="1">
        <f t="shared" si="210"/>
        <v>0</v>
      </c>
      <c r="K868" s="1">
        <f t="shared" si="213"/>
        <v>2.59138</v>
      </c>
      <c r="L868" s="1">
        <f t="shared" si="214"/>
        <v>2.1621799999999998</v>
      </c>
      <c r="M868" s="49">
        <f t="shared" si="215"/>
        <v>0.40011412872521857</v>
      </c>
      <c r="N868" s="49">
        <v>0.37619999999999998</v>
      </c>
      <c r="O868" s="6">
        <v>302</v>
      </c>
      <c r="P868" s="51">
        <v>0</v>
      </c>
      <c r="Q868" s="51">
        <v>11</v>
      </c>
      <c r="R868" s="51">
        <v>1</v>
      </c>
      <c r="S868" s="1">
        <v>1</v>
      </c>
      <c r="T868" s="1">
        <v>0</v>
      </c>
      <c r="U868" s="47">
        <v>0</v>
      </c>
      <c r="V868" s="47">
        <v>228</v>
      </c>
      <c r="W868" s="41">
        <v>34</v>
      </c>
      <c r="X868">
        <v>114</v>
      </c>
      <c r="Y868">
        <v>1</v>
      </c>
      <c r="Z868">
        <v>2591.38</v>
      </c>
      <c r="AA868">
        <v>2162.1799999999998</v>
      </c>
      <c r="AB868">
        <v>37.619999999999997</v>
      </c>
      <c r="AC868">
        <v>46</v>
      </c>
      <c r="AD868" s="41">
        <f t="shared" si="216"/>
        <v>0.33186950582315211</v>
      </c>
      <c r="AE868" s="41">
        <f t="shared" si="217"/>
        <v>0.39774671858957167</v>
      </c>
      <c r="AF868">
        <f t="shared" si="218"/>
        <v>1.9797699999999998</v>
      </c>
      <c r="AG868">
        <f t="shared" si="219"/>
        <v>2.0794739999999996E-2</v>
      </c>
      <c r="AH868">
        <f t="shared" si="220"/>
        <v>0.37619999999999998</v>
      </c>
      <c r="AI868">
        <f>HLOOKUP(HLOOKUP(G868,'THP2'!$B$4:$J$8,5,FALSE),'Fuel &amp; Resister'!$B$3:$G$6,4,FALSE)</f>
        <v>2.7360666666666664</v>
      </c>
      <c r="AJ868" s="41">
        <f>HLOOKUP(HLOOKUP(G868,'THP2'!$B$4:$J$8,5,FALSE),'Fuel &amp; Resister'!$B$3:$G$6,3,FALSE)</f>
        <v>13.019</v>
      </c>
      <c r="AO868" s="1">
        <v>1</v>
      </c>
      <c r="AP868" s="62">
        <v>0</v>
      </c>
    </row>
    <row r="869" spans="2:42" x14ac:dyDescent="0.15">
      <c r="B869" s="82" t="s">
        <v>629</v>
      </c>
      <c r="C869" s="61">
        <f>VLOOKUP(B869,[1]SYS!$F$5:$G$359,2,FALSE)</f>
        <v>83</v>
      </c>
      <c r="D869" s="1" t="s">
        <v>50</v>
      </c>
      <c r="E869" s="65" t="s">
        <v>542</v>
      </c>
      <c r="F869" s="63" t="s">
        <v>560</v>
      </c>
      <c r="G869" s="1">
        <v>7</v>
      </c>
      <c r="H869" s="1">
        <f t="shared" si="211"/>
        <v>0.4</v>
      </c>
      <c r="I869" s="1">
        <v>10</v>
      </c>
      <c r="J869" s="1">
        <f t="shared" si="210"/>
        <v>1.8299999999999983E-2</v>
      </c>
      <c r="K869" s="1">
        <f t="shared" si="213"/>
        <v>2.04352</v>
      </c>
      <c r="L869" s="1">
        <f t="shared" si="214"/>
        <v>1.5664800000000001</v>
      </c>
      <c r="M869" s="49">
        <f t="shared" si="215"/>
        <v>25.427990738289989</v>
      </c>
      <c r="N869" s="49">
        <f>AB869/100</f>
        <v>1.6668000000000001</v>
      </c>
      <c r="O869" s="6">
        <v>504</v>
      </c>
      <c r="P869" s="51">
        <v>0.05</v>
      </c>
      <c r="Q869" s="51">
        <v>11</v>
      </c>
      <c r="R869" s="51">
        <v>1</v>
      </c>
      <c r="S869" s="1">
        <v>1</v>
      </c>
      <c r="T869" s="1">
        <v>0</v>
      </c>
      <c r="U869" s="47">
        <v>0</v>
      </c>
      <c r="V869" s="47"/>
      <c r="W869" s="41">
        <v>274</v>
      </c>
      <c r="X869">
        <v>685</v>
      </c>
      <c r="Y869">
        <v>0.98170000000000002</v>
      </c>
      <c r="Z869">
        <v>2043.52</v>
      </c>
      <c r="AA869">
        <v>1566.48</v>
      </c>
      <c r="AB869">
        <v>166.68</v>
      </c>
      <c r="AC869">
        <v>36</v>
      </c>
      <c r="AD869" s="41">
        <f t="shared" si="216"/>
        <v>0.42084246789852808</v>
      </c>
      <c r="AE869" s="41">
        <f t="shared" si="217"/>
        <v>0.54900158316735603</v>
      </c>
      <c r="AF869">
        <f t="shared" si="218"/>
        <v>1.2484533333333334</v>
      </c>
      <c r="AG869">
        <f t="shared" si="219"/>
        <v>3.1802666666666668</v>
      </c>
      <c r="AH869">
        <f t="shared" si="220"/>
        <v>1.6668000000000001</v>
      </c>
      <c r="AI869">
        <f>HLOOKUP(HLOOKUP(G869,'THP2'!$B$4:$J$8,5,FALSE),'Fuel &amp; Resister'!$B$3:$G$6,4,FALSE)</f>
        <v>2.7360666666666664</v>
      </c>
      <c r="AJ869" s="41">
        <f>HLOOKUP(HLOOKUP(G869,'THP2'!$B$4:$J$8,5,FALSE),'Fuel &amp; Resister'!$B$3:$G$6,3,FALSE)</f>
        <v>13.019</v>
      </c>
      <c r="AO869" s="1">
        <v>1</v>
      </c>
      <c r="AP869" s="62">
        <v>0</v>
      </c>
    </row>
    <row r="870" spans="2:42" x14ac:dyDescent="0.15">
      <c r="B870" s="82" t="s">
        <v>629</v>
      </c>
      <c r="C870" s="61">
        <f>VLOOKUP(B870,[1]SYS!$F$5:$G$359,2,FALSE)</f>
        <v>83</v>
      </c>
      <c r="D870" s="1" t="s">
        <v>50</v>
      </c>
      <c r="E870" s="65" t="s">
        <v>542</v>
      </c>
      <c r="F870" s="63" t="s">
        <v>561</v>
      </c>
      <c r="G870" s="1">
        <v>7</v>
      </c>
      <c r="H870" s="1">
        <f t="shared" si="211"/>
        <v>0.4</v>
      </c>
      <c r="I870" s="1">
        <f t="shared" ref="I870:I901" si="221">X870/1000</f>
        <v>0.68500000000000005</v>
      </c>
      <c r="J870" s="1">
        <f t="shared" si="210"/>
        <v>1.8299999999999983E-2</v>
      </c>
      <c r="K870" s="1">
        <f t="shared" si="213"/>
        <v>2.04352</v>
      </c>
      <c r="L870" s="1">
        <f t="shared" si="214"/>
        <v>1.5664800000000001</v>
      </c>
      <c r="M870" s="49">
        <f t="shared" si="215"/>
        <v>1.7418173655728639</v>
      </c>
      <c r="N870" s="49">
        <f t="shared" ref="N870:N892" si="222">AB870/100</f>
        <v>1.6668000000000001</v>
      </c>
      <c r="O870" s="6">
        <v>609</v>
      </c>
      <c r="P870" s="51">
        <v>0.05</v>
      </c>
      <c r="Q870" s="51">
        <v>11</v>
      </c>
      <c r="R870" s="51">
        <v>1</v>
      </c>
      <c r="S870" s="1">
        <v>1</v>
      </c>
      <c r="T870" s="1">
        <v>0</v>
      </c>
      <c r="U870" s="47">
        <v>0</v>
      </c>
      <c r="V870" s="47"/>
      <c r="W870" s="41">
        <v>274</v>
      </c>
      <c r="X870">
        <v>685</v>
      </c>
      <c r="Y870">
        <v>0.98170000000000002</v>
      </c>
      <c r="Z870">
        <v>2043.52</v>
      </c>
      <c r="AA870">
        <v>1566.48</v>
      </c>
      <c r="AB870">
        <v>166.68</v>
      </c>
      <c r="AC870">
        <v>36</v>
      </c>
      <c r="AD870" s="41">
        <f t="shared" si="216"/>
        <v>0.42084246789852808</v>
      </c>
      <c r="AE870" s="41">
        <f t="shared" si="217"/>
        <v>0.54900158316735603</v>
      </c>
      <c r="AF870">
        <f t="shared" si="218"/>
        <v>1.2484533333333334</v>
      </c>
      <c r="AG870">
        <f t="shared" si="219"/>
        <v>0.21784826666666668</v>
      </c>
      <c r="AH870">
        <f t="shared" si="220"/>
        <v>1.6668000000000001</v>
      </c>
      <c r="AI870">
        <f>HLOOKUP(HLOOKUP(G870,'THP2'!$B$4:$J$8,5,FALSE),'Fuel &amp; Resister'!$B$3:$G$6,4,FALSE)</f>
        <v>2.7360666666666664</v>
      </c>
      <c r="AJ870" s="41">
        <f>HLOOKUP(HLOOKUP(G870,'THP2'!$B$4:$J$8,5,FALSE),'Fuel &amp; Resister'!$B$3:$G$6,3,FALSE)</f>
        <v>13.019</v>
      </c>
      <c r="AO870" s="1">
        <v>1</v>
      </c>
      <c r="AP870" s="62">
        <v>0</v>
      </c>
    </row>
    <row r="871" spans="2:42" x14ac:dyDescent="0.15">
      <c r="B871" s="82" t="s">
        <v>629</v>
      </c>
      <c r="C871" s="61">
        <f>VLOOKUP(B871,[1]SYS!$F$5:$G$359,2,FALSE)</f>
        <v>83</v>
      </c>
      <c r="D871" s="1" t="s">
        <v>50</v>
      </c>
      <c r="E871" s="65" t="s">
        <v>542</v>
      </c>
      <c r="F871" s="63" t="s">
        <v>561</v>
      </c>
      <c r="G871" s="1">
        <v>7</v>
      </c>
      <c r="H871" s="1">
        <f t="shared" si="211"/>
        <v>0.4</v>
      </c>
      <c r="I871" s="1">
        <f t="shared" si="221"/>
        <v>0.68500000000000005</v>
      </c>
      <c r="J871" s="1">
        <f t="shared" si="210"/>
        <v>1.8299999999999983E-2</v>
      </c>
      <c r="K871" s="1">
        <f t="shared" si="213"/>
        <v>2.04352</v>
      </c>
      <c r="L871" s="1">
        <f t="shared" si="214"/>
        <v>1.5664800000000001</v>
      </c>
      <c r="M871" s="49">
        <f t="shared" si="215"/>
        <v>1.7418173655728639</v>
      </c>
      <c r="N871" s="49">
        <f t="shared" si="222"/>
        <v>1.6668000000000001</v>
      </c>
      <c r="O871" s="6">
        <v>403</v>
      </c>
      <c r="P871" s="51">
        <v>0.05</v>
      </c>
      <c r="Q871" s="51">
        <v>11</v>
      </c>
      <c r="R871" s="51">
        <v>1</v>
      </c>
      <c r="S871" s="1">
        <v>1</v>
      </c>
      <c r="T871" s="1">
        <v>0</v>
      </c>
      <c r="U871" s="47">
        <v>0</v>
      </c>
      <c r="V871" s="47"/>
      <c r="W871" s="41">
        <v>274</v>
      </c>
      <c r="X871">
        <v>685</v>
      </c>
      <c r="Y871">
        <v>0.98170000000000002</v>
      </c>
      <c r="Z871">
        <v>2043.52</v>
      </c>
      <c r="AA871">
        <v>1566.48</v>
      </c>
      <c r="AB871">
        <v>166.68</v>
      </c>
      <c r="AC871">
        <v>36</v>
      </c>
      <c r="AD871" s="41">
        <f t="shared" si="216"/>
        <v>0.42084246789852808</v>
      </c>
      <c r="AE871" s="41">
        <f t="shared" si="217"/>
        <v>0.54900158316735603</v>
      </c>
      <c r="AF871">
        <f t="shared" si="218"/>
        <v>1.2484533333333334</v>
      </c>
      <c r="AG871">
        <f t="shared" si="219"/>
        <v>0.21784826666666668</v>
      </c>
      <c r="AH871">
        <f t="shared" si="220"/>
        <v>1.6668000000000001</v>
      </c>
      <c r="AI871">
        <f>HLOOKUP(HLOOKUP(G871,'THP2'!$B$4:$J$8,5,FALSE),'Fuel &amp; Resister'!$B$3:$G$6,4,FALSE)</f>
        <v>2.7360666666666664</v>
      </c>
      <c r="AJ871" s="41">
        <f>HLOOKUP(HLOOKUP(G871,'THP2'!$B$4:$J$8,5,FALSE),'Fuel &amp; Resister'!$B$3:$G$6,3,FALSE)</f>
        <v>13.019</v>
      </c>
      <c r="AO871" s="1">
        <v>1</v>
      </c>
      <c r="AP871" s="62">
        <v>0</v>
      </c>
    </row>
    <row r="872" spans="2:42" x14ac:dyDescent="0.15">
      <c r="B872" s="82" t="s">
        <v>629</v>
      </c>
      <c r="C872" s="61">
        <f>VLOOKUP(B872,[1]SYS!$F$5:$G$359,2,FALSE)</f>
        <v>83</v>
      </c>
      <c r="D872" s="1" t="s">
        <v>50</v>
      </c>
      <c r="E872" s="65" t="s">
        <v>542</v>
      </c>
      <c r="F872" s="63" t="s">
        <v>561</v>
      </c>
      <c r="G872" s="1">
        <v>7</v>
      </c>
      <c r="H872" s="1">
        <f t="shared" si="211"/>
        <v>0.4</v>
      </c>
      <c r="I872" s="1">
        <f t="shared" si="221"/>
        <v>0.68500000000000005</v>
      </c>
      <c r="J872" s="1">
        <f t="shared" si="210"/>
        <v>1.8299999999999983E-2</v>
      </c>
      <c r="K872" s="1">
        <f t="shared" si="213"/>
        <v>2.04352</v>
      </c>
      <c r="L872" s="1">
        <f t="shared" si="214"/>
        <v>1.5664800000000001</v>
      </c>
      <c r="M872" s="49">
        <f t="shared" si="215"/>
        <v>1.7418173655728639</v>
      </c>
      <c r="N872" s="49">
        <f t="shared" si="222"/>
        <v>1.6668000000000001</v>
      </c>
      <c r="O872" s="6">
        <v>509</v>
      </c>
      <c r="P872" s="51">
        <v>0.05</v>
      </c>
      <c r="Q872" s="51">
        <v>11</v>
      </c>
      <c r="R872" s="51">
        <v>1</v>
      </c>
      <c r="S872" s="1">
        <v>1</v>
      </c>
      <c r="T872" s="1">
        <v>0</v>
      </c>
      <c r="U872" s="47">
        <v>0</v>
      </c>
      <c r="V872" s="47"/>
      <c r="W872" s="41">
        <v>274</v>
      </c>
      <c r="X872">
        <v>685</v>
      </c>
      <c r="Y872">
        <v>0.98170000000000002</v>
      </c>
      <c r="Z872">
        <v>2043.52</v>
      </c>
      <c r="AA872">
        <v>1566.48</v>
      </c>
      <c r="AB872">
        <v>166.68</v>
      </c>
      <c r="AC872">
        <v>36</v>
      </c>
      <c r="AD872" s="41">
        <f t="shared" si="216"/>
        <v>0.42084246789852808</v>
      </c>
      <c r="AE872" s="41">
        <f t="shared" si="217"/>
        <v>0.54900158316735603</v>
      </c>
      <c r="AF872">
        <f t="shared" si="218"/>
        <v>1.2484533333333334</v>
      </c>
      <c r="AG872">
        <f t="shared" si="219"/>
        <v>0.21784826666666668</v>
      </c>
      <c r="AH872">
        <f t="shared" si="220"/>
        <v>1.6668000000000001</v>
      </c>
      <c r="AI872">
        <f>HLOOKUP(HLOOKUP(G872,'THP2'!$B$4:$J$8,5,FALSE),'Fuel &amp; Resister'!$B$3:$G$6,4,FALSE)</f>
        <v>2.7360666666666664</v>
      </c>
      <c r="AJ872" s="41">
        <f>HLOOKUP(HLOOKUP(G872,'THP2'!$B$4:$J$8,5,FALSE),'Fuel &amp; Resister'!$B$3:$G$6,3,FALSE)</f>
        <v>13.019</v>
      </c>
      <c r="AO872" s="1">
        <v>1</v>
      </c>
      <c r="AP872" s="62">
        <v>0</v>
      </c>
    </row>
    <row r="873" spans="2:42" x14ac:dyDescent="0.15">
      <c r="B873" s="82" t="s">
        <v>629</v>
      </c>
      <c r="C873" s="61">
        <f>VLOOKUP(B873,[1]SYS!$F$5:$G$359,2,FALSE)</f>
        <v>83</v>
      </c>
      <c r="D873" s="1" t="s">
        <v>50</v>
      </c>
      <c r="E873" s="65" t="s">
        <v>542</v>
      </c>
      <c r="F873" s="63" t="s">
        <v>561</v>
      </c>
      <c r="G873" s="1">
        <v>7</v>
      </c>
      <c r="H873" s="1">
        <f t="shared" si="211"/>
        <v>0.4</v>
      </c>
      <c r="I873" s="1">
        <f t="shared" si="221"/>
        <v>0.68500000000000005</v>
      </c>
      <c r="J873" s="1">
        <f t="shared" si="210"/>
        <v>1.8299999999999983E-2</v>
      </c>
      <c r="K873" s="1">
        <f t="shared" si="213"/>
        <v>2.04352</v>
      </c>
      <c r="L873" s="1">
        <f t="shared" si="214"/>
        <v>1.5664800000000001</v>
      </c>
      <c r="M873" s="49">
        <f t="shared" si="215"/>
        <v>1.7418173655728639</v>
      </c>
      <c r="N873" s="49">
        <f t="shared" si="222"/>
        <v>1.6668000000000001</v>
      </c>
      <c r="O873" s="6">
        <v>504</v>
      </c>
      <c r="P873" s="51">
        <v>0.05</v>
      </c>
      <c r="Q873" s="51">
        <v>11</v>
      </c>
      <c r="R873" s="51">
        <v>1</v>
      </c>
      <c r="S873" s="1">
        <v>1</v>
      </c>
      <c r="T873" s="1">
        <v>0</v>
      </c>
      <c r="U873" s="47">
        <v>0</v>
      </c>
      <c r="V873" s="47"/>
      <c r="W873" s="41">
        <v>274</v>
      </c>
      <c r="X873">
        <v>685</v>
      </c>
      <c r="Y873">
        <v>0.98170000000000002</v>
      </c>
      <c r="Z873">
        <v>2043.52</v>
      </c>
      <c r="AA873">
        <v>1566.48</v>
      </c>
      <c r="AB873">
        <v>166.68</v>
      </c>
      <c r="AC873">
        <v>36</v>
      </c>
      <c r="AD873" s="41">
        <f t="shared" si="216"/>
        <v>0.42084246789852808</v>
      </c>
      <c r="AE873" s="41">
        <f t="shared" si="217"/>
        <v>0.54900158316735603</v>
      </c>
      <c r="AF873">
        <f t="shared" si="218"/>
        <v>1.2484533333333334</v>
      </c>
      <c r="AG873">
        <f t="shared" si="219"/>
        <v>0.21784826666666668</v>
      </c>
      <c r="AH873">
        <f t="shared" si="220"/>
        <v>1.6668000000000001</v>
      </c>
      <c r="AI873">
        <f>HLOOKUP(HLOOKUP(G873,'THP2'!$B$4:$J$8,5,FALSE),'Fuel &amp; Resister'!$B$3:$G$6,4,FALSE)</f>
        <v>2.7360666666666664</v>
      </c>
      <c r="AJ873" s="41">
        <f>HLOOKUP(HLOOKUP(G873,'THP2'!$B$4:$J$8,5,FALSE),'Fuel &amp; Resister'!$B$3:$G$6,3,FALSE)</f>
        <v>13.019</v>
      </c>
      <c r="AO873" s="1">
        <v>1</v>
      </c>
      <c r="AP873" s="62">
        <v>0</v>
      </c>
    </row>
    <row r="874" spans="2:42" x14ac:dyDescent="0.15">
      <c r="B874" s="82" t="s">
        <v>629</v>
      </c>
      <c r="C874" s="61">
        <f>VLOOKUP(B874,[1]SYS!$F$5:$G$359,2,FALSE)</f>
        <v>83</v>
      </c>
      <c r="D874" s="1" t="s">
        <v>50</v>
      </c>
      <c r="E874" s="65" t="s">
        <v>542</v>
      </c>
      <c r="F874" s="63" t="s">
        <v>561</v>
      </c>
      <c r="G874" s="1">
        <v>7</v>
      </c>
      <c r="H874" s="1">
        <f t="shared" si="211"/>
        <v>0.4</v>
      </c>
      <c r="I874" s="1">
        <f t="shared" si="221"/>
        <v>0.68500000000000005</v>
      </c>
      <c r="J874" s="1">
        <f t="shared" si="210"/>
        <v>1.8299999999999983E-2</v>
      </c>
      <c r="K874" s="1">
        <f t="shared" si="213"/>
        <v>2.04352</v>
      </c>
      <c r="L874" s="1">
        <f t="shared" si="214"/>
        <v>1.5664800000000001</v>
      </c>
      <c r="M874" s="49">
        <f t="shared" si="215"/>
        <v>1.7418173655728639</v>
      </c>
      <c r="N874" s="49">
        <f t="shared" si="222"/>
        <v>1.6668000000000001</v>
      </c>
      <c r="O874" s="6">
        <v>609</v>
      </c>
      <c r="P874" s="51">
        <v>0.05</v>
      </c>
      <c r="Q874" s="51">
        <v>11</v>
      </c>
      <c r="R874" s="51">
        <v>1</v>
      </c>
      <c r="S874" s="1">
        <v>1</v>
      </c>
      <c r="T874" s="1">
        <v>0</v>
      </c>
      <c r="U874" s="47">
        <v>0</v>
      </c>
      <c r="V874" s="47"/>
      <c r="W874" s="41">
        <v>274</v>
      </c>
      <c r="X874">
        <v>685</v>
      </c>
      <c r="Y874">
        <v>0.98170000000000002</v>
      </c>
      <c r="Z874">
        <v>2043.52</v>
      </c>
      <c r="AA874">
        <v>1566.48</v>
      </c>
      <c r="AB874">
        <v>166.68</v>
      </c>
      <c r="AC874">
        <v>36</v>
      </c>
      <c r="AD874" s="41">
        <f t="shared" si="216"/>
        <v>0.42084246789852808</v>
      </c>
      <c r="AE874" s="41">
        <f t="shared" si="217"/>
        <v>0.54900158316735603</v>
      </c>
      <c r="AF874">
        <f t="shared" si="218"/>
        <v>1.2484533333333334</v>
      </c>
      <c r="AG874">
        <f t="shared" si="219"/>
        <v>0.21784826666666668</v>
      </c>
      <c r="AH874">
        <f t="shared" si="220"/>
        <v>1.6668000000000001</v>
      </c>
      <c r="AI874">
        <f>HLOOKUP(HLOOKUP(G874,'THP2'!$B$4:$J$8,5,FALSE),'Fuel &amp; Resister'!$B$3:$G$6,4,FALSE)</f>
        <v>2.7360666666666664</v>
      </c>
      <c r="AJ874" s="41">
        <f>HLOOKUP(HLOOKUP(G874,'THP2'!$B$4:$J$8,5,FALSE),'Fuel &amp; Resister'!$B$3:$G$6,3,FALSE)</f>
        <v>13.019</v>
      </c>
      <c r="AO874" s="1">
        <v>1</v>
      </c>
      <c r="AP874" s="62">
        <v>0</v>
      </c>
    </row>
    <row r="875" spans="2:42" x14ac:dyDescent="0.15">
      <c r="B875" s="82" t="s">
        <v>629</v>
      </c>
      <c r="C875" s="61">
        <f>VLOOKUP(B875,[1]SYS!$F$5:$G$359,2,FALSE)</f>
        <v>83</v>
      </c>
      <c r="D875" s="1" t="s">
        <v>50</v>
      </c>
      <c r="E875" s="65" t="s">
        <v>542</v>
      </c>
      <c r="F875" s="63" t="s">
        <v>561</v>
      </c>
      <c r="G875" s="1">
        <v>7</v>
      </c>
      <c r="H875" s="1">
        <f t="shared" si="211"/>
        <v>0.4</v>
      </c>
      <c r="I875" s="1">
        <f t="shared" si="221"/>
        <v>0.68500000000000005</v>
      </c>
      <c r="J875" s="1">
        <f t="shared" si="210"/>
        <v>1.8299999999999983E-2</v>
      </c>
      <c r="K875" s="1">
        <f t="shared" si="213"/>
        <v>2.04352</v>
      </c>
      <c r="L875" s="1">
        <f t="shared" si="214"/>
        <v>1.5664800000000001</v>
      </c>
      <c r="M875" s="49">
        <f t="shared" si="215"/>
        <v>1.7418173655728639</v>
      </c>
      <c r="N875" s="49">
        <f t="shared" si="222"/>
        <v>1.6668000000000001</v>
      </c>
      <c r="O875" s="6">
        <v>403</v>
      </c>
      <c r="P875" s="51">
        <v>0.05</v>
      </c>
      <c r="Q875" s="51">
        <v>11</v>
      </c>
      <c r="R875" s="51">
        <v>1</v>
      </c>
      <c r="S875" s="1">
        <v>1</v>
      </c>
      <c r="T875" s="1">
        <v>0</v>
      </c>
      <c r="U875" s="47">
        <v>0</v>
      </c>
      <c r="V875" s="47"/>
      <c r="W875" s="41">
        <v>274</v>
      </c>
      <c r="X875">
        <v>685</v>
      </c>
      <c r="Y875">
        <v>0.98170000000000002</v>
      </c>
      <c r="Z875">
        <v>2043.52</v>
      </c>
      <c r="AA875">
        <v>1566.48</v>
      </c>
      <c r="AB875">
        <v>166.68</v>
      </c>
      <c r="AC875">
        <v>36</v>
      </c>
      <c r="AD875" s="41">
        <f t="shared" si="216"/>
        <v>0.42084246789852808</v>
      </c>
      <c r="AE875" s="41">
        <f t="shared" si="217"/>
        <v>0.54900158316735603</v>
      </c>
      <c r="AF875">
        <f t="shared" si="218"/>
        <v>1.2484533333333334</v>
      </c>
      <c r="AG875">
        <f t="shared" si="219"/>
        <v>0.21784826666666668</v>
      </c>
      <c r="AH875">
        <f t="shared" si="220"/>
        <v>1.6668000000000001</v>
      </c>
      <c r="AI875">
        <f>HLOOKUP(HLOOKUP(G875,'THP2'!$B$4:$J$8,5,FALSE),'Fuel &amp; Resister'!$B$3:$G$6,4,FALSE)</f>
        <v>2.7360666666666664</v>
      </c>
      <c r="AJ875" s="41">
        <f>HLOOKUP(HLOOKUP(G875,'THP2'!$B$4:$J$8,5,FALSE),'Fuel &amp; Resister'!$B$3:$G$6,3,FALSE)</f>
        <v>13.019</v>
      </c>
      <c r="AO875" s="1">
        <v>1</v>
      </c>
      <c r="AP875" s="62">
        <v>0</v>
      </c>
    </row>
    <row r="876" spans="2:42" x14ac:dyDescent="0.15">
      <c r="B876" s="82" t="s">
        <v>629</v>
      </c>
      <c r="C876" s="61">
        <f>VLOOKUP(B876,[1]SYS!$F$5:$G$359,2,FALSE)</f>
        <v>83</v>
      </c>
      <c r="D876" s="1" t="s">
        <v>50</v>
      </c>
      <c r="E876" s="65" t="s">
        <v>542</v>
      </c>
      <c r="F876" s="63" t="s">
        <v>561</v>
      </c>
      <c r="G876" s="1">
        <v>7</v>
      </c>
      <c r="H876" s="1">
        <f t="shared" si="211"/>
        <v>0.4</v>
      </c>
      <c r="I876" s="1">
        <f t="shared" si="221"/>
        <v>0.68500000000000005</v>
      </c>
      <c r="J876" s="1">
        <f t="shared" si="210"/>
        <v>1.8299999999999983E-2</v>
      </c>
      <c r="K876" s="1">
        <f t="shared" si="213"/>
        <v>2.04352</v>
      </c>
      <c r="L876" s="1">
        <f t="shared" si="214"/>
        <v>1.5664800000000001</v>
      </c>
      <c r="M876" s="49">
        <f t="shared" si="215"/>
        <v>1.7418173655728639</v>
      </c>
      <c r="N876" s="49">
        <f t="shared" si="222"/>
        <v>1.6668000000000001</v>
      </c>
      <c r="O876" s="6">
        <v>509</v>
      </c>
      <c r="P876" s="51">
        <v>0.05</v>
      </c>
      <c r="Q876" s="51">
        <v>11</v>
      </c>
      <c r="R876" s="51">
        <v>1</v>
      </c>
      <c r="S876" s="1">
        <v>1</v>
      </c>
      <c r="T876" s="1">
        <v>0</v>
      </c>
      <c r="U876" s="47">
        <v>0</v>
      </c>
      <c r="V876" s="47"/>
      <c r="W876" s="41">
        <v>274</v>
      </c>
      <c r="X876">
        <v>685</v>
      </c>
      <c r="Y876">
        <v>0.98170000000000002</v>
      </c>
      <c r="Z876">
        <v>2043.52</v>
      </c>
      <c r="AA876">
        <v>1566.48</v>
      </c>
      <c r="AB876">
        <v>166.68</v>
      </c>
      <c r="AC876">
        <v>36</v>
      </c>
      <c r="AD876" s="41">
        <f t="shared" si="216"/>
        <v>0.42084246789852808</v>
      </c>
      <c r="AE876" s="41">
        <f t="shared" si="217"/>
        <v>0.54900158316735603</v>
      </c>
      <c r="AF876">
        <f t="shared" si="218"/>
        <v>1.2484533333333334</v>
      </c>
      <c r="AG876">
        <f t="shared" si="219"/>
        <v>0.21784826666666668</v>
      </c>
      <c r="AH876">
        <f t="shared" si="220"/>
        <v>1.6668000000000001</v>
      </c>
      <c r="AI876">
        <f>HLOOKUP(HLOOKUP(G876,'THP2'!$B$4:$J$8,5,FALSE),'Fuel &amp; Resister'!$B$3:$G$6,4,FALSE)</f>
        <v>2.7360666666666664</v>
      </c>
      <c r="AJ876" s="41">
        <f>HLOOKUP(HLOOKUP(G876,'THP2'!$B$4:$J$8,5,FALSE),'Fuel &amp; Resister'!$B$3:$G$6,3,FALSE)</f>
        <v>13.019</v>
      </c>
      <c r="AO876" s="1">
        <v>1</v>
      </c>
      <c r="AP876" s="62">
        <v>0</v>
      </c>
    </row>
    <row r="877" spans="2:42" x14ac:dyDescent="0.15">
      <c r="B877" s="82" t="s">
        <v>629</v>
      </c>
      <c r="C877" s="61">
        <f>VLOOKUP(B877,[1]SYS!$F$5:$G$359,2,FALSE)</f>
        <v>83</v>
      </c>
      <c r="D877" s="1" t="s">
        <v>50</v>
      </c>
      <c r="E877" s="65" t="s">
        <v>542</v>
      </c>
      <c r="F877" s="63" t="s">
        <v>561</v>
      </c>
      <c r="G877" s="1">
        <v>7</v>
      </c>
      <c r="H877" s="1">
        <f t="shared" si="211"/>
        <v>0.4</v>
      </c>
      <c r="I877" s="1">
        <f t="shared" si="221"/>
        <v>0.68500000000000005</v>
      </c>
      <c r="J877" s="1">
        <f t="shared" si="210"/>
        <v>1.8299999999999983E-2</v>
      </c>
      <c r="K877" s="1">
        <f t="shared" si="213"/>
        <v>2.04352</v>
      </c>
      <c r="L877" s="1">
        <f t="shared" si="214"/>
        <v>1.5664800000000001</v>
      </c>
      <c r="M877" s="49">
        <f t="shared" si="215"/>
        <v>1.7418173655728639</v>
      </c>
      <c r="N877" s="49">
        <f t="shared" si="222"/>
        <v>1.6668000000000001</v>
      </c>
      <c r="O877" s="6">
        <v>504</v>
      </c>
      <c r="P877" s="51">
        <v>0.05</v>
      </c>
      <c r="Q877" s="51">
        <v>11</v>
      </c>
      <c r="R877" s="51">
        <v>1</v>
      </c>
      <c r="S877" s="1">
        <v>1</v>
      </c>
      <c r="T877" s="1">
        <v>0</v>
      </c>
      <c r="U877" s="47">
        <v>0</v>
      </c>
      <c r="V877" s="47"/>
      <c r="W877" s="41">
        <v>274</v>
      </c>
      <c r="X877">
        <v>685</v>
      </c>
      <c r="Y877">
        <v>0.98170000000000002</v>
      </c>
      <c r="Z877">
        <v>2043.52</v>
      </c>
      <c r="AA877">
        <v>1566.48</v>
      </c>
      <c r="AB877">
        <v>166.68</v>
      </c>
      <c r="AC877">
        <v>36</v>
      </c>
      <c r="AD877" s="41">
        <f t="shared" si="216"/>
        <v>0.42084246789852808</v>
      </c>
      <c r="AE877" s="41">
        <f t="shared" si="217"/>
        <v>0.54900158316735603</v>
      </c>
      <c r="AF877">
        <f t="shared" si="218"/>
        <v>1.2484533333333334</v>
      </c>
      <c r="AG877">
        <f t="shared" si="219"/>
        <v>0.21784826666666668</v>
      </c>
      <c r="AH877">
        <f t="shared" si="220"/>
        <v>1.6668000000000001</v>
      </c>
      <c r="AI877">
        <f>HLOOKUP(HLOOKUP(G877,'THP2'!$B$4:$J$8,5,FALSE),'Fuel &amp; Resister'!$B$3:$G$6,4,FALSE)</f>
        <v>2.7360666666666664</v>
      </c>
      <c r="AJ877" s="41">
        <f>HLOOKUP(HLOOKUP(G877,'THP2'!$B$4:$J$8,5,FALSE),'Fuel &amp; Resister'!$B$3:$G$6,3,FALSE)</f>
        <v>13.019</v>
      </c>
      <c r="AO877" s="1">
        <v>1</v>
      </c>
      <c r="AP877" s="62">
        <v>0</v>
      </c>
    </row>
    <row r="878" spans="2:42" x14ac:dyDescent="0.15">
      <c r="B878" s="82" t="s">
        <v>629</v>
      </c>
      <c r="C878" s="61">
        <f>VLOOKUP(B878,[1]SYS!$F$5:$G$359,2,FALSE)</f>
        <v>83</v>
      </c>
      <c r="D878" s="1" t="s">
        <v>50</v>
      </c>
      <c r="E878" s="65" t="s">
        <v>542</v>
      </c>
      <c r="F878" s="63" t="s">
        <v>561</v>
      </c>
      <c r="G878" s="1">
        <v>7</v>
      </c>
      <c r="H878" s="1">
        <f t="shared" si="211"/>
        <v>0.4</v>
      </c>
      <c r="I878" s="1">
        <f t="shared" si="221"/>
        <v>0.68500000000000005</v>
      </c>
      <c r="J878" s="1">
        <f t="shared" si="210"/>
        <v>1.8299999999999983E-2</v>
      </c>
      <c r="K878" s="1">
        <f t="shared" si="213"/>
        <v>2.04352</v>
      </c>
      <c r="L878" s="1">
        <f t="shared" si="214"/>
        <v>1.5664800000000001</v>
      </c>
      <c r="M878" s="49">
        <f t="shared" si="215"/>
        <v>1.7418173655728639</v>
      </c>
      <c r="N878" s="49">
        <f t="shared" si="222"/>
        <v>1.6668000000000001</v>
      </c>
      <c r="O878" s="6">
        <v>609</v>
      </c>
      <c r="P878" s="51">
        <v>0.05</v>
      </c>
      <c r="Q878" s="51">
        <v>11</v>
      </c>
      <c r="R878" s="51">
        <v>1</v>
      </c>
      <c r="S878" s="1">
        <v>1</v>
      </c>
      <c r="T878" s="1">
        <v>0</v>
      </c>
      <c r="U878" s="47">
        <v>0</v>
      </c>
      <c r="V878" s="47"/>
      <c r="W878" s="41">
        <v>274</v>
      </c>
      <c r="X878">
        <v>685</v>
      </c>
      <c r="Y878">
        <v>0.98170000000000002</v>
      </c>
      <c r="Z878">
        <v>2043.52</v>
      </c>
      <c r="AA878">
        <v>1566.48</v>
      </c>
      <c r="AB878">
        <v>166.68</v>
      </c>
      <c r="AC878">
        <v>36</v>
      </c>
      <c r="AD878" s="41">
        <f t="shared" si="216"/>
        <v>0.42084246789852808</v>
      </c>
      <c r="AE878" s="41">
        <f t="shared" si="217"/>
        <v>0.54900158316735603</v>
      </c>
      <c r="AF878">
        <f t="shared" si="218"/>
        <v>1.2484533333333334</v>
      </c>
      <c r="AG878">
        <f t="shared" si="219"/>
        <v>0.21784826666666668</v>
      </c>
      <c r="AH878">
        <f t="shared" si="220"/>
        <v>1.6668000000000001</v>
      </c>
      <c r="AI878">
        <f>HLOOKUP(HLOOKUP(G878,'THP2'!$B$4:$J$8,5,FALSE),'Fuel &amp; Resister'!$B$3:$G$6,4,FALSE)</f>
        <v>2.7360666666666664</v>
      </c>
      <c r="AJ878" s="41">
        <f>HLOOKUP(HLOOKUP(G878,'THP2'!$B$4:$J$8,5,FALSE),'Fuel &amp; Resister'!$B$3:$G$6,3,FALSE)</f>
        <v>13.019</v>
      </c>
      <c r="AO878" s="1">
        <v>1</v>
      </c>
      <c r="AP878" s="62">
        <v>0</v>
      </c>
    </row>
    <row r="879" spans="2:42" x14ac:dyDescent="0.15">
      <c r="B879" s="82" t="s">
        <v>629</v>
      </c>
      <c r="C879" s="61">
        <f>VLOOKUP(B879,[1]SYS!$F$5:$G$359,2,FALSE)</f>
        <v>83</v>
      </c>
      <c r="D879" s="1" t="s">
        <v>50</v>
      </c>
      <c r="E879" s="65" t="s">
        <v>542</v>
      </c>
      <c r="F879" s="63" t="s">
        <v>561</v>
      </c>
      <c r="G879" s="1">
        <v>7</v>
      </c>
      <c r="H879" s="1">
        <f t="shared" si="211"/>
        <v>0.4</v>
      </c>
      <c r="I879" s="1">
        <f t="shared" si="221"/>
        <v>0.68500000000000005</v>
      </c>
      <c r="J879" s="1">
        <f t="shared" si="210"/>
        <v>1.8299999999999983E-2</v>
      </c>
      <c r="K879" s="1">
        <f t="shared" si="213"/>
        <v>2.04352</v>
      </c>
      <c r="L879" s="1">
        <f t="shared" si="214"/>
        <v>1.5664800000000001</v>
      </c>
      <c r="M879" s="49">
        <f t="shared" si="215"/>
        <v>1.7418173655728639</v>
      </c>
      <c r="N879" s="49">
        <f t="shared" si="222"/>
        <v>1.6668000000000001</v>
      </c>
      <c r="O879" s="6">
        <v>403</v>
      </c>
      <c r="P879" s="51">
        <v>0.05</v>
      </c>
      <c r="Q879" s="51">
        <v>11</v>
      </c>
      <c r="R879" s="51">
        <v>1</v>
      </c>
      <c r="S879" s="1">
        <v>1</v>
      </c>
      <c r="T879" s="1">
        <v>0</v>
      </c>
      <c r="U879" s="47">
        <v>0</v>
      </c>
      <c r="V879" s="47"/>
      <c r="W879" s="41">
        <v>274</v>
      </c>
      <c r="X879">
        <v>685</v>
      </c>
      <c r="Y879">
        <v>0.98170000000000002</v>
      </c>
      <c r="Z879">
        <v>2043.52</v>
      </c>
      <c r="AA879">
        <v>1566.48</v>
      </c>
      <c r="AB879">
        <v>166.68</v>
      </c>
      <c r="AC879">
        <v>36</v>
      </c>
      <c r="AD879" s="41">
        <f t="shared" si="216"/>
        <v>0.42084246789852808</v>
      </c>
      <c r="AE879" s="41">
        <f t="shared" si="217"/>
        <v>0.54900158316735603</v>
      </c>
      <c r="AF879">
        <f t="shared" si="218"/>
        <v>1.2484533333333334</v>
      </c>
      <c r="AG879">
        <f t="shared" si="219"/>
        <v>0.21784826666666668</v>
      </c>
      <c r="AH879">
        <f t="shared" si="220"/>
        <v>1.6668000000000001</v>
      </c>
      <c r="AI879">
        <f>HLOOKUP(HLOOKUP(G879,'THP2'!$B$4:$J$8,5,FALSE),'Fuel &amp; Resister'!$B$3:$G$6,4,FALSE)</f>
        <v>2.7360666666666664</v>
      </c>
      <c r="AJ879" s="41">
        <f>HLOOKUP(HLOOKUP(G879,'THP2'!$B$4:$J$8,5,FALSE),'Fuel &amp; Resister'!$B$3:$G$6,3,FALSE)</f>
        <v>13.019</v>
      </c>
      <c r="AO879" s="1">
        <v>1</v>
      </c>
      <c r="AP879" s="62">
        <v>0</v>
      </c>
    </row>
    <row r="880" spans="2:42" x14ac:dyDescent="0.15">
      <c r="B880" s="82" t="s">
        <v>629</v>
      </c>
      <c r="C880" s="61">
        <f>VLOOKUP(B880,[1]SYS!$F$5:$G$359,2,FALSE)</f>
        <v>83</v>
      </c>
      <c r="D880" s="1" t="s">
        <v>50</v>
      </c>
      <c r="E880" s="65" t="s">
        <v>542</v>
      </c>
      <c r="F880" s="63" t="s">
        <v>561</v>
      </c>
      <c r="G880" s="1">
        <v>7</v>
      </c>
      <c r="H880" s="1">
        <f t="shared" si="211"/>
        <v>0.4</v>
      </c>
      <c r="I880" s="1">
        <f t="shared" si="221"/>
        <v>0.68500000000000005</v>
      </c>
      <c r="J880" s="1">
        <f t="shared" si="210"/>
        <v>1.8299999999999983E-2</v>
      </c>
      <c r="K880" s="1">
        <f t="shared" si="213"/>
        <v>2.04352</v>
      </c>
      <c r="L880" s="1">
        <f t="shared" si="214"/>
        <v>1.5664800000000001</v>
      </c>
      <c r="M880" s="49">
        <f t="shared" si="215"/>
        <v>1.7418173655728639</v>
      </c>
      <c r="N880" s="49">
        <f t="shared" si="222"/>
        <v>1.6668000000000001</v>
      </c>
      <c r="O880" s="6">
        <v>509</v>
      </c>
      <c r="P880" s="51">
        <v>0.05</v>
      </c>
      <c r="Q880" s="51">
        <v>11</v>
      </c>
      <c r="R880" s="51">
        <v>1</v>
      </c>
      <c r="S880" s="1">
        <v>1</v>
      </c>
      <c r="T880" s="1">
        <v>0</v>
      </c>
      <c r="U880" s="47">
        <v>0</v>
      </c>
      <c r="V880" s="47"/>
      <c r="W880" s="41">
        <v>274</v>
      </c>
      <c r="X880">
        <v>685</v>
      </c>
      <c r="Y880">
        <v>0.98170000000000002</v>
      </c>
      <c r="Z880">
        <v>2043.52</v>
      </c>
      <c r="AA880">
        <v>1566.48</v>
      </c>
      <c r="AB880">
        <v>166.68</v>
      </c>
      <c r="AC880">
        <v>36</v>
      </c>
      <c r="AD880" s="41">
        <f t="shared" si="216"/>
        <v>0.42084246789852808</v>
      </c>
      <c r="AE880" s="41">
        <f t="shared" si="217"/>
        <v>0.54900158316735603</v>
      </c>
      <c r="AF880">
        <f t="shared" si="218"/>
        <v>1.2484533333333334</v>
      </c>
      <c r="AG880">
        <f t="shared" si="219"/>
        <v>0.21784826666666668</v>
      </c>
      <c r="AH880">
        <f t="shared" si="220"/>
        <v>1.6668000000000001</v>
      </c>
      <c r="AI880">
        <f>HLOOKUP(HLOOKUP(G880,'THP2'!$B$4:$J$8,5,FALSE),'Fuel &amp; Resister'!$B$3:$G$6,4,FALSE)</f>
        <v>2.7360666666666664</v>
      </c>
      <c r="AJ880" s="41">
        <f>HLOOKUP(HLOOKUP(G880,'THP2'!$B$4:$J$8,5,FALSE),'Fuel &amp; Resister'!$B$3:$G$6,3,FALSE)</f>
        <v>13.019</v>
      </c>
      <c r="AO880" s="1">
        <v>1</v>
      </c>
      <c r="AP880" s="62">
        <v>0</v>
      </c>
    </row>
    <row r="881" spans="2:42" x14ac:dyDescent="0.15">
      <c r="B881" s="82" t="s">
        <v>629</v>
      </c>
      <c r="C881" s="61">
        <f>VLOOKUP(B881,[1]SYS!$F$5:$G$359,2,FALSE)</f>
        <v>83</v>
      </c>
      <c r="D881" s="1" t="s">
        <v>50</v>
      </c>
      <c r="E881" s="65" t="s">
        <v>542</v>
      </c>
      <c r="F881" s="63" t="s">
        <v>561</v>
      </c>
      <c r="G881" s="1">
        <v>7</v>
      </c>
      <c r="H881" s="1">
        <f t="shared" si="211"/>
        <v>0.4</v>
      </c>
      <c r="I881" s="1">
        <f t="shared" si="221"/>
        <v>0.68500000000000005</v>
      </c>
      <c r="J881" s="1">
        <f t="shared" si="210"/>
        <v>1.8299999999999983E-2</v>
      </c>
      <c r="K881" s="1">
        <f t="shared" si="213"/>
        <v>2.04352</v>
      </c>
      <c r="L881" s="1">
        <f t="shared" si="214"/>
        <v>1.5664800000000001</v>
      </c>
      <c r="M881" s="49">
        <f t="shared" si="215"/>
        <v>1.7418173655728639</v>
      </c>
      <c r="N881" s="49">
        <f t="shared" si="222"/>
        <v>1.6668000000000001</v>
      </c>
      <c r="O881" s="6">
        <v>504</v>
      </c>
      <c r="P881" s="51">
        <v>0.05</v>
      </c>
      <c r="Q881" s="51">
        <v>11</v>
      </c>
      <c r="R881" s="51">
        <v>1</v>
      </c>
      <c r="S881" s="1">
        <v>1</v>
      </c>
      <c r="T881" s="1">
        <v>0</v>
      </c>
      <c r="U881" s="47">
        <v>0</v>
      </c>
      <c r="V881" s="47"/>
      <c r="W881" s="41">
        <v>274</v>
      </c>
      <c r="X881">
        <v>685</v>
      </c>
      <c r="Y881">
        <v>0.98170000000000002</v>
      </c>
      <c r="Z881">
        <v>2043.52</v>
      </c>
      <c r="AA881">
        <v>1566.48</v>
      </c>
      <c r="AB881">
        <v>166.68</v>
      </c>
      <c r="AC881">
        <v>36</v>
      </c>
      <c r="AD881" s="41">
        <f t="shared" si="216"/>
        <v>0.42084246789852808</v>
      </c>
      <c r="AE881" s="41">
        <f t="shared" si="217"/>
        <v>0.54900158316735603</v>
      </c>
      <c r="AF881">
        <f t="shared" si="218"/>
        <v>1.2484533333333334</v>
      </c>
      <c r="AG881">
        <f t="shared" si="219"/>
        <v>0.21784826666666668</v>
      </c>
      <c r="AH881">
        <f t="shared" si="220"/>
        <v>1.6668000000000001</v>
      </c>
      <c r="AI881">
        <f>HLOOKUP(HLOOKUP(G881,'THP2'!$B$4:$J$8,5,FALSE),'Fuel &amp; Resister'!$B$3:$G$6,4,FALSE)</f>
        <v>2.7360666666666664</v>
      </c>
      <c r="AJ881" s="41">
        <f>HLOOKUP(HLOOKUP(G881,'THP2'!$B$4:$J$8,5,FALSE),'Fuel &amp; Resister'!$B$3:$G$6,3,FALSE)</f>
        <v>13.019</v>
      </c>
      <c r="AO881" s="1">
        <v>1</v>
      </c>
      <c r="AP881" s="62">
        <v>0</v>
      </c>
    </row>
    <row r="882" spans="2:42" x14ac:dyDescent="0.15">
      <c r="B882" s="82" t="s">
        <v>629</v>
      </c>
      <c r="C882" s="61">
        <f>VLOOKUP(B882,[1]SYS!$F$5:$G$359,2,FALSE)</f>
        <v>83</v>
      </c>
      <c r="D882" s="1" t="s">
        <v>50</v>
      </c>
      <c r="E882" s="65" t="s">
        <v>542</v>
      </c>
      <c r="F882" s="63" t="s">
        <v>543</v>
      </c>
      <c r="G882" s="1">
        <v>7</v>
      </c>
      <c r="H882" s="1">
        <f t="shared" si="211"/>
        <v>0.4</v>
      </c>
      <c r="I882" s="1">
        <f t="shared" si="221"/>
        <v>0.68500000000000005</v>
      </c>
      <c r="J882" s="1">
        <f t="shared" si="210"/>
        <v>1.8299999999999983E-2</v>
      </c>
      <c r="K882" s="1">
        <f t="shared" si="213"/>
        <v>2.04352</v>
      </c>
      <c r="L882" s="1">
        <f t="shared" si="214"/>
        <v>1.5664800000000001</v>
      </c>
      <c r="M882" s="49">
        <f t="shared" si="215"/>
        <v>1.7418173655728639</v>
      </c>
      <c r="N882" s="49">
        <f t="shared" si="222"/>
        <v>1.6668000000000001</v>
      </c>
      <c r="O882" s="6">
        <v>609</v>
      </c>
      <c r="P882" s="51">
        <v>0.05</v>
      </c>
      <c r="Q882" s="51">
        <v>11</v>
      </c>
      <c r="R882" s="51">
        <v>1</v>
      </c>
      <c r="S882" s="1">
        <v>1</v>
      </c>
      <c r="T882" s="1">
        <v>0</v>
      </c>
      <c r="U882" s="47">
        <v>0</v>
      </c>
      <c r="V882" s="47"/>
      <c r="W882" s="41">
        <v>274</v>
      </c>
      <c r="X882">
        <v>685</v>
      </c>
      <c r="Y882">
        <v>0.98170000000000002</v>
      </c>
      <c r="Z882">
        <v>2043.52</v>
      </c>
      <c r="AA882">
        <v>1566.48</v>
      </c>
      <c r="AB882">
        <v>166.68</v>
      </c>
      <c r="AC882">
        <v>36</v>
      </c>
      <c r="AD882" s="41">
        <f t="shared" si="216"/>
        <v>0.42084246789852808</v>
      </c>
      <c r="AE882" s="41">
        <f t="shared" si="217"/>
        <v>0.54900158316735603</v>
      </c>
      <c r="AF882">
        <f t="shared" si="218"/>
        <v>1.2484533333333334</v>
      </c>
      <c r="AG882">
        <f t="shared" si="219"/>
        <v>0.21784826666666668</v>
      </c>
      <c r="AH882">
        <f t="shared" si="220"/>
        <v>1.6668000000000001</v>
      </c>
      <c r="AI882">
        <f>HLOOKUP(HLOOKUP(G882,'THP2'!$B$4:$J$8,5,FALSE),'Fuel &amp; Resister'!$B$3:$G$6,4,FALSE)</f>
        <v>2.7360666666666664</v>
      </c>
      <c r="AJ882" s="41">
        <f>HLOOKUP(HLOOKUP(G882,'THP2'!$B$4:$J$8,5,FALSE),'Fuel &amp; Resister'!$B$3:$G$6,3,FALSE)</f>
        <v>13.019</v>
      </c>
      <c r="AO882" s="1">
        <v>1</v>
      </c>
      <c r="AP882" s="1">
        <v>1</v>
      </c>
    </row>
    <row r="883" spans="2:42" x14ac:dyDescent="0.15">
      <c r="B883" s="82" t="s">
        <v>629</v>
      </c>
      <c r="C883" s="61">
        <f>VLOOKUP(B883,[1]SYS!$F$5:$G$359,2,FALSE)</f>
        <v>83</v>
      </c>
      <c r="D883" s="1" t="s">
        <v>50</v>
      </c>
      <c r="E883" s="65" t="s">
        <v>542</v>
      </c>
      <c r="F883" s="63" t="s">
        <v>543</v>
      </c>
      <c r="G883" s="1">
        <v>7</v>
      </c>
      <c r="H883" s="1">
        <f t="shared" si="211"/>
        <v>0.4</v>
      </c>
      <c r="I883" s="1">
        <f t="shared" si="221"/>
        <v>0.68500000000000005</v>
      </c>
      <c r="J883" s="1">
        <f t="shared" si="210"/>
        <v>1.8299999999999983E-2</v>
      </c>
      <c r="K883" s="1">
        <f t="shared" si="213"/>
        <v>2.04352</v>
      </c>
      <c r="L883" s="1">
        <f t="shared" si="214"/>
        <v>1.5664800000000001</v>
      </c>
      <c r="M883" s="49">
        <f t="shared" si="215"/>
        <v>1.7418173655728639</v>
      </c>
      <c r="N883" s="49">
        <f t="shared" si="222"/>
        <v>1.6668000000000001</v>
      </c>
      <c r="O883" s="6">
        <v>403</v>
      </c>
      <c r="P883" s="51">
        <v>0.05</v>
      </c>
      <c r="Q883" s="51">
        <v>11</v>
      </c>
      <c r="R883" s="51">
        <v>1</v>
      </c>
      <c r="S883" s="1">
        <v>1</v>
      </c>
      <c r="T883" s="1">
        <v>0</v>
      </c>
      <c r="U883" s="47">
        <v>0</v>
      </c>
      <c r="V883" s="47"/>
      <c r="W883" s="41">
        <v>274</v>
      </c>
      <c r="X883">
        <v>685</v>
      </c>
      <c r="Y883">
        <v>0.98170000000000002</v>
      </c>
      <c r="Z883">
        <v>2043.52</v>
      </c>
      <c r="AA883">
        <v>1566.48</v>
      </c>
      <c r="AB883">
        <v>166.68</v>
      </c>
      <c r="AC883">
        <v>36</v>
      </c>
      <c r="AD883" s="41">
        <f t="shared" si="216"/>
        <v>0.42084246789852808</v>
      </c>
      <c r="AE883" s="41">
        <f t="shared" si="217"/>
        <v>0.54900158316735603</v>
      </c>
      <c r="AF883">
        <f t="shared" si="218"/>
        <v>1.2484533333333334</v>
      </c>
      <c r="AG883">
        <f t="shared" si="219"/>
        <v>0.21784826666666668</v>
      </c>
      <c r="AH883">
        <f t="shared" si="220"/>
        <v>1.6668000000000001</v>
      </c>
      <c r="AI883">
        <f>HLOOKUP(HLOOKUP(G883,'THP2'!$B$4:$J$8,5,FALSE),'Fuel &amp; Resister'!$B$3:$G$6,4,FALSE)</f>
        <v>2.7360666666666664</v>
      </c>
      <c r="AJ883" s="41">
        <f>HLOOKUP(HLOOKUP(G883,'THP2'!$B$4:$J$8,5,FALSE),'Fuel &amp; Resister'!$B$3:$G$6,3,FALSE)</f>
        <v>13.019</v>
      </c>
      <c r="AO883" s="1">
        <v>1</v>
      </c>
      <c r="AP883" s="1">
        <v>1</v>
      </c>
    </row>
    <row r="884" spans="2:42" x14ac:dyDescent="0.15">
      <c r="B884" s="82" t="s">
        <v>629</v>
      </c>
      <c r="C884" s="61">
        <f>VLOOKUP(B884,[1]SYS!$F$5:$G$359,2,FALSE)</f>
        <v>83</v>
      </c>
      <c r="D884" s="1" t="s">
        <v>50</v>
      </c>
      <c r="E884" s="65" t="s">
        <v>542</v>
      </c>
      <c r="F884" s="63" t="s">
        <v>543</v>
      </c>
      <c r="G884" s="1">
        <v>7</v>
      </c>
      <c r="H884" s="1">
        <f t="shared" si="211"/>
        <v>0.4</v>
      </c>
      <c r="I884" s="1">
        <f t="shared" si="221"/>
        <v>0.68500000000000005</v>
      </c>
      <c r="J884" s="1">
        <f t="shared" si="210"/>
        <v>1.8299999999999983E-2</v>
      </c>
      <c r="K884" s="1">
        <f t="shared" si="213"/>
        <v>2.04352</v>
      </c>
      <c r="L884" s="1">
        <f t="shared" si="214"/>
        <v>1.5664800000000001</v>
      </c>
      <c r="M884" s="49">
        <f t="shared" si="215"/>
        <v>1.7418173655728639</v>
      </c>
      <c r="N884" s="49">
        <f t="shared" si="222"/>
        <v>1.6668000000000001</v>
      </c>
      <c r="O884" s="6">
        <v>509</v>
      </c>
      <c r="P884" s="51">
        <v>0.05</v>
      </c>
      <c r="Q884" s="51">
        <v>11</v>
      </c>
      <c r="R884" s="51">
        <v>1</v>
      </c>
      <c r="S884" s="1">
        <v>1</v>
      </c>
      <c r="T884" s="1">
        <v>0</v>
      </c>
      <c r="U884" s="47">
        <v>0</v>
      </c>
      <c r="V884" s="47"/>
      <c r="W884" s="41">
        <v>274</v>
      </c>
      <c r="X884">
        <v>685</v>
      </c>
      <c r="Y884">
        <v>0.98170000000000002</v>
      </c>
      <c r="Z884">
        <v>2043.52</v>
      </c>
      <c r="AA884">
        <v>1566.48</v>
      </c>
      <c r="AB884">
        <v>166.68</v>
      </c>
      <c r="AC884">
        <v>36</v>
      </c>
      <c r="AD884" s="41">
        <f t="shared" si="216"/>
        <v>0.42084246789852808</v>
      </c>
      <c r="AE884" s="41">
        <f t="shared" si="217"/>
        <v>0.54900158316735603</v>
      </c>
      <c r="AF884">
        <f t="shared" si="218"/>
        <v>1.2484533333333334</v>
      </c>
      <c r="AG884">
        <f t="shared" si="219"/>
        <v>0.21784826666666668</v>
      </c>
      <c r="AH884">
        <f t="shared" si="220"/>
        <v>1.6668000000000001</v>
      </c>
      <c r="AI884">
        <f>HLOOKUP(HLOOKUP(G884,'THP2'!$B$4:$J$8,5,FALSE),'Fuel &amp; Resister'!$B$3:$G$6,4,FALSE)</f>
        <v>2.7360666666666664</v>
      </c>
      <c r="AJ884" s="41">
        <f>HLOOKUP(HLOOKUP(G884,'THP2'!$B$4:$J$8,5,FALSE),'Fuel &amp; Resister'!$B$3:$G$6,3,FALSE)</f>
        <v>13.019</v>
      </c>
      <c r="AO884" s="1">
        <v>1</v>
      </c>
      <c r="AP884" s="1">
        <v>1</v>
      </c>
    </row>
    <row r="885" spans="2:42" x14ac:dyDescent="0.15">
      <c r="B885" s="82" t="s">
        <v>629</v>
      </c>
      <c r="C885" s="61">
        <f>VLOOKUP(B885,[1]SYS!$F$5:$G$359,2,FALSE)</f>
        <v>83</v>
      </c>
      <c r="D885" s="1" t="s">
        <v>50</v>
      </c>
      <c r="E885" s="65" t="s">
        <v>542</v>
      </c>
      <c r="F885" s="63" t="s">
        <v>543</v>
      </c>
      <c r="G885" s="1">
        <v>7</v>
      </c>
      <c r="H885" s="1">
        <f t="shared" si="211"/>
        <v>0.4</v>
      </c>
      <c r="I885" s="1">
        <f t="shared" si="221"/>
        <v>0.68500000000000005</v>
      </c>
      <c r="J885" s="1">
        <f t="shared" si="210"/>
        <v>1.8299999999999983E-2</v>
      </c>
      <c r="K885" s="1">
        <f t="shared" si="213"/>
        <v>2.04352</v>
      </c>
      <c r="L885" s="1">
        <f t="shared" si="214"/>
        <v>1.5664800000000001</v>
      </c>
      <c r="M885" s="49">
        <f t="shared" si="215"/>
        <v>1.7418173655728639</v>
      </c>
      <c r="N885" s="49">
        <f t="shared" si="222"/>
        <v>1.6668000000000001</v>
      </c>
      <c r="O885" s="6">
        <v>504</v>
      </c>
      <c r="P885" s="51">
        <v>0.05</v>
      </c>
      <c r="Q885" s="51">
        <v>11</v>
      </c>
      <c r="R885" s="51">
        <v>1</v>
      </c>
      <c r="S885" s="1">
        <v>1</v>
      </c>
      <c r="T885" s="1">
        <v>0</v>
      </c>
      <c r="U885" s="47">
        <v>0</v>
      </c>
      <c r="V885" s="47"/>
      <c r="W885" s="41">
        <v>274</v>
      </c>
      <c r="X885">
        <v>685</v>
      </c>
      <c r="Y885">
        <v>0.98170000000000002</v>
      </c>
      <c r="Z885">
        <v>2043.52</v>
      </c>
      <c r="AA885">
        <v>1566.48</v>
      </c>
      <c r="AB885">
        <v>166.68</v>
      </c>
      <c r="AC885">
        <v>36</v>
      </c>
      <c r="AD885" s="41">
        <f t="shared" si="216"/>
        <v>0.42084246789852808</v>
      </c>
      <c r="AE885" s="41">
        <f t="shared" si="217"/>
        <v>0.54900158316735603</v>
      </c>
      <c r="AF885">
        <f t="shared" si="218"/>
        <v>1.2484533333333334</v>
      </c>
      <c r="AG885">
        <f t="shared" si="219"/>
        <v>0.21784826666666668</v>
      </c>
      <c r="AH885">
        <f t="shared" si="220"/>
        <v>1.6668000000000001</v>
      </c>
      <c r="AI885">
        <f>HLOOKUP(HLOOKUP(G885,'THP2'!$B$4:$J$8,5,FALSE),'Fuel &amp; Resister'!$B$3:$G$6,4,FALSE)</f>
        <v>2.7360666666666664</v>
      </c>
      <c r="AJ885" s="41">
        <f>HLOOKUP(HLOOKUP(G885,'THP2'!$B$4:$J$8,5,FALSE),'Fuel &amp; Resister'!$B$3:$G$6,3,FALSE)</f>
        <v>13.019</v>
      </c>
      <c r="AO885" s="1">
        <v>1</v>
      </c>
      <c r="AP885" s="62">
        <v>0</v>
      </c>
    </row>
    <row r="886" spans="2:42" x14ac:dyDescent="0.15">
      <c r="B886" s="82" t="s">
        <v>629</v>
      </c>
      <c r="C886" s="61">
        <f>VLOOKUP(B886,[1]SYS!$F$5:$G$359,2,FALSE)</f>
        <v>83</v>
      </c>
      <c r="D886" s="1" t="s">
        <v>50</v>
      </c>
      <c r="E886" s="65" t="s">
        <v>542</v>
      </c>
      <c r="F886" s="63" t="s">
        <v>543</v>
      </c>
      <c r="G886" s="1">
        <v>7</v>
      </c>
      <c r="H886" s="1">
        <f t="shared" si="211"/>
        <v>0.4</v>
      </c>
      <c r="I886" s="1">
        <f t="shared" si="221"/>
        <v>0.68500000000000005</v>
      </c>
      <c r="J886" s="1">
        <f t="shared" si="210"/>
        <v>1.8299999999999983E-2</v>
      </c>
      <c r="K886" s="1">
        <f t="shared" si="213"/>
        <v>2.04352</v>
      </c>
      <c r="L886" s="1">
        <f t="shared" si="214"/>
        <v>1.5664800000000001</v>
      </c>
      <c r="M886" s="49">
        <f t="shared" si="215"/>
        <v>1.7418173655728639</v>
      </c>
      <c r="N886" s="49">
        <f t="shared" si="222"/>
        <v>1.6668000000000001</v>
      </c>
      <c r="O886" s="6">
        <v>609</v>
      </c>
      <c r="P886" s="51">
        <v>0.05</v>
      </c>
      <c r="Q886" s="51">
        <v>11</v>
      </c>
      <c r="R886" s="51">
        <v>1</v>
      </c>
      <c r="S886" s="1">
        <v>1</v>
      </c>
      <c r="T886" s="1">
        <v>0</v>
      </c>
      <c r="U886" s="47">
        <v>0</v>
      </c>
      <c r="V886" s="47"/>
      <c r="W886" s="41">
        <v>274</v>
      </c>
      <c r="X886">
        <v>685</v>
      </c>
      <c r="Y886">
        <v>0.98170000000000002</v>
      </c>
      <c r="Z886">
        <v>2043.52</v>
      </c>
      <c r="AA886">
        <v>1566.48</v>
      </c>
      <c r="AB886">
        <v>166.68</v>
      </c>
      <c r="AC886">
        <v>36</v>
      </c>
      <c r="AD886" s="41">
        <f t="shared" si="216"/>
        <v>0.42084246789852808</v>
      </c>
      <c r="AE886" s="41">
        <f t="shared" si="217"/>
        <v>0.54900158316735603</v>
      </c>
      <c r="AF886">
        <f t="shared" si="218"/>
        <v>1.2484533333333334</v>
      </c>
      <c r="AG886">
        <f t="shared" si="219"/>
        <v>0.21784826666666668</v>
      </c>
      <c r="AH886">
        <f t="shared" si="220"/>
        <v>1.6668000000000001</v>
      </c>
      <c r="AI886">
        <f>HLOOKUP(HLOOKUP(G886,'THP2'!$B$4:$J$8,5,FALSE),'Fuel &amp; Resister'!$B$3:$G$6,4,FALSE)</f>
        <v>2.7360666666666664</v>
      </c>
      <c r="AJ886" s="41">
        <f>HLOOKUP(HLOOKUP(G886,'THP2'!$B$4:$J$8,5,FALSE),'Fuel &amp; Resister'!$B$3:$G$6,3,FALSE)</f>
        <v>13.019</v>
      </c>
      <c r="AO886" s="1">
        <v>1</v>
      </c>
      <c r="AP886" s="62">
        <v>0</v>
      </c>
    </row>
    <row r="887" spans="2:42" x14ac:dyDescent="0.15">
      <c r="B887" s="82" t="s">
        <v>629</v>
      </c>
      <c r="C887" s="61">
        <f>VLOOKUP(B887,[1]SYS!$F$5:$G$359,2,FALSE)</f>
        <v>83</v>
      </c>
      <c r="D887" s="1" t="s">
        <v>50</v>
      </c>
      <c r="E887" s="65" t="s">
        <v>542</v>
      </c>
      <c r="F887" s="63" t="s">
        <v>543</v>
      </c>
      <c r="G887" s="1">
        <v>7</v>
      </c>
      <c r="H887" s="1">
        <f t="shared" si="211"/>
        <v>0.4</v>
      </c>
      <c r="I887" s="1">
        <f t="shared" si="221"/>
        <v>0.68500000000000005</v>
      </c>
      <c r="J887" s="1">
        <f t="shared" si="210"/>
        <v>1.8299999999999983E-2</v>
      </c>
      <c r="K887" s="1">
        <f t="shared" si="213"/>
        <v>2.04352</v>
      </c>
      <c r="L887" s="1">
        <f t="shared" si="214"/>
        <v>1.5664800000000001</v>
      </c>
      <c r="M887" s="49">
        <f t="shared" si="215"/>
        <v>1.7418173655728639</v>
      </c>
      <c r="N887" s="49">
        <f t="shared" si="222"/>
        <v>1.6668000000000001</v>
      </c>
      <c r="O887" s="6">
        <v>403</v>
      </c>
      <c r="P887" s="51">
        <v>0.05</v>
      </c>
      <c r="Q887" s="51">
        <v>11</v>
      </c>
      <c r="R887" s="51">
        <v>1</v>
      </c>
      <c r="S887" s="1">
        <v>1</v>
      </c>
      <c r="T887" s="1">
        <v>0</v>
      </c>
      <c r="U887" s="47">
        <v>0</v>
      </c>
      <c r="V887" s="47"/>
      <c r="W887" s="41">
        <v>274</v>
      </c>
      <c r="X887">
        <v>685</v>
      </c>
      <c r="Y887">
        <v>0.98170000000000002</v>
      </c>
      <c r="Z887">
        <v>2043.52</v>
      </c>
      <c r="AA887">
        <v>1566.48</v>
      </c>
      <c r="AB887">
        <v>166.68</v>
      </c>
      <c r="AC887">
        <v>36</v>
      </c>
      <c r="AD887" s="41">
        <f t="shared" si="216"/>
        <v>0.42084246789852808</v>
      </c>
      <c r="AE887" s="41">
        <f t="shared" si="217"/>
        <v>0.54900158316735603</v>
      </c>
      <c r="AF887">
        <f t="shared" si="218"/>
        <v>1.2484533333333334</v>
      </c>
      <c r="AG887">
        <f t="shared" si="219"/>
        <v>0.21784826666666668</v>
      </c>
      <c r="AH887">
        <f t="shared" si="220"/>
        <v>1.6668000000000001</v>
      </c>
      <c r="AI887">
        <f>HLOOKUP(HLOOKUP(G887,'THP2'!$B$4:$J$8,5,FALSE),'Fuel &amp; Resister'!$B$3:$G$6,4,FALSE)</f>
        <v>2.7360666666666664</v>
      </c>
      <c r="AJ887" s="41">
        <f>HLOOKUP(HLOOKUP(G887,'THP2'!$B$4:$J$8,5,FALSE),'Fuel &amp; Resister'!$B$3:$G$6,3,FALSE)</f>
        <v>13.019</v>
      </c>
      <c r="AO887" s="1">
        <v>1</v>
      </c>
      <c r="AP887" s="62">
        <v>0</v>
      </c>
    </row>
    <row r="888" spans="2:42" x14ac:dyDescent="0.15">
      <c r="B888" s="82" t="s">
        <v>629</v>
      </c>
      <c r="C888" s="61">
        <f>VLOOKUP(B888,[1]SYS!$F$5:$G$359,2,FALSE)</f>
        <v>83</v>
      </c>
      <c r="D888" s="1" t="s">
        <v>50</v>
      </c>
      <c r="E888" s="65" t="s">
        <v>542</v>
      </c>
      <c r="F888" s="63" t="s">
        <v>543</v>
      </c>
      <c r="G888" s="1">
        <v>7</v>
      </c>
      <c r="H888" s="1">
        <f t="shared" si="211"/>
        <v>0.4</v>
      </c>
      <c r="I888" s="1">
        <f t="shared" si="221"/>
        <v>0.68500000000000005</v>
      </c>
      <c r="J888" s="1">
        <f t="shared" si="210"/>
        <v>1.8299999999999983E-2</v>
      </c>
      <c r="K888" s="1">
        <f t="shared" si="213"/>
        <v>2.04352</v>
      </c>
      <c r="L888" s="1">
        <f t="shared" si="214"/>
        <v>1.5664800000000001</v>
      </c>
      <c r="M888" s="49">
        <f t="shared" si="215"/>
        <v>1.7418173655728639</v>
      </c>
      <c r="N888" s="49">
        <f t="shared" si="222"/>
        <v>1.6668000000000001</v>
      </c>
      <c r="O888" s="6">
        <v>509</v>
      </c>
      <c r="P888" s="51">
        <v>0.05</v>
      </c>
      <c r="Q888" s="51">
        <v>11</v>
      </c>
      <c r="R888" s="51">
        <v>1</v>
      </c>
      <c r="S888" s="1">
        <v>1</v>
      </c>
      <c r="T888" s="1">
        <v>0</v>
      </c>
      <c r="U888" s="47">
        <v>0</v>
      </c>
      <c r="V888" s="47"/>
      <c r="W888" s="41">
        <v>274</v>
      </c>
      <c r="X888">
        <v>685</v>
      </c>
      <c r="Y888">
        <v>0.98170000000000002</v>
      </c>
      <c r="Z888">
        <v>2043.52</v>
      </c>
      <c r="AA888">
        <v>1566.48</v>
      </c>
      <c r="AB888">
        <v>166.68</v>
      </c>
      <c r="AC888">
        <v>36</v>
      </c>
      <c r="AD888" s="41">
        <f t="shared" si="216"/>
        <v>0.42084246789852808</v>
      </c>
      <c r="AE888" s="41">
        <f t="shared" si="217"/>
        <v>0.54900158316735603</v>
      </c>
      <c r="AF888">
        <f t="shared" si="218"/>
        <v>1.2484533333333334</v>
      </c>
      <c r="AG888">
        <f t="shared" si="219"/>
        <v>0.21784826666666668</v>
      </c>
      <c r="AH888">
        <f t="shared" si="220"/>
        <v>1.6668000000000001</v>
      </c>
      <c r="AI888">
        <f>HLOOKUP(HLOOKUP(G888,'THP2'!$B$4:$J$8,5,FALSE),'Fuel &amp; Resister'!$B$3:$G$6,4,FALSE)</f>
        <v>2.7360666666666664</v>
      </c>
      <c r="AJ888" s="41">
        <f>HLOOKUP(HLOOKUP(G888,'THP2'!$B$4:$J$8,5,FALSE),'Fuel &amp; Resister'!$B$3:$G$6,3,FALSE)</f>
        <v>13.019</v>
      </c>
      <c r="AO888" s="1">
        <v>1</v>
      </c>
      <c r="AP888" s="62">
        <v>0</v>
      </c>
    </row>
    <row r="889" spans="2:42" x14ac:dyDescent="0.15">
      <c r="B889" s="82" t="s">
        <v>629</v>
      </c>
      <c r="C889" s="61">
        <f>VLOOKUP(B889,[1]SYS!$F$5:$G$359,2,FALSE)</f>
        <v>83</v>
      </c>
      <c r="D889" s="1" t="s">
        <v>50</v>
      </c>
      <c r="E889" s="65" t="s">
        <v>542</v>
      </c>
      <c r="F889" s="63" t="s">
        <v>543</v>
      </c>
      <c r="G889" s="1">
        <v>7</v>
      </c>
      <c r="H889" s="1">
        <f t="shared" si="211"/>
        <v>0.4</v>
      </c>
      <c r="I889" s="1">
        <f t="shared" si="221"/>
        <v>0.68500000000000005</v>
      </c>
      <c r="J889" s="1">
        <f t="shared" si="210"/>
        <v>1.8299999999999983E-2</v>
      </c>
      <c r="K889" s="1">
        <f t="shared" si="213"/>
        <v>2.04352</v>
      </c>
      <c r="L889" s="1">
        <f t="shared" si="214"/>
        <v>1.5664800000000001</v>
      </c>
      <c r="M889" s="49">
        <f t="shared" si="215"/>
        <v>1.7418173655728639</v>
      </c>
      <c r="N889" s="49">
        <f t="shared" si="222"/>
        <v>1.6668000000000001</v>
      </c>
      <c r="O889" s="6">
        <v>504</v>
      </c>
      <c r="P889" s="51">
        <v>0.05</v>
      </c>
      <c r="Q889" s="51">
        <v>11</v>
      </c>
      <c r="R889" s="51">
        <v>1</v>
      </c>
      <c r="S889" s="1">
        <v>1</v>
      </c>
      <c r="T889" s="1">
        <v>0</v>
      </c>
      <c r="U889" s="47">
        <v>0</v>
      </c>
      <c r="V889" s="47"/>
      <c r="W889" s="41">
        <v>274</v>
      </c>
      <c r="X889">
        <v>685</v>
      </c>
      <c r="Y889">
        <v>0.98170000000000002</v>
      </c>
      <c r="Z889">
        <v>2043.52</v>
      </c>
      <c r="AA889">
        <v>1566.48</v>
      </c>
      <c r="AB889">
        <v>166.68</v>
      </c>
      <c r="AC889">
        <v>36</v>
      </c>
      <c r="AD889" s="41">
        <f t="shared" si="216"/>
        <v>0.42084246789852808</v>
      </c>
      <c r="AE889" s="41">
        <f t="shared" si="217"/>
        <v>0.54900158316735603</v>
      </c>
      <c r="AF889">
        <f t="shared" si="218"/>
        <v>1.2484533333333334</v>
      </c>
      <c r="AG889">
        <f t="shared" si="219"/>
        <v>0.21784826666666668</v>
      </c>
      <c r="AH889">
        <f t="shared" si="220"/>
        <v>1.6668000000000001</v>
      </c>
      <c r="AI889">
        <f>HLOOKUP(HLOOKUP(G889,'THP2'!$B$4:$J$8,5,FALSE),'Fuel &amp; Resister'!$B$3:$G$6,4,FALSE)</f>
        <v>2.7360666666666664</v>
      </c>
      <c r="AJ889" s="41">
        <f>HLOOKUP(HLOOKUP(G889,'THP2'!$B$4:$J$8,5,FALSE),'Fuel &amp; Resister'!$B$3:$G$6,3,FALSE)</f>
        <v>13.019</v>
      </c>
      <c r="AO889" s="1">
        <v>1</v>
      </c>
      <c r="AP889" s="62">
        <v>0</v>
      </c>
    </row>
    <row r="890" spans="2:42" x14ac:dyDescent="0.15">
      <c r="B890" s="82" t="s">
        <v>629</v>
      </c>
      <c r="C890" s="61">
        <f>VLOOKUP(B890,[1]SYS!$F$5:$G$359,2,FALSE)</f>
        <v>83</v>
      </c>
      <c r="D890" s="1" t="s">
        <v>50</v>
      </c>
      <c r="E890" s="65" t="s">
        <v>542</v>
      </c>
      <c r="F890" s="63" t="s">
        <v>543</v>
      </c>
      <c r="G890" s="1">
        <v>7</v>
      </c>
      <c r="H890" s="1">
        <f t="shared" si="211"/>
        <v>0.4</v>
      </c>
      <c r="I890" s="1">
        <f t="shared" si="221"/>
        <v>0.68500000000000005</v>
      </c>
      <c r="J890" s="1">
        <f t="shared" si="210"/>
        <v>1.8299999999999983E-2</v>
      </c>
      <c r="K890" s="1">
        <f t="shared" si="213"/>
        <v>2.04352</v>
      </c>
      <c r="L890" s="1">
        <f t="shared" si="214"/>
        <v>1.5664800000000001</v>
      </c>
      <c r="M890" s="49">
        <f t="shared" si="215"/>
        <v>1.7418173655728639</v>
      </c>
      <c r="N890" s="49">
        <f t="shared" si="222"/>
        <v>1.6668000000000001</v>
      </c>
      <c r="O890" s="6">
        <v>609</v>
      </c>
      <c r="P890" s="51">
        <v>0.05</v>
      </c>
      <c r="Q890" s="51">
        <v>11</v>
      </c>
      <c r="R890" s="51">
        <v>1</v>
      </c>
      <c r="S890" s="1">
        <v>1</v>
      </c>
      <c r="T890" s="1">
        <v>0</v>
      </c>
      <c r="U890" s="47">
        <v>0</v>
      </c>
      <c r="V890" s="47"/>
      <c r="W890" s="41">
        <v>274</v>
      </c>
      <c r="X890">
        <v>685</v>
      </c>
      <c r="Y890">
        <v>0.98170000000000002</v>
      </c>
      <c r="Z890">
        <v>2043.52</v>
      </c>
      <c r="AA890">
        <v>1566.48</v>
      </c>
      <c r="AB890">
        <v>166.68</v>
      </c>
      <c r="AC890">
        <v>36</v>
      </c>
      <c r="AD890" s="41">
        <f t="shared" si="216"/>
        <v>0.42084246789852808</v>
      </c>
      <c r="AE890" s="41">
        <f t="shared" si="217"/>
        <v>0.54900158316735603</v>
      </c>
      <c r="AF890">
        <f t="shared" si="218"/>
        <v>1.2484533333333334</v>
      </c>
      <c r="AG890">
        <f t="shared" si="219"/>
        <v>0.21784826666666668</v>
      </c>
      <c r="AH890">
        <f t="shared" si="220"/>
        <v>1.6668000000000001</v>
      </c>
      <c r="AI890">
        <f>HLOOKUP(HLOOKUP(G890,'THP2'!$B$4:$J$8,5,FALSE),'Fuel &amp; Resister'!$B$3:$G$6,4,FALSE)</f>
        <v>2.7360666666666664</v>
      </c>
      <c r="AJ890" s="41">
        <f>HLOOKUP(HLOOKUP(G890,'THP2'!$B$4:$J$8,5,FALSE),'Fuel &amp; Resister'!$B$3:$G$6,3,FALSE)</f>
        <v>13.019</v>
      </c>
      <c r="AO890" s="1">
        <v>1</v>
      </c>
      <c r="AP890" s="62">
        <v>0</v>
      </c>
    </row>
    <row r="891" spans="2:42" x14ac:dyDescent="0.15">
      <c r="B891" s="82" t="s">
        <v>629</v>
      </c>
      <c r="C891" s="61">
        <f>VLOOKUP(B891,[1]SYS!$F$5:$G$359,2,FALSE)</f>
        <v>83</v>
      </c>
      <c r="D891" s="1" t="s">
        <v>50</v>
      </c>
      <c r="E891" s="65" t="s">
        <v>542</v>
      </c>
      <c r="F891" s="63" t="s">
        <v>543</v>
      </c>
      <c r="G891" s="1">
        <v>7</v>
      </c>
      <c r="H891" s="1">
        <f t="shared" si="211"/>
        <v>0.4</v>
      </c>
      <c r="I891" s="1">
        <f t="shared" si="221"/>
        <v>0.68500000000000005</v>
      </c>
      <c r="J891" s="1">
        <f t="shared" si="210"/>
        <v>1.8299999999999983E-2</v>
      </c>
      <c r="K891" s="1">
        <f t="shared" si="213"/>
        <v>2.04352</v>
      </c>
      <c r="L891" s="1">
        <f t="shared" si="214"/>
        <v>1.5664800000000001</v>
      </c>
      <c r="M891" s="49">
        <f t="shared" si="215"/>
        <v>1.7418173655728639</v>
      </c>
      <c r="N891" s="49">
        <f t="shared" si="222"/>
        <v>1.6668000000000001</v>
      </c>
      <c r="O891" s="6">
        <v>704</v>
      </c>
      <c r="P891" s="51">
        <v>0.05</v>
      </c>
      <c r="Q891" s="51">
        <v>11</v>
      </c>
      <c r="R891" s="51">
        <v>1</v>
      </c>
      <c r="S891" s="1">
        <v>1</v>
      </c>
      <c r="T891" s="1">
        <v>0</v>
      </c>
      <c r="U891" s="47">
        <v>0</v>
      </c>
      <c r="V891" s="47"/>
      <c r="W891" s="41">
        <v>274</v>
      </c>
      <c r="X891">
        <v>685</v>
      </c>
      <c r="Y891">
        <v>0.98170000000000002</v>
      </c>
      <c r="Z891">
        <v>2043.52</v>
      </c>
      <c r="AA891">
        <v>1566.48</v>
      </c>
      <c r="AB891">
        <v>166.68</v>
      </c>
      <c r="AC891">
        <v>36</v>
      </c>
      <c r="AD891" s="41">
        <f t="shared" si="216"/>
        <v>0.42084246789852808</v>
      </c>
      <c r="AE891" s="41">
        <f t="shared" si="217"/>
        <v>0.54900158316735603</v>
      </c>
      <c r="AF891">
        <f t="shared" si="218"/>
        <v>1.2484533333333334</v>
      </c>
      <c r="AG891">
        <f t="shared" si="219"/>
        <v>0.21784826666666668</v>
      </c>
      <c r="AH891">
        <f t="shared" si="220"/>
        <v>1.6668000000000001</v>
      </c>
      <c r="AI891">
        <f>HLOOKUP(HLOOKUP(G891,'THP2'!$B$4:$J$8,5,FALSE),'Fuel &amp; Resister'!$B$3:$G$6,4,FALSE)</f>
        <v>2.7360666666666664</v>
      </c>
      <c r="AJ891" s="41">
        <f>HLOOKUP(HLOOKUP(G891,'THP2'!$B$4:$J$8,5,FALSE),'Fuel &amp; Resister'!$B$3:$G$6,3,FALSE)</f>
        <v>13.019</v>
      </c>
      <c r="AO891" s="1">
        <v>1</v>
      </c>
      <c r="AP891" s="62">
        <v>0</v>
      </c>
    </row>
    <row r="892" spans="2:42" x14ac:dyDescent="0.15">
      <c r="B892" s="82" t="s">
        <v>629</v>
      </c>
      <c r="C892" s="61">
        <f>VLOOKUP(B892,[1]SYS!$F$5:$G$359,2,FALSE)</f>
        <v>83</v>
      </c>
      <c r="D892" s="1" t="s">
        <v>50</v>
      </c>
      <c r="E892" s="65" t="s">
        <v>542</v>
      </c>
      <c r="F892" s="63" t="s">
        <v>543</v>
      </c>
      <c r="G892" s="1">
        <v>7</v>
      </c>
      <c r="H892" s="1">
        <f t="shared" si="211"/>
        <v>0.4</v>
      </c>
      <c r="I892" s="1">
        <f t="shared" si="221"/>
        <v>0.68500000000000005</v>
      </c>
      <c r="J892" s="1">
        <f t="shared" si="210"/>
        <v>1.8299999999999983E-2</v>
      </c>
      <c r="K892" s="1">
        <f t="shared" si="213"/>
        <v>2.04352</v>
      </c>
      <c r="L892" s="1">
        <f t="shared" si="214"/>
        <v>1.5664800000000001</v>
      </c>
      <c r="M892" s="49">
        <f t="shared" si="215"/>
        <v>1.7418173655728639</v>
      </c>
      <c r="N892" s="49">
        <f t="shared" si="222"/>
        <v>1.6668000000000001</v>
      </c>
      <c r="O892" s="6">
        <v>809</v>
      </c>
      <c r="P892" s="51">
        <v>0.05</v>
      </c>
      <c r="Q892" s="51">
        <v>11</v>
      </c>
      <c r="R892" s="51">
        <v>1</v>
      </c>
      <c r="S892" s="1">
        <v>1</v>
      </c>
      <c r="T892" s="1">
        <v>0</v>
      </c>
      <c r="U892" s="47">
        <v>0</v>
      </c>
      <c r="V892" s="47"/>
      <c r="W892" s="41">
        <v>274</v>
      </c>
      <c r="X892">
        <v>685</v>
      </c>
      <c r="Y892">
        <v>0.98170000000000002</v>
      </c>
      <c r="Z892">
        <v>2043.52</v>
      </c>
      <c r="AA892">
        <v>1566.48</v>
      </c>
      <c r="AB892">
        <v>166.68</v>
      </c>
      <c r="AC892">
        <v>36</v>
      </c>
      <c r="AD892" s="41">
        <f t="shared" si="216"/>
        <v>0.42084246789852808</v>
      </c>
      <c r="AE892" s="41">
        <f t="shared" si="217"/>
        <v>0.54900158316735603</v>
      </c>
      <c r="AF892">
        <f t="shared" si="218"/>
        <v>1.2484533333333334</v>
      </c>
      <c r="AG892">
        <f t="shared" si="219"/>
        <v>0.21784826666666668</v>
      </c>
      <c r="AH892">
        <f t="shared" si="220"/>
        <v>1.6668000000000001</v>
      </c>
      <c r="AI892">
        <f>HLOOKUP(HLOOKUP(G892,'THP2'!$B$4:$J$8,5,FALSE),'Fuel &amp; Resister'!$B$3:$G$6,4,FALSE)</f>
        <v>2.7360666666666664</v>
      </c>
      <c r="AJ892" s="41">
        <f>HLOOKUP(HLOOKUP(G892,'THP2'!$B$4:$J$8,5,FALSE),'Fuel &amp; Resister'!$B$3:$G$6,3,FALSE)</f>
        <v>13.019</v>
      </c>
      <c r="AO892" s="1">
        <v>1</v>
      </c>
      <c r="AP892" s="1">
        <v>1</v>
      </c>
    </row>
    <row r="893" spans="2:42" x14ac:dyDescent="0.15">
      <c r="B893" s="82" t="s">
        <v>630</v>
      </c>
      <c r="C893" s="61">
        <f>VLOOKUP(B893,[1]SYS!$F$5:$G$359,2,FALSE)</f>
        <v>152</v>
      </c>
      <c r="D893" s="1" t="s">
        <v>50</v>
      </c>
      <c r="E893" s="65" t="s">
        <v>363</v>
      </c>
      <c r="F893" s="63" t="s">
        <v>362</v>
      </c>
      <c r="G893" s="1">
        <v>7</v>
      </c>
      <c r="H893" s="1">
        <f t="shared" si="211"/>
        <v>0.39983164983164982</v>
      </c>
      <c r="I893" s="1">
        <f t="shared" si="221"/>
        <v>1.1879999999999999</v>
      </c>
      <c r="J893" s="1">
        <f t="shared" si="210"/>
        <v>1.639999999999997E-2</v>
      </c>
      <c r="K893" s="1">
        <f t="shared" si="213"/>
        <v>2.0105599999999999</v>
      </c>
      <c r="L893" s="1">
        <f t="shared" si="214"/>
        <v>1.54122</v>
      </c>
      <c r="M893" s="49">
        <f t="shared" si="215"/>
        <v>2.9721331857523068</v>
      </c>
      <c r="N893" s="49">
        <v>2.1949000000000001</v>
      </c>
      <c r="O893" s="1">
        <v>514</v>
      </c>
      <c r="P893" s="51">
        <v>0.05</v>
      </c>
      <c r="Q893" s="51">
        <v>11</v>
      </c>
      <c r="R893" s="51">
        <v>1</v>
      </c>
      <c r="S893" s="1">
        <v>1</v>
      </c>
      <c r="T893" s="1">
        <v>0</v>
      </c>
      <c r="U893" s="47">
        <v>1</v>
      </c>
      <c r="V893" s="47">
        <v>229</v>
      </c>
      <c r="W893" s="41">
        <v>475</v>
      </c>
      <c r="X893">
        <v>1188</v>
      </c>
      <c r="Y893">
        <v>0.98360000000000003</v>
      </c>
      <c r="Z893">
        <v>2010.56</v>
      </c>
      <c r="AA893">
        <v>1541.22</v>
      </c>
      <c r="AB893">
        <v>219.49</v>
      </c>
      <c r="AC893">
        <v>36</v>
      </c>
      <c r="AD893" s="41">
        <f t="shared" si="216"/>
        <v>0.42774152474932353</v>
      </c>
      <c r="AE893" s="41">
        <f t="shared" si="217"/>
        <v>0.55799950688415678</v>
      </c>
      <c r="AF893">
        <f t="shared" si="218"/>
        <v>1.2285460869565219</v>
      </c>
      <c r="AG893">
        <f t="shared" si="219"/>
        <v>0.371456608695652</v>
      </c>
      <c r="AH893">
        <f t="shared" si="220"/>
        <v>2.1949000000000001</v>
      </c>
      <c r="AI893">
        <f>HLOOKUP(HLOOKUP(G893,'THP2'!$B$4:$J$8,5,FALSE),'Fuel &amp; Resister'!$B$3:$G$6,4,FALSE)</f>
        <v>2.7360666666666664</v>
      </c>
      <c r="AJ893" s="41">
        <f>HLOOKUP(HLOOKUP(G893,'THP2'!$B$4:$J$8,5,FALSE),'Fuel &amp; Resister'!$B$3:$G$6,3,FALSE)</f>
        <v>13.019</v>
      </c>
      <c r="AO893" s="1">
        <v>1</v>
      </c>
      <c r="AP893" s="1">
        <v>1</v>
      </c>
    </row>
    <row r="894" spans="2:42" x14ac:dyDescent="0.15">
      <c r="B894" s="82" t="s">
        <v>630</v>
      </c>
      <c r="C894" s="61">
        <f>VLOOKUP(B894,[1]SYS!$F$5:$G$359,2,FALSE)</f>
        <v>152</v>
      </c>
      <c r="D894" s="1" t="s">
        <v>50</v>
      </c>
      <c r="E894" s="65" t="s">
        <v>361</v>
      </c>
      <c r="F894" s="63" t="s">
        <v>362</v>
      </c>
      <c r="G894" s="1">
        <v>7</v>
      </c>
      <c r="H894" s="1">
        <f t="shared" si="211"/>
        <v>0.39983164983164982</v>
      </c>
      <c r="I894" s="1">
        <f t="shared" si="221"/>
        <v>1.1879999999999999</v>
      </c>
      <c r="J894" s="1">
        <f t="shared" si="210"/>
        <v>1.639999999999997E-2</v>
      </c>
      <c r="K894" s="1">
        <f t="shared" si="213"/>
        <v>2.0105599999999999</v>
      </c>
      <c r="L894" s="1">
        <f t="shared" si="214"/>
        <v>1.54122</v>
      </c>
      <c r="M894" s="49">
        <f t="shared" si="215"/>
        <v>2.9721331857523068</v>
      </c>
      <c r="N894" s="49">
        <v>2.1949000000000001</v>
      </c>
      <c r="O894" s="1">
        <v>514</v>
      </c>
      <c r="P894" s="51">
        <v>0.05</v>
      </c>
      <c r="Q894" s="51">
        <v>11</v>
      </c>
      <c r="R894" s="51">
        <v>1</v>
      </c>
      <c r="S894" s="1">
        <v>1</v>
      </c>
      <c r="T894" s="1">
        <v>0</v>
      </c>
      <c r="U894" s="47">
        <v>1</v>
      </c>
      <c r="V894" s="47">
        <v>230</v>
      </c>
      <c r="W894" s="41">
        <v>475</v>
      </c>
      <c r="X894">
        <v>1188</v>
      </c>
      <c r="Y894">
        <v>0.98360000000000003</v>
      </c>
      <c r="Z894">
        <v>2010.56</v>
      </c>
      <c r="AA894">
        <v>1541.22</v>
      </c>
      <c r="AB894">
        <v>219.49</v>
      </c>
      <c r="AC894">
        <v>36</v>
      </c>
      <c r="AD894" s="41">
        <f t="shared" si="216"/>
        <v>0.42774152474932353</v>
      </c>
      <c r="AE894" s="41">
        <f t="shared" si="217"/>
        <v>0.55799950688415678</v>
      </c>
      <c r="AF894">
        <f t="shared" si="218"/>
        <v>1.2285460869565219</v>
      </c>
      <c r="AG894">
        <f t="shared" si="219"/>
        <v>0.371456608695652</v>
      </c>
      <c r="AH894">
        <f t="shared" si="220"/>
        <v>2.1949000000000001</v>
      </c>
      <c r="AI894">
        <f>HLOOKUP(HLOOKUP(G894,'THP2'!$B$4:$J$8,5,FALSE),'Fuel &amp; Resister'!$B$3:$G$6,4,FALSE)</f>
        <v>2.7360666666666664</v>
      </c>
      <c r="AJ894" s="41">
        <f>HLOOKUP(HLOOKUP(G894,'THP2'!$B$4:$J$8,5,FALSE),'Fuel &amp; Resister'!$B$3:$G$6,3,FALSE)</f>
        <v>13.019</v>
      </c>
      <c r="AO894" s="62">
        <v>0</v>
      </c>
      <c r="AP894" s="62">
        <v>0</v>
      </c>
    </row>
    <row r="895" spans="2:42" x14ac:dyDescent="0.15">
      <c r="B895" s="82" t="s">
        <v>631</v>
      </c>
      <c r="C895" s="61">
        <f>VLOOKUP(B895,[1]SYS!$F$5:$G$359,2,FALSE)</f>
        <v>168</v>
      </c>
      <c r="D895" s="1" t="s">
        <v>50</v>
      </c>
      <c r="E895" s="65" t="s">
        <v>356</v>
      </c>
      <c r="F895" s="63" t="s">
        <v>357</v>
      </c>
      <c r="G895" s="1">
        <v>7</v>
      </c>
      <c r="H895" s="1">
        <f t="shared" si="211"/>
        <v>0.4</v>
      </c>
      <c r="I895" s="1">
        <f t="shared" si="221"/>
        <v>0.59499999999999997</v>
      </c>
      <c r="J895" s="1">
        <f t="shared" si="210"/>
        <v>2.6900000000000035E-2</v>
      </c>
      <c r="K895" s="1">
        <f t="shared" si="213"/>
        <v>2.1308499999999997</v>
      </c>
      <c r="L895" s="1">
        <f t="shared" si="214"/>
        <v>1.6334300000000002</v>
      </c>
      <c r="M895" s="49">
        <f t="shared" si="215"/>
        <v>1.5776282833121891</v>
      </c>
      <c r="N895" s="49">
        <v>1.5712999999999999</v>
      </c>
      <c r="O895" s="6">
        <v>326</v>
      </c>
      <c r="P895" s="51">
        <v>0.05</v>
      </c>
      <c r="Q895" s="51">
        <v>11</v>
      </c>
      <c r="R895" s="51">
        <v>1</v>
      </c>
      <c r="S895" s="1">
        <v>1</v>
      </c>
      <c r="T895" s="1">
        <v>0</v>
      </c>
      <c r="U895" s="47">
        <v>1</v>
      </c>
      <c r="V895" s="47">
        <v>231</v>
      </c>
      <c r="W895" s="41">
        <v>238</v>
      </c>
      <c r="X895">
        <v>595</v>
      </c>
      <c r="Y895">
        <v>0.97309999999999997</v>
      </c>
      <c r="Z895">
        <v>2130.85</v>
      </c>
      <c r="AA895">
        <v>1633.43</v>
      </c>
      <c r="AB895">
        <v>157.13</v>
      </c>
      <c r="AC895">
        <v>36</v>
      </c>
      <c r="AD895" s="41">
        <f t="shared" si="216"/>
        <v>0.40359480958303029</v>
      </c>
      <c r="AE895" s="41">
        <f t="shared" si="217"/>
        <v>0.52649945207324467</v>
      </c>
      <c r="AF895">
        <f t="shared" si="218"/>
        <v>1.3018166666666673</v>
      </c>
      <c r="AG895">
        <f t="shared" si="219"/>
        <v>0.19730993333333305</v>
      </c>
      <c r="AH895">
        <f t="shared" si="220"/>
        <v>1.5712999999999999</v>
      </c>
      <c r="AI895">
        <f>HLOOKUP(HLOOKUP(G895,'THP2'!$B$4:$J$8,5,FALSE),'Fuel &amp; Resister'!$B$3:$G$6,4,FALSE)</f>
        <v>2.7360666666666664</v>
      </c>
      <c r="AJ895" s="41">
        <f>HLOOKUP(HLOOKUP(G895,'THP2'!$B$4:$J$8,5,FALSE),'Fuel &amp; Resister'!$B$3:$G$6,3,FALSE)</f>
        <v>13.019</v>
      </c>
      <c r="AO895" s="62">
        <v>0</v>
      </c>
      <c r="AP895" s="62">
        <v>0</v>
      </c>
    </row>
    <row r="896" spans="2:42" x14ac:dyDescent="0.15">
      <c r="B896" s="82" t="s">
        <v>631</v>
      </c>
      <c r="C896" s="61">
        <f>VLOOKUP(B896,[1]SYS!$F$5:$G$359,2,FALSE)</f>
        <v>168</v>
      </c>
      <c r="D896" s="1" t="s">
        <v>50</v>
      </c>
      <c r="E896" s="65" t="s">
        <v>358</v>
      </c>
      <c r="F896" s="63" t="s">
        <v>357</v>
      </c>
      <c r="G896" s="1">
        <v>7</v>
      </c>
      <c r="H896" s="1">
        <f t="shared" si="211"/>
        <v>0.4</v>
      </c>
      <c r="I896" s="1">
        <f t="shared" si="221"/>
        <v>0.59499999999999997</v>
      </c>
      <c r="J896" s="1">
        <f t="shared" si="210"/>
        <v>2.6900000000000035E-2</v>
      </c>
      <c r="K896" s="1">
        <f t="shared" si="213"/>
        <v>2.1308499999999997</v>
      </c>
      <c r="L896" s="1">
        <f t="shared" si="214"/>
        <v>1.6334300000000002</v>
      </c>
      <c r="M896" s="49">
        <f t="shared" si="215"/>
        <v>1.5776282833121891</v>
      </c>
      <c r="N896" s="49">
        <v>1.5712999999999999</v>
      </c>
      <c r="O896" s="1">
        <v>413</v>
      </c>
      <c r="P896" s="51">
        <v>0.05</v>
      </c>
      <c r="Q896" s="51">
        <v>11</v>
      </c>
      <c r="R896" s="51">
        <v>1</v>
      </c>
      <c r="S896" s="1">
        <v>1</v>
      </c>
      <c r="T896" s="1">
        <v>0</v>
      </c>
      <c r="U896" s="47">
        <v>1</v>
      </c>
      <c r="V896" s="47">
        <v>232</v>
      </c>
      <c r="W896" s="41">
        <v>238</v>
      </c>
      <c r="X896">
        <v>595</v>
      </c>
      <c r="Y896">
        <v>0.97309999999999997</v>
      </c>
      <c r="Z896">
        <v>2130.85</v>
      </c>
      <c r="AA896">
        <v>1633.43</v>
      </c>
      <c r="AB896">
        <v>157.13</v>
      </c>
      <c r="AC896">
        <v>36</v>
      </c>
      <c r="AD896" s="41">
        <f t="shared" si="216"/>
        <v>0.40359480958303029</v>
      </c>
      <c r="AE896" s="41">
        <f t="shared" si="217"/>
        <v>0.52649945207324467</v>
      </c>
      <c r="AF896">
        <f t="shared" si="218"/>
        <v>1.3018166666666673</v>
      </c>
      <c r="AG896">
        <f t="shared" si="219"/>
        <v>0.19730993333333305</v>
      </c>
      <c r="AH896">
        <f t="shared" si="220"/>
        <v>1.5712999999999999</v>
      </c>
      <c r="AI896">
        <f>HLOOKUP(HLOOKUP(G896,'THP2'!$B$4:$J$8,5,FALSE),'Fuel &amp; Resister'!$B$3:$G$6,4,FALSE)</f>
        <v>2.7360666666666664</v>
      </c>
      <c r="AJ896" s="41">
        <f>HLOOKUP(HLOOKUP(G896,'THP2'!$B$4:$J$8,5,FALSE),'Fuel &amp; Resister'!$B$3:$G$6,3,FALSE)</f>
        <v>13.019</v>
      </c>
      <c r="AO896" s="62">
        <v>0</v>
      </c>
      <c r="AP896" s="62">
        <v>0</v>
      </c>
    </row>
    <row r="897" spans="2:42" x14ac:dyDescent="0.15">
      <c r="B897" s="82" t="s">
        <v>631</v>
      </c>
      <c r="C897" s="61">
        <f>VLOOKUP(B897,[1]SYS!$F$5:$G$359,2,FALSE)</f>
        <v>168</v>
      </c>
      <c r="D897" s="1" t="s">
        <v>50</v>
      </c>
      <c r="E897" s="65" t="s">
        <v>359</v>
      </c>
      <c r="F897" s="63" t="s">
        <v>357</v>
      </c>
      <c r="G897" s="1">
        <v>7</v>
      </c>
      <c r="H897" s="1">
        <f t="shared" si="211"/>
        <v>0.4</v>
      </c>
      <c r="I897" s="1">
        <f t="shared" si="221"/>
        <v>0.59499999999999997</v>
      </c>
      <c r="J897" s="1">
        <f t="shared" ref="J897:J901" si="223">1-Y897</f>
        <v>2.6900000000000035E-2</v>
      </c>
      <c r="K897" s="1">
        <f t="shared" si="213"/>
        <v>2.1308499999999997</v>
      </c>
      <c r="L897" s="1">
        <f t="shared" si="214"/>
        <v>1.6334300000000002</v>
      </c>
      <c r="M897" s="49">
        <f t="shared" si="215"/>
        <v>1.5776282833121891</v>
      </c>
      <c r="N897" s="49">
        <v>1.5712999999999999</v>
      </c>
      <c r="O897" s="1">
        <v>1113</v>
      </c>
      <c r="P897" s="51">
        <v>0.05</v>
      </c>
      <c r="Q897" s="51">
        <v>11</v>
      </c>
      <c r="R897" s="51">
        <v>1</v>
      </c>
      <c r="S897" s="1">
        <v>1</v>
      </c>
      <c r="T897" s="1">
        <v>0</v>
      </c>
      <c r="U897" s="47">
        <v>1</v>
      </c>
      <c r="V897" s="47">
        <v>233</v>
      </c>
      <c r="W897" s="41">
        <v>238</v>
      </c>
      <c r="X897">
        <v>595</v>
      </c>
      <c r="Y897">
        <v>0.97309999999999997</v>
      </c>
      <c r="Z897">
        <v>2130.85</v>
      </c>
      <c r="AA897">
        <v>1633.43</v>
      </c>
      <c r="AB897">
        <v>157.13</v>
      </c>
      <c r="AC897">
        <v>36</v>
      </c>
      <c r="AD897" s="41">
        <f t="shared" si="216"/>
        <v>0.40359480958303029</v>
      </c>
      <c r="AE897" s="41">
        <f t="shared" si="217"/>
        <v>0.52649945207324467</v>
      </c>
      <c r="AF897">
        <f t="shared" si="218"/>
        <v>1.3018166666666673</v>
      </c>
      <c r="AG897">
        <f t="shared" si="219"/>
        <v>0.19730993333333305</v>
      </c>
      <c r="AH897">
        <f t="shared" si="220"/>
        <v>1.5712999999999999</v>
      </c>
      <c r="AI897">
        <f>HLOOKUP(HLOOKUP(G897,'THP2'!$B$4:$J$8,5,FALSE),'Fuel &amp; Resister'!$B$3:$G$6,4,FALSE)</f>
        <v>2.7360666666666664</v>
      </c>
      <c r="AJ897" s="41">
        <f>HLOOKUP(HLOOKUP(G897,'THP2'!$B$4:$J$8,5,FALSE),'Fuel &amp; Resister'!$B$3:$G$6,3,FALSE)</f>
        <v>13.019</v>
      </c>
      <c r="AO897" s="62">
        <v>0</v>
      </c>
      <c r="AP897" s="62">
        <v>0</v>
      </c>
    </row>
    <row r="898" spans="2:42" x14ac:dyDescent="0.15">
      <c r="B898" s="82" t="s">
        <v>631</v>
      </c>
      <c r="C898" s="61">
        <f>VLOOKUP(B898,[1]SYS!$F$5:$G$359,2,FALSE)</f>
        <v>168</v>
      </c>
      <c r="D898" s="1" t="s">
        <v>50</v>
      </c>
      <c r="E898" s="65" t="s">
        <v>360</v>
      </c>
      <c r="F898" s="63" t="s">
        <v>357</v>
      </c>
      <c r="G898" s="1">
        <v>7</v>
      </c>
      <c r="H898" s="1">
        <f t="shared" ref="H898:H901" si="224">W898/X898</f>
        <v>0.4</v>
      </c>
      <c r="I898" s="1">
        <f t="shared" si="221"/>
        <v>0.59499999999999997</v>
      </c>
      <c r="J898" s="1">
        <f t="shared" si="223"/>
        <v>2.6900000000000035E-2</v>
      </c>
      <c r="K898" s="1">
        <f t="shared" ref="K898:K901" si="225">Z898/1000</f>
        <v>2.1308499999999997</v>
      </c>
      <c r="L898" s="1">
        <f t="shared" ref="L898:L901" si="226">AA898/1000</f>
        <v>1.6334300000000002</v>
      </c>
      <c r="M898" s="49">
        <f t="shared" si="215"/>
        <v>1.5776282833121891</v>
      </c>
      <c r="N898" s="49">
        <v>1.5712999999999999</v>
      </c>
      <c r="O898" s="1">
        <v>613</v>
      </c>
      <c r="P898" s="51">
        <v>0.05</v>
      </c>
      <c r="Q898" s="51">
        <v>11</v>
      </c>
      <c r="R898" s="51">
        <v>1</v>
      </c>
      <c r="S898" s="1">
        <v>1</v>
      </c>
      <c r="T898" s="1">
        <v>0</v>
      </c>
      <c r="U898" s="47">
        <v>1</v>
      </c>
      <c r="V898" s="47">
        <v>234</v>
      </c>
      <c r="W898" s="41">
        <v>238</v>
      </c>
      <c r="X898">
        <v>595</v>
      </c>
      <c r="Y898">
        <v>0.97309999999999997</v>
      </c>
      <c r="Z898">
        <v>2130.85</v>
      </c>
      <c r="AA898">
        <v>1633.43</v>
      </c>
      <c r="AB898">
        <v>157.13</v>
      </c>
      <c r="AC898">
        <v>36</v>
      </c>
      <c r="AD898" s="41">
        <f t="shared" si="216"/>
        <v>0.40359480958303029</v>
      </c>
      <c r="AE898" s="41">
        <f t="shared" si="217"/>
        <v>0.52649945207324467</v>
      </c>
      <c r="AF898">
        <f t="shared" si="218"/>
        <v>1.3018166666666673</v>
      </c>
      <c r="AG898">
        <f t="shared" si="219"/>
        <v>0.19730993333333305</v>
      </c>
      <c r="AH898">
        <f t="shared" si="220"/>
        <v>1.5712999999999999</v>
      </c>
      <c r="AI898">
        <f>HLOOKUP(HLOOKUP(G898,'THP2'!$B$4:$J$8,5,FALSE),'Fuel &amp; Resister'!$B$3:$G$6,4,FALSE)</f>
        <v>2.7360666666666664</v>
      </c>
      <c r="AJ898" s="41">
        <f>HLOOKUP(HLOOKUP(G898,'THP2'!$B$4:$J$8,5,FALSE),'Fuel &amp; Resister'!$B$3:$G$6,3,FALSE)</f>
        <v>13.019</v>
      </c>
      <c r="AO898" s="62">
        <v>0</v>
      </c>
      <c r="AP898" s="62">
        <v>0</v>
      </c>
    </row>
    <row r="899" spans="2:42" x14ac:dyDescent="0.15">
      <c r="B899" s="82" t="s">
        <v>596</v>
      </c>
      <c r="C899" s="61">
        <f>VLOOKUP(B899,[1]SYS!$F$5:$G$359,2,FALSE)</f>
        <v>155</v>
      </c>
      <c r="D899" s="1" t="s">
        <v>50</v>
      </c>
      <c r="E899" s="65" t="s">
        <v>347</v>
      </c>
      <c r="F899" s="63" t="s">
        <v>346</v>
      </c>
      <c r="G899" s="1">
        <v>7</v>
      </c>
      <c r="H899" s="1">
        <f t="shared" si="224"/>
        <v>0.4</v>
      </c>
      <c r="I899" s="1">
        <f t="shared" si="221"/>
        <v>0.4</v>
      </c>
      <c r="J899" s="1">
        <f t="shared" si="223"/>
        <v>2.0000000000000018E-2</v>
      </c>
      <c r="K899" s="1">
        <f t="shared" si="225"/>
        <v>2.1492199999999997</v>
      </c>
      <c r="L899" s="1">
        <f t="shared" si="226"/>
        <v>1.64751</v>
      </c>
      <c r="M899" s="49">
        <f t="shared" ref="M899:M923" si="227">(I899*10^6*L899/AJ899*AI899/10^6)*24*365/1000*$A$772</f>
        <v>1.0697326240038847</v>
      </c>
      <c r="N899" s="49">
        <v>1.3619999999999999</v>
      </c>
      <c r="O899" s="1">
        <v>514</v>
      </c>
      <c r="P899" s="51">
        <v>0.05</v>
      </c>
      <c r="Q899" s="51">
        <v>11</v>
      </c>
      <c r="R899" s="51">
        <v>1</v>
      </c>
      <c r="S899" s="1">
        <v>1</v>
      </c>
      <c r="T899" s="1">
        <v>0</v>
      </c>
      <c r="U899" s="47">
        <v>1</v>
      </c>
      <c r="V899" s="47">
        <v>235</v>
      </c>
      <c r="W899" s="41">
        <v>160</v>
      </c>
      <c r="X899">
        <v>400</v>
      </c>
      <c r="Y899">
        <v>0.98</v>
      </c>
      <c r="Z899">
        <v>2149.2199999999998</v>
      </c>
      <c r="AA899">
        <v>1647.51</v>
      </c>
      <c r="AB899">
        <v>136.19999999999999</v>
      </c>
      <c r="AC899">
        <v>36</v>
      </c>
      <c r="AD899" s="41">
        <f t="shared" si="216"/>
        <v>0.40014516894501267</v>
      </c>
      <c r="AE899" s="41">
        <f t="shared" si="217"/>
        <v>0.52199986646515051</v>
      </c>
      <c r="AF899">
        <f t="shared" si="218"/>
        <v>1.3130366666666669</v>
      </c>
      <c r="AG899">
        <f t="shared" si="219"/>
        <v>0.13378933333333329</v>
      </c>
      <c r="AH899">
        <f t="shared" si="220"/>
        <v>1.3619999999999999</v>
      </c>
      <c r="AI899">
        <f>HLOOKUP(HLOOKUP(G899,'THP2'!$B$4:$J$8,5,FALSE),'Fuel &amp; Resister'!$B$3:$G$6,4,FALSE)</f>
        <v>2.7360666666666664</v>
      </c>
      <c r="AJ899" s="41">
        <f>HLOOKUP(HLOOKUP(G899,'THP2'!$B$4:$J$8,5,FALSE),'Fuel &amp; Resister'!$B$3:$G$6,3,FALSE)</f>
        <v>13.019</v>
      </c>
      <c r="AO899" s="62">
        <v>0</v>
      </c>
      <c r="AP899" s="62">
        <v>0</v>
      </c>
    </row>
    <row r="900" spans="2:42" x14ac:dyDescent="0.15">
      <c r="B900" s="82" t="s">
        <v>596</v>
      </c>
      <c r="C900" s="61">
        <f>VLOOKUP(B900,[1]SYS!$F$5:$G$359,2,FALSE)</f>
        <v>155</v>
      </c>
      <c r="D900" s="1" t="s">
        <v>50</v>
      </c>
      <c r="E900" s="65" t="s">
        <v>348</v>
      </c>
      <c r="F900" s="63" t="s">
        <v>346</v>
      </c>
      <c r="G900" s="1">
        <v>7</v>
      </c>
      <c r="H900" s="1">
        <f t="shared" si="224"/>
        <v>0.4</v>
      </c>
      <c r="I900" s="1">
        <f t="shared" si="221"/>
        <v>0.4</v>
      </c>
      <c r="J900" s="1">
        <f t="shared" si="223"/>
        <v>2.0000000000000018E-2</v>
      </c>
      <c r="K900" s="1">
        <f t="shared" si="225"/>
        <v>2.1492199999999997</v>
      </c>
      <c r="L900" s="1">
        <f t="shared" si="226"/>
        <v>1.64751</v>
      </c>
      <c r="M900" s="49">
        <f t="shared" si="227"/>
        <v>1.0697326240038847</v>
      </c>
      <c r="N900" s="49">
        <v>1.3619999999999999</v>
      </c>
      <c r="O900" s="1">
        <v>913</v>
      </c>
      <c r="P900" s="51">
        <v>0.05</v>
      </c>
      <c r="Q900" s="51">
        <v>11</v>
      </c>
      <c r="R900" s="51">
        <v>1</v>
      </c>
      <c r="S900" s="1">
        <v>1</v>
      </c>
      <c r="T900" s="1">
        <v>0</v>
      </c>
      <c r="U900" s="47">
        <v>1</v>
      </c>
      <c r="V900" s="47">
        <v>236</v>
      </c>
      <c r="W900" s="41">
        <v>160</v>
      </c>
      <c r="X900">
        <v>400</v>
      </c>
      <c r="Y900">
        <v>0.98</v>
      </c>
      <c r="Z900">
        <v>2149.2199999999998</v>
      </c>
      <c r="AA900">
        <v>1647.51</v>
      </c>
      <c r="AB900">
        <v>136.19999999999999</v>
      </c>
      <c r="AC900">
        <v>36</v>
      </c>
      <c r="AD900" s="41">
        <f t="shared" si="216"/>
        <v>0.40014516894501267</v>
      </c>
      <c r="AE900" s="41">
        <f t="shared" si="217"/>
        <v>0.52199986646515051</v>
      </c>
      <c r="AF900">
        <f t="shared" si="218"/>
        <v>1.3130366666666669</v>
      </c>
      <c r="AG900">
        <f t="shared" si="219"/>
        <v>0.13378933333333329</v>
      </c>
      <c r="AH900">
        <f t="shared" si="220"/>
        <v>1.3619999999999999</v>
      </c>
      <c r="AI900">
        <f>HLOOKUP(HLOOKUP(G900,'THP2'!$B$4:$J$8,5,FALSE),'Fuel &amp; Resister'!$B$3:$G$6,4,FALSE)</f>
        <v>2.7360666666666664</v>
      </c>
      <c r="AJ900" s="41">
        <f>HLOOKUP(HLOOKUP(G900,'THP2'!$B$4:$J$8,5,FALSE),'Fuel &amp; Resister'!$B$3:$G$6,3,FALSE)</f>
        <v>13.019</v>
      </c>
      <c r="AO900" s="62">
        <v>0</v>
      </c>
      <c r="AP900" s="62">
        <v>0</v>
      </c>
    </row>
    <row r="901" spans="2:42" x14ac:dyDescent="0.15">
      <c r="B901" s="82" t="s">
        <v>596</v>
      </c>
      <c r="C901" s="61">
        <f>VLOOKUP(B901,[1]SYS!$F$5:$G$359,2,FALSE)</f>
        <v>155</v>
      </c>
      <c r="D901" s="1" t="s">
        <v>50</v>
      </c>
      <c r="E901" s="65" t="s">
        <v>349</v>
      </c>
      <c r="F901" s="63" t="s">
        <v>346</v>
      </c>
      <c r="G901" s="1">
        <v>7</v>
      </c>
      <c r="H901" s="1">
        <f t="shared" si="224"/>
        <v>0.4</v>
      </c>
      <c r="I901" s="1">
        <f t="shared" si="221"/>
        <v>0.4</v>
      </c>
      <c r="J901" s="1">
        <f t="shared" si="223"/>
        <v>2.0000000000000018E-2</v>
      </c>
      <c r="K901" s="1">
        <f t="shared" si="225"/>
        <v>2.1492199999999997</v>
      </c>
      <c r="L901" s="1">
        <f t="shared" si="226"/>
        <v>1.64751</v>
      </c>
      <c r="M901" s="49">
        <f t="shared" si="227"/>
        <v>1.0697326240038847</v>
      </c>
      <c r="N901" s="49">
        <v>1.3619999999999999</v>
      </c>
      <c r="O901" s="6">
        <v>326</v>
      </c>
      <c r="P901" s="51">
        <v>0.05</v>
      </c>
      <c r="Q901" s="51">
        <v>11</v>
      </c>
      <c r="R901" s="51">
        <v>1</v>
      </c>
      <c r="S901" s="1">
        <v>1</v>
      </c>
      <c r="T901" s="1">
        <v>0</v>
      </c>
      <c r="U901" s="47">
        <v>1</v>
      </c>
      <c r="V901" s="47">
        <v>237</v>
      </c>
      <c r="W901" s="41">
        <v>160</v>
      </c>
      <c r="X901">
        <v>400</v>
      </c>
      <c r="Y901">
        <v>0.98</v>
      </c>
      <c r="Z901">
        <v>2149.2199999999998</v>
      </c>
      <c r="AA901">
        <v>1647.51</v>
      </c>
      <c r="AB901">
        <v>136.19999999999999</v>
      </c>
      <c r="AC901">
        <v>36</v>
      </c>
      <c r="AD901" s="41">
        <f t="shared" si="216"/>
        <v>0.40014516894501267</v>
      </c>
      <c r="AE901" s="41">
        <f t="shared" si="217"/>
        <v>0.52199986646515051</v>
      </c>
      <c r="AF901">
        <f t="shared" si="218"/>
        <v>1.3130366666666669</v>
      </c>
      <c r="AG901">
        <f t="shared" si="219"/>
        <v>0.13378933333333329</v>
      </c>
      <c r="AH901">
        <f t="shared" si="220"/>
        <v>1.3619999999999999</v>
      </c>
      <c r="AI901">
        <f>HLOOKUP(HLOOKUP(G901,'THP2'!$B$4:$J$8,5,FALSE),'Fuel &amp; Resister'!$B$3:$G$6,4,FALSE)</f>
        <v>2.7360666666666664</v>
      </c>
      <c r="AJ901" s="41">
        <f>HLOOKUP(HLOOKUP(G901,'THP2'!$B$4:$J$8,5,FALSE),'Fuel &amp; Resister'!$B$3:$G$6,3,FALSE)</f>
        <v>13.019</v>
      </c>
      <c r="AO901" s="62">
        <v>0</v>
      </c>
      <c r="AP901" s="62">
        <v>0</v>
      </c>
    </row>
    <row r="902" spans="2:42" x14ac:dyDescent="0.15">
      <c r="B902" s="82" t="s">
        <v>596</v>
      </c>
      <c r="C902" s="61">
        <f>VLOOKUP(B902,[1]SYS!$F$5:$G$359,2,FALSE)</f>
        <v>155</v>
      </c>
      <c r="D902" s="1" t="s">
        <v>50</v>
      </c>
      <c r="E902" s="65" t="s">
        <v>350</v>
      </c>
      <c r="F902" s="63" t="s">
        <v>346</v>
      </c>
      <c r="G902" s="1">
        <v>7</v>
      </c>
      <c r="H902" s="1">
        <f t="shared" ref="H902:H986" si="228">W902/X902</f>
        <v>0.4</v>
      </c>
      <c r="I902" s="1">
        <f t="shared" ref="I902:I957" si="229">X902/1000</f>
        <v>0.4</v>
      </c>
      <c r="J902" s="1">
        <f t="shared" ref="J902:J926" si="230">1-Y902</f>
        <v>2.0000000000000018E-2</v>
      </c>
      <c r="K902" s="1">
        <f t="shared" ref="K902:K986" si="231">Z902/1000</f>
        <v>2.1492199999999997</v>
      </c>
      <c r="L902" s="1">
        <f t="shared" ref="L902:L986" si="232">AA902/1000</f>
        <v>1.64751</v>
      </c>
      <c r="M902" s="49">
        <f t="shared" si="227"/>
        <v>1.0697326240038847</v>
      </c>
      <c r="N902" s="49">
        <v>1.3619999999999999</v>
      </c>
      <c r="O902" s="1">
        <v>514</v>
      </c>
      <c r="P902" s="51">
        <v>0.05</v>
      </c>
      <c r="Q902" s="51">
        <v>11</v>
      </c>
      <c r="R902" s="51">
        <v>1</v>
      </c>
      <c r="S902" s="1">
        <v>1</v>
      </c>
      <c r="T902" s="1">
        <v>0</v>
      </c>
      <c r="U902" s="47">
        <v>1</v>
      </c>
      <c r="V902" s="47">
        <v>238</v>
      </c>
      <c r="W902" s="41">
        <v>160</v>
      </c>
      <c r="X902">
        <v>400</v>
      </c>
      <c r="Y902">
        <v>0.98</v>
      </c>
      <c r="Z902">
        <v>2149.2199999999998</v>
      </c>
      <c r="AA902">
        <v>1647.51</v>
      </c>
      <c r="AB902">
        <v>136.19999999999999</v>
      </c>
      <c r="AC902">
        <v>36</v>
      </c>
      <c r="AD902" s="41">
        <f t="shared" ref="AD902:AD922" si="233">1/Z902*860</f>
        <v>0.40014516894501267</v>
      </c>
      <c r="AE902" s="41">
        <f t="shared" ref="AE902:AE922" si="234">1/AA902*860</f>
        <v>0.52199986646515051</v>
      </c>
      <c r="AF902">
        <f t="shared" ref="AF902:AF922" si="235">(L902-H902*K902)/(1-H902)</f>
        <v>1.3130366666666669</v>
      </c>
      <c r="AG902">
        <f t="shared" ref="AG902:AG922" si="236">I902*(L902-AF902)</f>
        <v>0.13378933333333329</v>
      </c>
      <c r="AH902">
        <f t="shared" ref="AH902:AH922" si="237">AB902/100</f>
        <v>1.3619999999999999</v>
      </c>
      <c r="AI902">
        <f>HLOOKUP(HLOOKUP(G902,'THP2'!$B$4:$J$8,5,FALSE),'Fuel &amp; Resister'!$B$3:$G$6,4,FALSE)</f>
        <v>2.7360666666666664</v>
      </c>
      <c r="AJ902" s="41">
        <f>HLOOKUP(HLOOKUP(G902,'THP2'!$B$4:$J$8,5,FALSE),'Fuel &amp; Resister'!$B$3:$G$6,3,FALSE)</f>
        <v>13.019</v>
      </c>
      <c r="AO902" s="62">
        <v>0</v>
      </c>
      <c r="AP902" s="62">
        <v>0</v>
      </c>
    </row>
    <row r="903" spans="2:42" x14ac:dyDescent="0.15">
      <c r="B903" s="82" t="s">
        <v>596</v>
      </c>
      <c r="C903" s="61">
        <f>VLOOKUP(B903,[1]SYS!$F$5:$G$359,2,FALSE)</f>
        <v>155</v>
      </c>
      <c r="D903" s="1" t="s">
        <v>50</v>
      </c>
      <c r="E903" s="42" t="s">
        <v>351</v>
      </c>
      <c r="F903" s="63" t="s">
        <v>346</v>
      </c>
      <c r="G903" s="1">
        <v>7</v>
      </c>
      <c r="H903" s="1">
        <f t="shared" si="228"/>
        <v>0.3991769547325103</v>
      </c>
      <c r="I903" s="1">
        <f t="shared" si="229"/>
        <v>0.24299999999999999</v>
      </c>
      <c r="J903" s="1">
        <f t="shared" si="230"/>
        <v>1.8499999999999961E-2</v>
      </c>
      <c r="K903" s="1">
        <f t="shared" si="231"/>
        <v>2.3084199999999999</v>
      </c>
      <c r="L903" s="1">
        <f t="shared" si="232"/>
        <v>1.76955</v>
      </c>
      <c r="M903" s="49">
        <f t="shared" si="227"/>
        <v>0.69800141372112456</v>
      </c>
      <c r="N903" s="49">
        <v>1.1924999999999999</v>
      </c>
      <c r="O903" s="1">
        <v>1113</v>
      </c>
      <c r="P903" s="51">
        <v>0.05</v>
      </c>
      <c r="Q903" s="51">
        <v>11</v>
      </c>
      <c r="R903" s="51">
        <v>1</v>
      </c>
      <c r="S903" s="1">
        <v>1</v>
      </c>
      <c r="T903" s="1">
        <v>0</v>
      </c>
      <c r="U903" s="47">
        <v>0</v>
      </c>
      <c r="V903" s="47">
        <v>239</v>
      </c>
      <c r="W903" s="41">
        <v>97</v>
      </c>
      <c r="X903">
        <v>243</v>
      </c>
      <c r="Y903">
        <v>0.98150000000000004</v>
      </c>
      <c r="Z903">
        <v>2308.42</v>
      </c>
      <c r="AA903">
        <v>1769.55</v>
      </c>
      <c r="AB903">
        <v>119.25</v>
      </c>
      <c r="AC903">
        <v>36</v>
      </c>
      <c r="AD903" s="41">
        <f t="shared" si="233"/>
        <v>0.37254918948891447</v>
      </c>
      <c r="AE903" s="41">
        <f t="shared" si="234"/>
        <v>0.48599926534994775</v>
      </c>
      <c r="AF903">
        <f t="shared" si="235"/>
        <v>1.4115336301369863</v>
      </c>
      <c r="AG903">
        <f t="shared" si="236"/>
        <v>8.6997977876712318E-2</v>
      </c>
      <c r="AH903">
        <f t="shared" si="237"/>
        <v>1.1924999999999999</v>
      </c>
      <c r="AI903">
        <f>HLOOKUP(HLOOKUP(G903,'THP2'!$B$4:$J$8,5,FALSE),'Fuel &amp; Resister'!$B$3:$G$6,4,FALSE)</f>
        <v>2.7360666666666664</v>
      </c>
      <c r="AJ903" s="41">
        <f>HLOOKUP(HLOOKUP(G903,'THP2'!$B$4:$J$8,5,FALSE),'Fuel &amp; Resister'!$B$3:$G$6,3,FALSE)</f>
        <v>13.019</v>
      </c>
      <c r="AO903" s="1">
        <v>1</v>
      </c>
      <c r="AP903" s="62">
        <v>0</v>
      </c>
    </row>
    <row r="904" spans="2:42" x14ac:dyDescent="0.15">
      <c r="B904" s="82" t="s">
        <v>596</v>
      </c>
      <c r="C904" s="61">
        <f>VLOOKUP(B904,[1]SYS!$F$5:$G$359,2,FALSE)</f>
        <v>155</v>
      </c>
      <c r="D904" s="1" t="s">
        <v>50</v>
      </c>
      <c r="E904" s="42" t="s">
        <v>352</v>
      </c>
      <c r="F904" s="63" t="s">
        <v>346</v>
      </c>
      <c r="G904" s="1">
        <v>7</v>
      </c>
      <c r="H904" s="1">
        <f t="shared" si="228"/>
        <v>0.3991769547325103</v>
      </c>
      <c r="I904" s="1">
        <f t="shared" si="229"/>
        <v>0.24299999999999999</v>
      </c>
      <c r="J904" s="1">
        <f t="shared" si="230"/>
        <v>1.8000000000000016E-2</v>
      </c>
      <c r="K904" s="1">
        <f t="shared" si="231"/>
        <v>2.3084199999999999</v>
      </c>
      <c r="L904" s="1">
        <f t="shared" si="232"/>
        <v>1.76955</v>
      </c>
      <c r="M904" s="49">
        <f t="shared" si="227"/>
        <v>0.69800141372112456</v>
      </c>
      <c r="N904" s="49">
        <v>1.1924999999999999</v>
      </c>
      <c r="O904" s="1">
        <v>913</v>
      </c>
      <c r="P904" s="51">
        <v>0.05</v>
      </c>
      <c r="Q904" s="51">
        <v>11</v>
      </c>
      <c r="R904" s="51">
        <v>1</v>
      </c>
      <c r="S904" s="1">
        <v>1</v>
      </c>
      <c r="T904" s="1">
        <v>0</v>
      </c>
      <c r="U904" s="47">
        <v>0</v>
      </c>
      <c r="V904" s="47">
        <v>240</v>
      </c>
      <c r="W904" s="41">
        <v>97</v>
      </c>
      <c r="X904">
        <v>243</v>
      </c>
      <c r="Y904">
        <v>0.98199999999999998</v>
      </c>
      <c r="Z904">
        <v>2308.42</v>
      </c>
      <c r="AA904">
        <v>1769.55</v>
      </c>
      <c r="AB904">
        <v>119.25</v>
      </c>
      <c r="AC904">
        <v>36</v>
      </c>
      <c r="AD904" s="41">
        <f t="shared" si="233"/>
        <v>0.37254918948891447</v>
      </c>
      <c r="AE904" s="41">
        <f t="shared" si="234"/>
        <v>0.48599926534994775</v>
      </c>
      <c r="AF904">
        <f t="shared" si="235"/>
        <v>1.4115336301369863</v>
      </c>
      <c r="AG904">
        <f t="shared" si="236"/>
        <v>8.6997977876712318E-2</v>
      </c>
      <c r="AH904">
        <f t="shared" si="237"/>
        <v>1.1924999999999999</v>
      </c>
      <c r="AI904">
        <f>HLOOKUP(HLOOKUP(G904,'THP2'!$B$4:$J$8,5,FALSE),'Fuel &amp; Resister'!$B$3:$G$6,4,FALSE)</f>
        <v>2.7360666666666664</v>
      </c>
      <c r="AJ904" s="41">
        <f>HLOOKUP(HLOOKUP(G904,'THP2'!$B$4:$J$8,5,FALSE),'Fuel &amp; Resister'!$B$3:$G$6,3,FALSE)</f>
        <v>13.019</v>
      </c>
      <c r="AO904" s="1">
        <v>1</v>
      </c>
      <c r="AP904" s="62">
        <v>0</v>
      </c>
    </row>
    <row r="905" spans="2:42" x14ac:dyDescent="0.15">
      <c r="B905" s="82" t="s">
        <v>596</v>
      </c>
      <c r="C905" s="61">
        <f>VLOOKUP(B905,[1]SYS!$F$5:$G$359,2,FALSE)</f>
        <v>155</v>
      </c>
      <c r="D905" s="1" t="s">
        <v>50</v>
      </c>
      <c r="E905" s="42" t="s">
        <v>353</v>
      </c>
      <c r="F905" s="63" t="s">
        <v>346</v>
      </c>
      <c r="G905" s="1">
        <v>7</v>
      </c>
      <c r="H905" s="1">
        <f t="shared" si="228"/>
        <v>0.3991769547325103</v>
      </c>
      <c r="I905" s="1">
        <f t="shared" si="229"/>
        <v>0.24299999999999999</v>
      </c>
      <c r="J905" s="1">
        <f t="shared" si="230"/>
        <v>1.8000000000000016E-2</v>
      </c>
      <c r="K905" s="1">
        <f t="shared" si="231"/>
        <v>2.3084199999999999</v>
      </c>
      <c r="L905" s="1">
        <f t="shared" si="232"/>
        <v>1.76955</v>
      </c>
      <c r="M905" s="49">
        <f t="shared" si="227"/>
        <v>0.69800141372112456</v>
      </c>
      <c r="N905" s="49">
        <v>1.1924999999999999</v>
      </c>
      <c r="O905" s="1">
        <v>1113</v>
      </c>
      <c r="P905" s="51">
        <v>0.05</v>
      </c>
      <c r="Q905" s="51">
        <v>11</v>
      </c>
      <c r="R905" s="51">
        <v>1</v>
      </c>
      <c r="S905" s="1">
        <v>1</v>
      </c>
      <c r="T905" s="1">
        <v>0</v>
      </c>
      <c r="U905" s="47">
        <v>0</v>
      </c>
      <c r="V905" s="47">
        <v>241</v>
      </c>
      <c r="W905" s="41">
        <v>97</v>
      </c>
      <c r="X905">
        <v>243</v>
      </c>
      <c r="Y905">
        <v>0.98199999999999998</v>
      </c>
      <c r="Z905">
        <v>2308.42</v>
      </c>
      <c r="AA905">
        <v>1769.55</v>
      </c>
      <c r="AB905">
        <v>119.25</v>
      </c>
      <c r="AC905">
        <v>36</v>
      </c>
      <c r="AD905" s="41">
        <f t="shared" si="233"/>
        <v>0.37254918948891447</v>
      </c>
      <c r="AE905" s="41">
        <f t="shared" si="234"/>
        <v>0.48599926534994775</v>
      </c>
      <c r="AF905">
        <f t="shared" si="235"/>
        <v>1.4115336301369863</v>
      </c>
      <c r="AG905">
        <f t="shared" si="236"/>
        <v>8.6997977876712318E-2</v>
      </c>
      <c r="AH905">
        <f t="shared" si="237"/>
        <v>1.1924999999999999</v>
      </c>
      <c r="AI905">
        <f>HLOOKUP(HLOOKUP(G905,'THP2'!$B$4:$J$8,5,FALSE),'Fuel &amp; Resister'!$B$3:$G$6,4,FALSE)</f>
        <v>2.7360666666666664</v>
      </c>
      <c r="AJ905" s="41">
        <f>HLOOKUP(HLOOKUP(G905,'THP2'!$B$4:$J$8,5,FALSE),'Fuel &amp; Resister'!$B$3:$G$6,3,FALSE)</f>
        <v>13.019</v>
      </c>
      <c r="AO905" s="1">
        <v>1</v>
      </c>
      <c r="AP905" s="62">
        <v>0</v>
      </c>
    </row>
    <row r="906" spans="2:42" x14ac:dyDescent="0.15">
      <c r="B906" s="82" t="s">
        <v>596</v>
      </c>
      <c r="C906" s="61">
        <f>VLOOKUP(B906,[1]SYS!$F$5:$G$359,2,FALSE)</f>
        <v>155</v>
      </c>
      <c r="D906" s="1" t="s">
        <v>50</v>
      </c>
      <c r="E906" s="42" t="s">
        <v>354</v>
      </c>
      <c r="F906" s="63" t="s">
        <v>346</v>
      </c>
      <c r="G906" s="1">
        <v>7</v>
      </c>
      <c r="H906" s="1">
        <f t="shared" si="228"/>
        <v>0.3991769547325103</v>
      </c>
      <c r="I906" s="1">
        <f t="shared" si="229"/>
        <v>0.24299999999999999</v>
      </c>
      <c r="J906" s="1">
        <f t="shared" si="230"/>
        <v>1.8000000000000016E-2</v>
      </c>
      <c r="K906" s="1">
        <f t="shared" si="231"/>
        <v>2.3084199999999999</v>
      </c>
      <c r="L906" s="1">
        <f t="shared" si="232"/>
        <v>1.76955</v>
      </c>
      <c r="M906" s="49">
        <f t="shared" si="227"/>
        <v>0.69800141372112456</v>
      </c>
      <c r="N906" s="49">
        <v>1.1924999999999999</v>
      </c>
      <c r="O906" s="1">
        <v>514</v>
      </c>
      <c r="P906" s="51">
        <v>0.05</v>
      </c>
      <c r="Q906" s="51">
        <v>11</v>
      </c>
      <c r="R906" s="51">
        <v>1</v>
      </c>
      <c r="S906" s="1">
        <v>1</v>
      </c>
      <c r="T906" s="1">
        <v>0</v>
      </c>
      <c r="U906" s="47">
        <v>0</v>
      </c>
      <c r="V906" s="47">
        <v>242</v>
      </c>
      <c r="W906" s="41">
        <v>97</v>
      </c>
      <c r="X906">
        <v>243</v>
      </c>
      <c r="Y906">
        <v>0.98199999999999998</v>
      </c>
      <c r="Z906">
        <v>2308.42</v>
      </c>
      <c r="AA906">
        <v>1769.55</v>
      </c>
      <c r="AB906">
        <v>119.25</v>
      </c>
      <c r="AC906">
        <v>36</v>
      </c>
      <c r="AD906" s="41">
        <f t="shared" si="233"/>
        <v>0.37254918948891447</v>
      </c>
      <c r="AE906" s="41">
        <f t="shared" si="234"/>
        <v>0.48599926534994775</v>
      </c>
      <c r="AF906">
        <f t="shared" si="235"/>
        <v>1.4115336301369863</v>
      </c>
      <c r="AG906">
        <f t="shared" si="236"/>
        <v>8.6997977876712318E-2</v>
      </c>
      <c r="AH906">
        <f t="shared" si="237"/>
        <v>1.1924999999999999</v>
      </c>
      <c r="AI906">
        <f>HLOOKUP(HLOOKUP(G906,'THP2'!$B$4:$J$8,5,FALSE),'Fuel &amp; Resister'!$B$3:$G$6,4,FALSE)</f>
        <v>2.7360666666666664</v>
      </c>
      <c r="AJ906" s="41">
        <f>HLOOKUP(HLOOKUP(G906,'THP2'!$B$4:$J$8,5,FALSE),'Fuel &amp; Resister'!$B$3:$G$6,3,FALSE)</f>
        <v>13.019</v>
      </c>
      <c r="AO906" s="1">
        <v>1</v>
      </c>
      <c r="AP906" s="62">
        <v>0</v>
      </c>
    </row>
    <row r="907" spans="2:42" x14ac:dyDescent="0.15">
      <c r="B907" s="82" t="s">
        <v>596</v>
      </c>
      <c r="C907" s="61">
        <f>VLOOKUP(B907,[1]SYS!$F$5:$G$359,2,FALSE)</f>
        <v>155</v>
      </c>
      <c r="D907" s="1" t="s">
        <v>50</v>
      </c>
      <c r="E907" s="42" t="s">
        <v>355</v>
      </c>
      <c r="F907" s="63" t="s">
        <v>346</v>
      </c>
      <c r="G907" s="1">
        <v>7</v>
      </c>
      <c r="H907" s="1">
        <f t="shared" si="228"/>
        <v>0.3991769547325103</v>
      </c>
      <c r="I907" s="1">
        <f t="shared" si="229"/>
        <v>0.24299999999999999</v>
      </c>
      <c r="J907" s="1">
        <f t="shared" si="230"/>
        <v>1.8000000000000016E-2</v>
      </c>
      <c r="K907" s="1">
        <f t="shared" si="231"/>
        <v>2.3084199999999999</v>
      </c>
      <c r="L907" s="1">
        <f t="shared" si="232"/>
        <v>1.76955</v>
      </c>
      <c r="M907" s="49">
        <f t="shared" si="227"/>
        <v>0.69800141372112456</v>
      </c>
      <c r="N907" s="49">
        <v>1.1924999999999999</v>
      </c>
      <c r="O907" s="1">
        <v>913</v>
      </c>
      <c r="P907" s="51">
        <v>0.05</v>
      </c>
      <c r="Q907" s="51">
        <v>11</v>
      </c>
      <c r="R907" s="51">
        <v>1</v>
      </c>
      <c r="S907" s="1">
        <v>1</v>
      </c>
      <c r="T907" s="1">
        <v>0</v>
      </c>
      <c r="U907" s="47">
        <v>0</v>
      </c>
      <c r="V907" s="47">
        <v>243</v>
      </c>
      <c r="W907" s="41">
        <v>97</v>
      </c>
      <c r="X907">
        <v>243</v>
      </c>
      <c r="Y907">
        <v>0.98199999999999998</v>
      </c>
      <c r="Z907">
        <v>2308.42</v>
      </c>
      <c r="AA907">
        <v>1769.55</v>
      </c>
      <c r="AB907">
        <v>119.25</v>
      </c>
      <c r="AC907">
        <v>36</v>
      </c>
      <c r="AD907" s="41">
        <f t="shared" si="233"/>
        <v>0.37254918948891447</v>
      </c>
      <c r="AE907" s="41">
        <f t="shared" si="234"/>
        <v>0.48599926534994775</v>
      </c>
      <c r="AF907">
        <f t="shared" si="235"/>
        <v>1.4115336301369863</v>
      </c>
      <c r="AG907">
        <f t="shared" si="236"/>
        <v>8.6997977876712318E-2</v>
      </c>
      <c r="AH907">
        <f t="shared" si="237"/>
        <v>1.1924999999999999</v>
      </c>
      <c r="AI907">
        <f>HLOOKUP(HLOOKUP(G907,'THP2'!$B$4:$J$8,5,FALSE),'Fuel &amp; Resister'!$B$3:$G$6,4,FALSE)</f>
        <v>2.7360666666666664</v>
      </c>
      <c r="AJ907" s="41">
        <f>HLOOKUP(HLOOKUP(G907,'THP2'!$B$4:$J$8,5,FALSE),'Fuel &amp; Resister'!$B$3:$G$6,3,FALSE)</f>
        <v>13.019</v>
      </c>
      <c r="AO907" s="1">
        <v>1</v>
      </c>
      <c r="AP907" s="62">
        <v>0</v>
      </c>
    </row>
    <row r="908" spans="2:42" x14ac:dyDescent="0.15">
      <c r="B908" s="82" t="s">
        <v>596</v>
      </c>
      <c r="C908" s="61">
        <f>VLOOKUP(B908,[1]SYS!$F$5:$G$359,2,FALSE)</f>
        <v>155</v>
      </c>
      <c r="D908" s="1" t="s">
        <v>50</v>
      </c>
      <c r="E908" s="42" t="s">
        <v>345</v>
      </c>
      <c r="F908" s="63" t="s">
        <v>346</v>
      </c>
      <c r="G908" s="1">
        <v>7</v>
      </c>
      <c r="H908" s="1">
        <f t="shared" si="228"/>
        <v>0.3991769547325103</v>
      </c>
      <c r="I908" s="1">
        <f t="shared" si="229"/>
        <v>0.24299999999999999</v>
      </c>
      <c r="J908" s="1">
        <f t="shared" si="230"/>
        <v>1.749999999999996E-2</v>
      </c>
      <c r="K908" s="1">
        <f t="shared" si="231"/>
        <v>2.3084199999999999</v>
      </c>
      <c r="L908" s="1">
        <f t="shared" si="232"/>
        <v>1.76955</v>
      </c>
      <c r="M908" s="49">
        <f t="shared" si="227"/>
        <v>0.69800141372112456</v>
      </c>
      <c r="N908" s="49">
        <v>1.1924999999999999</v>
      </c>
      <c r="O908" s="1">
        <v>211</v>
      </c>
      <c r="P908" s="51">
        <v>0.05</v>
      </c>
      <c r="Q908" s="51">
        <v>11</v>
      </c>
      <c r="R908" s="51">
        <v>1</v>
      </c>
      <c r="S908" s="1">
        <v>1</v>
      </c>
      <c r="T908" s="1">
        <v>0</v>
      </c>
      <c r="U908" s="47">
        <v>0</v>
      </c>
      <c r="V908" s="47">
        <v>244</v>
      </c>
      <c r="W908" s="41">
        <v>97</v>
      </c>
      <c r="X908">
        <v>243</v>
      </c>
      <c r="Y908">
        <v>0.98250000000000004</v>
      </c>
      <c r="Z908">
        <v>2308.42</v>
      </c>
      <c r="AA908">
        <v>1769.55</v>
      </c>
      <c r="AB908">
        <v>119.25</v>
      </c>
      <c r="AC908">
        <v>36</v>
      </c>
      <c r="AD908" s="41">
        <f t="shared" si="233"/>
        <v>0.37254918948891447</v>
      </c>
      <c r="AE908" s="41">
        <f t="shared" si="234"/>
        <v>0.48599926534994775</v>
      </c>
      <c r="AF908">
        <f t="shared" si="235"/>
        <v>1.4115336301369863</v>
      </c>
      <c r="AG908">
        <f t="shared" si="236"/>
        <v>8.6997977876712318E-2</v>
      </c>
      <c r="AH908">
        <f t="shared" si="237"/>
        <v>1.1924999999999999</v>
      </c>
      <c r="AI908">
        <f>HLOOKUP(HLOOKUP(G908,'THP2'!$B$4:$J$8,5,FALSE),'Fuel &amp; Resister'!$B$3:$G$6,4,FALSE)</f>
        <v>2.7360666666666664</v>
      </c>
      <c r="AJ908" s="41">
        <f>HLOOKUP(HLOOKUP(G908,'THP2'!$B$4:$J$8,5,FALSE),'Fuel &amp; Resister'!$B$3:$G$6,3,FALSE)</f>
        <v>13.019</v>
      </c>
      <c r="AO908" s="1">
        <v>1</v>
      </c>
      <c r="AP908" s="62">
        <v>0</v>
      </c>
    </row>
    <row r="909" spans="2:42" x14ac:dyDescent="0.15">
      <c r="B909" s="82" t="s">
        <v>596</v>
      </c>
      <c r="C909" s="61">
        <f>VLOOKUP(B909,[1]SYS!$F$5:$G$359,2,FALSE)</f>
        <v>155</v>
      </c>
      <c r="D909" s="1" t="s">
        <v>50</v>
      </c>
      <c r="E909" s="42" t="s">
        <v>225</v>
      </c>
      <c r="F909" s="63" t="s">
        <v>536</v>
      </c>
      <c r="G909" s="1">
        <v>7</v>
      </c>
      <c r="H909" s="1">
        <f t="shared" si="228"/>
        <v>0.3991769547325103</v>
      </c>
      <c r="I909" s="1">
        <f t="shared" si="229"/>
        <v>0.24299999999999999</v>
      </c>
      <c r="J909" s="1">
        <f t="shared" si="230"/>
        <v>2.5100000000000011E-2</v>
      </c>
      <c r="K909" s="1">
        <f t="shared" si="231"/>
        <v>2.3127</v>
      </c>
      <c r="L909" s="1">
        <f t="shared" si="232"/>
        <v>1.7728299999999999</v>
      </c>
      <c r="M909" s="49">
        <f t="shared" si="227"/>
        <v>0.69929521419978047</v>
      </c>
      <c r="N909" s="49">
        <v>1.1924999999999999</v>
      </c>
      <c r="O909" s="1">
        <v>913</v>
      </c>
      <c r="P909" s="51">
        <v>0.05</v>
      </c>
      <c r="Q909" s="51">
        <v>11</v>
      </c>
      <c r="R909" s="51">
        <v>1</v>
      </c>
      <c r="S909" s="1">
        <v>1</v>
      </c>
      <c r="T909" s="1">
        <v>0</v>
      </c>
      <c r="U909" s="47">
        <v>0</v>
      </c>
      <c r="V909" s="47">
        <v>245</v>
      </c>
      <c r="W909" s="41">
        <v>97</v>
      </c>
      <c r="X909">
        <v>243</v>
      </c>
      <c r="Y909">
        <v>0.97489999999999999</v>
      </c>
      <c r="Z909">
        <v>2312.6999999999998</v>
      </c>
      <c r="AA909">
        <v>1772.83</v>
      </c>
      <c r="AB909">
        <v>119.25</v>
      </c>
      <c r="AC909">
        <v>36</v>
      </c>
      <c r="AD909" s="41">
        <f t="shared" si="233"/>
        <v>0.37185973105028758</v>
      </c>
      <c r="AE909" s="41">
        <f t="shared" si="234"/>
        <v>0.48510009419966948</v>
      </c>
      <c r="AF909">
        <f t="shared" si="235"/>
        <v>1.4141492465753425</v>
      </c>
      <c r="AG909">
        <f t="shared" si="236"/>
        <v>8.7159423082191753E-2</v>
      </c>
      <c r="AH909">
        <f t="shared" si="237"/>
        <v>1.1924999999999999</v>
      </c>
      <c r="AI909">
        <f>HLOOKUP(HLOOKUP(G909,'THP2'!$B$4:$J$8,5,FALSE),'Fuel &amp; Resister'!$B$3:$G$6,4,FALSE)</f>
        <v>2.7360666666666664</v>
      </c>
      <c r="AJ909" s="41">
        <f>HLOOKUP(HLOOKUP(G909,'THP2'!$B$4:$J$8,5,FALSE),'Fuel &amp; Resister'!$B$3:$G$6,3,FALSE)</f>
        <v>13.019</v>
      </c>
      <c r="AO909" s="1">
        <v>1</v>
      </c>
      <c r="AP909" s="62">
        <v>0</v>
      </c>
    </row>
    <row r="910" spans="2:42" x14ac:dyDescent="0.15">
      <c r="B910" s="82" t="s">
        <v>596</v>
      </c>
      <c r="C910" s="61">
        <f>VLOOKUP(B910,[1]SYS!$F$5:$G$359,2,FALSE)</f>
        <v>155</v>
      </c>
      <c r="D910" s="1" t="s">
        <v>50</v>
      </c>
      <c r="E910" s="42" t="s">
        <v>226</v>
      </c>
      <c r="F910" s="63" t="s">
        <v>536</v>
      </c>
      <c r="G910" s="1">
        <v>7</v>
      </c>
      <c r="H910" s="1">
        <f t="shared" si="228"/>
        <v>0.3991769547325103</v>
      </c>
      <c r="I910" s="1">
        <f t="shared" si="229"/>
        <v>0.24299999999999999</v>
      </c>
      <c r="J910" s="1">
        <f t="shared" si="230"/>
        <v>2.5100000000000011E-2</v>
      </c>
      <c r="K910" s="1">
        <f t="shared" si="231"/>
        <v>2.3127</v>
      </c>
      <c r="L910" s="1">
        <f t="shared" si="232"/>
        <v>1.7728299999999999</v>
      </c>
      <c r="M910" s="49">
        <f t="shared" si="227"/>
        <v>0.69929521419978047</v>
      </c>
      <c r="N910" s="49">
        <v>1.1924999999999999</v>
      </c>
      <c r="O910" s="1">
        <v>401</v>
      </c>
      <c r="P910" s="51">
        <v>0.05</v>
      </c>
      <c r="Q910" s="51">
        <v>11</v>
      </c>
      <c r="R910" s="51">
        <v>1</v>
      </c>
      <c r="S910" s="1">
        <v>1</v>
      </c>
      <c r="T910" s="1">
        <v>0</v>
      </c>
      <c r="U910" s="47">
        <v>0</v>
      </c>
      <c r="V910" s="47">
        <v>246</v>
      </c>
      <c r="W910" s="41">
        <v>97</v>
      </c>
      <c r="X910">
        <v>243</v>
      </c>
      <c r="Y910">
        <v>0.97489999999999999</v>
      </c>
      <c r="Z910">
        <v>2312.6999999999998</v>
      </c>
      <c r="AA910">
        <v>1772.83</v>
      </c>
      <c r="AB910">
        <v>119.25</v>
      </c>
      <c r="AC910">
        <v>36</v>
      </c>
      <c r="AD910" s="41">
        <f t="shared" si="233"/>
        <v>0.37185973105028758</v>
      </c>
      <c r="AE910" s="41">
        <f t="shared" si="234"/>
        <v>0.48510009419966948</v>
      </c>
      <c r="AF910">
        <f t="shared" si="235"/>
        <v>1.4141492465753425</v>
      </c>
      <c r="AG910">
        <f t="shared" si="236"/>
        <v>8.7159423082191753E-2</v>
      </c>
      <c r="AH910">
        <f t="shared" si="237"/>
        <v>1.1924999999999999</v>
      </c>
      <c r="AI910">
        <f>HLOOKUP(HLOOKUP(G910,'THP2'!$B$4:$J$8,5,FALSE),'Fuel &amp; Resister'!$B$3:$G$6,4,FALSE)</f>
        <v>2.7360666666666664</v>
      </c>
      <c r="AJ910" s="41">
        <f>HLOOKUP(HLOOKUP(G910,'THP2'!$B$4:$J$8,5,FALSE),'Fuel &amp; Resister'!$B$3:$G$6,3,FALSE)</f>
        <v>13.019</v>
      </c>
      <c r="AO910" s="1">
        <v>1</v>
      </c>
      <c r="AP910" s="62">
        <v>0</v>
      </c>
    </row>
    <row r="911" spans="2:42" x14ac:dyDescent="0.15">
      <c r="B911" s="82" t="s">
        <v>596</v>
      </c>
      <c r="C911" s="61">
        <f>VLOOKUP(B911,[1]SYS!$F$5:$G$359,2,FALSE)</f>
        <v>155</v>
      </c>
      <c r="D911" s="1" t="s">
        <v>50</v>
      </c>
      <c r="E911" s="42" t="s">
        <v>227</v>
      </c>
      <c r="F911" s="63" t="s">
        <v>536</v>
      </c>
      <c r="G911" s="1">
        <v>7</v>
      </c>
      <c r="H911" s="1">
        <f t="shared" si="228"/>
        <v>0.3991769547325103</v>
      </c>
      <c r="I911" s="1">
        <f t="shared" si="229"/>
        <v>0.24299999999999999</v>
      </c>
      <c r="J911" s="1">
        <f t="shared" si="230"/>
        <v>2.5100000000000011E-2</v>
      </c>
      <c r="K911" s="1">
        <f t="shared" si="231"/>
        <v>2.3127</v>
      </c>
      <c r="L911" s="1">
        <f t="shared" si="232"/>
        <v>1.7728299999999999</v>
      </c>
      <c r="M911" s="49">
        <f t="shared" si="227"/>
        <v>0.69929521419978047</v>
      </c>
      <c r="N911" s="49">
        <v>1.1924999999999999</v>
      </c>
      <c r="O911" s="1">
        <v>613</v>
      </c>
      <c r="P911" s="51">
        <v>0.05</v>
      </c>
      <c r="Q911" s="51">
        <v>11</v>
      </c>
      <c r="R911" s="51">
        <v>1</v>
      </c>
      <c r="S911" s="1">
        <v>1</v>
      </c>
      <c r="T911" s="1">
        <v>0</v>
      </c>
      <c r="U911" s="47">
        <v>0</v>
      </c>
      <c r="V911" s="47">
        <v>247</v>
      </c>
      <c r="W911" s="41">
        <v>97</v>
      </c>
      <c r="X911">
        <v>243</v>
      </c>
      <c r="Y911">
        <v>0.97489999999999999</v>
      </c>
      <c r="Z911">
        <v>2312.6999999999998</v>
      </c>
      <c r="AA911">
        <v>1772.83</v>
      </c>
      <c r="AB911">
        <v>119.25</v>
      </c>
      <c r="AC911">
        <v>36</v>
      </c>
      <c r="AD911" s="41">
        <f t="shared" si="233"/>
        <v>0.37185973105028758</v>
      </c>
      <c r="AE911" s="41">
        <f t="shared" si="234"/>
        <v>0.48510009419966948</v>
      </c>
      <c r="AF911">
        <f t="shared" si="235"/>
        <v>1.4141492465753425</v>
      </c>
      <c r="AG911">
        <f t="shared" si="236"/>
        <v>8.7159423082191753E-2</v>
      </c>
      <c r="AH911">
        <f t="shared" si="237"/>
        <v>1.1924999999999999</v>
      </c>
      <c r="AI911">
        <f>HLOOKUP(HLOOKUP(G911,'THP2'!$B$4:$J$8,5,FALSE),'Fuel &amp; Resister'!$B$3:$G$6,4,FALSE)</f>
        <v>2.7360666666666664</v>
      </c>
      <c r="AJ911" s="41">
        <f>HLOOKUP(HLOOKUP(G911,'THP2'!$B$4:$J$8,5,FALSE),'Fuel &amp; Resister'!$B$3:$G$6,3,FALSE)</f>
        <v>13.019</v>
      </c>
      <c r="AO911" s="1">
        <v>1</v>
      </c>
      <c r="AP911" s="62">
        <v>0</v>
      </c>
    </row>
    <row r="912" spans="2:42" x14ac:dyDescent="0.15">
      <c r="B912" s="82" t="s">
        <v>596</v>
      </c>
      <c r="C912" s="61">
        <f>VLOOKUP(B912,[1]SYS!$F$5:$G$359,2,FALSE)</f>
        <v>155</v>
      </c>
      <c r="D912" s="1" t="s">
        <v>50</v>
      </c>
      <c r="E912" s="42" t="s">
        <v>228</v>
      </c>
      <c r="F912" s="63" t="s">
        <v>536</v>
      </c>
      <c r="G912" s="1">
        <v>7</v>
      </c>
      <c r="H912" s="1">
        <f t="shared" si="228"/>
        <v>0.3991769547325103</v>
      </c>
      <c r="I912" s="1">
        <f t="shared" si="229"/>
        <v>0.24299999999999999</v>
      </c>
      <c r="J912" s="1">
        <f t="shared" si="230"/>
        <v>2.4599999999999955E-2</v>
      </c>
      <c r="K912" s="1">
        <f t="shared" si="231"/>
        <v>2.3127</v>
      </c>
      <c r="L912" s="1">
        <f t="shared" si="232"/>
        <v>1.7728299999999999</v>
      </c>
      <c r="M912" s="49">
        <f t="shared" si="227"/>
        <v>0.69929521419978047</v>
      </c>
      <c r="N912" s="49">
        <v>1.1924999999999999</v>
      </c>
      <c r="O912" s="1">
        <v>913</v>
      </c>
      <c r="P912" s="51">
        <v>0.05</v>
      </c>
      <c r="Q912" s="51">
        <v>11</v>
      </c>
      <c r="R912" s="51">
        <v>1</v>
      </c>
      <c r="S912" s="1">
        <v>1</v>
      </c>
      <c r="T912" s="1">
        <v>0</v>
      </c>
      <c r="U912" s="47">
        <v>0</v>
      </c>
      <c r="V912" s="47">
        <v>248</v>
      </c>
      <c r="W912" s="41">
        <v>97</v>
      </c>
      <c r="X912">
        <v>243</v>
      </c>
      <c r="Y912">
        <v>0.97540000000000004</v>
      </c>
      <c r="Z912">
        <v>2312.6999999999998</v>
      </c>
      <c r="AA912">
        <v>1772.83</v>
      </c>
      <c r="AB912">
        <v>119.25</v>
      </c>
      <c r="AC912">
        <v>36</v>
      </c>
      <c r="AD912" s="41">
        <f t="shared" si="233"/>
        <v>0.37185973105028758</v>
      </c>
      <c r="AE912" s="41">
        <f t="shared" si="234"/>
        <v>0.48510009419966948</v>
      </c>
      <c r="AF912">
        <f t="shared" si="235"/>
        <v>1.4141492465753425</v>
      </c>
      <c r="AG912">
        <f t="shared" si="236"/>
        <v>8.7159423082191753E-2</v>
      </c>
      <c r="AH912">
        <f t="shared" si="237"/>
        <v>1.1924999999999999</v>
      </c>
      <c r="AI912">
        <f>HLOOKUP(HLOOKUP(G912,'THP2'!$B$4:$J$8,5,FALSE),'Fuel &amp; Resister'!$B$3:$G$6,4,FALSE)</f>
        <v>2.7360666666666664</v>
      </c>
      <c r="AJ912" s="41">
        <f>HLOOKUP(HLOOKUP(G912,'THP2'!$B$4:$J$8,5,FALSE),'Fuel &amp; Resister'!$B$3:$G$6,3,FALSE)</f>
        <v>13.019</v>
      </c>
      <c r="AO912" s="1">
        <v>1</v>
      </c>
      <c r="AP912" s="62">
        <v>0</v>
      </c>
    </row>
    <row r="913" spans="2:42" x14ac:dyDescent="0.15">
      <c r="B913" s="82" t="s">
        <v>596</v>
      </c>
      <c r="C913" s="61">
        <f>VLOOKUP(B913,[1]SYS!$F$5:$G$359,2,FALSE)</f>
        <v>155</v>
      </c>
      <c r="D913" s="1" t="s">
        <v>50</v>
      </c>
      <c r="E913" s="42" t="s">
        <v>229</v>
      </c>
      <c r="F913" s="63" t="s">
        <v>536</v>
      </c>
      <c r="G913" s="1">
        <v>7</v>
      </c>
      <c r="H913" s="1">
        <f t="shared" si="228"/>
        <v>0.3991769547325103</v>
      </c>
      <c r="I913" s="1">
        <f t="shared" si="229"/>
        <v>0.24299999999999999</v>
      </c>
      <c r="J913" s="1">
        <f t="shared" si="230"/>
        <v>2.4599999999999955E-2</v>
      </c>
      <c r="K913" s="1">
        <f t="shared" si="231"/>
        <v>2.3127</v>
      </c>
      <c r="L913" s="1">
        <f t="shared" si="232"/>
        <v>1.7728299999999999</v>
      </c>
      <c r="M913" s="49">
        <f t="shared" si="227"/>
        <v>0.69929521419978047</v>
      </c>
      <c r="N913" s="49">
        <v>1.1924999999999999</v>
      </c>
      <c r="O913" s="1">
        <v>211</v>
      </c>
      <c r="P913" s="51">
        <v>0.05</v>
      </c>
      <c r="Q913" s="51">
        <v>11</v>
      </c>
      <c r="R913" s="51">
        <v>1</v>
      </c>
      <c r="S913" s="1">
        <v>1</v>
      </c>
      <c r="T913" s="1">
        <v>0</v>
      </c>
      <c r="U913" s="47">
        <v>0</v>
      </c>
      <c r="V913" s="47">
        <v>249</v>
      </c>
      <c r="W913" s="41">
        <v>97</v>
      </c>
      <c r="X913">
        <v>243</v>
      </c>
      <c r="Y913">
        <v>0.97540000000000004</v>
      </c>
      <c r="Z913">
        <v>2312.6999999999998</v>
      </c>
      <c r="AA913">
        <v>1772.83</v>
      </c>
      <c r="AB913">
        <v>119.25</v>
      </c>
      <c r="AC913">
        <v>36</v>
      </c>
      <c r="AD913" s="41">
        <f t="shared" si="233"/>
        <v>0.37185973105028758</v>
      </c>
      <c r="AE913" s="41">
        <f t="shared" si="234"/>
        <v>0.48510009419966948</v>
      </c>
      <c r="AF913">
        <f t="shared" si="235"/>
        <v>1.4141492465753425</v>
      </c>
      <c r="AG913">
        <f t="shared" si="236"/>
        <v>8.7159423082191753E-2</v>
      </c>
      <c r="AH913">
        <f t="shared" si="237"/>
        <v>1.1924999999999999</v>
      </c>
      <c r="AI913">
        <f>HLOOKUP(HLOOKUP(G913,'THP2'!$B$4:$J$8,5,FALSE),'Fuel &amp; Resister'!$B$3:$G$6,4,FALSE)</f>
        <v>2.7360666666666664</v>
      </c>
      <c r="AJ913" s="41">
        <f>HLOOKUP(HLOOKUP(G913,'THP2'!$B$4:$J$8,5,FALSE),'Fuel &amp; Resister'!$B$3:$G$6,3,FALSE)</f>
        <v>13.019</v>
      </c>
      <c r="AO913" s="1">
        <v>1</v>
      </c>
      <c r="AP913" s="62">
        <v>0</v>
      </c>
    </row>
    <row r="914" spans="2:42" x14ac:dyDescent="0.15">
      <c r="B914" s="82" t="s">
        <v>596</v>
      </c>
      <c r="C914" s="61">
        <f>VLOOKUP(B914,[1]SYS!$F$5:$G$359,2,FALSE)</f>
        <v>155</v>
      </c>
      <c r="D914" s="1" t="s">
        <v>50</v>
      </c>
      <c r="E914" s="42" t="s">
        <v>230</v>
      </c>
      <c r="F914" s="63" t="s">
        <v>536</v>
      </c>
      <c r="G914" s="1">
        <v>7</v>
      </c>
      <c r="H914" s="1">
        <f t="shared" si="228"/>
        <v>0.3991769547325103</v>
      </c>
      <c r="I914" s="1">
        <f t="shared" si="229"/>
        <v>0.24299999999999999</v>
      </c>
      <c r="J914" s="1">
        <f t="shared" si="230"/>
        <v>2.4599999999999955E-2</v>
      </c>
      <c r="K914" s="1">
        <f t="shared" si="231"/>
        <v>2.3127</v>
      </c>
      <c r="L914" s="1">
        <f t="shared" si="232"/>
        <v>1.7728299999999999</v>
      </c>
      <c r="M914" s="49">
        <f t="shared" si="227"/>
        <v>0.69929521419978047</v>
      </c>
      <c r="N914" s="49">
        <v>1.1924999999999999</v>
      </c>
      <c r="O914" s="1">
        <v>1113</v>
      </c>
      <c r="P914" s="51">
        <v>0.05</v>
      </c>
      <c r="Q914" s="51">
        <v>11</v>
      </c>
      <c r="R914" s="51">
        <v>1</v>
      </c>
      <c r="S914" s="1">
        <v>1</v>
      </c>
      <c r="T914" s="1">
        <v>0</v>
      </c>
      <c r="U914" s="47">
        <v>0</v>
      </c>
      <c r="V914" s="47">
        <v>250</v>
      </c>
      <c r="W914" s="41">
        <v>97</v>
      </c>
      <c r="X914">
        <v>243</v>
      </c>
      <c r="Y914">
        <v>0.97540000000000004</v>
      </c>
      <c r="Z914">
        <v>2312.6999999999998</v>
      </c>
      <c r="AA914">
        <v>1772.83</v>
      </c>
      <c r="AB914">
        <v>119.25</v>
      </c>
      <c r="AC914">
        <v>36</v>
      </c>
      <c r="AD914" s="41">
        <f t="shared" si="233"/>
        <v>0.37185973105028758</v>
      </c>
      <c r="AE914" s="41">
        <f t="shared" si="234"/>
        <v>0.48510009419966948</v>
      </c>
      <c r="AF914">
        <f t="shared" si="235"/>
        <v>1.4141492465753425</v>
      </c>
      <c r="AG914">
        <f t="shared" si="236"/>
        <v>8.7159423082191753E-2</v>
      </c>
      <c r="AH914">
        <f t="shared" si="237"/>
        <v>1.1924999999999999</v>
      </c>
      <c r="AI914">
        <f>HLOOKUP(HLOOKUP(G914,'THP2'!$B$4:$J$8,5,FALSE),'Fuel &amp; Resister'!$B$3:$G$6,4,FALSE)</f>
        <v>2.7360666666666664</v>
      </c>
      <c r="AJ914" s="41">
        <f>HLOOKUP(HLOOKUP(G914,'THP2'!$B$4:$J$8,5,FALSE),'Fuel &amp; Resister'!$B$3:$G$6,3,FALSE)</f>
        <v>13.019</v>
      </c>
      <c r="AO914" s="1">
        <v>1</v>
      </c>
      <c r="AP914" s="62">
        <v>0</v>
      </c>
    </row>
    <row r="915" spans="2:42" x14ac:dyDescent="0.15">
      <c r="B915" s="82" t="s">
        <v>596</v>
      </c>
      <c r="C915" s="61">
        <f>VLOOKUP(B915,[1]SYS!$F$5:$G$359,2,FALSE)</f>
        <v>155</v>
      </c>
      <c r="D915" s="1" t="s">
        <v>50</v>
      </c>
      <c r="E915" s="42" t="s">
        <v>231</v>
      </c>
      <c r="F915" s="63" t="s">
        <v>536</v>
      </c>
      <c r="G915" s="1">
        <v>7</v>
      </c>
      <c r="H915" s="1">
        <f t="shared" si="228"/>
        <v>0.3991769547325103</v>
      </c>
      <c r="I915" s="1">
        <f t="shared" si="229"/>
        <v>0.24299999999999999</v>
      </c>
      <c r="J915" s="1">
        <f t="shared" si="230"/>
        <v>2.4599999999999955E-2</v>
      </c>
      <c r="K915" s="1">
        <f t="shared" si="231"/>
        <v>2.3127</v>
      </c>
      <c r="L915" s="1">
        <f t="shared" si="232"/>
        <v>1.7728299999999999</v>
      </c>
      <c r="M915" s="49">
        <f t="shared" si="227"/>
        <v>0.69929521419978047</v>
      </c>
      <c r="N915" s="49">
        <v>1.1924999999999999</v>
      </c>
      <c r="O915" s="1">
        <v>613</v>
      </c>
      <c r="P915" s="51">
        <v>0.05</v>
      </c>
      <c r="Q915" s="51">
        <v>11</v>
      </c>
      <c r="R915" s="51">
        <v>1</v>
      </c>
      <c r="S915" s="1">
        <v>1</v>
      </c>
      <c r="T915" s="1">
        <v>0</v>
      </c>
      <c r="U915" s="47">
        <v>0</v>
      </c>
      <c r="V915" s="47">
        <v>251</v>
      </c>
      <c r="W915" s="41">
        <v>97</v>
      </c>
      <c r="X915">
        <v>243</v>
      </c>
      <c r="Y915">
        <v>0.97540000000000004</v>
      </c>
      <c r="Z915">
        <v>2312.6999999999998</v>
      </c>
      <c r="AA915">
        <v>1772.83</v>
      </c>
      <c r="AB915">
        <v>119.25</v>
      </c>
      <c r="AC915">
        <v>36</v>
      </c>
      <c r="AD915" s="41">
        <f t="shared" si="233"/>
        <v>0.37185973105028758</v>
      </c>
      <c r="AE915" s="41">
        <f t="shared" si="234"/>
        <v>0.48510009419966948</v>
      </c>
      <c r="AF915">
        <f t="shared" si="235"/>
        <v>1.4141492465753425</v>
      </c>
      <c r="AG915">
        <f t="shared" si="236"/>
        <v>8.7159423082191753E-2</v>
      </c>
      <c r="AH915">
        <f t="shared" si="237"/>
        <v>1.1924999999999999</v>
      </c>
      <c r="AI915">
        <f>HLOOKUP(HLOOKUP(G915,'THP2'!$B$4:$J$8,5,FALSE),'Fuel &amp; Resister'!$B$3:$G$6,4,FALSE)</f>
        <v>2.7360666666666664</v>
      </c>
      <c r="AJ915" s="41">
        <f>HLOOKUP(HLOOKUP(G915,'THP2'!$B$4:$J$8,5,FALSE),'Fuel &amp; Resister'!$B$3:$G$6,3,FALSE)</f>
        <v>13.019</v>
      </c>
      <c r="AO915" s="1">
        <v>1</v>
      </c>
      <c r="AP915" s="62">
        <v>0</v>
      </c>
    </row>
    <row r="916" spans="2:42" x14ac:dyDescent="0.15">
      <c r="B916" s="82" t="s">
        <v>596</v>
      </c>
      <c r="C916" s="61">
        <f>VLOOKUP(B916,[1]SYS!$F$5:$G$359,2,FALSE)</f>
        <v>155</v>
      </c>
      <c r="D916" s="1" t="s">
        <v>50</v>
      </c>
      <c r="E916" s="42" t="s">
        <v>232</v>
      </c>
      <c r="F916" s="63" t="s">
        <v>536</v>
      </c>
      <c r="G916" s="1">
        <v>7</v>
      </c>
      <c r="H916" s="1">
        <f t="shared" si="228"/>
        <v>0.3991769547325103</v>
      </c>
      <c r="I916" s="1">
        <f t="shared" si="229"/>
        <v>0.24299999999999999</v>
      </c>
      <c r="J916" s="1">
        <f t="shared" si="230"/>
        <v>2.4599999999999955E-2</v>
      </c>
      <c r="K916" s="1">
        <f t="shared" si="231"/>
        <v>2.3127</v>
      </c>
      <c r="L916" s="1">
        <f t="shared" si="232"/>
        <v>1.7728299999999999</v>
      </c>
      <c r="M916" s="49">
        <f t="shared" si="227"/>
        <v>0.69929521419978047</v>
      </c>
      <c r="N916" s="49">
        <v>1.1924999999999999</v>
      </c>
      <c r="O916" s="1">
        <v>401</v>
      </c>
      <c r="P916" s="51">
        <v>0.05</v>
      </c>
      <c r="Q916" s="51">
        <v>11</v>
      </c>
      <c r="R916" s="51">
        <v>1</v>
      </c>
      <c r="S916" s="1">
        <v>1</v>
      </c>
      <c r="T916" s="1">
        <v>0</v>
      </c>
      <c r="U916" s="47">
        <v>0</v>
      </c>
      <c r="V916" s="47">
        <v>252</v>
      </c>
      <c r="W916" s="41">
        <v>97</v>
      </c>
      <c r="X916">
        <v>243</v>
      </c>
      <c r="Y916">
        <v>0.97540000000000004</v>
      </c>
      <c r="Z916">
        <v>2312.6999999999998</v>
      </c>
      <c r="AA916">
        <v>1772.83</v>
      </c>
      <c r="AB916">
        <v>119.25</v>
      </c>
      <c r="AC916">
        <v>36</v>
      </c>
      <c r="AD916" s="41">
        <f t="shared" si="233"/>
        <v>0.37185973105028758</v>
      </c>
      <c r="AE916" s="41">
        <f t="shared" si="234"/>
        <v>0.48510009419966948</v>
      </c>
      <c r="AF916">
        <f t="shared" si="235"/>
        <v>1.4141492465753425</v>
      </c>
      <c r="AG916">
        <f t="shared" si="236"/>
        <v>8.7159423082191753E-2</v>
      </c>
      <c r="AH916">
        <f t="shared" si="237"/>
        <v>1.1924999999999999</v>
      </c>
      <c r="AI916">
        <f>HLOOKUP(HLOOKUP(G916,'THP2'!$B$4:$J$8,5,FALSE),'Fuel &amp; Resister'!$B$3:$G$6,4,FALSE)</f>
        <v>2.7360666666666664</v>
      </c>
      <c r="AJ916" s="41">
        <f>HLOOKUP(HLOOKUP(G916,'THP2'!$B$4:$J$8,5,FALSE),'Fuel &amp; Resister'!$B$3:$G$6,3,FALSE)</f>
        <v>13.019</v>
      </c>
      <c r="AO916" s="1">
        <v>1</v>
      </c>
      <c r="AP916" s="1">
        <v>1</v>
      </c>
    </row>
    <row r="917" spans="2:42" x14ac:dyDescent="0.15">
      <c r="B917" s="82" t="s">
        <v>596</v>
      </c>
      <c r="C917" s="61">
        <f>VLOOKUP(B917,[1]SYS!$F$5:$G$359,2,FALSE)</f>
        <v>155</v>
      </c>
      <c r="D917" s="1" t="s">
        <v>50</v>
      </c>
      <c r="E917" s="42" t="s">
        <v>233</v>
      </c>
      <c r="F917" s="63" t="s">
        <v>536</v>
      </c>
      <c r="G917" s="1">
        <v>7</v>
      </c>
      <c r="H917" s="1">
        <f t="shared" si="228"/>
        <v>0.3991769547325103</v>
      </c>
      <c r="I917" s="1">
        <f t="shared" si="229"/>
        <v>0.24299999999999999</v>
      </c>
      <c r="J917" s="1">
        <f t="shared" si="230"/>
        <v>2.4599999999999955E-2</v>
      </c>
      <c r="K917" s="1">
        <f t="shared" si="231"/>
        <v>2.3127</v>
      </c>
      <c r="L917" s="1">
        <f t="shared" si="232"/>
        <v>1.7728299999999999</v>
      </c>
      <c r="M917" s="49">
        <f t="shared" si="227"/>
        <v>0.69929521419978047</v>
      </c>
      <c r="N917" s="49">
        <v>1.1924999999999999</v>
      </c>
      <c r="O917" s="1">
        <v>913</v>
      </c>
      <c r="P917" s="51">
        <v>0.05</v>
      </c>
      <c r="Q917" s="51">
        <v>11</v>
      </c>
      <c r="R917" s="51">
        <v>1</v>
      </c>
      <c r="S917" s="1">
        <v>1</v>
      </c>
      <c r="T917" s="1">
        <v>0</v>
      </c>
      <c r="U917" s="47">
        <v>0</v>
      </c>
      <c r="V917" s="47">
        <v>253</v>
      </c>
      <c r="W917" s="41">
        <v>97</v>
      </c>
      <c r="X917">
        <v>243</v>
      </c>
      <c r="Y917">
        <v>0.97540000000000004</v>
      </c>
      <c r="Z917">
        <v>2312.6999999999998</v>
      </c>
      <c r="AA917">
        <v>1772.83</v>
      </c>
      <c r="AB917">
        <v>119.25</v>
      </c>
      <c r="AC917">
        <v>36</v>
      </c>
      <c r="AD917" s="41">
        <f t="shared" si="233"/>
        <v>0.37185973105028758</v>
      </c>
      <c r="AE917" s="41">
        <f t="shared" si="234"/>
        <v>0.48510009419966948</v>
      </c>
      <c r="AF917">
        <f t="shared" si="235"/>
        <v>1.4141492465753425</v>
      </c>
      <c r="AG917">
        <f t="shared" si="236"/>
        <v>8.7159423082191753E-2</v>
      </c>
      <c r="AH917">
        <f t="shared" si="237"/>
        <v>1.1924999999999999</v>
      </c>
      <c r="AI917">
        <f>HLOOKUP(HLOOKUP(G917,'THP2'!$B$4:$J$8,5,FALSE),'Fuel &amp; Resister'!$B$3:$G$6,4,FALSE)</f>
        <v>2.7360666666666664</v>
      </c>
      <c r="AJ917" s="41">
        <f>HLOOKUP(HLOOKUP(G917,'THP2'!$B$4:$J$8,5,FALSE),'Fuel &amp; Resister'!$B$3:$G$6,3,FALSE)</f>
        <v>13.019</v>
      </c>
      <c r="AO917" s="1">
        <v>1</v>
      </c>
      <c r="AP917" s="1">
        <v>1</v>
      </c>
    </row>
    <row r="918" spans="2:42" x14ac:dyDescent="0.15">
      <c r="B918" s="82" t="s">
        <v>596</v>
      </c>
      <c r="C918" s="61">
        <f>VLOOKUP(B918,[1]SYS!$F$5:$G$359,2,FALSE)</f>
        <v>155</v>
      </c>
      <c r="D918" s="1" t="s">
        <v>50</v>
      </c>
      <c r="E918" s="42" t="s">
        <v>234</v>
      </c>
      <c r="F918" s="63" t="s">
        <v>536</v>
      </c>
      <c r="G918" s="1">
        <v>7</v>
      </c>
      <c r="H918" s="1">
        <f t="shared" si="228"/>
        <v>0.3991769547325103</v>
      </c>
      <c r="I918" s="1">
        <f t="shared" si="229"/>
        <v>0.24299999999999999</v>
      </c>
      <c r="J918" s="1">
        <f t="shared" si="230"/>
        <v>2.4599999999999955E-2</v>
      </c>
      <c r="K918" s="1">
        <f t="shared" si="231"/>
        <v>2.3127</v>
      </c>
      <c r="L918" s="1">
        <f t="shared" si="232"/>
        <v>1.7728299999999999</v>
      </c>
      <c r="M918" s="49">
        <f t="shared" si="227"/>
        <v>0.69929521419978047</v>
      </c>
      <c r="N918" s="49">
        <v>1.1924999999999999</v>
      </c>
      <c r="O918" s="1">
        <v>211</v>
      </c>
      <c r="P918" s="51">
        <v>0.05</v>
      </c>
      <c r="Q918" s="51">
        <v>11</v>
      </c>
      <c r="R918" s="51">
        <v>1</v>
      </c>
      <c r="S918" s="1">
        <v>1</v>
      </c>
      <c r="T918" s="1">
        <v>0</v>
      </c>
      <c r="U918" s="47">
        <v>0</v>
      </c>
      <c r="V918" s="47">
        <v>254</v>
      </c>
      <c r="W918" s="41">
        <v>97</v>
      </c>
      <c r="X918">
        <v>243</v>
      </c>
      <c r="Y918">
        <v>0.97540000000000004</v>
      </c>
      <c r="Z918">
        <v>2312.6999999999998</v>
      </c>
      <c r="AA918">
        <v>1772.83</v>
      </c>
      <c r="AB918">
        <v>119.25</v>
      </c>
      <c r="AC918">
        <v>36</v>
      </c>
      <c r="AD918" s="41">
        <f t="shared" si="233"/>
        <v>0.37185973105028758</v>
      </c>
      <c r="AE918" s="41">
        <f t="shared" si="234"/>
        <v>0.48510009419966948</v>
      </c>
      <c r="AF918">
        <f t="shared" si="235"/>
        <v>1.4141492465753425</v>
      </c>
      <c r="AG918">
        <f t="shared" si="236"/>
        <v>8.7159423082191753E-2</v>
      </c>
      <c r="AH918">
        <f t="shared" si="237"/>
        <v>1.1924999999999999</v>
      </c>
      <c r="AI918">
        <f>HLOOKUP(HLOOKUP(G918,'THP2'!$B$4:$J$8,5,FALSE),'Fuel &amp; Resister'!$B$3:$G$6,4,FALSE)</f>
        <v>2.7360666666666664</v>
      </c>
      <c r="AJ918" s="41">
        <f>HLOOKUP(HLOOKUP(G918,'THP2'!$B$4:$J$8,5,FALSE),'Fuel &amp; Resister'!$B$3:$G$6,3,FALSE)</f>
        <v>13.019</v>
      </c>
      <c r="AO918" s="1">
        <v>1</v>
      </c>
      <c r="AP918" s="1">
        <v>1</v>
      </c>
    </row>
    <row r="919" spans="2:42" x14ac:dyDescent="0.15">
      <c r="B919" s="82" t="s">
        <v>596</v>
      </c>
      <c r="C919" s="61">
        <f>VLOOKUP(B919,[1]SYS!$F$5:$G$359,2,FALSE)</f>
        <v>155</v>
      </c>
      <c r="D919" s="1" t="s">
        <v>50</v>
      </c>
      <c r="E919" s="42" t="s">
        <v>235</v>
      </c>
      <c r="F919" s="63" t="s">
        <v>536</v>
      </c>
      <c r="G919" s="1">
        <v>7</v>
      </c>
      <c r="H919" s="1">
        <f t="shared" si="228"/>
        <v>0.3991769547325103</v>
      </c>
      <c r="I919" s="1">
        <f t="shared" si="229"/>
        <v>0.24299999999999999</v>
      </c>
      <c r="J919" s="1">
        <f t="shared" si="230"/>
        <v>2.410000000000001E-2</v>
      </c>
      <c r="K919" s="1">
        <f t="shared" si="231"/>
        <v>2.3127</v>
      </c>
      <c r="L919" s="1">
        <f t="shared" si="232"/>
        <v>1.7728299999999999</v>
      </c>
      <c r="M919" s="49">
        <f t="shared" si="227"/>
        <v>0.69929521419978047</v>
      </c>
      <c r="N919" s="49">
        <v>1.1924999999999999</v>
      </c>
      <c r="O919" s="1">
        <v>1014</v>
      </c>
      <c r="P919" s="51">
        <v>0.05</v>
      </c>
      <c r="Q919" s="51">
        <v>11</v>
      </c>
      <c r="R919" s="51">
        <v>1</v>
      </c>
      <c r="S919" s="1">
        <v>1</v>
      </c>
      <c r="T919" s="1">
        <v>0</v>
      </c>
      <c r="U919" s="47">
        <v>0</v>
      </c>
      <c r="V919" s="47">
        <v>255</v>
      </c>
      <c r="W919" s="41">
        <v>97</v>
      </c>
      <c r="X919">
        <v>243</v>
      </c>
      <c r="Y919">
        <v>0.97589999999999999</v>
      </c>
      <c r="Z919">
        <v>2312.6999999999998</v>
      </c>
      <c r="AA919">
        <v>1772.83</v>
      </c>
      <c r="AB919">
        <v>119.25</v>
      </c>
      <c r="AC919">
        <v>36</v>
      </c>
      <c r="AD919" s="41">
        <f t="shared" si="233"/>
        <v>0.37185973105028758</v>
      </c>
      <c r="AE919" s="41">
        <f t="shared" si="234"/>
        <v>0.48510009419966948</v>
      </c>
      <c r="AF919">
        <f t="shared" si="235"/>
        <v>1.4141492465753425</v>
      </c>
      <c r="AG919">
        <f t="shared" si="236"/>
        <v>8.7159423082191753E-2</v>
      </c>
      <c r="AH919">
        <f t="shared" si="237"/>
        <v>1.1924999999999999</v>
      </c>
      <c r="AI919">
        <f>HLOOKUP(HLOOKUP(G919,'THP2'!$B$4:$J$8,5,FALSE),'Fuel &amp; Resister'!$B$3:$G$6,4,FALSE)</f>
        <v>2.7360666666666664</v>
      </c>
      <c r="AJ919" s="41">
        <f>HLOOKUP(HLOOKUP(G919,'THP2'!$B$4:$J$8,5,FALSE),'Fuel &amp; Resister'!$B$3:$G$6,3,FALSE)</f>
        <v>13.019</v>
      </c>
      <c r="AO919" s="1">
        <v>1</v>
      </c>
      <c r="AP919" s="1">
        <v>1</v>
      </c>
    </row>
    <row r="920" spans="2:42" x14ac:dyDescent="0.15">
      <c r="B920" s="82" t="s">
        <v>596</v>
      </c>
      <c r="C920" s="61">
        <f>VLOOKUP(B920,[1]SYS!$F$5:$G$359,2,FALSE)</f>
        <v>155</v>
      </c>
      <c r="D920" s="1" t="s">
        <v>50</v>
      </c>
      <c r="E920" s="42" t="s">
        <v>236</v>
      </c>
      <c r="F920" s="63" t="s">
        <v>536</v>
      </c>
      <c r="G920" s="1">
        <v>7</v>
      </c>
      <c r="H920" s="1">
        <f t="shared" si="228"/>
        <v>0.3991769547325103</v>
      </c>
      <c r="I920" s="1">
        <f t="shared" si="229"/>
        <v>0.24299999999999999</v>
      </c>
      <c r="J920" s="1">
        <f t="shared" si="230"/>
        <v>2.410000000000001E-2</v>
      </c>
      <c r="K920" s="1">
        <f t="shared" si="231"/>
        <v>2.3127</v>
      </c>
      <c r="L920" s="1">
        <f t="shared" si="232"/>
        <v>1.7728299999999999</v>
      </c>
      <c r="M920" s="49">
        <f t="shared" si="227"/>
        <v>0.69929521419978047</v>
      </c>
      <c r="N920" s="49">
        <v>1.1924999999999999</v>
      </c>
      <c r="O920" s="1">
        <v>1014</v>
      </c>
      <c r="P920" s="51">
        <v>0.05</v>
      </c>
      <c r="Q920" s="51">
        <v>11</v>
      </c>
      <c r="R920" s="51">
        <v>1</v>
      </c>
      <c r="S920" s="1">
        <v>1</v>
      </c>
      <c r="T920" s="1">
        <v>0</v>
      </c>
      <c r="U920" s="47">
        <v>0</v>
      </c>
      <c r="V920" s="47">
        <v>256</v>
      </c>
      <c r="W920" s="41">
        <v>97</v>
      </c>
      <c r="X920">
        <v>243</v>
      </c>
      <c r="Y920">
        <v>0.97589999999999999</v>
      </c>
      <c r="Z920">
        <v>2312.6999999999998</v>
      </c>
      <c r="AA920">
        <v>1772.83</v>
      </c>
      <c r="AB920">
        <v>119.25</v>
      </c>
      <c r="AC920">
        <v>36</v>
      </c>
      <c r="AD920" s="41">
        <f t="shared" si="233"/>
        <v>0.37185973105028758</v>
      </c>
      <c r="AE920" s="41">
        <f t="shared" si="234"/>
        <v>0.48510009419966948</v>
      </c>
      <c r="AF920">
        <f t="shared" si="235"/>
        <v>1.4141492465753425</v>
      </c>
      <c r="AG920">
        <f t="shared" si="236"/>
        <v>8.7159423082191753E-2</v>
      </c>
      <c r="AH920">
        <f t="shared" si="237"/>
        <v>1.1924999999999999</v>
      </c>
      <c r="AI920">
        <f>HLOOKUP(HLOOKUP(G920,'THP2'!$B$4:$J$8,5,FALSE),'Fuel &amp; Resister'!$B$3:$G$6,4,FALSE)</f>
        <v>2.7360666666666664</v>
      </c>
      <c r="AJ920" s="41">
        <f>HLOOKUP(HLOOKUP(G920,'THP2'!$B$4:$J$8,5,FALSE),'Fuel &amp; Resister'!$B$3:$G$6,3,FALSE)</f>
        <v>13.019</v>
      </c>
      <c r="AO920" s="1">
        <v>1</v>
      </c>
      <c r="AP920" s="1">
        <v>1</v>
      </c>
    </row>
    <row r="921" spans="2:42" x14ac:dyDescent="0.15">
      <c r="B921" s="82" t="s">
        <v>596</v>
      </c>
      <c r="C921" s="61">
        <f>VLOOKUP(B921,[1]SYS!$F$5:$G$359,2,FALSE)</f>
        <v>155</v>
      </c>
      <c r="D921" s="1" t="s">
        <v>50</v>
      </c>
      <c r="E921" s="42" t="s">
        <v>237</v>
      </c>
      <c r="F921" s="63" t="s">
        <v>536</v>
      </c>
      <c r="G921" s="1">
        <v>7</v>
      </c>
      <c r="H921" s="1">
        <f t="shared" si="228"/>
        <v>0.3991769547325103</v>
      </c>
      <c r="I921" s="1">
        <f t="shared" si="229"/>
        <v>0.24299999999999999</v>
      </c>
      <c r="J921" s="1">
        <f t="shared" si="230"/>
        <v>2.410000000000001E-2</v>
      </c>
      <c r="K921" s="1">
        <f t="shared" si="231"/>
        <v>2.3127</v>
      </c>
      <c r="L921" s="1">
        <f t="shared" si="232"/>
        <v>1.7728299999999999</v>
      </c>
      <c r="M921" s="49">
        <f t="shared" si="227"/>
        <v>0.69929521419978047</v>
      </c>
      <c r="N921" s="49">
        <v>1.1924999999999999</v>
      </c>
      <c r="O921" s="1">
        <v>1014</v>
      </c>
      <c r="P921" s="51">
        <v>0.05</v>
      </c>
      <c r="Q921" s="51">
        <v>11</v>
      </c>
      <c r="R921" s="51">
        <v>1</v>
      </c>
      <c r="S921" s="1">
        <v>1</v>
      </c>
      <c r="T921" s="1">
        <v>0</v>
      </c>
      <c r="U921" s="47">
        <v>0</v>
      </c>
      <c r="V921" s="47">
        <v>257</v>
      </c>
      <c r="W921" s="41">
        <v>97</v>
      </c>
      <c r="X921">
        <v>243</v>
      </c>
      <c r="Y921">
        <v>0.97589999999999999</v>
      </c>
      <c r="Z921">
        <v>2312.6999999999998</v>
      </c>
      <c r="AA921">
        <v>1772.83</v>
      </c>
      <c r="AB921">
        <v>119.25</v>
      </c>
      <c r="AC921">
        <v>36</v>
      </c>
      <c r="AD921" s="41">
        <f t="shared" si="233"/>
        <v>0.37185973105028758</v>
      </c>
      <c r="AE921" s="41">
        <f t="shared" si="234"/>
        <v>0.48510009419966948</v>
      </c>
      <c r="AF921">
        <f t="shared" si="235"/>
        <v>1.4141492465753425</v>
      </c>
      <c r="AG921">
        <f t="shared" si="236"/>
        <v>8.7159423082191753E-2</v>
      </c>
      <c r="AH921">
        <f t="shared" si="237"/>
        <v>1.1924999999999999</v>
      </c>
      <c r="AI921">
        <f>HLOOKUP(HLOOKUP(G921,'THP2'!$B$4:$J$8,5,FALSE),'Fuel &amp; Resister'!$B$3:$G$6,4,FALSE)</f>
        <v>2.7360666666666664</v>
      </c>
      <c r="AJ921" s="41">
        <f>HLOOKUP(HLOOKUP(G921,'THP2'!$B$4:$J$8,5,FALSE),'Fuel &amp; Resister'!$B$3:$G$6,3,FALSE)</f>
        <v>13.019</v>
      </c>
      <c r="AO921" s="62">
        <v>0</v>
      </c>
      <c r="AP921" s="62">
        <v>0</v>
      </c>
    </row>
    <row r="922" spans="2:42" x14ac:dyDescent="0.15">
      <c r="B922" s="82" t="s">
        <v>596</v>
      </c>
      <c r="C922" s="61">
        <f>VLOOKUP(B922,[1]SYS!$F$5:$G$359,2,FALSE)</f>
        <v>155</v>
      </c>
      <c r="D922" s="1" t="s">
        <v>50</v>
      </c>
      <c r="E922" s="42" t="s">
        <v>238</v>
      </c>
      <c r="F922" s="63" t="s">
        <v>536</v>
      </c>
      <c r="G922" s="1">
        <v>7</v>
      </c>
      <c r="H922" s="1">
        <f t="shared" si="228"/>
        <v>0.3991769547325103</v>
      </c>
      <c r="I922" s="1">
        <f t="shared" si="229"/>
        <v>0.24299999999999999</v>
      </c>
      <c r="J922" s="1">
        <f t="shared" si="230"/>
        <v>2.410000000000001E-2</v>
      </c>
      <c r="K922" s="1">
        <f t="shared" si="231"/>
        <v>2.3127</v>
      </c>
      <c r="L922" s="1">
        <f t="shared" si="232"/>
        <v>1.7728299999999999</v>
      </c>
      <c r="M922" s="49">
        <f t="shared" si="227"/>
        <v>0.69929521419978047</v>
      </c>
      <c r="N922" s="49">
        <v>1.1924999999999999</v>
      </c>
      <c r="O922" s="6">
        <v>326</v>
      </c>
      <c r="P922" s="51">
        <v>0.05</v>
      </c>
      <c r="Q922" s="51">
        <v>11</v>
      </c>
      <c r="R922" s="51">
        <v>1</v>
      </c>
      <c r="S922" s="1">
        <v>1</v>
      </c>
      <c r="T922" s="1">
        <v>0</v>
      </c>
      <c r="U922" s="47">
        <v>0</v>
      </c>
      <c r="V922" s="47">
        <v>258</v>
      </c>
      <c r="W922" s="41">
        <v>97</v>
      </c>
      <c r="X922">
        <v>243</v>
      </c>
      <c r="Y922">
        <v>0.97589999999999999</v>
      </c>
      <c r="Z922">
        <v>2312.6999999999998</v>
      </c>
      <c r="AA922">
        <v>1772.83</v>
      </c>
      <c r="AB922">
        <v>119.25</v>
      </c>
      <c r="AC922">
        <v>36</v>
      </c>
      <c r="AD922" s="41">
        <f t="shared" si="233"/>
        <v>0.37185973105028758</v>
      </c>
      <c r="AE922" s="41">
        <f t="shared" si="234"/>
        <v>0.48510009419966948</v>
      </c>
      <c r="AF922">
        <f t="shared" si="235"/>
        <v>1.4141492465753425</v>
      </c>
      <c r="AG922">
        <f t="shared" si="236"/>
        <v>8.7159423082191753E-2</v>
      </c>
      <c r="AH922">
        <f t="shared" si="237"/>
        <v>1.1924999999999999</v>
      </c>
      <c r="AI922">
        <f>HLOOKUP(HLOOKUP(G922,'THP2'!$B$4:$J$8,5,FALSE),'Fuel &amp; Resister'!$B$3:$G$6,4,FALSE)</f>
        <v>2.7360666666666664</v>
      </c>
      <c r="AJ922" s="41">
        <f>HLOOKUP(HLOOKUP(G922,'THP2'!$B$4:$J$8,5,FALSE),'Fuel &amp; Resister'!$B$3:$G$6,3,FALSE)</f>
        <v>13.019</v>
      </c>
      <c r="AO922" s="62">
        <v>0</v>
      </c>
      <c r="AP922" s="62">
        <v>0</v>
      </c>
    </row>
    <row r="923" spans="2:42" x14ac:dyDescent="0.15">
      <c r="B923" s="82" t="s">
        <v>596</v>
      </c>
      <c r="C923" s="61">
        <f>VLOOKUP(B923,[1]SYS!$F$5:$G$359,2,FALSE)</f>
        <v>155</v>
      </c>
      <c r="D923" s="1" t="s">
        <v>50</v>
      </c>
      <c r="E923" s="65" t="s">
        <v>541</v>
      </c>
      <c r="F923" s="63" t="s">
        <v>544</v>
      </c>
      <c r="G923" s="1">
        <v>7</v>
      </c>
      <c r="H923" s="1">
        <f t="shared" si="228"/>
        <v>0.4</v>
      </c>
      <c r="I923" s="1">
        <f t="shared" si="229"/>
        <v>0.59499999999999997</v>
      </c>
      <c r="J923" s="1">
        <f t="shared" si="230"/>
        <v>2.6900000000000035E-2</v>
      </c>
      <c r="K923" s="1">
        <f t="shared" si="231"/>
        <v>2.1308499999999997</v>
      </c>
      <c r="L923" s="1">
        <f t="shared" si="232"/>
        <v>1.6334300000000002</v>
      </c>
      <c r="M923" s="49">
        <f t="shared" si="227"/>
        <v>1.5776282833121891</v>
      </c>
      <c r="N923" s="49">
        <f>AB923/100</f>
        <v>1.5712999999999999</v>
      </c>
      <c r="O923" s="6">
        <v>1004</v>
      </c>
      <c r="P923" s="51">
        <v>0.05</v>
      </c>
      <c r="Q923" s="51">
        <v>11</v>
      </c>
      <c r="R923" s="51">
        <v>1</v>
      </c>
      <c r="S923" s="1">
        <v>1</v>
      </c>
      <c r="T923" s="1">
        <v>0</v>
      </c>
      <c r="U923" s="47">
        <v>0</v>
      </c>
      <c r="V923" s="47"/>
      <c r="W923" s="41">
        <v>238</v>
      </c>
      <c r="X923">
        <v>595</v>
      </c>
      <c r="Y923">
        <v>0.97309999999999997</v>
      </c>
      <c r="Z923">
        <v>2130.85</v>
      </c>
      <c r="AA923">
        <v>1633.43</v>
      </c>
      <c r="AB923">
        <v>157.13</v>
      </c>
      <c r="AC923"/>
      <c r="AD923" s="41"/>
      <c r="AI923">
        <f>HLOOKUP(HLOOKUP(G923,'THP2'!$B$4:$J$8,5,FALSE),'Fuel &amp; Resister'!$B$3:$G$6,4,FALSE)</f>
        <v>2.7360666666666664</v>
      </c>
      <c r="AJ923" s="41">
        <f>HLOOKUP(HLOOKUP(G923,'THP2'!$B$4:$J$8,5,FALSE),'Fuel &amp; Resister'!$B$3:$G$6,3,FALSE)</f>
        <v>13.019</v>
      </c>
      <c r="AO923" s="62">
        <v>0</v>
      </c>
      <c r="AP923" s="62">
        <v>0</v>
      </c>
    </row>
    <row r="924" spans="2:42" x14ac:dyDescent="0.15">
      <c r="B924" s="82" t="s">
        <v>596</v>
      </c>
      <c r="C924" s="61">
        <f>VLOOKUP(B924,[1]SYS!$F$5:$G$359,2,FALSE)</f>
        <v>155</v>
      </c>
      <c r="D924" s="1" t="s">
        <v>50</v>
      </c>
      <c r="E924" s="65" t="s">
        <v>541</v>
      </c>
      <c r="F924" s="63" t="s">
        <v>544</v>
      </c>
      <c r="G924" s="1">
        <v>7</v>
      </c>
      <c r="H924" s="1">
        <f t="shared" si="228"/>
        <v>0.4</v>
      </c>
      <c r="I924" s="1">
        <f t="shared" si="229"/>
        <v>0.59499999999999997</v>
      </c>
      <c r="J924" s="1">
        <f t="shared" si="230"/>
        <v>2.6900000000000035E-2</v>
      </c>
      <c r="K924" s="1">
        <f t="shared" si="231"/>
        <v>2.1308499999999997</v>
      </c>
      <c r="L924" s="1">
        <f t="shared" si="232"/>
        <v>1.6334300000000002</v>
      </c>
      <c r="M924" s="49">
        <f t="shared" ref="M924:M955" si="238">(I924*10^6*L924/AJ924*AI924/10^6)*24*365/1000*$A$772</f>
        <v>1.5776282833121891</v>
      </c>
      <c r="N924" s="49">
        <f t="shared" ref="N924:N943" si="239">AB924/100</f>
        <v>1.5712999999999999</v>
      </c>
      <c r="O924" s="6">
        <v>1109</v>
      </c>
      <c r="P924" s="51">
        <v>0.05</v>
      </c>
      <c r="Q924" s="51">
        <v>11</v>
      </c>
      <c r="R924" s="51">
        <v>1</v>
      </c>
      <c r="S924" s="1">
        <v>1</v>
      </c>
      <c r="T924" s="1">
        <v>0</v>
      </c>
      <c r="U924" s="47">
        <v>0</v>
      </c>
      <c r="V924" s="47"/>
      <c r="W924" s="41">
        <v>238</v>
      </c>
      <c r="X924">
        <v>595</v>
      </c>
      <c r="Y924">
        <v>0.97309999999999997</v>
      </c>
      <c r="Z924">
        <v>2130.85</v>
      </c>
      <c r="AA924">
        <v>1633.43</v>
      </c>
      <c r="AB924">
        <v>157.13</v>
      </c>
      <c r="AC924"/>
      <c r="AD924" s="41"/>
      <c r="AI924">
        <f>HLOOKUP(HLOOKUP(G924,'THP2'!$B$4:$J$8,5,FALSE),'Fuel &amp; Resister'!$B$3:$G$6,4,FALSE)</f>
        <v>2.7360666666666664</v>
      </c>
      <c r="AJ924" s="41">
        <f>HLOOKUP(HLOOKUP(G924,'THP2'!$B$4:$J$8,5,FALSE),'Fuel &amp; Resister'!$B$3:$G$6,3,FALSE)</f>
        <v>13.019</v>
      </c>
      <c r="AO924" s="62">
        <v>0</v>
      </c>
      <c r="AP924" s="62">
        <v>0</v>
      </c>
    </row>
    <row r="925" spans="2:42" x14ac:dyDescent="0.15">
      <c r="B925" s="82" t="s">
        <v>596</v>
      </c>
      <c r="C925" s="61">
        <f>VLOOKUP(B925,[1]SYS!$F$5:$G$359,2,FALSE)</f>
        <v>155</v>
      </c>
      <c r="D925" s="1" t="s">
        <v>50</v>
      </c>
      <c r="E925" s="65" t="s">
        <v>541</v>
      </c>
      <c r="F925" s="63" t="s">
        <v>544</v>
      </c>
      <c r="G925" s="1">
        <v>7</v>
      </c>
      <c r="H925" s="1">
        <f t="shared" si="228"/>
        <v>0.4</v>
      </c>
      <c r="I925" s="1">
        <f t="shared" si="229"/>
        <v>0.59499999999999997</v>
      </c>
      <c r="J925" s="1">
        <f t="shared" si="230"/>
        <v>2.6900000000000035E-2</v>
      </c>
      <c r="K925" s="1">
        <f t="shared" si="231"/>
        <v>2.1308499999999997</v>
      </c>
      <c r="L925" s="1">
        <f t="shared" si="232"/>
        <v>1.6334300000000002</v>
      </c>
      <c r="M925" s="49">
        <f t="shared" si="238"/>
        <v>1.5776282833121891</v>
      </c>
      <c r="N925" s="49">
        <f t="shared" si="239"/>
        <v>1.5712999999999999</v>
      </c>
      <c r="O925" s="6">
        <v>704</v>
      </c>
      <c r="P925" s="51">
        <v>0.05</v>
      </c>
      <c r="Q925" s="51">
        <v>11</v>
      </c>
      <c r="R925" s="51">
        <v>1</v>
      </c>
      <c r="S925" s="1">
        <v>1</v>
      </c>
      <c r="T925" s="1">
        <v>0</v>
      </c>
      <c r="U925" s="47">
        <v>0</v>
      </c>
      <c r="V925" s="47"/>
      <c r="W925" s="41">
        <v>238</v>
      </c>
      <c r="X925">
        <v>595</v>
      </c>
      <c r="Y925">
        <v>0.97309999999999997</v>
      </c>
      <c r="Z925">
        <v>2130.85</v>
      </c>
      <c r="AA925">
        <v>1633.43</v>
      </c>
      <c r="AB925">
        <v>157.13</v>
      </c>
      <c r="AC925"/>
      <c r="AD925" s="41"/>
      <c r="AI925">
        <f>HLOOKUP(HLOOKUP(G925,'THP2'!$B$4:$J$8,5,FALSE),'Fuel &amp; Resister'!$B$3:$G$6,4,FALSE)</f>
        <v>2.7360666666666664</v>
      </c>
      <c r="AJ925" s="41">
        <f>HLOOKUP(HLOOKUP(G925,'THP2'!$B$4:$J$8,5,FALSE),'Fuel &amp; Resister'!$B$3:$G$6,3,FALSE)</f>
        <v>13.019</v>
      </c>
      <c r="AO925" s="62">
        <v>0</v>
      </c>
      <c r="AP925" s="62">
        <v>0</v>
      </c>
    </row>
    <row r="926" spans="2:42" x14ac:dyDescent="0.15">
      <c r="B926" s="82" t="s">
        <v>596</v>
      </c>
      <c r="C926" s="61">
        <f>VLOOKUP(B926,[1]SYS!$F$5:$G$359,2,FALSE)</f>
        <v>155</v>
      </c>
      <c r="D926" s="1" t="s">
        <v>50</v>
      </c>
      <c r="E926" s="65" t="s">
        <v>541</v>
      </c>
      <c r="F926" s="63" t="s">
        <v>544</v>
      </c>
      <c r="G926" s="1">
        <v>7</v>
      </c>
      <c r="H926" s="1">
        <f t="shared" si="228"/>
        <v>0.4</v>
      </c>
      <c r="I926" s="1">
        <f t="shared" si="229"/>
        <v>0.59499999999999997</v>
      </c>
      <c r="J926" s="1">
        <f t="shared" si="230"/>
        <v>2.6900000000000035E-2</v>
      </c>
      <c r="K926" s="1">
        <f t="shared" si="231"/>
        <v>2.1308499999999997</v>
      </c>
      <c r="L926" s="1">
        <f t="shared" si="232"/>
        <v>1.6334300000000002</v>
      </c>
      <c r="M926" s="49">
        <f t="shared" si="238"/>
        <v>1.5776282833121891</v>
      </c>
      <c r="N926" s="49">
        <f t="shared" si="239"/>
        <v>1.5712999999999999</v>
      </c>
      <c r="O926" s="6">
        <v>809</v>
      </c>
      <c r="P926" s="51">
        <v>0.05</v>
      </c>
      <c r="Q926" s="51">
        <v>11</v>
      </c>
      <c r="R926" s="51">
        <v>1</v>
      </c>
      <c r="S926" s="1">
        <v>1</v>
      </c>
      <c r="T926" s="1">
        <v>0</v>
      </c>
      <c r="U926" s="47">
        <v>0</v>
      </c>
      <c r="V926" s="47"/>
      <c r="W926" s="41">
        <v>238</v>
      </c>
      <c r="X926">
        <v>595</v>
      </c>
      <c r="Y926">
        <v>0.97309999999999997</v>
      </c>
      <c r="Z926">
        <v>2130.85</v>
      </c>
      <c r="AA926">
        <v>1633.43</v>
      </c>
      <c r="AB926">
        <v>157.13</v>
      </c>
      <c r="AC926"/>
      <c r="AD926" s="41"/>
      <c r="AI926">
        <f>HLOOKUP(HLOOKUP(G926,'THP2'!$B$4:$J$8,5,FALSE),'Fuel &amp; Resister'!$B$3:$G$6,4,FALSE)</f>
        <v>2.7360666666666664</v>
      </c>
      <c r="AJ926" s="41">
        <f>HLOOKUP(HLOOKUP(G926,'THP2'!$B$4:$J$8,5,FALSE),'Fuel &amp; Resister'!$B$3:$G$6,3,FALSE)</f>
        <v>13.019</v>
      </c>
      <c r="AO926" s="62">
        <v>0</v>
      </c>
      <c r="AP926" s="62">
        <v>0</v>
      </c>
    </row>
    <row r="927" spans="2:42" x14ac:dyDescent="0.15">
      <c r="B927" s="82" t="s">
        <v>596</v>
      </c>
      <c r="C927" s="61">
        <f>VLOOKUP(B927,[1]SYS!$F$5:$G$359,2,FALSE)</f>
        <v>155</v>
      </c>
      <c r="D927" s="1" t="s">
        <v>50</v>
      </c>
      <c r="E927" s="65" t="s">
        <v>541</v>
      </c>
      <c r="F927" s="63" t="s">
        <v>544</v>
      </c>
      <c r="G927" s="1">
        <v>7</v>
      </c>
      <c r="H927" s="1">
        <f t="shared" si="228"/>
        <v>0.4</v>
      </c>
      <c r="I927" s="1">
        <f t="shared" si="229"/>
        <v>0.59499999999999997</v>
      </c>
      <c r="J927" s="1">
        <f t="shared" ref="J927:J1062" si="240">1-Y927</f>
        <v>2.6900000000000035E-2</v>
      </c>
      <c r="K927" s="1">
        <f t="shared" si="231"/>
        <v>2.1308499999999997</v>
      </c>
      <c r="L927" s="1">
        <f t="shared" si="232"/>
        <v>1.6334300000000002</v>
      </c>
      <c r="M927" s="49">
        <f t="shared" si="238"/>
        <v>1.5776282833121891</v>
      </c>
      <c r="N927" s="49">
        <f t="shared" si="239"/>
        <v>1.5712999999999999</v>
      </c>
      <c r="O927" s="6">
        <v>1004</v>
      </c>
      <c r="P927" s="51">
        <v>0.05</v>
      </c>
      <c r="Q927" s="51">
        <v>11</v>
      </c>
      <c r="R927" s="51">
        <v>1</v>
      </c>
      <c r="S927" s="1">
        <v>1</v>
      </c>
      <c r="T927" s="1">
        <v>0</v>
      </c>
      <c r="U927" s="47">
        <v>0</v>
      </c>
      <c r="V927" s="47"/>
      <c r="W927" s="41">
        <v>238</v>
      </c>
      <c r="X927">
        <v>595</v>
      </c>
      <c r="Y927">
        <v>0.97309999999999997</v>
      </c>
      <c r="Z927">
        <v>2130.85</v>
      </c>
      <c r="AA927">
        <v>1633.43</v>
      </c>
      <c r="AB927">
        <v>157.13</v>
      </c>
      <c r="AC927"/>
      <c r="AD927" s="41"/>
      <c r="AI927">
        <f>HLOOKUP(HLOOKUP(G927,'THP2'!$B$4:$J$8,5,FALSE),'Fuel &amp; Resister'!$B$3:$G$6,4,FALSE)</f>
        <v>2.7360666666666664</v>
      </c>
      <c r="AJ927" s="41">
        <f>HLOOKUP(HLOOKUP(G927,'THP2'!$B$4:$J$8,5,FALSE),'Fuel &amp; Resister'!$B$3:$G$6,3,FALSE)</f>
        <v>13.019</v>
      </c>
      <c r="AO927" s="62">
        <v>0</v>
      </c>
      <c r="AP927" s="62">
        <v>0</v>
      </c>
    </row>
    <row r="928" spans="2:42" x14ac:dyDescent="0.15">
      <c r="B928" s="82" t="s">
        <v>596</v>
      </c>
      <c r="C928" s="61">
        <f>VLOOKUP(B928,[1]SYS!$F$5:$G$359,2,FALSE)</f>
        <v>155</v>
      </c>
      <c r="D928" s="1" t="s">
        <v>50</v>
      </c>
      <c r="E928" s="65" t="s">
        <v>541</v>
      </c>
      <c r="F928" s="63" t="s">
        <v>544</v>
      </c>
      <c r="G928" s="1">
        <v>7</v>
      </c>
      <c r="H928" s="1">
        <f t="shared" si="228"/>
        <v>0.4</v>
      </c>
      <c r="I928" s="1">
        <f t="shared" si="229"/>
        <v>0.59499999999999997</v>
      </c>
      <c r="J928" s="1">
        <f t="shared" si="240"/>
        <v>2.6900000000000035E-2</v>
      </c>
      <c r="K928" s="1">
        <f t="shared" si="231"/>
        <v>2.1308499999999997</v>
      </c>
      <c r="L928" s="1">
        <f t="shared" si="232"/>
        <v>1.6334300000000002</v>
      </c>
      <c r="M928" s="49">
        <f t="shared" si="238"/>
        <v>1.5776282833121891</v>
      </c>
      <c r="N928" s="49">
        <f t="shared" si="239"/>
        <v>1.5712999999999999</v>
      </c>
      <c r="O928" s="6">
        <v>1109</v>
      </c>
      <c r="P928" s="51">
        <v>0.05</v>
      </c>
      <c r="Q928" s="51">
        <v>11</v>
      </c>
      <c r="R928" s="51">
        <v>1</v>
      </c>
      <c r="S928" s="1">
        <v>1</v>
      </c>
      <c r="T928" s="1">
        <v>0</v>
      </c>
      <c r="U928" s="47">
        <v>0</v>
      </c>
      <c r="V928" s="47"/>
      <c r="W928" s="41">
        <v>238</v>
      </c>
      <c r="X928">
        <v>595</v>
      </c>
      <c r="Y928">
        <v>0.97309999999999997</v>
      </c>
      <c r="Z928">
        <v>2130.85</v>
      </c>
      <c r="AA928">
        <v>1633.43</v>
      </c>
      <c r="AB928">
        <v>157.13</v>
      </c>
      <c r="AC928"/>
      <c r="AD928" s="41"/>
      <c r="AI928">
        <f>HLOOKUP(HLOOKUP(G928,'THP2'!$B$4:$J$8,5,FALSE),'Fuel &amp; Resister'!$B$3:$G$6,4,FALSE)</f>
        <v>2.7360666666666664</v>
      </c>
      <c r="AJ928" s="41">
        <f>HLOOKUP(HLOOKUP(G928,'THP2'!$B$4:$J$8,5,FALSE),'Fuel &amp; Resister'!$B$3:$G$6,3,FALSE)</f>
        <v>13.019</v>
      </c>
      <c r="AO928" s="62">
        <v>0</v>
      </c>
      <c r="AP928" s="62">
        <v>0</v>
      </c>
    </row>
    <row r="929" spans="2:42" x14ac:dyDescent="0.15">
      <c r="B929" s="82" t="s">
        <v>596</v>
      </c>
      <c r="C929" s="61">
        <f>VLOOKUP(B929,[1]SYS!$F$5:$G$359,2,FALSE)</f>
        <v>155</v>
      </c>
      <c r="D929" s="1" t="s">
        <v>50</v>
      </c>
      <c r="E929" s="65" t="s">
        <v>541</v>
      </c>
      <c r="F929" s="63" t="s">
        <v>544</v>
      </c>
      <c r="G929" s="1">
        <v>7</v>
      </c>
      <c r="H929" s="1">
        <f t="shared" si="228"/>
        <v>0.4</v>
      </c>
      <c r="I929" s="1">
        <f t="shared" si="229"/>
        <v>0.59499999999999997</v>
      </c>
      <c r="J929" s="1">
        <f t="shared" si="240"/>
        <v>2.6900000000000035E-2</v>
      </c>
      <c r="K929" s="1">
        <f t="shared" si="231"/>
        <v>2.1308499999999997</v>
      </c>
      <c r="L929" s="1">
        <f t="shared" si="232"/>
        <v>1.6334300000000002</v>
      </c>
      <c r="M929" s="49">
        <f t="shared" si="238"/>
        <v>1.5776282833121891</v>
      </c>
      <c r="N929" s="49">
        <f t="shared" si="239"/>
        <v>1.5712999999999999</v>
      </c>
      <c r="O929" s="6">
        <v>507</v>
      </c>
      <c r="P929" s="51">
        <v>0.05</v>
      </c>
      <c r="Q929" s="51">
        <v>11</v>
      </c>
      <c r="R929" s="51">
        <v>1</v>
      </c>
      <c r="S929" s="1">
        <v>1</v>
      </c>
      <c r="T929" s="1">
        <v>0</v>
      </c>
      <c r="U929" s="47">
        <v>0</v>
      </c>
      <c r="V929" s="47"/>
      <c r="W929" s="41">
        <v>238</v>
      </c>
      <c r="X929">
        <v>595</v>
      </c>
      <c r="Y929">
        <v>0.97309999999999997</v>
      </c>
      <c r="Z929">
        <v>2130.85</v>
      </c>
      <c r="AA929">
        <v>1633.43</v>
      </c>
      <c r="AB929">
        <v>157.13</v>
      </c>
      <c r="AC929"/>
      <c r="AD929" s="41"/>
      <c r="AI929">
        <f>HLOOKUP(HLOOKUP(G929,'THP2'!$B$4:$J$8,5,FALSE),'Fuel &amp; Resister'!$B$3:$G$6,4,FALSE)</f>
        <v>2.7360666666666664</v>
      </c>
      <c r="AJ929" s="41">
        <f>HLOOKUP(HLOOKUP(G929,'THP2'!$B$4:$J$8,5,FALSE),'Fuel &amp; Resister'!$B$3:$G$6,3,FALSE)</f>
        <v>13.019</v>
      </c>
      <c r="AO929" s="62">
        <v>0</v>
      </c>
      <c r="AP929" s="62">
        <v>0</v>
      </c>
    </row>
    <row r="930" spans="2:42" x14ac:dyDescent="0.15">
      <c r="B930" s="82" t="s">
        <v>596</v>
      </c>
      <c r="C930" s="61">
        <f>VLOOKUP(B930,[1]SYS!$F$5:$G$359,2,FALSE)</f>
        <v>155</v>
      </c>
      <c r="D930" s="1" t="s">
        <v>50</v>
      </c>
      <c r="E930" s="65" t="s">
        <v>541</v>
      </c>
      <c r="F930" s="63" t="s">
        <v>544</v>
      </c>
      <c r="G930" s="1">
        <v>7</v>
      </c>
      <c r="H930" s="1">
        <f t="shared" si="228"/>
        <v>0.4</v>
      </c>
      <c r="I930" s="1">
        <f t="shared" si="229"/>
        <v>0.59499999999999997</v>
      </c>
      <c r="J930" s="1">
        <f t="shared" si="240"/>
        <v>2.6900000000000035E-2</v>
      </c>
      <c r="K930" s="1">
        <f t="shared" si="231"/>
        <v>2.1308499999999997</v>
      </c>
      <c r="L930" s="1">
        <f t="shared" si="232"/>
        <v>1.6334300000000002</v>
      </c>
      <c r="M930" s="49">
        <f t="shared" si="238"/>
        <v>1.5776282833121891</v>
      </c>
      <c r="N930" s="49">
        <f t="shared" si="239"/>
        <v>1.5712999999999999</v>
      </c>
      <c r="O930" s="6">
        <v>612</v>
      </c>
      <c r="P930" s="51">
        <v>0.05</v>
      </c>
      <c r="Q930" s="51">
        <v>11</v>
      </c>
      <c r="R930" s="51">
        <v>1</v>
      </c>
      <c r="S930" s="1">
        <v>1</v>
      </c>
      <c r="T930" s="1">
        <v>0</v>
      </c>
      <c r="U930" s="47">
        <v>0</v>
      </c>
      <c r="V930" s="47"/>
      <c r="W930" s="41">
        <v>238</v>
      </c>
      <c r="X930">
        <v>595</v>
      </c>
      <c r="Y930">
        <v>0.97309999999999997</v>
      </c>
      <c r="Z930">
        <v>2130.85</v>
      </c>
      <c r="AA930">
        <v>1633.43</v>
      </c>
      <c r="AB930">
        <v>157.13</v>
      </c>
      <c r="AC930"/>
      <c r="AD930" s="41"/>
      <c r="AI930">
        <f>HLOOKUP(HLOOKUP(G930,'THP2'!$B$4:$J$8,5,FALSE),'Fuel &amp; Resister'!$B$3:$G$6,4,FALSE)</f>
        <v>2.7360666666666664</v>
      </c>
      <c r="AJ930" s="41">
        <f>HLOOKUP(HLOOKUP(G930,'THP2'!$B$4:$J$8,5,FALSE),'Fuel &amp; Resister'!$B$3:$G$6,3,FALSE)</f>
        <v>13.019</v>
      </c>
      <c r="AO930" s="62">
        <v>0</v>
      </c>
      <c r="AP930" s="62">
        <v>0</v>
      </c>
    </row>
    <row r="931" spans="2:42" x14ac:dyDescent="0.15">
      <c r="B931" s="82" t="s">
        <v>596</v>
      </c>
      <c r="C931" s="61">
        <f>VLOOKUP(B931,[1]SYS!$F$5:$G$359,2,FALSE)</f>
        <v>155</v>
      </c>
      <c r="D931" s="1" t="s">
        <v>50</v>
      </c>
      <c r="E931" s="65" t="s">
        <v>541</v>
      </c>
      <c r="F931" s="63" t="s">
        <v>544</v>
      </c>
      <c r="G931" s="1">
        <v>7</v>
      </c>
      <c r="H931" s="1">
        <f t="shared" si="228"/>
        <v>0.4</v>
      </c>
      <c r="I931" s="1">
        <f t="shared" si="229"/>
        <v>0.59499999999999997</v>
      </c>
      <c r="J931" s="1">
        <f t="shared" si="240"/>
        <v>2.6900000000000035E-2</v>
      </c>
      <c r="K931" s="1">
        <f t="shared" si="231"/>
        <v>2.1308499999999997</v>
      </c>
      <c r="L931" s="1">
        <f t="shared" si="232"/>
        <v>1.6334300000000002</v>
      </c>
      <c r="M931" s="49">
        <f t="shared" si="238"/>
        <v>1.5776282833121891</v>
      </c>
      <c r="N931" s="49">
        <f t="shared" si="239"/>
        <v>1.5712999999999999</v>
      </c>
      <c r="O931" s="6">
        <v>507</v>
      </c>
      <c r="P931" s="51">
        <v>0.05</v>
      </c>
      <c r="Q931" s="51">
        <v>11</v>
      </c>
      <c r="R931" s="51">
        <v>1</v>
      </c>
      <c r="S931" s="1">
        <v>1</v>
      </c>
      <c r="T931" s="1">
        <v>0</v>
      </c>
      <c r="U931" s="47">
        <v>0</v>
      </c>
      <c r="V931" s="47"/>
      <c r="W931" s="41">
        <v>238</v>
      </c>
      <c r="X931">
        <v>595</v>
      </c>
      <c r="Y931">
        <v>0.97309999999999997</v>
      </c>
      <c r="Z931">
        <v>2130.85</v>
      </c>
      <c r="AA931">
        <v>1633.43</v>
      </c>
      <c r="AB931">
        <v>157.13</v>
      </c>
      <c r="AC931"/>
      <c r="AD931" s="41"/>
      <c r="AI931">
        <f>HLOOKUP(HLOOKUP(G931,'THP2'!$B$4:$J$8,5,FALSE),'Fuel &amp; Resister'!$B$3:$G$6,4,FALSE)</f>
        <v>2.7360666666666664</v>
      </c>
      <c r="AJ931" s="41">
        <f>HLOOKUP(HLOOKUP(G931,'THP2'!$B$4:$J$8,5,FALSE),'Fuel &amp; Resister'!$B$3:$G$6,3,FALSE)</f>
        <v>13.019</v>
      </c>
      <c r="AO931" s="62">
        <v>0</v>
      </c>
      <c r="AP931" s="62">
        <v>0</v>
      </c>
    </row>
    <row r="932" spans="2:42" x14ac:dyDescent="0.15">
      <c r="B932" s="82" t="s">
        <v>596</v>
      </c>
      <c r="C932" s="61">
        <f>VLOOKUP(B932,[1]SYS!$F$5:$G$359,2,FALSE)</f>
        <v>155</v>
      </c>
      <c r="D932" s="1" t="s">
        <v>50</v>
      </c>
      <c r="E932" s="65" t="s">
        <v>541</v>
      </c>
      <c r="F932" s="63" t="s">
        <v>544</v>
      </c>
      <c r="G932" s="1">
        <v>7</v>
      </c>
      <c r="H932" s="1">
        <f t="shared" si="228"/>
        <v>0.4</v>
      </c>
      <c r="I932" s="1">
        <f t="shared" si="229"/>
        <v>0.59499999999999997</v>
      </c>
      <c r="J932" s="1">
        <f t="shared" si="240"/>
        <v>2.6900000000000035E-2</v>
      </c>
      <c r="K932" s="1">
        <f t="shared" si="231"/>
        <v>2.1308499999999997</v>
      </c>
      <c r="L932" s="1">
        <f t="shared" si="232"/>
        <v>1.6334300000000002</v>
      </c>
      <c r="M932" s="49">
        <f t="shared" si="238"/>
        <v>1.5776282833121891</v>
      </c>
      <c r="N932" s="49">
        <f t="shared" si="239"/>
        <v>1.5712999999999999</v>
      </c>
      <c r="O932" s="6">
        <v>612</v>
      </c>
      <c r="P932" s="51">
        <v>0.05</v>
      </c>
      <c r="Q932" s="51">
        <v>11</v>
      </c>
      <c r="R932" s="51">
        <v>1</v>
      </c>
      <c r="S932" s="1">
        <v>1</v>
      </c>
      <c r="T932" s="1">
        <v>0</v>
      </c>
      <c r="U932" s="47">
        <v>0</v>
      </c>
      <c r="V932" s="47"/>
      <c r="W932" s="41">
        <v>238</v>
      </c>
      <c r="X932">
        <v>595</v>
      </c>
      <c r="Y932">
        <v>0.97309999999999997</v>
      </c>
      <c r="Z932">
        <v>2130.85</v>
      </c>
      <c r="AA932">
        <v>1633.43</v>
      </c>
      <c r="AB932">
        <v>157.13</v>
      </c>
      <c r="AC932"/>
      <c r="AD932" s="41"/>
      <c r="AI932">
        <f>HLOOKUP(HLOOKUP(G932,'THP2'!$B$4:$J$8,5,FALSE),'Fuel &amp; Resister'!$B$3:$G$6,4,FALSE)</f>
        <v>2.7360666666666664</v>
      </c>
      <c r="AJ932" s="41">
        <f>HLOOKUP(HLOOKUP(G932,'THP2'!$B$4:$J$8,5,FALSE),'Fuel &amp; Resister'!$B$3:$G$6,3,FALSE)</f>
        <v>13.019</v>
      </c>
      <c r="AO932" s="62">
        <v>0</v>
      </c>
      <c r="AP932" s="62">
        <v>0</v>
      </c>
    </row>
    <row r="933" spans="2:42" x14ac:dyDescent="0.15">
      <c r="B933" s="82" t="s">
        <v>596</v>
      </c>
      <c r="C933" s="61">
        <f>VLOOKUP(B933,[1]SYS!$F$5:$G$359,2,FALSE)</f>
        <v>155</v>
      </c>
      <c r="D933" s="1" t="s">
        <v>50</v>
      </c>
      <c r="E933" s="65" t="s">
        <v>541</v>
      </c>
      <c r="F933" s="63" t="s">
        <v>544</v>
      </c>
      <c r="G933" s="1">
        <v>7</v>
      </c>
      <c r="H933" s="1">
        <f t="shared" si="228"/>
        <v>0.4</v>
      </c>
      <c r="I933" s="1">
        <f t="shared" si="229"/>
        <v>0.59499999999999997</v>
      </c>
      <c r="J933" s="1">
        <f t="shared" si="240"/>
        <v>2.6900000000000035E-2</v>
      </c>
      <c r="K933" s="1">
        <f t="shared" si="231"/>
        <v>2.1308499999999997</v>
      </c>
      <c r="L933" s="1">
        <f t="shared" si="232"/>
        <v>1.6334300000000002</v>
      </c>
      <c r="M933" s="49">
        <f t="shared" si="238"/>
        <v>1.5776282833121891</v>
      </c>
      <c r="N933" s="49">
        <f t="shared" si="239"/>
        <v>1.5712999999999999</v>
      </c>
      <c r="O933" s="6">
        <v>403</v>
      </c>
      <c r="P933" s="51">
        <v>0.05</v>
      </c>
      <c r="Q933" s="51">
        <v>11</v>
      </c>
      <c r="R933" s="51">
        <v>1</v>
      </c>
      <c r="S933" s="1">
        <v>1</v>
      </c>
      <c r="T933" s="1">
        <v>0</v>
      </c>
      <c r="U933" s="47">
        <v>0</v>
      </c>
      <c r="V933" s="47"/>
      <c r="W933" s="41">
        <v>238</v>
      </c>
      <c r="X933">
        <v>595</v>
      </c>
      <c r="Y933">
        <v>0.97309999999999997</v>
      </c>
      <c r="Z933">
        <v>2130.85</v>
      </c>
      <c r="AA933">
        <v>1633.43</v>
      </c>
      <c r="AB933">
        <v>157.13</v>
      </c>
      <c r="AC933"/>
      <c r="AD933" s="41"/>
      <c r="AI933">
        <f>HLOOKUP(HLOOKUP(G933,'THP2'!$B$4:$J$8,5,FALSE),'Fuel &amp; Resister'!$B$3:$G$6,4,FALSE)</f>
        <v>2.7360666666666664</v>
      </c>
      <c r="AJ933" s="41">
        <f>HLOOKUP(HLOOKUP(G933,'THP2'!$B$4:$J$8,5,FALSE),'Fuel &amp; Resister'!$B$3:$G$6,3,FALSE)</f>
        <v>13.019</v>
      </c>
      <c r="AO933" s="62">
        <v>0</v>
      </c>
      <c r="AP933" s="62">
        <v>0</v>
      </c>
    </row>
    <row r="934" spans="2:42" x14ac:dyDescent="0.15">
      <c r="B934" s="82" t="s">
        <v>596</v>
      </c>
      <c r="C934" s="61">
        <f>VLOOKUP(B934,[1]SYS!$F$5:$G$359,2,FALSE)</f>
        <v>155</v>
      </c>
      <c r="D934" s="1" t="s">
        <v>50</v>
      </c>
      <c r="E934" s="65" t="s">
        <v>541</v>
      </c>
      <c r="F934" s="63" t="s">
        <v>544</v>
      </c>
      <c r="G934" s="1">
        <v>7</v>
      </c>
      <c r="H934" s="1">
        <f t="shared" si="228"/>
        <v>0.4</v>
      </c>
      <c r="I934" s="1">
        <f t="shared" si="229"/>
        <v>0.59499999999999997</v>
      </c>
      <c r="J934" s="1">
        <f t="shared" si="240"/>
        <v>2.6900000000000035E-2</v>
      </c>
      <c r="K934" s="1">
        <f t="shared" si="231"/>
        <v>2.1308499999999997</v>
      </c>
      <c r="L934" s="1">
        <f t="shared" si="232"/>
        <v>1.6334300000000002</v>
      </c>
      <c r="M934" s="49">
        <f t="shared" si="238"/>
        <v>1.5776282833121891</v>
      </c>
      <c r="N934" s="49">
        <f t="shared" si="239"/>
        <v>1.5712999999999999</v>
      </c>
      <c r="O934" s="6">
        <v>509</v>
      </c>
      <c r="P934" s="51">
        <v>0.05</v>
      </c>
      <c r="Q934" s="51">
        <v>11</v>
      </c>
      <c r="R934" s="51">
        <v>1</v>
      </c>
      <c r="S934" s="1">
        <v>1</v>
      </c>
      <c r="T934" s="1">
        <v>0</v>
      </c>
      <c r="U934" s="47">
        <v>0</v>
      </c>
      <c r="V934" s="47"/>
      <c r="W934" s="41">
        <v>238</v>
      </c>
      <c r="X934">
        <v>595</v>
      </c>
      <c r="Y934">
        <v>0.97309999999999997</v>
      </c>
      <c r="Z934">
        <v>2130.85</v>
      </c>
      <c r="AA934">
        <v>1633.43</v>
      </c>
      <c r="AB934">
        <v>157.13</v>
      </c>
      <c r="AC934"/>
      <c r="AD934" s="41"/>
      <c r="AI934">
        <f>HLOOKUP(HLOOKUP(G934,'THP2'!$B$4:$J$8,5,FALSE),'Fuel &amp; Resister'!$B$3:$G$6,4,FALSE)</f>
        <v>2.7360666666666664</v>
      </c>
      <c r="AJ934" s="41">
        <f>HLOOKUP(HLOOKUP(G934,'THP2'!$B$4:$J$8,5,FALSE),'Fuel &amp; Resister'!$B$3:$G$6,3,FALSE)</f>
        <v>13.019</v>
      </c>
      <c r="AO934" s="1">
        <v>1</v>
      </c>
      <c r="AP934" s="62">
        <v>0</v>
      </c>
    </row>
    <row r="935" spans="2:42" x14ac:dyDescent="0.15">
      <c r="B935" s="82" t="s">
        <v>596</v>
      </c>
      <c r="C935" s="61">
        <f>VLOOKUP(B935,[1]SYS!$F$5:$G$359,2,FALSE)</f>
        <v>155</v>
      </c>
      <c r="D935" s="1" t="s">
        <v>50</v>
      </c>
      <c r="E935" s="65" t="s">
        <v>541</v>
      </c>
      <c r="F935" s="63" t="s">
        <v>544</v>
      </c>
      <c r="G935" s="1">
        <v>7</v>
      </c>
      <c r="H935" s="1">
        <f t="shared" si="228"/>
        <v>0.4</v>
      </c>
      <c r="I935" s="1">
        <f t="shared" si="229"/>
        <v>0.59499999999999997</v>
      </c>
      <c r="J935" s="1">
        <f t="shared" si="240"/>
        <v>2.6900000000000035E-2</v>
      </c>
      <c r="K935" s="1">
        <f t="shared" si="231"/>
        <v>2.1308499999999997</v>
      </c>
      <c r="L935" s="1">
        <f t="shared" si="232"/>
        <v>1.6334300000000002</v>
      </c>
      <c r="M935" s="49">
        <f t="shared" si="238"/>
        <v>1.5776282833121891</v>
      </c>
      <c r="N935" s="49">
        <f t="shared" si="239"/>
        <v>1.5712999999999999</v>
      </c>
      <c r="O935" s="6">
        <v>903</v>
      </c>
      <c r="P935" s="51">
        <v>0.05</v>
      </c>
      <c r="Q935" s="51">
        <v>11</v>
      </c>
      <c r="R935" s="51">
        <v>1</v>
      </c>
      <c r="S935" s="1">
        <v>1</v>
      </c>
      <c r="T935" s="1">
        <v>0</v>
      </c>
      <c r="U935" s="47">
        <v>0</v>
      </c>
      <c r="V935" s="47"/>
      <c r="W935" s="41">
        <v>238</v>
      </c>
      <c r="X935">
        <v>595</v>
      </c>
      <c r="Y935">
        <v>0.97309999999999997</v>
      </c>
      <c r="Z935">
        <v>2130.85</v>
      </c>
      <c r="AA935">
        <v>1633.43</v>
      </c>
      <c r="AB935">
        <v>157.13</v>
      </c>
      <c r="AC935"/>
      <c r="AD935" s="41"/>
      <c r="AI935">
        <f>HLOOKUP(HLOOKUP(G935,'THP2'!$B$4:$J$8,5,FALSE),'Fuel &amp; Resister'!$B$3:$G$6,4,FALSE)</f>
        <v>2.7360666666666664</v>
      </c>
      <c r="AJ935" s="41">
        <f>HLOOKUP(HLOOKUP(G935,'THP2'!$B$4:$J$8,5,FALSE),'Fuel &amp; Resister'!$B$3:$G$6,3,FALSE)</f>
        <v>13.019</v>
      </c>
      <c r="AO935" s="1">
        <v>1</v>
      </c>
      <c r="AP935" s="62">
        <v>0</v>
      </c>
    </row>
    <row r="936" spans="2:42" x14ac:dyDescent="0.15">
      <c r="B936" s="82" t="s">
        <v>597</v>
      </c>
      <c r="C936" s="61">
        <f>VLOOKUP(B936,[1]SYS!$F$5:$G$359,2,FALSE)</f>
        <v>187</v>
      </c>
      <c r="D936" s="1" t="s">
        <v>50</v>
      </c>
      <c r="E936" s="65" t="s">
        <v>541</v>
      </c>
      <c r="F936" s="63" t="s">
        <v>563</v>
      </c>
      <c r="G936" s="1">
        <v>7</v>
      </c>
      <c r="H936" s="1">
        <f t="shared" si="228"/>
        <v>0.4</v>
      </c>
      <c r="I936" s="1">
        <f t="shared" si="229"/>
        <v>0.59499999999999997</v>
      </c>
      <c r="J936" s="1">
        <f t="shared" si="240"/>
        <v>2.6900000000000035E-2</v>
      </c>
      <c r="K936" s="1">
        <f t="shared" si="231"/>
        <v>2.1308499999999997</v>
      </c>
      <c r="L936" s="1">
        <f t="shared" si="232"/>
        <v>1.6334300000000002</v>
      </c>
      <c r="M936" s="49">
        <f t="shared" si="238"/>
        <v>1.5776282833121891</v>
      </c>
      <c r="N936" s="49">
        <f t="shared" si="239"/>
        <v>1.5712999999999999</v>
      </c>
      <c r="O936" s="6">
        <v>1009</v>
      </c>
      <c r="P936" s="51">
        <v>0.05</v>
      </c>
      <c r="Q936" s="51">
        <v>11</v>
      </c>
      <c r="R936" s="51">
        <v>1</v>
      </c>
      <c r="S936" s="1">
        <v>1</v>
      </c>
      <c r="T936" s="1">
        <v>0</v>
      </c>
      <c r="U936" s="47">
        <v>0</v>
      </c>
      <c r="V936" s="47"/>
      <c r="W936" s="41">
        <v>238</v>
      </c>
      <c r="X936">
        <v>595</v>
      </c>
      <c r="Y936">
        <v>0.97309999999999997</v>
      </c>
      <c r="Z936">
        <v>2130.85</v>
      </c>
      <c r="AA936">
        <v>1633.43</v>
      </c>
      <c r="AB936">
        <v>157.13</v>
      </c>
      <c r="AC936"/>
      <c r="AD936" s="41"/>
      <c r="AI936">
        <f>HLOOKUP(HLOOKUP(G936,'THP2'!$B$4:$J$8,5,FALSE),'Fuel &amp; Resister'!$B$3:$G$6,4,FALSE)</f>
        <v>2.7360666666666664</v>
      </c>
      <c r="AJ936" s="41">
        <f>HLOOKUP(HLOOKUP(G936,'THP2'!$B$4:$J$8,5,FALSE),'Fuel &amp; Resister'!$B$3:$G$6,3,FALSE)</f>
        <v>13.019</v>
      </c>
      <c r="AO936" s="1">
        <v>1</v>
      </c>
      <c r="AP936" s="62">
        <v>0</v>
      </c>
    </row>
    <row r="937" spans="2:42" x14ac:dyDescent="0.15">
      <c r="B937" s="82" t="s">
        <v>597</v>
      </c>
      <c r="C937" s="61">
        <f>VLOOKUP(B937,[1]SYS!$F$5:$G$359,2,FALSE)</f>
        <v>187</v>
      </c>
      <c r="D937" s="1" t="s">
        <v>50</v>
      </c>
      <c r="E937" s="65" t="s">
        <v>541</v>
      </c>
      <c r="F937" s="63" t="s">
        <v>563</v>
      </c>
      <c r="G937" s="1">
        <v>7</v>
      </c>
      <c r="H937" s="1">
        <f t="shared" si="228"/>
        <v>0.4</v>
      </c>
      <c r="I937" s="1">
        <f t="shared" si="229"/>
        <v>0.59499999999999997</v>
      </c>
      <c r="J937" s="1">
        <f t="shared" si="240"/>
        <v>2.6900000000000035E-2</v>
      </c>
      <c r="K937" s="1">
        <f t="shared" si="231"/>
        <v>2.1308499999999997</v>
      </c>
      <c r="L937" s="1">
        <f t="shared" si="232"/>
        <v>1.6334300000000002</v>
      </c>
      <c r="M937" s="49">
        <f t="shared" si="238"/>
        <v>1.5776282833121891</v>
      </c>
      <c r="N937" s="49">
        <f t="shared" si="239"/>
        <v>1.5712999999999999</v>
      </c>
      <c r="O937" s="6">
        <v>601</v>
      </c>
      <c r="P937" s="51">
        <v>0.05</v>
      </c>
      <c r="Q937" s="51">
        <v>11</v>
      </c>
      <c r="R937" s="51">
        <v>1</v>
      </c>
      <c r="S937" s="1">
        <v>1</v>
      </c>
      <c r="T937" s="1">
        <v>0</v>
      </c>
      <c r="U937" s="47">
        <v>0</v>
      </c>
      <c r="V937" s="47"/>
      <c r="W937" s="41">
        <v>238</v>
      </c>
      <c r="X937">
        <v>595</v>
      </c>
      <c r="Y937">
        <v>0.97309999999999997</v>
      </c>
      <c r="Z937">
        <v>2130.85</v>
      </c>
      <c r="AA937">
        <v>1633.43</v>
      </c>
      <c r="AB937">
        <v>157.13</v>
      </c>
      <c r="AC937"/>
      <c r="AD937" s="41"/>
      <c r="AI937">
        <f>HLOOKUP(HLOOKUP(G937,'THP2'!$B$4:$J$8,5,FALSE),'Fuel &amp; Resister'!$B$3:$G$6,4,FALSE)</f>
        <v>2.7360666666666664</v>
      </c>
      <c r="AJ937" s="41">
        <f>HLOOKUP(HLOOKUP(G937,'THP2'!$B$4:$J$8,5,FALSE),'Fuel &amp; Resister'!$B$3:$G$6,3,FALSE)</f>
        <v>13.019</v>
      </c>
      <c r="AO937" s="1">
        <v>1</v>
      </c>
      <c r="AP937" s="62">
        <v>0</v>
      </c>
    </row>
    <row r="938" spans="2:42" x14ac:dyDescent="0.15">
      <c r="B938" s="82" t="s">
        <v>597</v>
      </c>
      <c r="C938" s="61">
        <f>VLOOKUP(B938,[1]SYS!$F$5:$G$359,2,FALSE)</f>
        <v>187</v>
      </c>
      <c r="D938" s="1" t="s">
        <v>50</v>
      </c>
      <c r="E938" s="65" t="s">
        <v>541</v>
      </c>
      <c r="F938" s="63" t="s">
        <v>563</v>
      </c>
      <c r="G938" s="1">
        <v>7</v>
      </c>
      <c r="H938" s="1">
        <f t="shared" si="228"/>
        <v>0.4</v>
      </c>
      <c r="I938" s="1">
        <f t="shared" si="229"/>
        <v>0.59499999999999997</v>
      </c>
      <c r="J938" s="1">
        <f t="shared" si="240"/>
        <v>2.6900000000000035E-2</v>
      </c>
      <c r="K938" s="1">
        <f t="shared" si="231"/>
        <v>2.1308499999999997</v>
      </c>
      <c r="L938" s="1">
        <f t="shared" si="232"/>
        <v>1.6334300000000002</v>
      </c>
      <c r="M938" s="49">
        <f t="shared" si="238"/>
        <v>1.5776282833121891</v>
      </c>
      <c r="N938" s="49">
        <f t="shared" si="239"/>
        <v>1.5712999999999999</v>
      </c>
      <c r="O938" s="6">
        <v>707</v>
      </c>
      <c r="P938" s="51">
        <v>0.05</v>
      </c>
      <c r="Q938" s="51">
        <v>11</v>
      </c>
      <c r="R938" s="51">
        <v>1</v>
      </c>
      <c r="S938" s="1">
        <v>1</v>
      </c>
      <c r="T938" s="1">
        <v>0</v>
      </c>
      <c r="U938" s="47">
        <v>0</v>
      </c>
      <c r="V938" s="47"/>
      <c r="W938" s="41">
        <v>238</v>
      </c>
      <c r="X938">
        <v>595</v>
      </c>
      <c r="Y938">
        <v>0.97309999999999997</v>
      </c>
      <c r="Z938">
        <v>2130.85</v>
      </c>
      <c r="AA938">
        <v>1633.43</v>
      </c>
      <c r="AB938">
        <v>157.13</v>
      </c>
      <c r="AC938"/>
      <c r="AD938" s="41"/>
      <c r="AI938">
        <f>HLOOKUP(HLOOKUP(G938,'THP2'!$B$4:$J$8,5,FALSE),'Fuel &amp; Resister'!$B$3:$G$6,4,FALSE)</f>
        <v>2.7360666666666664</v>
      </c>
      <c r="AJ938" s="41">
        <f>HLOOKUP(HLOOKUP(G938,'THP2'!$B$4:$J$8,5,FALSE),'Fuel &amp; Resister'!$B$3:$G$6,3,FALSE)</f>
        <v>13.019</v>
      </c>
      <c r="AO938" s="1">
        <v>1</v>
      </c>
      <c r="AP938" s="62">
        <v>0</v>
      </c>
    </row>
    <row r="939" spans="2:42" x14ac:dyDescent="0.15">
      <c r="B939" s="82" t="s">
        <v>597</v>
      </c>
      <c r="C939" s="61">
        <f>VLOOKUP(B939,[1]SYS!$F$5:$G$359,2,FALSE)</f>
        <v>187</v>
      </c>
      <c r="D939" s="1" t="s">
        <v>50</v>
      </c>
      <c r="E939" s="65" t="s">
        <v>541</v>
      </c>
      <c r="F939" s="63" t="s">
        <v>563</v>
      </c>
      <c r="G939" s="1">
        <v>7</v>
      </c>
      <c r="H939" s="1">
        <f t="shared" si="228"/>
        <v>0.4</v>
      </c>
      <c r="I939" s="1">
        <f t="shared" si="229"/>
        <v>0.59499999999999997</v>
      </c>
      <c r="J939" s="1">
        <f t="shared" si="240"/>
        <v>2.6900000000000035E-2</v>
      </c>
      <c r="K939" s="1">
        <f t="shared" si="231"/>
        <v>2.1308499999999997</v>
      </c>
      <c r="L939" s="1">
        <f t="shared" si="232"/>
        <v>1.6334300000000002</v>
      </c>
      <c r="M939" s="49">
        <f t="shared" si="238"/>
        <v>1.5776282833121891</v>
      </c>
      <c r="N939" s="49">
        <f t="shared" si="239"/>
        <v>1.5712999999999999</v>
      </c>
      <c r="O939" s="6">
        <v>1106</v>
      </c>
      <c r="P939" s="51">
        <v>0.05</v>
      </c>
      <c r="Q939" s="51">
        <v>11</v>
      </c>
      <c r="R939" s="51">
        <v>1</v>
      </c>
      <c r="S939" s="1">
        <v>1</v>
      </c>
      <c r="T939" s="1">
        <v>0</v>
      </c>
      <c r="U939" s="47">
        <v>0</v>
      </c>
      <c r="V939" s="47"/>
      <c r="W939" s="41">
        <v>238</v>
      </c>
      <c r="X939">
        <v>595</v>
      </c>
      <c r="Y939">
        <v>0.97309999999999997</v>
      </c>
      <c r="Z939">
        <v>2130.85</v>
      </c>
      <c r="AA939">
        <v>1633.43</v>
      </c>
      <c r="AB939">
        <v>157.13</v>
      </c>
      <c r="AC939"/>
      <c r="AD939" s="41"/>
      <c r="AI939">
        <f>HLOOKUP(HLOOKUP(G939,'THP2'!$B$4:$J$8,5,FALSE),'Fuel &amp; Resister'!$B$3:$G$6,4,FALSE)</f>
        <v>2.7360666666666664</v>
      </c>
      <c r="AJ939" s="41">
        <f>HLOOKUP(HLOOKUP(G939,'THP2'!$B$4:$J$8,5,FALSE),'Fuel &amp; Resister'!$B$3:$G$6,3,FALSE)</f>
        <v>13.019</v>
      </c>
      <c r="AO939" s="62">
        <v>0</v>
      </c>
      <c r="AP939" s="62">
        <v>0</v>
      </c>
    </row>
    <row r="940" spans="2:42" x14ac:dyDescent="0.15">
      <c r="B940" s="82" t="s">
        <v>632</v>
      </c>
      <c r="C940" s="61">
        <f>VLOOKUP(B940,[1]SYS!$F$5:$G$359,2,FALSE)</f>
        <v>192</v>
      </c>
      <c r="D940" s="1" t="s">
        <v>50</v>
      </c>
      <c r="E940" s="65" t="s">
        <v>541</v>
      </c>
      <c r="F940" s="63" t="s">
        <v>562</v>
      </c>
      <c r="G940" s="1">
        <v>7</v>
      </c>
      <c r="H940" s="1">
        <f t="shared" si="228"/>
        <v>0.4</v>
      </c>
      <c r="I940" s="1">
        <f t="shared" si="229"/>
        <v>0.59499999999999997</v>
      </c>
      <c r="J940" s="1">
        <f t="shared" si="240"/>
        <v>2.6900000000000035E-2</v>
      </c>
      <c r="K940" s="1">
        <f t="shared" si="231"/>
        <v>2.1308499999999997</v>
      </c>
      <c r="L940" s="1">
        <f t="shared" si="232"/>
        <v>1.6334300000000002</v>
      </c>
      <c r="M940" s="49">
        <f t="shared" si="238"/>
        <v>1.5776282833121891</v>
      </c>
      <c r="N940" s="49">
        <f t="shared" si="239"/>
        <v>1.5712999999999999</v>
      </c>
      <c r="O940" s="6">
        <v>1212</v>
      </c>
      <c r="P940" s="51">
        <v>0.05</v>
      </c>
      <c r="Q940" s="51">
        <v>11</v>
      </c>
      <c r="R940" s="51">
        <v>1</v>
      </c>
      <c r="S940" s="1">
        <v>1</v>
      </c>
      <c r="T940" s="1">
        <v>0</v>
      </c>
      <c r="U940" s="47">
        <v>0</v>
      </c>
      <c r="V940" s="47"/>
      <c r="W940" s="41">
        <v>238</v>
      </c>
      <c r="X940">
        <v>595</v>
      </c>
      <c r="Y940">
        <v>0.97309999999999997</v>
      </c>
      <c r="Z940">
        <v>2130.85</v>
      </c>
      <c r="AA940">
        <v>1633.43</v>
      </c>
      <c r="AB940">
        <v>157.13</v>
      </c>
      <c r="AC940"/>
      <c r="AD940" s="41"/>
      <c r="AI940">
        <f>HLOOKUP(HLOOKUP(G940,'THP2'!$B$4:$J$8,5,FALSE),'Fuel &amp; Resister'!$B$3:$G$6,4,FALSE)</f>
        <v>2.7360666666666664</v>
      </c>
      <c r="AJ940" s="41">
        <f>HLOOKUP(HLOOKUP(G940,'THP2'!$B$4:$J$8,5,FALSE),'Fuel &amp; Resister'!$B$3:$G$6,3,FALSE)</f>
        <v>13.019</v>
      </c>
      <c r="AO940" s="62">
        <v>0</v>
      </c>
      <c r="AP940" s="62">
        <v>0</v>
      </c>
    </row>
    <row r="941" spans="2:42" x14ac:dyDescent="0.15">
      <c r="B941" s="82" t="s">
        <v>632</v>
      </c>
      <c r="C941" s="61">
        <f>VLOOKUP(B941,[1]SYS!$F$5:$G$359,2,FALSE)</f>
        <v>192</v>
      </c>
      <c r="D941" s="1" t="s">
        <v>50</v>
      </c>
      <c r="E941" s="65" t="s">
        <v>541</v>
      </c>
      <c r="F941" s="63" t="s">
        <v>562</v>
      </c>
      <c r="G941" s="1">
        <v>7</v>
      </c>
      <c r="H941" s="1">
        <f t="shared" si="228"/>
        <v>0.4</v>
      </c>
      <c r="I941" s="1">
        <f t="shared" si="229"/>
        <v>0.59499999999999997</v>
      </c>
      <c r="J941" s="1">
        <f t="shared" si="240"/>
        <v>2.6900000000000035E-2</v>
      </c>
      <c r="K941" s="1">
        <f t="shared" si="231"/>
        <v>2.1308499999999997</v>
      </c>
      <c r="L941" s="1">
        <f t="shared" si="232"/>
        <v>1.6334300000000002</v>
      </c>
      <c r="M941" s="49">
        <f t="shared" si="238"/>
        <v>1.5776282833121891</v>
      </c>
      <c r="N941" s="49">
        <f t="shared" si="239"/>
        <v>1.5712999999999999</v>
      </c>
      <c r="O941" s="6">
        <v>403</v>
      </c>
      <c r="P941" s="51">
        <v>0.05</v>
      </c>
      <c r="Q941" s="51">
        <v>11</v>
      </c>
      <c r="R941" s="51">
        <v>1</v>
      </c>
      <c r="S941" s="1">
        <v>1</v>
      </c>
      <c r="T941" s="1">
        <v>0</v>
      </c>
      <c r="U941" s="47">
        <v>0</v>
      </c>
      <c r="V941" s="47"/>
      <c r="W941" s="41">
        <v>238</v>
      </c>
      <c r="X941">
        <v>595</v>
      </c>
      <c r="Y941">
        <v>0.97309999999999997</v>
      </c>
      <c r="Z941">
        <v>2130.85</v>
      </c>
      <c r="AA941">
        <v>1633.43</v>
      </c>
      <c r="AB941">
        <v>157.13</v>
      </c>
      <c r="AC941"/>
      <c r="AD941" s="41"/>
      <c r="AI941">
        <f>HLOOKUP(HLOOKUP(G941,'THP2'!$B$4:$J$8,5,FALSE),'Fuel &amp; Resister'!$B$3:$G$6,4,FALSE)</f>
        <v>2.7360666666666664</v>
      </c>
      <c r="AJ941" s="41">
        <f>HLOOKUP(HLOOKUP(G941,'THP2'!$B$4:$J$8,5,FALSE),'Fuel &amp; Resister'!$B$3:$G$6,3,FALSE)</f>
        <v>13.019</v>
      </c>
      <c r="AO941" s="1">
        <v>1</v>
      </c>
      <c r="AP941" s="62">
        <v>0</v>
      </c>
    </row>
    <row r="942" spans="2:42" x14ac:dyDescent="0.15">
      <c r="B942" s="82" t="s">
        <v>632</v>
      </c>
      <c r="C942" s="61">
        <f>VLOOKUP(B942,[1]SYS!$F$5:$G$359,2,FALSE)</f>
        <v>192</v>
      </c>
      <c r="D942" s="1" t="s">
        <v>50</v>
      </c>
      <c r="E942" s="65" t="s">
        <v>541</v>
      </c>
      <c r="F942" s="63" t="s">
        <v>562</v>
      </c>
      <c r="G942" s="1">
        <v>7</v>
      </c>
      <c r="H942" s="1">
        <f t="shared" si="228"/>
        <v>0.4</v>
      </c>
      <c r="I942" s="1">
        <f t="shared" si="229"/>
        <v>0.59499999999999997</v>
      </c>
      <c r="J942" s="1">
        <f t="shared" si="240"/>
        <v>2.6900000000000035E-2</v>
      </c>
      <c r="K942" s="1">
        <f t="shared" si="231"/>
        <v>2.1308499999999997</v>
      </c>
      <c r="L942" s="1">
        <f t="shared" si="232"/>
        <v>1.6334300000000002</v>
      </c>
      <c r="M942" s="49">
        <f t="shared" si="238"/>
        <v>1.5776282833121891</v>
      </c>
      <c r="N942" s="49">
        <f t="shared" si="239"/>
        <v>1.5712999999999999</v>
      </c>
      <c r="O942" s="6">
        <v>509</v>
      </c>
      <c r="P942" s="51">
        <v>0.05</v>
      </c>
      <c r="Q942" s="51">
        <v>11</v>
      </c>
      <c r="R942" s="51">
        <v>1</v>
      </c>
      <c r="S942" s="1">
        <v>1</v>
      </c>
      <c r="T942" s="1">
        <v>0</v>
      </c>
      <c r="U942" s="47">
        <v>0</v>
      </c>
      <c r="V942" s="47"/>
      <c r="W942" s="41">
        <v>238</v>
      </c>
      <c r="X942">
        <v>595</v>
      </c>
      <c r="Y942">
        <v>0.97309999999999997</v>
      </c>
      <c r="Z942">
        <v>2130.85</v>
      </c>
      <c r="AA942">
        <v>1633.43</v>
      </c>
      <c r="AB942">
        <v>157.13</v>
      </c>
      <c r="AC942"/>
      <c r="AD942" s="41"/>
      <c r="AI942">
        <f>HLOOKUP(HLOOKUP(G942,'THP2'!$B$4:$J$8,5,FALSE),'Fuel &amp; Resister'!$B$3:$G$6,4,FALSE)</f>
        <v>2.7360666666666664</v>
      </c>
      <c r="AJ942" s="41">
        <f>HLOOKUP(HLOOKUP(G942,'THP2'!$B$4:$J$8,5,FALSE),'Fuel &amp; Resister'!$B$3:$G$6,3,FALSE)</f>
        <v>13.019</v>
      </c>
      <c r="AO942" s="1">
        <v>1</v>
      </c>
      <c r="AP942" s="62">
        <v>0</v>
      </c>
    </row>
    <row r="943" spans="2:42" x14ac:dyDescent="0.15">
      <c r="B943" s="82" t="s">
        <v>632</v>
      </c>
      <c r="C943" s="61">
        <f>VLOOKUP(B943,[1]SYS!$F$5:$G$359,2,FALSE)</f>
        <v>192</v>
      </c>
      <c r="D943" s="1" t="s">
        <v>50</v>
      </c>
      <c r="E943" s="65" t="s">
        <v>541</v>
      </c>
      <c r="F943" s="63" t="s">
        <v>562</v>
      </c>
      <c r="G943" s="1">
        <v>7</v>
      </c>
      <c r="H943" s="1">
        <f t="shared" si="228"/>
        <v>0.4</v>
      </c>
      <c r="I943" s="1">
        <f t="shared" si="229"/>
        <v>0.59499999999999997</v>
      </c>
      <c r="J943" s="1">
        <f t="shared" si="240"/>
        <v>2.6900000000000035E-2</v>
      </c>
      <c r="K943" s="1">
        <f t="shared" si="231"/>
        <v>2.1308499999999997</v>
      </c>
      <c r="L943" s="1">
        <f t="shared" si="232"/>
        <v>1.6334300000000002</v>
      </c>
      <c r="M943" s="49">
        <f t="shared" si="238"/>
        <v>1.5776282833121891</v>
      </c>
      <c r="N943" s="49">
        <f t="shared" si="239"/>
        <v>1.5712999999999999</v>
      </c>
      <c r="O943" s="6">
        <v>903</v>
      </c>
      <c r="P943" s="51">
        <v>0.05</v>
      </c>
      <c r="Q943" s="51">
        <v>11</v>
      </c>
      <c r="R943" s="51">
        <v>1</v>
      </c>
      <c r="S943" s="1">
        <v>1</v>
      </c>
      <c r="T943" s="1">
        <v>0</v>
      </c>
      <c r="U943" s="47">
        <v>0</v>
      </c>
      <c r="V943" s="47"/>
      <c r="W943" s="41">
        <v>238</v>
      </c>
      <c r="X943">
        <v>595</v>
      </c>
      <c r="Y943">
        <v>0.97309999999999997</v>
      </c>
      <c r="Z943">
        <v>2130.85</v>
      </c>
      <c r="AA943">
        <v>1633.43</v>
      </c>
      <c r="AB943">
        <v>157.13</v>
      </c>
      <c r="AC943"/>
      <c r="AD943" s="41"/>
      <c r="AI943">
        <f>HLOOKUP(HLOOKUP(G943,'THP2'!$B$4:$J$8,5,FALSE),'Fuel &amp; Resister'!$B$3:$G$6,4,FALSE)</f>
        <v>2.7360666666666664</v>
      </c>
      <c r="AJ943" s="41">
        <f>HLOOKUP(HLOOKUP(G943,'THP2'!$B$4:$J$8,5,FALSE),'Fuel &amp; Resister'!$B$3:$G$6,3,FALSE)</f>
        <v>13.019</v>
      </c>
      <c r="AO943" s="1">
        <v>1</v>
      </c>
      <c r="AP943" s="62">
        <v>0</v>
      </c>
    </row>
    <row r="944" spans="2:42" x14ac:dyDescent="0.15">
      <c r="B944" s="82" t="s">
        <v>633</v>
      </c>
      <c r="C944" s="61">
        <f>VLOOKUP(B944,[1]SYS!$F$5:$G$359,2,FALSE)</f>
        <v>206</v>
      </c>
      <c r="D944" s="1" t="s">
        <v>50</v>
      </c>
      <c r="E944" s="65" t="s">
        <v>239</v>
      </c>
      <c r="F944" s="63" t="s">
        <v>545</v>
      </c>
      <c r="G944" s="1">
        <v>7</v>
      </c>
      <c r="H944" s="1">
        <f t="shared" si="228"/>
        <v>0.4</v>
      </c>
      <c r="I944" s="1">
        <f t="shared" si="229"/>
        <v>0.42499999999999999</v>
      </c>
      <c r="J944" s="1">
        <f t="shared" si="240"/>
        <v>2.0000000000000018E-2</v>
      </c>
      <c r="K944" s="1">
        <f t="shared" si="231"/>
        <v>2.1127899999999999</v>
      </c>
      <c r="L944" s="1">
        <f t="shared" si="232"/>
        <v>1.6195899999999999</v>
      </c>
      <c r="M944" s="49">
        <f t="shared" si="238"/>
        <v>1.1173293496199446</v>
      </c>
      <c r="N944" s="49">
        <v>1.8825000000000001</v>
      </c>
      <c r="O944" s="1">
        <v>807</v>
      </c>
      <c r="P944" s="51">
        <v>0.05</v>
      </c>
      <c r="Q944" s="51">
        <v>11</v>
      </c>
      <c r="R944" s="51">
        <v>1</v>
      </c>
      <c r="S944" s="1">
        <v>1</v>
      </c>
      <c r="T944" s="1">
        <v>0</v>
      </c>
      <c r="U944" s="47">
        <v>0</v>
      </c>
      <c r="V944" s="47">
        <v>259</v>
      </c>
      <c r="W944" s="41">
        <v>170</v>
      </c>
      <c r="X944">
        <v>425</v>
      </c>
      <c r="Y944">
        <v>0.98</v>
      </c>
      <c r="Z944">
        <v>2112.79</v>
      </c>
      <c r="AA944">
        <v>1619.59</v>
      </c>
      <c r="AB944">
        <v>188.25</v>
      </c>
      <c r="AC944">
        <v>36</v>
      </c>
      <c r="AD944" s="41">
        <f t="shared" ref="AD944:AD1079" si="241">1/Z944*860</f>
        <v>0.40704471338845793</v>
      </c>
      <c r="AE944" s="41">
        <f t="shared" ref="AE944:AE1079" si="242">1/AA944*860</f>
        <v>0.53099858606190453</v>
      </c>
      <c r="AF944">
        <f t="shared" ref="AF944:AF1079" si="243">(L944-H944*K944)/(1-H944)</f>
        <v>1.2907899999999999</v>
      </c>
      <c r="AG944">
        <f t="shared" ref="AG944:AG1079" si="244">I944*(L944-AF944)</f>
        <v>0.13973999999999998</v>
      </c>
      <c r="AH944">
        <f t="shared" ref="AH944:AH1079" si="245">AB944/100</f>
        <v>1.8825000000000001</v>
      </c>
      <c r="AI944">
        <f>HLOOKUP(HLOOKUP(G944,'THP2'!$B$4:$J$8,5,FALSE),'Fuel &amp; Resister'!$B$3:$G$6,4,FALSE)</f>
        <v>2.7360666666666664</v>
      </c>
      <c r="AJ944" s="41">
        <f>HLOOKUP(HLOOKUP(G944,'THP2'!$B$4:$J$8,5,FALSE),'Fuel &amp; Resister'!$B$3:$G$6,3,FALSE)</f>
        <v>13.019</v>
      </c>
      <c r="AO944" s="1">
        <v>1</v>
      </c>
      <c r="AP944" s="62">
        <v>0</v>
      </c>
    </row>
    <row r="945" spans="1:42" x14ac:dyDescent="0.15">
      <c r="B945" s="82" t="s">
        <v>633</v>
      </c>
      <c r="C945" s="61">
        <f>VLOOKUP(B945,[1]SYS!$F$5:$G$359,2,FALSE)</f>
        <v>206</v>
      </c>
      <c r="D945" s="1" t="s">
        <v>50</v>
      </c>
      <c r="E945" s="65" t="s">
        <v>239</v>
      </c>
      <c r="F945" s="63" t="s">
        <v>545</v>
      </c>
      <c r="G945" s="1">
        <v>7</v>
      </c>
      <c r="H945" s="1">
        <f t="shared" si="228"/>
        <v>0.4</v>
      </c>
      <c r="I945" s="1">
        <f t="shared" si="229"/>
        <v>0.42499999999999999</v>
      </c>
      <c r="J945" s="1">
        <f t="shared" si="240"/>
        <v>2.0000000000000018E-2</v>
      </c>
      <c r="K945" s="1">
        <f t="shared" si="231"/>
        <v>2.1127899999999999</v>
      </c>
      <c r="L945" s="1">
        <f t="shared" si="232"/>
        <v>1.6195899999999999</v>
      </c>
      <c r="M945" s="49">
        <f t="shared" si="238"/>
        <v>1.1173293496199446</v>
      </c>
      <c r="N945" s="49">
        <v>1.8825000000000001</v>
      </c>
      <c r="O945" s="1">
        <v>912</v>
      </c>
      <c r="P945" s="51">
        <v>0.05</v>
      </c>
      <c r="Q945" s="51">
        <v>11</v>
      </c>
      <c r="R945" s="51">
        <v>1</v>
      </c>
      <c r="S945" s="1">
        <v>1</v>
      </c>
      <c r="T945" s="1">
        <v>0</v>
      </c>
      <c r="U945" s="47">
        <v>0</v>
      </c>
      <c r="V945" s="47">
        <v>260</v>
      </c>
      <c r="W945" s="41">
        <v>170</v>
      </c>
      <c r="X945">
        <v>425</v>
      </c>
      <c r="Y945">
        <v>0.98</v>
      </c>
      <c r="Z945">
        <v>2112.79</v>
      </c>
      <c r="AA945">
        <v>1619.59</v>
      </c>
      <c r="AB945">
        <v>188.25</v>
      </c>
      <c r="AC945">
        <v>36</v>
      </c>
      <c r="AD945" s="41">
        <f t="shared" si="241"/>
        <v>0.40704471338845793</v>
      </c>
      <c r="AE945" s="41">
        <f t="shared" si="242"/>
        <v>0.53099858606190453</v>
      </c>
      <c r="AF945">
        <f t="shared" si="243"/>
        <v>1.2907899999999999</v>
      </c>
      <c r="AG945">
        <f t="shared" si="244"/>
        <v>0.13973999999999998</v>
      </c>
      <c r="AH945">
        <f t="shared" si="245"/>
        <v>1.8825000000000001</v>
      </c>
      <c r="AI945">
        <f>HLOOKUP(HLOOKUP(G945,'THP2'!$B$4:$J$8,5,FALSE),'Fuel &amp; Resister'!$B$3:$G$6,4,FALSE)</f>
        <v>2.7360666666666664</v>
      </c>
      <c r="AJ945" s="41">
        <f>HLOOKUP(HLOOKUP(G945,'THP2'!$B$4:$J$8,5,FALSE),'Fuel &amp; Resister'!$B$3:$G$6,3,FALSE)</f>
        <v>13.019</v>
      </c>
      <c r="AO945" s="1">
        <v>1</v>
      </c>
      <c r="AP945" s="62">
        <v>0</v>
      </c>
    </row>
    <row r="946" spans="1:42" x14ac:dyDescent="0.15">
      <c r="B946" s="82" t="s">
        <v>633</v>
      </c>
      <c r="C946" s="61">
        <f>VLOOKUP(B946,[1]SYS!$F$5:$G$359,2,FALSE)</f>
        <v>206</v>
      </c>
      <c r="D946" s="1" t="s">
        <v>50</v>
      </c>
      <c r="E946" s="65" t="s">
        <v>239</v>
      </c>
      <c r="F946" s="63" t="s">
        <v>545</v>
      </c>
      <c r="G946" s="1">
        <v>7</v>
      </c>
      <c r="H946" s="1">
        <f t="shared" si="228"/>
        <v>0.4</v>
      </c>
      <c r="I946" s="1">
        <f t="shared" si="229"/>
        <v>0.42499999999999999</v>
      </c>
      <c r="J946" s="1">
        <f t="shared" si="240"/>
        <v>2.0000000000000018E-2</v>
      </c>
      <c r="K946" s="1">
        <f t="shared" si="231"/>
        <v>2.1127899999999999</v>
      </c>
      <c r="L946" s="1">
        <f t="shared" si="232"/>
        <v>1.6195899999999999</v>
      </c>
      <c r="M946" s="49">
        <f t="shared" si="238"/>
        <v>1.1173293496199446</v>
      </c>
      <c r="N946" s="49">
        <v>1.8825000000000001</v>
      </c>
      <c r="O946" s="1">
        <v>504</v>
      </c>
      <c r="P946" s="51">
        <v>0.05</v>
      </c>
      <c r="Q946" s="51">
        <v>11</v>
      </c>
      <c r="R946" s="51">
        <v>1</v>
      </c>
      <c r="S946" s="1">
        <v>1</v>
      </c>
      <c r="T946" s="1">
        <v>0</v>
      </c>
      <c r="U946" s="47">
        <v>0</v>
      </c>
      <c r="V946" s="47">
        <v>261</v>
      </c>
      <c r="W946" s="41">
        <v>170</v>
      </c>
      <c r="X946">
        <v>425</v>
      </c>
      <c r="Y946">
        <v>0.98</v>
      </c>
      <c r="Z946">
        <v>2112.79</v>
      </c>
      <c r="AA946">
        <v>1619.59</v>
      </c>
      <c r="AB946">
        <v>188.25</v>
      </c>
      <c r="AC946">
        <v>36</v>
      </c>
      <c r="AD946" s="41">
        <f t="shared" si="241"/>
        <v>0.40704471338845793</v>
      </c>
      <c r="AE946" s="41">
        <f t="shared" si="242"/>
        <v>0.53099858606190453</v>
      </c>
      <c r="AF946">
        <f t="shared" si="243"/>
        <v>1.2907899999999999</v>
      </c>
      <c r="AG946">
        <f t="shared" si="244"/>
        <v>0.13973999999999998</v>
      </c>
      <c r="AH946">
        <f t="shared" si="245"/>
        <v>1.8825000000000001</v>
      </c>
      <c r="AI946">
        <f>HLOOKUP(HLOOKUP(G946,'THP2'!$B$4:$J$8,5,FALSE),'Fuel &amp; Resister'!$B$3:$G$6,4,FALSE)</f>
        <v>2.7360666666666664</v>
      </c>
      <c r="AJ946" s="41">
        <f>HLOOKUP(HLOOKUP(G946,'THP2'!$B$4:$J$8,5,FALSE),'Fuel &amp; Resister'!$B$3:$G$6,3,FALSE)</f>
        <v>13.019</v>
      </c>
      <c r="AO946" s="1">
        <v>1</v>
      </c>
      <c r="AP946" s="62">
        <v>0</v>
      </c>
    </row>
    <row r="947" spans="1:42" x14ac:dyDescent="0.15">
      <c r="B947" s="82" t="s">
        <v>633</v>
      </c>
      <c r="C947" s="61">
        <f>VLOOKUP(B947,[1]SYS!$F$5:$G$359,2,FALSE)</f>
        <v>206</v>
      </c>
      <c r="D947" s="1" t="s">
        <v>50</v>
      </c>
      <c r="E947" s="65" t="s">
        <v>239</v>
      </c>
      <c r="F947" s="63" t="s">
        <v>545</v>
      </c>
      <c r="G947" s="1">
        <v>7</v>
      </c>
      <c r="H947" s="1">
        <f t="shared" si="228"/>
        <v>0.4</v>
      </c>
      <c r="I947" s="1">
        <f t="shared" si="229"/>
        <v>0.42499999999999999</v>
      </c>
      <c r="J947" s="1">
        <f t="shared" si="240"/>
        <v>2.0000000000000018E-2</v>
      </c>
      <c r="K947" s="1">
        <f t="shared" si="231"/>
        <v>2.1127899999999999</v>
      </c>
      <c r="L947" s="1">
        <f t="shared" si="232"/>
        <v>1.6195899999999999</v>
      </c>
      <c r="M947" s="49">
        <f t="shared" si="238"/>
        <v>1.1173293496199446</v>
      </c>
      <c r="N947" s="49">
        <v>1.8825000000000001</v>
      </c>
      <c r="O947" s="1">
        <v>609</v>
      </c>
      <c r="P947" s="51">
        <v>0.05</v>
      </c>
      <c r="Q947" s="51">
        <v>11</v>
      </c>
      <c r="R947" s="51">
        <v>1</v>
      </c>
      <c r="S947" s="1">
        <v>1</v>
      </c>
      <c r="T947" s="1">
        <v>0</v>
      </c>
      <c r="U947" s="47">
        <v>0</v>
      </c>
      <c r="V947" s="47"/>
      <c r="W947" s="41">
        <v>170</v>
      </c>
      <c r="X947">
        <v>425</v>
      </c>
      <c r="Y947">
        <v>0.98</v>
      </c>
      <c r="Z947">
        <v>2112.79</v>
      </c>
      <c r="AA947">
        <v>1619.59</v>
      </c>
      <c r="AB947">
        <v>188.25</v>
      </c>
      <c r="AC947"/>
      <c r="AD947" s="41">
        <f t="shared" si="241"/>
        <v>0.40704471338845793</v>
      </c>
      <c r="AE947" s="41">
        <f t="shared" si="242"/>
        <v>0.53099858606190453</v>
      </c>
      <c r="AF947">
        <f t="shared" si="243"/>
        <v>1.2907899999999999</v>
      </c>
      <c r="AG947">
        <f t="shared" si="244"/>
        <v>0.13973999999999998</v>
      </c>
      <c r="AH947">
        <f t="shared" si="245"/>
        <v>1.8825000000000001</v>
      </c>
      <c r="AI947">
        <f>HLOOKUP(HLOOKUP(G947,'THP2'!$B$4:$J$8,5,FALSE),'Fuel &amp; Resister'!$B$3:$G$6,4,FALSE)</f>
        <v>2.7360666666666664</v>
      </c>
      <c r="AJ947" s="41">
        <f>HLOOKUP(HLOOKUP(G947,'THP2'!$B$4:$J$8,5,FALSE),'Fuel &amp; Resister'!$B$3:$G$6,3,FALSE)</f>
        <v>13.019</v>
      </c>
      <c r="AO947" s="1">
        <v>1</v>
      </c>
      <c r="AP947" s="62">
        <v>0</v>
      </c>
    </row>
    <row r="948" spans="1:42" x14ac:dyDescent="0.15">
      <c r="B948" s="82" t="s">
        <v>633</v>
      </c>
      <c r="C948" s="61">
        <f>VLOOKUP(B948,[1]SYS!$F$5:$G$359,2,FALSE)</f>
        <v>206</v>
      </c>
      <c r="D948" s="1" t="s">
        <v>50</v>
      </c>
      <c r="E948" s="65" t="s">
        <v>239</v>
      </c>
      <c r="F948" s="63" t="s">
        <v>545</v>
      </c>
      <c r="G948" s="1">
        <v>7</v>
      </c>
      <c r="H948" s="1">
        <f t="shared" si="228"/>
        <v>0.4</v>
      </c>
      <c r="I948" s="1">
        <f t="shared" si="229"/>
        <v>0.42499999999999999</v>
      </c>
      <c r="J948" s="1">
        <f t="shared" si="240"/>
        <v>2.0000000000000018E-2</v>
      </c>
      <c r="K948" s="1">
        <f t="shared" si="231"/>
        <v>2.1127899999999999</v>
      </c>
      <c r="L948" s="1">
        <f t="shared" si="232"/>
        <v>1.6195899999999999</v>
      </c>
      <c r="M948" s="49">
        <f t="shared" si="238"/>
        <v>1.1173293496199446</v>
      </c>
      <c r="N948" s="49">
        <v>1.8825000000000001</v>
      </c>
      <c r="O948" s="1">
        <v>1004</v>
      </c>
      <c r="P948" s="51">
        <v>0.05</v>
      </c>
      <c r="Q948" s="51">
        <v>11</v>
      </c>
      <c r="R948" s="51">
        <v>1</v>
      </c>
      <c r="S948" s="1">
        <v>1</v>
      </c>
      <c r="T948" s="1">
        <v>0</v>
      </c>
      <c r="U948" s="47">
        <v>0</v>
      </c>
      <c r="V948" s="47"/>
      <c r="W948" s="41">
        <v>170</v>
      </c>
      <c r="X948">
        <v>425</v>
      </c>
      <c r="Y948">
        <v>0.98</v>
      </c>
      <c r="Z948">
        <v>2112.79</v>
      </c>
      <c r="AA948">
        <v>1619.59</v>
      </c>
      <c r="AB948">
        <v>188.25</v>
      </c>
      <c r="AC948"/>
      <c r="AD948" s="41">
        <f t="shared" si="241"/>
        <v>0.40704471338845793</v>
      </c>
      <c r="AE948" s="41">
        <f t="shared" si="242"/>
        <v>0.53099858606190453</v>
      </c>
      <c r="AF948">
        <f t="shared" si="243"/>
        <v>1.2907899999999999</v>
      </c>
      <c r="AG948">
        <f t="shared" si="244"/>
        <v>0.13973999999999998</v>
      </c>
      <c r="AH948">
        <f t="shared" si="245"/>
        <v>1.8825000000000001</v>
      </c>
      <c r="AI948">
        <f>HLOOKUP(HLOOKUP(G948,'THP2'!$B$4:$J$8,5,FALSE),'Fuel &amp; Resister'!$B$3:$G$6,4,FALSE)</f>
        <v>2.7360666666666664</v>
      </c>
      <c r="AJ948" s="41">
        <f>HLOOKUP(HLOOKUP(G948,'THP2'!$B$4:$J$8,5,FALSE),'Fuel &amp; Resister'!$B$3:$G$6,3,FALSE)</f>
        <v>13.019</v>
      </c>
      <c r="AO948" s="1">
        <v>1</v>
      </c>
      <c r="AP948" s="62">
        <v>0</v>
      </c>
    </row>
    <row r="949" spans="1:42" x14ac:dyDescent="0.15">
      <c r="B949" s="82" t="s">
        <v>633</v>
      </c>
      <c r="C949" s="61">
        <f>VLOOKUP(B949,[1]SYS!$F$5:$G$359,2,FALSE)</f>
        <v>206</v>
      </c>
      <c r="D949" s="1" t="s">
        <v>50</v>
      </c>
      <c r="E949" s="65" t="s">
        <v>239</v>
      </c>
      <c r="F949" s="63" t="s">
        <v>545</v>
      </c>
      <c r="G949" s="1">
        <v>7</v>
      </c>
      <c r="H949" s="1">
        <f t="shared" si="228"/>
        <v>0.4</v>
      </c>
      <c r="I949" s="1">
        <f t="shared" si="229"/>
        <v>0.42499999999999999</v>
      </c>
      <c r="J949" s="1">
        <f t="shared" si="240"/>
        <v>2.0000000000000018E-2</v>
      </c>
      <c r="K949" s="1">
        <f t="shared" si="231"/>
        <v>2.1127899999999999</v>
      </c>
      <c r="L949" s="1">
        <f t="shared" si="232"/>
        <v>1.6195899999999999</v>
      </c>
      <c r="M949" s="49">
        <f t="shared" si="238"/>
        <v>1.1173293496199446</v>
      </c>
      <c r="N949" s="49">
        <v>1.8825000000000001</v>
      </c>
      <c r="O949" s="1">
        <v>1109</v>
      </c>
      <c r="P949" s="51">
        <v>0.05</v>
      </c>
      <c r="Q949" s="51">
        <v>11</v>
      </c>
      <c r="R949" s="51">
        <v>1</v>
      </c>
      <c r="S949" s="1">
        <v>1</v>
      </c>
      <c r="T949" s="1">
        <v>0</v>
      </c>
      <c r="U949" s="47">
        <v>0</v>
      </c>
      <c r="V949" s="47"/>
      <c r="W949" s="41">
        <v>170</v>
      </c>
      <c r="X949">
        <v>425</v>
      </c>
      <c r="Y949">
        <v>0.98</v>
      </c>
      <c r="Z949">
        <v>2112.79</v>
      </c>
      <c r="AA949">
        <v>1619.59</v>
      </c>
      <c r="AB949">
        <v>188.25</v>
      </c>
      <c r="AC949"/>
      <c r="AD949" s="41">
        <f t="shared" si="241"/>
        <v>0.40704471338845793</v>
      </c>
      <c r="AE949" s="41">
        <f t="shared" si="242"/>
        <v>0.53099858606190453</v>
      </c>
      <c r="AF949">
        <f t="shared" si="243"/>
        <v>1.2907899999999999</v>
      </c>
      <c r="AG949">
        <f t="shared" si="244"/>
        <v>0.13973999999999998</v>
      </c>
      <c r="AH949">
        <f t="shared" si="245"/>
        <v>1.8825000000000001</v>
      </c>
      <c r="AI949">
        <f>HLOOKUP(HLOOKUP(G949,'THP2'!$B$4:$J$8,5,FALSE),'Fuel &amp; Resister'!$B$3:$G$6,4,FALSE)</f>
        <v>2.7360666666666664</v>
      </c>
      <c r="AJ949" s="41">
        <f>HLOOKUP(HLOOKUP(G949,'THP2'!$B$4:$J$8,5,FALSE),'Fuel &amp; Resister'!$B$3:$G$6,3,FALSE)</f>
        <v>13.019</v>
      </c>
      <c r="AO949" s="1">
        <v>1</v>
      </c>
      <c r="AP949" s="62">
        <v>0</v>
      </c>
    </row>
    <row r="950" spans="1:42" x14ac:dyDescent="0.15">
      <c r="A950" s="41" t="s">
        <v>676</v>
      </c>
      <c r="B950" s="82" t="s">
        <v>633</v>
      </c>
      <c r="C950" s="61">
        <f>VLOOKUP(B950,[1]SYS!$F$5:$G$359,2,FALSE)</f>
        <v>206</v>
      </c>
      <c r="D950" s="1" t="s">
        <v>50</v>
      </c>
      <c r="E950" s="65" t="s">
        <v>239</v>
      </c>
      <c r="F950" s="63" t="s">
        <v>545</v>
      </c>
      <c r="G950" s="1">
        <v>7</v>
      </c>
      <c r="H950" s="1">
        <f t="shared" si="228"/>
        <v>0.4</v>
      </c>
      <c r="I950" s="1">
        <f t="shared" si="229"/>
        <v>0.42499999999999999</v>
      </c>
      <c r="J950" s="1">
        <f t="shared" si="240"/>
        <v>2.0000000000000018E-2</v>
      </c>
      <c r="K950" s="1">
        <f t="shared" si="231"/>
        <v>2.1127899999999999</v>
      </c>
      <c r="L950" s="1">
        <f t="shared" si="232"/>
        <v>1.6195899999999999</v>
      </c>
      <c r="M950" s="49">
        <f t="shared" si="238"/>
        <v>1.1173293496199446</v>
      </c>
      <c r="N950" s="49">
        <v>1.8825000000000001</v>
      </c>
      <c r="O950" s="1">
        <v>401</v>
      </c>
      <c r="P950" s="51">
        <v>0.05</v>
      </c>
      <c r="Q950" s="51">
        <v>11</v>
      </c>
      <c r="R950" s="51">
        <v>1</v>
      </c>
      <c r="S950" s="1">
        <v>1</v>
      </c>
      <c r="T950" s="1">
        <v>0</v>
      </c>
      <c r="U950" s="47">
        <v>0</v>
      </c>
      <c r="V950" s="47"/>
      <c r="W950" s="41">
        <v>170</v>
      </c>
      <c r="X950">
        <v>425</v>
      </c>
      <c r="Y950">
        <v>0.98</v>
      </c>
      <c r="Z950">
        <v>2112.79</v>
      </c>
      <c r="AA950">
        <v>1619.59</v>
      </c>
      <c r="AB950">
        <v>188.25</v>
      </c>
      <c r="AC950"/>
      <c r="AD950" s="41">
        <f t="shared" si="241"/>
        <v>0.40704471338845793</v>
      </c>
      <c r="AE950" s="41">
        <f t="shared" si="242"/>
        <v>0.53099858606190453</v>
      </c>
      <c r="AF950">
        <f t="shared" si="243"/>
        <v>1.2907899999999999</v>
      </c>
      <c r="AG950">
        <f t="shared" si="244"/>
        <v>0.13973999999999998</v>
      </c>
      <c r="AH950">
        <f t="shared" si="245"/>
        <v>1.8825000000000001</v>
      </c>
      <c r="AI950">
        <f>HLOOKUP(HLOOKUP(G950,'THP2'!$B$4:$J$8,5,FALSE),'Fuel &amp; Resister'!$B$3:$G$6,4,FALSE)</f>
        <v>2.7360666666666664</v>
      </c>
      <c r="AJ950" s="41">
        <f>HLOOKUP(HLOOKUP(G950,'THP2'!$B$4:$J$8,5,FALSE),'Fuel &amp; Resister'!$B$3:$G$6,3,FALSE)</f>
        <v>13.019</v>
      </c>
      <c r="AO950" s="1">
        <v>1</v>
      </c>
      <c r="AP950" s="1">
        <v>1</v>
      </c>
    </row>
    <row r="951" spans="1:42" x14ac:dyDescent="0.15">
      <c r="B951" s="82" t="s">
        <v>633</v>
      </c>
      <c r="C951" s="61">
        <f>VLOOKUP(B951,[1]SYS!$F$5:$G$359,2,FALSE)</f>
        <v>206</v>
      </c>
      <c r="D951" s="1" t="s">
        <v>50</v>
      </c>
      <c r="E951" s="65" t="s">
        <v>239</v>
      </c>
      <c r="F951" s="63" t="s">
        <v>545</v>
      </c>
      <c r="G951" s="1">
        <v>7</v>
      </c>
      <c r="H951" s="1">
        <f t="shared" si="228"/>
        <v>0.4</v>
      </c>
      <c r="I951" s="1">
        <f t="shared" si="229"/>
        <v>0.42499999999999999</v>
      </c>
      <c r="J951" s="1">
        <f t="shared" si="240"/>
        <v>2.0000000000000018E-2</v>
      </c>
      <c r="K951" s="1">
        <f t="shared" si="231"/>
        <v>2.1127899999999999</v>
      </c>
      <c r="L951" s="1">
        <f t="shared" si="232"/>
        <v>1.6195899999999999</v>
      </c>
      <c r="M951" s="49">
        <f t="shared" si="238"/>
        <v>1.1173293496199446</v>
      </c>
      <c r="N951" s="49">
        <v>1.8825000000000001</v>
      </c>
      <c r="O951" s="1">
        <v>714</v>
      </c>
      <c r="P951" s="51">
        <v>0.05</v>
      </c>
      <c r="Q951" s="51">
        <v>11</v>
      </c>
      <c r="R951" s="51">
        <v>1</v>
      </c>
      <c r="S951" s="1">
        <v>1</v>
      </c>
      <c r="T951" s="1">
        <v>0</v>
      </c>
      <c r="U951" s="47">
        <v>0</v>
      </c>
      <c r="V951" s="47"/>
      <c r="W951" s="41">
        <v>170</v>
      </c>
      <c r="X951">
        <v>425</v>
      </c>
      <c r="Y951">
        <v>0.98</v>
      </c>
      <c r="Z951">
        <v>2112.79</v>
      </c>
      <c r="AA951">
        <v>1619.59</v>
      </c>
      <c r="AB951">
        <v>188.25</v>
      </c>
      <c r="AC951"/>
      <c r="AD951" s="41">
        <f t="shared" si="241"/>
        <v>0.40704471338845793</v>
      </c>
      <c r="AE951" s="41">
        <f t="shared" si="242"/>
        <v>0.53099858606190453</v>
      </c>
      <c r="AF951">
        <f t="shared" si="243"/>
        <v>1.2907899999999999</v>
      </c>
      <c r="AG951">
        <f t="shared" si="244"/>
        <v>0.13973999999999998</v>
      </c>
      <c r="AH951">
        <f t="shared" si="245"/>
        <v>1.8825000000000001</v>
      </c>
      <c r="AI951">
        <f>HLOOKUP(HLOOKUP(G951,'THP2'!$B$4:$J$8,5,FALSE),'Fuel &amp; Resister'!$B$3:$G$6,4,FALSE)</f>
        <v>2.7360666666666664</v>
      </c>
      <c r="AJ951" s="41">
        <f>HLOOKUP(HLOOKUP(G951,'THP2'!$B$4:$J$8,5,FALSE),'Fuel &amp; Resister'!$B$3:$G$6,3,FALSE)</f>
        <v>13.019</v>
      </c>
      <c r="AO951" s="1">
        <v>1</v>
      </c>
      <c r="AP951" s="1">
        <v>1</v>
      </c>
    </row>
    <row r="952" spans="1:42" x14ac:dyDescent="0.15">
      <c r="B952" s="82" t="s">
        <v>633</v>
      </c>
      <c r="C952" s="61">
        <f>VLOOKUP(B952,[1]SYS!$F$5:$G$359,2,FALSE)</f>
        <v>206</v>
      </c>
      <c r="D952" s="1" t="s">
        <v>50</v>
      </c>
      <c r="E952" s="65" t="s">
        <v>239</v>
      </c>
      <c r="F952" s="63" t="s">
        <v>545</v>
      </c>
      <c r="G952" s="1">
        <v>7</v>
      </c>
      <c r="H952" s="1">
        <f t="shared" si="228"/>
        <v>0.4</v>
      </c>
      <c r="I952" s="1">
        <f t="shared" si="229"/>
        <v>0.42499999999999999</v>
      </c>
      <c r="J952" s="1">
        <f t="shared" si="240"/>
        <v>2.0000000000000018E-2</v>
      </c>
      <c r="K952" s="1">
        <f t="shared" si="231"/>
        <v>2.1127899999999999</v>
      </c>
      <c r="L952" s="1">
        <f t="shared" si="232"/>
        <v>1.6195899999999999</v>
      </c>
      <c r="M952" s="49">
        <f t="shared" si="238"/>
        <v>1.1173293496199446</v>
      </c>
      <c r="N952" s="49">
        <v>1.8825000000000001</v>
      </c>
      <c r="O952" s="1">
        <v>413</v>
      </c>
      <c r="P952" s="51">
        <v>0.05</v>
      </c>
      <c r="Q952" s="51">
        <v>11</v>
      </c>
      <c r="R952" s="51">
        <v>1</v>
      </c>
      <c r="S952" s="1">
        <v>1</v>
      </c>
      <c r="T952" s="1">
        <v>0</v>
      </c>
      <c r="U952" s="47">
        <v>0</v>
      </c>
      <c r="V952" s="47"/>
      <c r="W952" s="41">
        <v>170</v>
      </c>
      <c r="X952">
        <v>425</v>
      </c>
      <c r="Y952">
        <v>0.98</v>
      </c>
      <c r="Z952">
        <v>2112.79</v>
      </c>
      <c r="AA952">
        <v>1619.59</v>
      </c>
      <c r="AB952">
        <v>188.25</v>
      </c>
      <c r="AC952"/>
      <c r="AD952" s="41">
        <f t="shared" si="241"/>
        <v>0.40704471338845793</v>
      </c>
      <c r="AE952" s="41">
        <f t="shared" si="242"/>
        <v>0.53099858606190453</v>
      </c>
      <c r="AF952">
        <f t="shared" si="243"/>
        <v>1.2907899999999999</v>
      </c>
      <c r="AG952">
        <f t="shared" si="244"/>
        <v>0.13973999999999998</v>
      </c>
      <c r="AH952">
        <f t="shared" si="245"/>
        <v>1.8825000000000001</v>
      </c>
      <c r="AI952">
        <f>HLOOKUP(HLOOKUP(G952,'THP2'!$B$4:$J$8,5,FALSE),'Fuel &amp; Resister'!$B$3:$G$6,4,FALSE)</f>
        <v>2.7360666666666664</v>
      </c>
      <c r="AJ952" s="41">
        <f>HLOOKUP(HLOOKUP(G952,'THP2'!$B$4:$J$8,5,FALSE),'Fuel &amp; Resister'!$B$3:$G$6,3,FALSE)</f>
        <v>13.019</v>
      </c>
      <c r="AO952" s="1">
        <v>1</v>
      </c>
      <c r="AP952" s="1">
        <v>1</v>
      </c>
    </row>
    <row r="953" spans="1:42" x14ac:dyDescent="0.15">
      <c r="B953" s="82" t="s">
        <v>633</v>
      </c>
      <c r="C953" s="61">
        <f>VLOOKUP(B953,[1]SYS!$F$5:$G$359,2,FALSE)</f>
        <v>206</v>
      </c>
      <c r="D953" s="1" t="s">
        <v>50</v>
      </c>
      <c r="E953" s="65" t="s">
        <v>239</v>
      </c>
      <c r="F953" s="63" t="s">
        <v>545</v>
      </c>
      <c r="G953" s="1">
        <v>7</v>
      </c>
      <c r="H953" s="1">
        <f t="shared" si="228"/>
        <v>0.4</v>
      </c>
      <c r="I953" s="1">
        <f t="shared" si="229"/>
        <v>0.42499999999999999</v>
      </c>
      <c r="J953" s="1">
        <f t="shared" si="240"/>
        <v>2.0000000000000018E-2</v>
      </c>
      <c r="K953" s="1">
        <f t="shared" si="231"/>
        <v>2.1127899999999999</v>
      </c>
      <c r="L953" s="1">
        <f t="shared" si="232"/>
        <v>1.6195899999999999</v>
      </c>
      <c r="M953" s="49">
        <f t="shared" si="238"/>
        <v>1.1173293496199446</v>
      </c>
      <c r="N953" s="49">
        <v>1.8825000000000001</v>
      </c>
      <c r="O953" s="6">
        <v>1014</v>
      </c>
      <c r="P953" s="51">
        <v>0.05</v>
      </c>
      <c r="Q953" s="51">
        <v>11</v>
      </c>
      <c r="R953" s="51">
        <v>1</v>
      </c>
      <c r="S953" s="1">
        <v>1</v>
      </c>
      <c r="T953" s="1">
        <v>0</v>
      </c>
      <c r="U953" s="47">
        <v>0</v>
      </c>
      <c r="V953" s="47">
        <v>262</v>
      </c>
      <c r="W953" s="41">
        <v>170</v>
      </c>
      <c r="X953">
        <v>425</v>
      </c>
      <c r="Y953">
        <v>0.98</v>
      </c>
      <c r="Z953">
        <v>2112.79</v>
      </c>
      <c r="AA953">
        <v>1619.59</v>
      </c>
      <c r="AB953">
        <v>188.25</v>
      </c>
      <c r="AC953">
        <v>36</v>
      </c>
      <c r="AD953" s="41">
        <f t="shared" si="241"/>
        <v>0.40704471338845793</v>
      </c>
      <c r="AE953" s="41">
        <f t="shared" si="242"/>
        <v>0.53099858606190453</v>
      </c>
      <c r="AF953">
        <f t="shared" si="243"/>
        <v>1.2907899999999999</v>
      </c>
      <c r="AG953">
        <f t="shared" si="244"/>
        <v>0.13973999999999998</v>
      </c>
      <c r="AH953">
        <f t="shared" si="245"/>
        <v>1.8825000000000001</v>
      </c>
      <c r="AI953">
        <f>HLOOKUP(HLOOKUP(G953,'THP2'!$B$4:$J$8,5,FALSE),'Fuel &amp; Resister'!$B$3:$G$6,4,FALSE)</f>
        <v>2.7360666666666664</v>
      </c>
      <c r="AJ953" s="41">
        <f>HLOOKUP(HLOOKUP(G953,'THP2'!$B$4:$J$8,5,FALSE),'Fuel &amp; Resister'!$B$3:$G$6,3,FALSE)</f>
        <v>13.019</v>
      </c>
      <c r="AO953" s="1">
        <v>1</v>
      </c>
      <c r="AP953" s="1">
        <v>1</v>
      </c>
    </row>
    <row r="954" spans="1:42" x14ac:dyDescent="0.15">
      <c r="B954" s="82" t="s">
        <v>633</v>
      </c>
      <c r="C954" s="61">
        <f>VLOOKUP(B954,[1]SYS!$F$5:$G$359,2,FALSE)</f>
        <v>206</v>
      </c>
      <c r="D954" s="1" t="s">
        <v>50</v>
      </c>
      <c r="E954" s="65" t="s">
        <v>240</v>
      </c>
      <c r="F954" s="63" t="s">
        <v>483</v>
      </c>
      <c r="G954" s="1">
        <v>7</v>
      </c>
      <c r="H954" s="1">
        <f t="shared" si="228"/>
        <v>0.4</v>
      </c>
      <c r="I954" s="1">
        <f t="shared" si="229"/>
        <v>0.42499999999999999</v>
      </c>
      <c r="J954" s="1">
        <f t="shared" si="240"/>
        <v>2.0000000000000018E-2</v>
      </c>
      <c r="K954" s="1">
        <f t="shared" si="231"/>
        <v>2.1127899999999999</v>
      </c>
      <c r="L954" s="1">
        <f t="shared" si="232"/>
        <v>1.6195899999999999</v>
      </c>
      <c r="M954" s="49">
        <f t="shared" si="238"/>
        <v>1.1173293496199446</v>
      </c>
      <c r="N954" s="49">
        <v>1.8825000000000001</v>
      </c>
      <c r="O954" s="1">
        <v>413</v>
      </c>
      <c r="P954" s="51">
        <v>0.05</v>
      </c>
      <c r="Q954" s="51">
        <v>11</v>
      </c>
      <c r="R954" s="51">
        <v>1</v>
      </c>
      <c r="S954" s="1">
        <v>1</v>
      </c>
      <c r="T954" s="1">
        <v>0</v>
      </c>
      <c r="U954" s="47">
        <v>1</v>
      </c>
      <c r="V954" s="47">
        <v>263</v>
      </c>
      <c r="W954" s="41">
        <v>170</v>
      </c>
      <c r="X954">
        <v>425</v>
      </c>
      <c r="Y954">
        <v>0.98</v>
      </c>
      <c r="Z954">
        <v>2112.79</v>
      </c>
      <c r="AA954">
        <v>1619.59</v>
      </c>
      <c r="AB954">
        <v>188.25</v>
      </c>
      <c r="AC954">
        <v>36</v>
      </c>
      <c r="AD954" s="41">
        <f t="shared" si="241"/>
        <v>0.40704471338845793</v>
      </c>
      <c r="AE954" s="41">
        <f t="shared" si="242"/>
        <v>0.53099858606190453</v>
      </c>
      <c r="AF954">
        <f t="shared" si="243"/>
        <v>1.2907899999999999</v>
      </c>
      <c r="AG954">
        <f t="shared" si="244"/>
        <v>0.13973999999999998</v>
      </c>
      <c r="AH954">
        <f t="shared" si="245"/>
        <v>1.8825000000000001</v>
      </c>
      <c r="AI954">
        <f>HLOOKUP(HLOOKUP(G954,'THP2'!$B$4:$J$8,5,FALSE),'Fuel &amp; Resister'!$B$3:$G$6,4,FALSE)</f>
        <v>2.7360666666666664</v>
      </c>
      <c r="AJ954" s="41">
        <f>HLOOKUP(HLOOKUP(G954,'THP2'!$B$4:$J$8,5,FALSE),'Fuel &amp; Resister'!$B$3:$G$6,3,FALSE)</f>
        <v>13.019</v>
      </c>
      <c r="AO954" s="1">
        <v>1</v>
      </c>
      <c r="AP954" s="62">
        <v>0</v>
      </c>
    </row>
    <row r="955" spans="1:42" x14ac:dyDescent="0.15">
      <c r="B955" s="82" t="s">
        <v>634</v>
      </c>
      <c r="C955" s="61">
        <f>VLOOKUP(B955,[1]SYS!$F$5:$G$359,2,FALSE)</f>
        <v>227</v>
      </c>
      <c r="D955" s="1" t="s">
        <v>50</v>
      </c>
      <c r="E955" s="65" t="s">
        <v>241</v>
      </c>
      <c r="F955" s="63" t="s">
        <v>464</v>
      </c>
      <c r="G955" s="1">
        <v>7</v>
      </c>
      <c r="H955" s="1">
        <f t="shared" si="228"/>
        <v>0.39961389961389959</v>
      </c>
      <c r="I955" s="1">
        <f t="shared" si="229"/>
        <v>0.51800000000000002</v>
      </c>
      <c r="J955" s="1">
        <f t="shared" si="240"/>
        <v>2.0000000000000018E-2</v>
      </c>
      <c r="K955" s="1">
        <f t="shared" si="231"/>
        <v>1.94773</v>
      </c>
      <c r="L955" s="1">
        <f t="shared" si="232"/>
        <v>1.4930600000000001</v>
      </c>
      <c r="M955" s="49">
        <f t="shared" si="238"/>
        <v>1.2554349376427676</v>
      </c>
      <c r="N955" s="49">
        <v>1.4891999999999999</v>
      </c>
      <c r="O955" s="1">
        <v>1014</v>
      </c>
      <c r="P955" s="51">
        <v>0.05</v>
      </c>
      <c r="Q955" s="51">
        <v>11</v>
      </c>
      <c r="R955" s="51">
        <v>1</v>
      </c>
      <c r="S955" s="1">
        <v>1</v>
      </c>
      <c r="T955" s="1">
        <v>0</v>
      </c>
      <c r="U955" s="47">
        <v>1</v>
      </c>
      <c r="V955" s="47">
        <v>264</v>
      </c>
      <c r="W955" s="41">
        <v>207</v>
      </c>
      <c r="X955">
        <v>518</v>
      </c>
      <c r="Y955">
        <v>0.98</v>
      </c>
      <c r="Z955">
        <v>1947.73</v>
      </c>
      <c r="AA955">
        <v>1493.06</v>
      </c>
      <c r="AB955">
        <v>148.91999999999999</v>
      </c>
      <c r="AC955">
        <v>36</v>
      </c>
      <c r="AD955" s="41">
        <f t="shared" si="241"/>
        <v>0.4415396384509146</v>
      </c>
      <c r="AE955" s="41">
        <f t="shared" si="242"/>
        <v>0.57599828540045284</v>
      </c>
      <c r="AF955">
        <f t="shared" si="243"/>
        <v>1.1904339871382636</v>
      </c>
      <c r="AG955">
        <f t="shared" si="244"/>
        <v>0.15676027466237946</v>
      </c>
      <c r="AH955">
        <f t="shared" si="245"/>
        <v>1.4891999999999999</v>
      </c>
      <c r="AI955">
        <f>HLOOKUP(HLOOKUP(G955,'THP2'!$B$4:$J$8,5,FALSE),'Fuel &amp; Resister'!$B$3:$G$6,4,FALSE)</f>
        <v>2.7360666666666664</v>
      </c>
      <c r="AJ955" s="41">
        <f>HLOOKUP(HLOOKUP(G955,'THP2'!$B$4:$J$8,5,FALSE),'Fuel &amp; Resister'!$B$3:$G$6,3,FALSE)</f>
        <v>13.019</v>
      </c>
      <c r="AO955" s="1">
        <v>1</v>
      </c>
      <c r="AP955" s="62">
        <v>0</v>
      </c>
    </row>
    <row r="956" spans="1:42" x14ac:dyDescent="0.15">
      <c r="B956" s="82" t="s">
        <v>604</v>
      </c>
      <c r="C956" s="61">
        <f>VLOOKUP(B956,[1]SYS!$F$5:$G$359,2,FALSE)</f>
        <v>226</v>
      </c>
      <c r="D956" s="1" t="s">
        <v>50</v>
      </c>
      <c r="E956" s="65" t="s">
        <v>242</v>
      </c>
      <c r="F956" s="63" t="s">
        <v>461</v>
      </c>
      <c r="G956" s="1">
        <v>7</v>
      </c>
      <c r="H956" s="1">
        <f t="shared" si="228"/>
        <v>0.39916839916839919</v>
      </c>
      <c r="I956" s="1">
        <f t="shared" si="229"/>
        <v>0.48099999999999998</v>
      </c>
      <c r="J956" s="1">
        <f t="shared" si="240"/>
        <v>1.749999999999996E-2</v>
      </c>
      <c r="K956" s="1">
        <f t="shared" si="231"/>
        <v>2.0775799999999998</v>
      </c>
      <c r="L956" s="1">
        <f t="shared" si="232"/>
        <v>1.59259</v>
      </c>
      <c r="M956" s="49">
        <f t="shared" ref="M956:M987" si="246">(I956*10^6*L956/AJ956*AI956/10^6)*24*365/1000*$A$772</f>
        <v>1.2434726886598391</v>
      </c>
      <c r="N956" s="49">
        <v>1.4494999999999998</v>
      </c>
      <c r="O956" s="1">
        <v>1002</v>
      </c>
      <c r="P956" s="51">
        <v>0.05</v>
      </c>
      <c r="Q956" s="51">
        <v>11</v>
      </c>
      <c r="R956" s="51">
        <v>1</v>
      </c>
      <c r="S956" s="1">
        <v>1</v>
      </c>
      <c r="T956" s="1">
        <v>0</v>
      </c>
      <c r="U956" s="47">
        <v>1</v>
      </c>
      <c r="V956" s="47">
        <v>265</v>
      </c>
      <c r="W956" s="41">
        <v>192</v>
      </c>
      <c r="X956">
        <v>481</v>
      </c>
      <c r="Y956">
        <v>0.98250000000000004</v>
      </c>
      <c r="Z956">
        <v>2077.58</v>
      </c>
      <c r="AA956">
        <v>1592.59</v>
      </c>
      <c r="AB956">
        <v>144.94999999999999</v>
      </c>
      <c r="AC956">
        <v>36</v>
      </c>
      <c r="AD956" s="41">
        <f t="shared" si="241"/>
        <v>0.41394314539030991</v>
      </c>
      <c r="AE956" s="41">
        <f t="shared" si="242"/>
        <v>0.54000087907119854</v>
      </c>
      <c r="AF956">
        <f t="shared" si="243"/>
        <v>1.2703821107266438</v>
      </c>
      <c r="AG956">
        <f t="shared" si="244"/>
        <v>0.15498199474048432</v>
      </c>
      <c r="AH956">
        <f t="shared" si="245"/>
        <v>1.4494999999999998</v>
      </c>
      <c r="AI956">
        <f>HLOOKUP(HLOOKUP(G956,'THP2'!$B$4:$J$8,5,FALSE),'Fuel &amp; Resister'!$B$3:$G$6,4,FALSE)</f>
        <v>2.7360666666666664</v>
      </c>
      <c r="AJ956" s="41">
        <f>HLOOKUP(HLOOKUP(G956,'THP2'!$B$4:$J$8,5,FALSE),'Fuel &amp; Resister'!$B$3:$G$6,3,FALSE)</f>
        <v>13.019</v>
      </c>
      <c r="AO956" s="62">
        <v>0</v>
      </c>
      <c r="AP956" s="62">
        <v>0</v>
      </c>
    </row>
    <row r="957" spans="1:42" x14ac:dyDescent="0.15">
      <c r="B957" s="82" t="s">
        <v>604</v>
      </c>
      <c r="C957" s="61">
        <f>VLOOKUP(B957,[1]SYS!$F$5:$G$359,2,FALSE)</f>
        <v>226</v>
      </c>
      <c r="D957" s="1" t="s">
        <v>50</v>
      </c>
      <c r="E957" s="65" t="s">
        <v>243</v>
      </c>
      <c r="F957" s="63" t="s">
        <v>461</v>
      </c>
      <c r="G957" s="1">
        <v>7</v>
      </c>
      <c r="H957" s="1">
        <f t="shared" si="228"/>
        <v>0.39916839916839919</v>
      </c>
      <c r="I957" s="1">
        <f t="shared" si="229"/>
        <v>0.48099999999999998</v>
      </c>
      <c r="J957" s="1">
        <f t="shared" si="240"/>
        <v>1.749999999999996E-2</v>
      </c>
      <c r="K957" s="1">
        <f t="shared" si="231"/>
        <v>2.0775799999999998</v>
      </c>
      <c r="L957" s="1">
        <f t="shared" si="232"/>
        <v>1.59259</v>
      </c>
      <c r="M957" s="49">
        <f t="shared" si="246"/>
        <v>1.2434726886598391</v>
      </c>
      <c r="N957" s="49">
        <v>1.4494999999999998</v>
      </c>
      <c r="O957" s="1">
        <v>1125</v>
      </c>
      <c r="P957" s="51">
        <v>0.05</v>
      </c>
      <c r="Q957" s="51">
        <v>11</v>
      </c>
      <c r="R957" s="51">
        <v>1</v>
      </c>
      <c r="S957" s="1">
        <v>1</v>
      </c>
      <c r="T957" s="1">
        <v>0</v>
      </c>
      <c r="U957" s="47">
        <v>1</v>
      </c>
      <c r="V957" s="47">
        <v>266</v>
      </c>
      <c r="W957" s="41">
        <v>192</v>
      </c>
      <c r="X957">
        <v>481</v>
      </c>
      <c r="Y957">
        <v>0.98250000000000004</v>
      </c>
      <c r="Z957">
        <v>2077.58</v>
      </c>
      <c r="AA957">
        <v>1592.59</v>
      </c>
      <c r="AB957">
        <v>144.94999999999999</v>
      </c>
      <c r="AC957">
        <v>36</v>
      </c>
      <c r="AD957" s="41">
        <f t="shared" si="241"/>
        <v>0.41394314539030991</v>
      </c>
      <c r="AE957" s="41">
        <f t="shared" si="242"/>
        <v>0.54000087907119854</v>
      </c>
      <c r="AF957">
        <f t="shared" si="243"/>
        <v>1.2703821107266438</v>
      </c>
      <c r="AG957">
        <f t="shared" si="244"/>
        <v>0.15498199474048432</v>
      </c>
      <c r="AH957">
        <f t="shared" si="245"/>
        <v>1.4494999999999998</v>
      </c>
      <c r="AI957">
        <f>HLOOKUP(HLOOKUP(G957,'THP2'!$B$4:$J$8,5,FALSE),'Fuel &amp; Resister'!$B$3:$G$6,4,FALSE)</f>
        <v>2.7360666666666664</v>
      </c>
      <c r="AJ957" s="41">
        <f>HLOOKUP(HLOOKUP(G957,'THP2'!$B$4:$J$8,5,FALSE),'Fuel &amp; Resister'!$B$3:$G$6,3,FALSE)</f>
        <v>13.019</v>
      </c>
      <c r="AO957" s="62">
        <v>0</v>
      </c>
      <c r="AP957" s="62">
        <v>0</v>
      </c>
    </row>
    <row r="958" spans="1:42" x14ac:dyDescent="0.15">
      <c r="B958" s="82" t="s">
        <v>604</v>
      </c>
      <c r="C958" s="61">
        <f>VLOOKUP(B958,[1]SYS!$F$5:$G$359,2,FALSE)</f>
        <v>226</v>
      </c>
      <c r="D958" s="1" t="s">
        <v>50</v>
      </c>
      <c r="E958" s="65" t="s">
        <v>244</v>
      </c>
      <c r="F958" s="63" t="s">
        <v>461</v>
      </c>
      <c r="G958" s="1">
        <v>7</v>
      </c>
      <c r="H958" s="1">
        <f t="shared" si="228"/>
        <v>0.39916839916839919</v>
      </c>
      <c r="I958" s="1">
        <f t="shared" ref="I958:I1081" si="247">X958/1000</f>
        <v>0.48099999999999998</v>
      </c>
      <c r="J958" s="1">
        <f t="shared" si="240"/>
        <v>1.749999999999996E-2</v>
      </c>
      <c r="K958" s="1">
        <f t="shared" si="231"/>
        <v>2.0775799999999998</v>
      </c>
      <c r="L958" s="1">
        <f t="shared" si="232"/>
        <v>1.59259</v>
      </c>
      <c r="M958" s="49">
        <f t="shared" si="246"/>
        <v>1.2434726886598391</v>
      </c>
      <c r="N958" s="49">
        <v>1.4494999999999998</v>
      </c>
      <c r="O958" s="1">
        <v>1014</v>
      </c>
      <c r="P958" s="51">
        <v>0.05</v>
      </c>
      <c r="Q958" s="51">
        <v>11</v>
      </c>
      <c r="R958" s="51">
        <v>1</v>
      </c>
      <c r="S958" s="1">
        <v>1</v>
      </c>
      <c r="T958" s="1">
        <v>0</v>
      </c>
      <c r="U958" s="47">
        <v>1</v>
      </c>
      <c r="V958" s="47">
        <v>267</v>
      </c>
      <c r="W958" s="41">
        <v>192</v>
      </c>
      <c r="X958">
        <v>481</v>
      </c>
      <c r="Y958">
        <v>0.98250000000000004</v>
      </c>
      <c r="Z958">
        <v>2077.58</v>
      </c>
      <c r="AA958">
        <v>1592.59</v>
      </c>
      <c r="AB958">
        <v>144.94999999999999</v>
      </c>
      <c r="AC958">
        <v>36</v>
      </c>
      <c r="AD958" s="41">
        <f t="shared" si="241"/>
        <v>0.41394314539030991</v>
      </c>
      <c r="AE958" s="41">
        <f t="shared" si="242"/>
        <v>0.54000087907119854</v>
      </c>
      <c r="AF958">
        <f t="shared" si="243"/>
        <v>1.2703821107266438</v>
      </c>
      <c r="AG958">
        <f t="shared" si="244"/>
        <v>0.15498199474048432</v>
      </c>
      <c r="AH958">
        <f t="shared" si="245"/>
        <v>1.4494999999999998</v>
      </c>
      <c r="AI958">
        <f>HLOOKUP(HLOOKUP(G958,'THP2'!$B$4:$J$8,5,FALSE),'Fuel &amp; Resister'!$B$3:$G$6,4,FALSE)</f>
        <v>2.7360666666666664</v>
      </c>
      <c r="AJ958" s="41">
        <f>HLOOKUP(HLOOKUP(G958,'THP2'!$B$4:$J$8,5,FALSE),'Fuel &amp; Resister'!$B$3:$G$6,3,FALSE)</f>
        <v>13.019</v>
      </c>
      <c r="AO958" s="62">
        <v>0</v>
      </c>
      <c r="AP958" s="62">
        <v>0</v>
      </c>
    </row>
    <row r="959" spans="1:42" x14ac:dyDescent="0.15">
      <c r="B959" s="82" t="s">
        <v>604</v>
      </c>
      <c r="C959" s="61">
        <f>VLOOKUP(B959,[1]SYS!$F$5:$G$359,2,FALSE)</f>
        <v>226</v>
      </c>
      <c r="D959" s="1" t="s">
        <v>50</v>
      </c>
      <c r="E959" s="65" t="s">
        <v>245</v>
      </c>
      <c r="F959" s="63" t="s">
        <v>461</v>
      </c>
      <c r="G959" s="1">
        <v>7</v>
      </c>
      <c r="H959" s="1">
        <f t="shared" si="228"/>
        <v>0.39916839916839919</v>
      </c>
      <c r="I959" s="1">
        <f t="shared" si="247"/>
        <v>0.48099999999999998</v>
      </c>
      <c r="J959" s="1">
        <f t="shared" si="240"/>
        <v>1.749999999999996E-2</v>
      </c>
      <c r="K959" s="1">
        <f t="shared" si="231"/>
        <v>2.0775799999999998</v>
      </c>
      <c r="L959" s="1">
        <f t="shared" si="232"/>
        <v>1.59259</v>
      </c>
      <c r="M959" s="49">
        <f t="shared" si="246"/>
        <v>1.2434726886598391</v>
      </c>
      <c r="N959" s="49">
        <v>1.4494999999999998</v>
      </c>
      <c r="O959" s="1">
        <v>1014</v>
      </c>
      <c r="P959" s="51">
        <v>0.05</v>
      </c>
      <c r="Q959" s="51">
        <v>11</v>
      </c>
      <c r="R959" s="51">
        <v>1</v>
      </c>
      <c r="S959" s="1">
        <v>1</v>
      </c>
      <c r="T959" s="1">
        <v>0</v>
      </c>
      <c r="U959" s="47">
        <v>1</v>
      </c>
      <c r="V959" s="47">
        <v>268</v>
      </c>
      <c r="W959" s="41">
        <v>192</v>
      </c>
      <c r="X959">
        <v>481</v>
      </c>
      <c r="Y959">
        <v>0.98250000000000004</v>
      </c>
      <c r="Z959">
        <v>2077.58</v>
      </c>
      <c r="AA959">
        <v>1592.59</v>
      </c>
      <c r="AB959">
        <v>144.94999999999999</v>
      </c>
      <c r="AC959">
        <v>36</v>
      </c>
      <c r="AD959" s="41">
        <f t="shared" si="241"/>
        <v>0.41394314539030991</v>
      </c>
      <c r="AE959" s="41">
        <f t="shared" si="242"/>
        <v>0.54000087907119854</v>
      </c>
      <c r="AF959">
        <f t="shared" si="243"/>
        <v>1.2703821107266438</v>
      </c>
      <c r="AG959">
        <f t="shared" si="244"/>
        <v>0.15498199474048432</v>
      </c>
      <c r="AH959">
        <f t="shared" si="245"/>
        <v>1.4494999999999998</v>
      </c>
      <c r="AI959">
        <f>HLOOKUP(HLOOKUP(G959,'THP2'!$B$4:$J$8,5,FALSE),'Fuel &amp; Resister'!$B$3:$G$6,4,FALSE)</f>
        <v>2.7360666666666664</v>
      </c>
      <c r="AJ959" s="41">
        <f>HLOOKUP(HLOOKUP(G959,'THP2'!$B$4:$J$8,5,FALSE),'Fuel &amp; Resister'!$B$3:$G$6,3,FALSE)</f>
        <v>13.019</v>
      </c>
      <c r="AO959" s="62">
        <v>0</v>
      </c>
      <c r="AP959" s="62">
        <v>0</v>
      </c>
    </row>
    <row r="960" spans="1:42" x14ac:dyDescent="0.15">
      <c r="B960" s="82" t="s">
        <v>604</v>
      </c>
      <c r="C960" s="61">
        <f>VLOOKUP(B960,[1]SYS!$F$5:$G$359,2,FALSE)</f>
        <v>226</v>
      </c>
      <c r="D960" s="1" t="s">
        <v>50</v>
      </c>
      <c r="E960" s="65" t="s">
        <v>246</v>
      </c>
      <c r="F960" s="63" t="s">
        <v>461</v>
      </c>
      <c r="G960" s="1">
        <v>7</v>
      </c>
      <c r="H960" s="1">
        <f t="shared" si="228"/>
        <v>0.39916839916839919</v>
      </c>
      <c r="I960" s="1">
        <f t="shared" si="247"/>
        <v>0.48099999999999998</v>
      </c>
      <c r="J960" s="1">
        <f t="shared" si="240"/>
        <v>1.749999999999996E-2</v>
      </c>
      <c r="K960" s="1">
        <f t="shared" si="231"/>
        <v>2.0775799999999998</v>
      </c>
      <c r="L960" s="1">
        <f t="shared" si="232"/>
        <v>1.59259</v>
      </c>
      <c r="M960" s="49">
        <f t="shared" si="246"/>
        <v>1.2434726886598391</v>
      </c>
      <c r="N960" s="49">
        <v>1.4494999999999998</v>
      </c>
      <c r="O960" s="1">
        <v>1113</v>
      </c>
      <c r="P960" s="51">
        <v>0.05</v>
      </c>
      <c r="Q960" s="51">
        <v>11</v>
      </c>
      <c r="R960" s="51">
        <v>1</v>
      </c>
      <c r="S960" s="1">
        <v>1</v>
      </c>
      <c r="T960" s="1">
        <v>0</v>
      </c>
      <c r="U960" s="47">
        <v>1</v>
      </c>
      <c r="V960" s="47">
        <v>269</v>
      </c>
      <c r="W960" s="41">
        <v>192</v>
      </c>
      <c r="X960">
        <v>481</v>
      </c>
      <c r="Y960">
        <v>0.98250000000000004</v>
      </c>
      <c r="Z960">
        <v>2077.58</v>
      </c>
      <c r="AA960">
        <v>1592.59</v>
      </c>
      <c r="AB960">
        <v>144.94999999999999</v>
      </c>
      <c r="AC960">
        <v>36</v>
      </c>
      <c r="AD960" s="41">
        <f t="shared" si="241"/>
        <v>0.41394314539030991</v>
      </c>
      <c r="AE960" s="41">
        <f t="shared" si="242"/>
        <v>0.54000087907119854</v>
      </c>
      <c r="AF960">
        <f t="shared" si="243"/>
        <v>1.2703821107266438</v>
      </c>
      <c r="AG960">
        <f t="shared" si="244"/>
        <v>0.15498199474048432</v>
      </c>
      <c r="AH960">
        <f t="shared" si="245"/>
        <v>1.4494999999999998</v>
      </c>
      <c r="AI960">
        <f>HLOOKUP(HLOOKUP(G960,'THP2'!$B$4:$J$8,5,FALSE),'Fuel &amp; Resister'!$B$3:$G$6,4,FALSE)</f>
        <v>2.7360666666666664</v>
      </c>
      <c r="AJ960" s="41">
        <f>HLOOKUP(HLOOKUP(G960,'THP2'!$B$4:$J$8,5,FALSE),'Fuel &amp; Resister'!$B$3:$G$6,3,FALSE)</f>
        <v>13.019</v>
      </c>
      <c r="AO960" s="1">
        <v>1</v>
      </c>
      <c r="AP960" s="1">
        <v>1</v>
      </c>
    </row>
    <row r="961" spans="2:42" x14ac:dyDescent="0.15">
      <c r="B961" s="82" t="s">
        <v>604</v>
      </c>
      <c r="C961" s="61">
        <f>VLOOKUP(B961,[1]SYS!$F$5:$G$359,2,FALSE)</f>
        <v>226</v>
      </c>
      <c r="D961" s="1" t="s">
        <v>50</v>
      </c>
      <c r="E961" s="65" t="s">
        <v>247</v>
      </c>
      <c r="F961" s="63" t="s">
        <v>461</v>
      </c>
      <c r="G961" s="1">
        <v>7</v>
      </c>
      <c r="H961" s="1">
        <f t="shared" si="228"/>
        <v>0.40041067761806981</v>
      </c>
      <c r="I961" s="1">
        <f t="shared" si="247"/>
        <v>0.48699999999999999</v>
      </c>
      <c r="J961" s="1">
        <f t="shared" si="240"/>
        <v>1.749999999999996E-2</v>
      </c>
      <c r="K961" s="1">
        <f t="shared" si="231"/>
        <v>2.0775799999999998</v>
      </c>
      <c r="L961" s="1">
        <f t="shared" si="232"/>
        <v>1.59259</v>
      </c>
      <c r="M961" s="49">
        <f t="shared" si="246"/>
        <v>1.2589837824892756</v>
      </c>
      <c r="N961" s="49">
        <v>1.456</v>
      </c>
      <c r="O961" s="1">
        <v>1014</v>
      </c>
      <c r="P961" s="51">
        <v>0.05</v>
      </c>
      <c r="Q961" s="51">
        <v>11</v>
      </c>
      <c r="R961" s="51">
        <v>1</v>
      </c>
      <c r="S961" s="1">
        <v>1</v>
      </c>
      <c r="T961" s="1">
        <v>0</v>
      </c>
      <c r="U961" s="47">
        <v>1</v>
      </c>
      <c r="V961" s="47">
        <v>270</v>
      </c>
      <c r="W961" s="41">
        <v>195</v>
      </c>
      <c r="X961">
        <v>487</v>
      </c>
      <c r="Y961">
        <v>0.98250000000000004</v>
      </c>
      <c r="Z961">
        <v>2077.58</v>
      </c>
      <c r="AA961">
        <v>1592.59</v>
      </c>
      <c r="AB961">
        <v>145.6</v>
      </c>
      <c r="AC961">
        <v>36</v>
      </c>
      <c r="AD961" s="41">
        <f t="shared" si="241"/>
        <v>0.41394314539030991</v>
      </c>
      <c r="AE961" s="41">
        <f t="shared" si="242"/>
        <v>0.54000087907119854</v>
      </c>
      <c r="AF961">
        <f t="shared" si="243"/>
        <v>1.268709691780822</v>
      </c>
      <c r="AG961">
        <f t="shared" si="244"/>
        <v>0.15772971010273965</v>
      </c>
      <c r="AH961">
        <f t="shared" si="245"/>
        <v>1.456</v>
      </c>
      <c r="AI961">
        <f>HLOOKUP(HLOOKUP(G961,'THP2'!$B$4:$J$8,5,FALSE),'Fuel &amp; Resister'!$B$3:$G$6,4,FALSE)</f>
        <v>2.7360666666666664</v>
      </c>
      <c r="AJ961" s="41">
        <f>HLOOKUP(HLOOKUP(G961,'THP2'!$B$4:$J$8,5,FALSE),'Fuel &amp; Resister'!$B$3:$G$6,3,FALSE)</f>
        <v>13.019</v>
      </c>
      <c r="AO961" s="1">
        <v>1</v>
      </c>
      <c r="AP961" s="1">
        <v>1</v>
      </c>
    </row>
    <row r="962" spans="2:42" x14ac:dyDescent="0.15">
      <c r="B962" s="82" t="s">
        <v>604</v>
      </c>
      <c r="C962" s="61">
        <f>VLOOKUP(B962,[1]SYS!$F$5:$G$359,2,FALSE)</f>
        <v>226</v>
      </c>
      <c r="D962" s="1" t="s">
        <v>50</v>
      </c>
      <c r="E962" s="65" t="s">
        <v>248</v>
      </c>
      <c r="F962" s="42"/>
      <c r="G962" s="1">
        <v>7</v>
      </c>
      <c r="H962" s="1">
        <f t="shared" si="228"/>
        <v>0.4</v>
      </c>
      <c r="I962" s="1">
        <f t="shared" si="247"/>
        <v>0.5</v>
      </c>
      <c r="J962" s="1">
        <f t="shared" si="240"/>
        <v>0</v>
      </c>
      <c r="K962" s="1">
        <f t="shared" si="231"/>
        <v>2.1167800000000003</v>
      </c>
      <c r="L962" s="1">
        <f t="shared" si="232"/>
        <v>1.6226400000000001</v>
      </c>
      <c r="M962" s="49">
        <f t="shared" si="246"/>
        <v>1.316980583588008</v>
      </c>
      <c r="N962" s="49">
        <v>1.47</v>
      </c>
      <c r="O962" s="1">
        <v>1014</v>
      </c>
      <c r="P962" s="51">
        <v>0.05</v>
      </c>
      <c r="Q962" s="51">
        <v>11</v>
      </c>
      <c r="R962" s="51">
        <v>1</v>
      </c>
      <c r="S962" s="1">
        <v>1</v>
      </c>
      <c r="T962" s="1">
        <v>0</v>
      </c>
      <c r="U962" s="47">
        <v>1</v>
      </c>
      <c r="V962" s="47">
        <v>271</v>
      </c>
      <c r="W962" s="41">
        <v>200</v>
      </c>
      <c r="X962">
        <v>500</v>
      </c>
      <c r="Y962">
        <v>1</v>
      </c>
      <c r="Z962">
        <v>2116.7800000000002</v>
      </c>
      <c r="AA962">
        <v>1622.64</v>
      </c>
      <c r="AB962">
        <v>147</v>
      </c>
      <c r="AC962">
        <v>36</v>
      </c>
      <c r="AD962" s="41">
        <f t="shared" si="241"/>
        <v>0.40627745915966701</v>
      </c>
      <c r="AE962" s="41">
        <f t="shared" si="242"/>
        <v>0.53000049302371444</v>
      </c>
      <c r="AF962">
        <f t="shared" si="243"/>
        <v>1.2932133333333333</v>
      </c>
      <c r="AG962">
        <f t="shared" si="244"/>
        <v>0.16471333333333338</v>
      </c>
      <c r="AH962">
        <f t="shared" si="245"/>
        <v>1.47</v>
      </c>
      <c r="AI962">
        <f>HLOOKUP(HLOOKUP(G962,'THP2'!$B$4:$J$8,5,FALSE),'Fuel &amp; Resister'!$B$3:$G$6,4,FALSE)</f>
        <v>2.7360666666666664</v>
      </c>
      <c r="AJ962" s="41">
        <f>HLOOKUP(HLOOKUP(G962,'THP2'!$B$4:$J$8,5,FALSE),'Fuel &amp; Resister'!$B$3:$G$6,3,FALSE)</f>
        <v>13.019</v>
      </c>
      <c r="AO962" s="1">
        <v>1</v>
      </c>
      <c r="AP962" s="1">
        <v>1</v>
      </c>
    </row>
    <row r="963" spans="2:42" x14ac:dyDescent="0.15">
      <c r="B963" s="82" t="s">
        <v>604</v>
      </c>
      <c r="C963" s="61">
        <f>VLOOKUP(B963,[1]SYS!$F$5:$G$359,2,FALSE)</f>
        <v>226</v>
      </c>
      <c r="D963" s="1" t="s">
        <v>50</v>
      </c>
      <c r="E963" s="65" t="s">
        <v>249</v>
      </c>
      <c r="F963" s="42"/>
      <c r="G963" s="1">
        <v>7</v>
      </c>
      <c r="H963" s="1">
        <f t="shared" si="228"/>
        <v>0.4</v>
      </c>
      <c r="I963" s="1">
        <f t="shared" si="247"/>
        <v>0.5</v>
      </c>
      <c r="J963" s="1">
        <f t="shared" si="240"/>
        <v>0</v>
      </c>
      <c r="K963" s="1">
        <f t="shared" si="231"/>
        <v>2.1167800000000003</v>
      </c>
      <c r="L963" s="1">
        <f t="shared" si="232"/>
        <v>1.6226400000000001</v>
      </c>
      <c r="M963" s="49">
        <f t="shared" si="246"/>
        <v>1.316980583588008</v>
      </c>
      <c r="N963" s="49">
        <v>1.47</v>
      </c>
      <c r="O963" s="1">
        <v>1014</v>
      </c>
      <c r="P963" s="51">
        <v>0.05</v>
      </c>
      <c r="Q963" s="51">
        <v>11</v>
      </c>
      <c r="R963" s="51">
        <v>1</v>
      </c>
      <c r="S963" s="1">
        <v>1</v>
      </c>
      <c r="T963" s="1">
        <v>0</v>
      </c>
      <c r="U963" s="47">
        <v>1</v>
      </c>
      <c r="V963" s="47">
        <v>272</v>
      </c>
      <c r="W963" s="41">
        <v>200</v>
      </c>
      <c r="X963">
        <v>500</v>
      </c>
      <c r="Y963">
        <v>1</v>
      </c>
      <c r="Z963">
        <v>2116.7800000000002</v>
      </c>
      <c r="AA963">
        <v>1622.64</v>
      </c>
      <c r="AB963">
        <v>147</v>
      </c>
      <c r="AC963">
        <v>36</v>
      </c>
      <c r="AD963" s="41">
        <f t="shared" si="241"/>
        <v>0.40627745915966701</v>
      </c>
      <c r="AE963" s="41">
        <f t="shared" si="242"/>
        <v>0.53000049302371444</v>
      </c>
      <c r="AF963">
        <f t="shared" si="243"/>
        <v>1.2932133333333333</v>
      </c>
      <c r="AG963">
        <f t="shared" si="244"/>
        <v>0.16471333333333338</v>
      </c>
      <c r="AH963">
        <f t="shared" si="245"/>
        <v>1.47</v>
      </c>
      <c r="AI963">
        <f>HLOOKUP(HLOOKUP(G963,'THP2'!$B$4:$J$8,5,FALSE),'Fuel &amp; Resister'!$B$3:$G$6,4,FALSE)</f>
        <v>2.7360666666666664</v>
      </c>
      <c r="AJ963" s="41">
        <f>HLOOKUP(HLOOKUP(G963,'THP2'!$B$4:$J$8,5,FALSE),'Fuel &amp; Resister'!$B$3:$G$6,3,FALSE)</f>
        <v>13.019</v>
      </c>
      <c r="AO963" s="1">
        <v>1</v>
      </c>
      <c r="AP963" s="1">
        <v>1</v>
      </c>
    </row>
    <row r="964" spans="2:42" x14ac:dyDescent="0.15">
      <c r="B964" s="82" t="s">
        <v>604</v>
      </c>
      <c r="C964" s="61">
        <f>VLOOKUP(B964,[1]SYS!$F$5:$G$359,2,FALSE)</f>
        <v>226</v>
      </c>
      <c r="D964" s="1" t="s">
        <v>50</v>
      </c>
      <c r="E964" s="65" t="s">
        <v>250</v>
      </c>
      <c r="F964" s="42"/>
      <c r="G964" s="1">
        <v>7</v>
      </c>
      <c r="H964" s="1">
        <f t="shared" si="228"/>
        <v>0.4</v>
      </c>
      <c r="I964" s="1">
        <f t="shared" si="247"/>
        <v>0.4</v>
      </c>
      <c r="J964" s="1">
        <f t="shared" si="240"/>
        <v>0</v>
      </c>
      <c r="K964" s="1">
        <f t="shared" si="231"/>
        <v>2.1167800000000003</v>
      </c>
      <c r="L964" s="1">
        <f t="shared" si="232"/>
        <v>1.6226400000000001</v>
      </c>
      <c r="M964" s="49">
        <f t="shared" si="246"/>
        <v>1.0535844668704066</v>
      </c>
      <c r="N964" s="49">
        <v>1.3619999999999999</v>
      </c>
      <c r="O964" s="6">
        <v>314</v>
      </c>
      <c r="P964" s="51">
        <v>0.05</v>
      </c>
      <c r="Q964" s="51">
        <v>11</v>
      </c>
      <c r="R964" s="51">
        <v>1</v>
      </c>
      <c r="S964" s="1">
        <v>1</v>
      </c>
      <c r="T964" s="1">
        <v>0</v>
      </c>
      <c r="U964" s="47">
        <v>1</v>
      </c>
      <c r="V964" s="47">
        <v>273</v>
      </c>
      <c r="W964" s="41">
        <v>160</v>
      </c>
      <c r="X964">
        <v>400</v>
      </c>
      <c r="Y964">
        <v>1</v>
      </c>
      <c r="Z964">
        <v>2116.7800000000002</v>
      </c>
      <c r="AA964">
        <v>1622.64</v>
      </c>
      <c r="AB964">
        <v>136.19999999999999</v>
      </c>
      <c r="AC964">
        <v>36</v>
      </c>
      <c r="AD964" s="41">
        <f t="shared" si="241"/>
        <v>0.40627745915966701</v>
      </c>
      <c r="AE964" s="41">
        <f t="shared" si="242"/>
        <v>0.53000049302371444</v>
      </c>
      <c r="AF964">
        <f t="shared" si="243"/>
        <v>1.2932133333333333</v>
      </c>
      <c r="AG964">
        <f t="shared" si="244"/>
        <v>0.1317706666666667</v>
      </c>
      <c r="AH964">
        <f t="shared" si="245"/>
        <v>1.3619999999999999</v>
      </c>
      <c r="AI964">
        <f>HLOOKUP(HLOOKUP(G964,'THP2'!$B$4:$J$8,5,FALSE),'Fuel &amp; Resister'!$B$3:$G$6,4,FALSE)</f>
        <v>2.7360666666666664</v>
      </c>
      <c r="AJ964" s="41">
        <f>HLOOKUP(HLOOKUP(G964,'THP2'!$B$4:$J$8,5,FALSE),'Fuel &amp; Resister'!$B$3:$G$6,3,FALSE)</f>
        <v>13.019</v>
      </c>
      <c r="AO964" s="1">
        <v>1</v>
      </c>
      <c r="AP964" s="1">
        <v>1</v>
      </c>
    </row>
    <row r="965" spans="2:42" x14ac:dyDescent="0.15">
      <c r="B965" s="82" t="s">
        <v>604</v>
      </c>
      <c r="C965" s="61">
        <f>VLOOKUP(B965,[1]SYS!$F$5:$G$359,2,FALSE)</f>
        <v>226</v>
      </c>
      <c r="D965" s="1" t="s">
        <v>50</v>
      </c>
      <c r="E965" s="65" t="s">
        <v>251</v>
      </c>
      <c r="F965" s="42"/>
      <c r="G965" s="1">
        <v>7</v>
      </c>
      <c r="H965" s="1">
        <f t="shared" si="228"/>
        <v>0.4</v>
      </c>
      <c r="I965" s="1">
        <f t="shared" si="247"/>
        <v>0.4</v>
      </c>
      <c r="J965" s="1">
        <f t="shared" si="240"/>
        <v>0</v>
      </c>
      <c r="K965" s="1">
        <f t="shared" si="231"/>
        <v>2.1167800000000003</v>
      </c>
      <c r="L965" s="1">
        <f t="shared" si="232"/>
        <v>1.6226400000000001</v>
      </c>
      <c r="M965" s="49">
        <f t="shared" si="246"/>
        <v>1.0535844668704066</v>
      </c>
      <c r="N965" s="49">
        <v>1.3619999999999999</v>
      </c>
      <c r="O965" s="1">
        <v>1014</v>
      </c>
      <c r="P965" s="51">
        <v>0.05</v>
      </c>
      <c r="Q965" s="51">
        <v>11</v>
      </c>
      <c r="R965" s="51">
        <v>1</v>
      </c>
      <c r="S965" s="1">
        <v>1</v>
      </c>
      <c r="T965" s="1">
        <v>0</v>
      </c>
      <c r="U965" s="47">
        <v>1</v>
      </c>
      <c r="V965" s="47">
        <v>274</v>
      </c>
      <c r="W965" s="41">
        <v>160</v>
      </c>
      <c r="X965">
        <v>400</v>
      </c>
      <c r="Y965">
        <v>1</v>
      </c>
      <c r="Z965">
        <v>2116.7800000000002</v>
      </c>
      <c r="AA965">
        <v>1622.64</v>
      </c>
      <c r="AB965">
        <v>136.19999999999999</v>
      </c>
      <c r="AC965">
        <v>36</v>
      </c>
      <c r="AD965" s="41">
        <f t="shared" si="241"/>
        <v>0.40627745915966701</v>
      </c>
      <c r="AE965" s="41">
        <f t="shared" si="242"/>
        <v>0.53000049302371444</v>
      </c>
      <c r="AF965">
        <f t="shared" si="243"/>
        <v>1.2932133333333333</v>
      </c>
      <c r="AG965">
        <f t="shared" si="244"/>
        <v>0.1317706666666667</v>
      </c>
      <c r="AH965">
        <f t="shared" si="245"/>
        <v>1.3619999999999999</v>
      </c>
      <c r="AI965">
        <f>HLOOKUP(HLOOKUP(G965,'THP2'!$B$4:$J$8,5,FALSE),'Fuel &amp; Resister'!$B$3:$G$6,4,FALSE)</f>
        <v>2.7360666666666664</v>
      </c>
      <c r="AJ965" s="41">
        <f>HLOOKUP(HLOOKUP(G965,'THP2'!$B$4:$J$8,5,FALSE),'Fuel &amp; Resister'!$B$3:$G$6,3,FALSE)</f>
        <v>13.019</v>
      </c>
      <c r="AO965" s="1">
        <v>1</v>
      </c>
      <c r="AP965" s="1">
        <v>1</v>
      </c>
    </row>
    <row r="966" spans="2:42" x14ac:dyDescent="0.15">
      <c r="B966" s="82" t="s">
        <v>635</v>
      </c>
      <c r="C966" s="61">
        <f>VLOOKUP(B966,[1]SYS!$F$5:$G$359,2,FALSE)</f>
        <v>247</v>
      </c>
      <c r="D966" s="1" t="s">
        <v>50</v>
      </c>
      <c r="E966" s="65" t="s">
        <v>252</v>
      </c>
      <c r="F966" s="63" t="s">
        <v>463</v>
      </c>
      <c r="G966" s="1">
        <v>7</v>
      </c>
      <c r="H966" s="1">
        <f t="shared" si="228"/>
        <v>0.4</v>
      </c>
      <c r="I966" s="1">
        <f t="shared" si="247"/>
        <v>0.4</v>
      </c>
      <c r="J966" s="1">
        <f t="shared" si="240"/>
        <v>2.0000000000000018E-2</v>
      </c>
      <c r="K966" s="1">
        <f t="shared" si="231"/>
        <v>2.1492199999999997</v>
      </c>
      <c r="L966" s="1">
        <f t="shared" si="232"/>
        <v>1.64751</v>
      </c>
      <c r="M966" s="49">
        <f t="shared" si="246"/>
        <v>1.0697326240038847</v>
      </c>
      <c r="N966" s="49">
        <v>1.3619999999999999</v>
      </c>
      <c r="O966" s="1">
        <v>1009</v>
      </c>
      <c r="P966" s="51">
        <v>0.05</v>
      </c>
      <c r="Q966" s="51">
        <v>11</v>
      </c>
      <c r="R966" s="51">
        <v>1</v>
      </c>
      <c r="S966" s="1">
        <v>1</v>
      </c>
      <c r="T966" s="1">
        <v>0</v>
      </c>
      <c r="U966" s="47">
        <v>1</v>
      </c>
      <c r="V966" s="47">
        <v>275</v>
      </c>
      <c r="W966" s="41">
        <v>160</v>
      </c>
      <c r="X966">
        <v>400</v>
      </c>
      <c r="Y966">
        <v>0.98</v>
      </c>
      <c r="Z966">
        <v>2149.2199999999998</v>
      </c>
      <c r="AA966">
        <v>1647.51</v>
      </c>
      <c r="AB966">
        <v>136.19999999999999</v>
      </c>
      <c r="AC966">
        <v>46</v>
      </c>
      <c r="AD966" s="41">
        <f t="shared" si="241"/>
        <v>0.40014516894501267</v>
      </c>
      <c r="AE966" s="41">
        <f t="shared" si="242"/>
        <v>0.52199986646515051</v>
      </c>
      <c r="AF966">
        <f t="shared" si="243"/>
        <v>1.3130366666666669</v>
      </c>
      <c r="AG966">
        <f t="shared" si="244"/>
        <v>0.13378933333333329</v>
      </c>
      <c r="AH966">
        <f t="shared" si="245"/>
        <v>1.3619999999999999</v>
      </c>
      <c r="AI966">
        <f>HLOOKUP(HLOOKUP(G966,'THP2'!$B$4:$J$8,5,FALSE),'Fuel &amp; Resister'!$B$3:$G$6,4,FALSE)</f>
        <v>2.7360666666666664</v>
      </c>
      <c r="AJ966" s="41">
        <f>HLOOKUP(HLOOKUP(G966,'THP2'!$B$4:$J$8,5,FALSE),'Fuel &amp; Resister'!$B$3:$G$6,3,FALSE)</f>
        <v>13.019</v>
      </c>
      <c r="AO966" s="1">
        <v>1</v>
      </c>
      <c r="AP966" s="1">
        <v>1</v>
      </c>
    </row>
    <row r="967" spans="2:42" x14ac:dyDescent="0.15">
      <c r="B967" s="82" t="s">
        <v>635</v>
      </c>
      <c r="C967" s="61">
        <f>VLOOKUP(B967,[1]SYS!$F$5:$G$359,2,FALSE)</f>
        <v>247</v>
      </c>
      <c r="D967" s="1" t="s">
        <v>50</v>
      </c>
      <c r="E967" s="65" t="s">
        <v>253</v>
      </c>
      <c r="F967" s="63" t="s">
        <v>463</v>
      </c>
      <c r="G967" s="1">
        <v>7</v>
      </c>
      <c r="H967" s="1">
        <f t="shared" si="228"/>
        <v>0.4</v>
      </c>
      <c r="I967" s="1">
        <f t="shared" si="247"/>
        <v>0.4</v>
      </c>
      <c r="J967" s="1">
        <f t="shared" si="240"/>
        <v>2.0000000000000018E-2</v>
      </c>
      <c r="K967" s="1">
        <f t="shared" si="231"/>
        <v>2.1492199999999997</v>
      </c>
      <c r="L967" s="1">
        <f t="shared" si="232"/>
        <v>1.64751</v>
      </c>
      <c r="M967" s="49">
        <f t="shared" si="246"/>
        <v>1.0697326240038847</v>
      </c>
      <c r="N967" s="49">
        <v>1.3619999999999999</v>
      </c>
      <c r="O967" s="1">
        <v>1009</v>
      </c>
      <c r="P967" s="51">
        <v>0.05</v>
      </c>
      <c r="Q967" s="51">
        <v>11</v>
      </c>
      <c r="R967" s="51">
        <v>1</v>
      </c>
      <c r="S967" s="1">
        <v>1</v>
      </c>
      <c r="T967" s="1">
        <v>0</v>
      </c>
      <c r="U967" s="47">
        <v>1</v>
      </c>
      <c r="V967" s="47">
        <v>276</v>
      </c>
      <c r="W967" s="41">
        <v>160</v>
      </c>
      <c r="X967">
        <v>400</v>
      </c>
      <c r="Y967">
        <v>0.98</v>
      </c>
      <c r="Z967">
        <v>2149.2199999999998</v>
      </c>
      <c r="AA967">
        <v>1647.51</v>
      </c>
      <c r="AB967">
        <v>136.19999999999999</v>
      </c>
      <c r="AC967">
        <v>46</v>
      </c>
      <c r="AD967" s="41">
        <f t="shared" si="241"/>
        <v>0.40014516894501267</v>
      </c>
      <c r="AE967" s="41">
        <f t="shared" si="242"/>
        <v>0.52199986646515051</v>
      </c>
      <c r="AF967">
        <f t="shared" si="243"/>
        <v>1.3130366666666669</v>
      </c>
      <c r="AG967">
        <f t="shared" si="244"/>
        <v>0.13378933333333329</v>
      </c>
      <c r="AH967">
        <f t="shared" si="245"/>
        <v>1.3619999999999999</v>
      </c>
      <c r="AI967">
        <f>HLOOKUP(HLOOKUP(G967,'THP2'!$B$4:$J$8,5,FALSE),'Fuel &amp; Resister'!$B$3:$G$6,4,FALSE)</f>
        <v>2.7360666666666664</v>
      </c>
      <c r="AJ967" s="41">
        <f>HLOOKUP(HLOOKUP(G967,'THP2'!$B$4:$J$8,5,FALSE),'Fuel &amp; Resister'!$B$3:$G$6,3,FALSE)</f>
        <v>13.019</v>
      </c>
      <c r="AO967" s="1">
        <v>1</v>
      </c>
      <c r="AP967" s="1">
        <v>1</v>
      </c>
    </row>
    <row r="968" spans="2:42" x14ac:dyDescent="0.15">
      <c r="B968" s="82" t="s">
        <v>635</v>
      </c>
      <c r="C968" s="61">
        <f>VLOOKUP(B968,[1]SYS!$F$5:$G$359,2,FALSE)</f>
        <v>247</v>
      </c>
      <c r="D968" s="1" t="s">
        <v>50</v>
      </c>
      <c r="E968" s="65" t="s">
        <v>254</v>
      </c>
      <c r="F968" s="63" t="s">
        <v>463</v>
      </c>
      <c r="G968" s="1">
        <v>7</v>
      </c>
      <c r="H968" s="1">
        <f t="shared" si="228"/>
        <v>0.4</v>
      </c>
      <c r="I968" s="1">
        <f t="shared" si="247"/>
        <v>0.4</v>
      </c>
      <c r="J968" s="1">
        <f t="shared" si="240"/>
        <v>2.0000000000000018E-2</v>
      </c>
      <c r="K968" s="1">
        <f t="shared" si="231"/>
        <v>2.1492199999999997</v>
      </c>
      <c r="L968" s="1">
        <f t="shared" si="232"/>
        <v>1.64751</v>
      </c>
      <c r="M968" s="49">
        <f t="shared" si="246"/>
        <v>1.0697326240038847</v>
      </c>
      <c r="N968" s="49">
        <v>1.3619999999999999</v>
      </c>
      <c r="O968" s="1">
        <v>1009</v>
      </c>
      <c r="P968" s="51">
        <v>0.05</v>
      </c>
      <c r="Q968" s="51">
        <v>11</v>
      </c>
      <c r="R968" s="51">
        <v>1</v>
      </c>
      <c r="S968" s="1">
        <v>1</v>
      </c>
      <c r="T968" s="1">
        <v>0</v>
      </c>
      <c r="U968" s="47">
        <v>1</v>
      </c>
      <c r="V968" s="47">
        <v>277</v>
      </c>
      <c r="W968" s="41">
        <v>160</v>
      </c>
      <c r="X968">
        <v>400</v>
      </c>
      <c r="Y968">
        <v>0.98</v>
      </c>
      <c r="Z968">
        <v>2149.2199999999998</v>
      </c>
      <c r="AA968">
        <v>1647.51</v>
      </c>
      <c r="AB968">
        <v>136.19999999999999</v>
      </c>
      <c r="AC968">
        <v>46</v>
      </c>
      <c r="AD968" s="41">
        <f t="shared" si="241"/>
        <v>0.40014516894501267</v>
      </c>
      <c r="AE968" s="41">
        <f t="shared" si="242"/>
        <v>0.52199986646515051</v>
      </c>
      <c r="AF968">
        <f t="shared" si="243"/>
        <v>1.3130366666666669</v>
      </c>
      <c r="AG968">
        <f t="shared" si="244"/>
        <v>0.13378933333333329</v>
      </c>
      <c r="AH968">
        <f t="shared" si="245"/>
        <v>1.3619999999999999</v>
      </c>
      <c r="AI968">
        <f>HLOOKUP(HLOOKUP(G968,'THP2'!$B$4:$J$8,5,FALSE),'Fuel &amp; Resister'!$B$3:$G$6,4,FALSE)</f>
        <v>2.7360666666666664</v>
      </c>
      <c r="AJ968" s="41">
        <f>HLOOKUP(HLOOKUP(G968,'THP2'!$B$4:$J$8,5,FALSE),'Fuel &amp; Resister'!$B$3:$G$6,3,FALSE)</f>
        <v>13.019</v>
      </c>
      <c r="AO968" s="1">
        <v>1</v>
      </c>
      <c r="AP968" s="62">
        <v>0</v>
      </c>
    </row>
    <row r="969" spans="2:42" x14ac:dyDescent="0.15">
      <c r="B969" s="82" t="s">
        <v>635</v>
      </c>
      <c r="C969" s="61">
        <f>VLOOKUP(B969,[1]SYS!$F$5:$G$359,2,FALSE)</f>
        <v>247</v>
      </c>
      <c r="D969" s="1" t="s">
        <v>50</v>
      </c>
      <c r="E969" s="65" t="s">
        <v>255</v>
      </c>
      <c r="F969" s="63" t="s">
        <v>463</v>
      </c>
      <c r="G969" s="1">
        <v>7</v>
      </c>
      <c r="H969" s="1">
        <f t="shared" si="228"/>
        <v>0.4</v>
      </c>
      <c r="I969" s="1">
        <f t="shared" si="247"/>
        <v>0.4</v>
      </c>
      <c r="J969" s="1">
        <f t="shared" si="240"/>
        <v>2.0000000000000018E-2</v>
      </c>
      <c r="K969" s="1">
        <f t="shared" si="231"/>
        <v>2.1492199999999997</v>
      </c>
      <c r="L969" s="1">
        <f t="shared" si="232"/>
        <v>1.64751</v>
      </c>
      <c r="M969" s="49">
        <f t="shared" si="246"/>
        <v>1.0697326240038847</v>
      </c>
      <c r="N969" s="49">
        <v>1.3619999999999999</v>
      </c>
      <c r="O969" s="1">
        <v>1009</v>
      </c>
      <c r="P969" s="51">
        <v>0.05</v>
      </c>
      <c r="Q969" s="51">
        <v>11</v>
      </c>
      <c r="R969" s="51">
        <v>1</v>
      </c>
      <c r="S969" s="1">
        <v>1</v>
      </c>
      <c r="T969" s="1">
        <v>0</v>
      </c>
      <c r="U969" s="47">
        <v>1</v>
      </c>
      <c r="V969" s="47">
        <v>278</v>
      </c>
      <c r="W969" s="41">
        <v>160</v>
      </c>
      <c r="X969">
        <v>400</v>
      </c>
      <c r="Y969">
        <v>0.98</v>
      </c>
      <c r="Z969">
        <v>2149.2199999999998</v>
      </c>
      <c r="AA969">
        <v>1647.51</v>
      </c>
      <c r="AB969">
        <v>136.19999999999999</v>
      </c>
      <c r="AC969">
        <v>46</v>
      </c>
      <c r="AD969" s="41">
        <f t="shared" si="241"/>
        <v>0.40014516894501267</v>
      </c>
      <c r="AE969" s="41">
        <f t="shared" si="242"/>
        <v>0.52199986646515051</v>
      </c>
      <c r="AF969">
        <f t="shared" si="243"/>
        <v>1.3130366666666669</v>
      </c>
      <c r="AG969">
        <f t="shared" si="244"/>
        <v>0.13378933333333329</v>
      </c>
      <c r="AH969">
        <f t="shared" si="245"/>
        <v>1.3619999999999999</v>
      </c>
      <c r="AI969">
        <f>HLOOKUP(HLOOKUP(G969,'THP2'!$B$4:$J$8,5,FALSE),'Fuel &amp; Resister'!$B$3:$G$6,4,FALSE)</f>
        <v>2.7360666666666664</v>
      </c>
      <c r="AJ969" s="41">
        <f>HLOOKUP(HLOOKUP(G969,'THP2'!$B$4:$J$8,5,FALSE),'Fuel &amp; Resister'!$B$3:$G$6,3,FALSE)</f>
        <v>13.019</v>
      </c>
      <c r="AO969" s="1">
        <v>1</v>
      </c>
      <c r="AP969" s="62">
        <v>0</v>
      </c>
    </row>
    <row r="970" spans="2:42" x14ac:dyDescent="0.15">
      <c r="B970" s="82" t="s">
        <v>635</v>
      </c>
      <c r="C970" s="61">
        <f>VLOOKUP(B970,[1]SYS!$F$5:$G$359,2,FALSE)</f>
        <v>247</v>
      </c>
      <c r="D970" s="1" t="s">
        <v>50</v>
      </c>
      <c r="E970" s="65" t="s">
        <v>256</v>
      </c>
      <c r="F970" s="63" t="s">
        <v>463</v>
      </c>
      <c r="G970" s="1">
        <v>7</v>
      </c>
      <c r="H970" s="1">
        <f t="shared" si="228"/>
        <v>0.4</v>
      </c>
      <c r="I970" s="1">
        <f t="shared" si="247"/>
        <v>0.4</v>
      </c>
      <c r="J970" s="1">
        <f t="shared" si="240"/>
        <v>2.0000000000000018E-2</v>
      </c>
      <c r="K970" s="1">
        <f t="shared" si="231"/>
        <v>2.1492199999999997</v>
      </c>
      <c r="L970" s="1">
        <f t="shared" si="232"/>
        <v>1.64751</v>
      </c>
      <c r="M970" s="49">
        <f t="shared" si="246"/>
        <v>1.0697326240038847</v>
      </c>
      <c r="N970" s="49">
        <v>1.3619999999999999</v>
      </c>
      <c r="O970" s="1">
        <v>1009</v>
      </c>
      <c r="P970" s="51">
        <v>0.05</v>
      </c>
      <c r="Q970" s="51">
        <v>11</v>
      </c>
      <c r="R970" s="51">
        <v>1</v>
      </c>
      <c r="S970" s="1">
        <v>1</v>
      </c>
      <c r="T970" s="1">
        <v>0</v>
      </c>
      <c r="U970" s="47">
        <v>1</v>
      </c>
      <c r="V970" s="47">
        <v>279</v>
      </c>
      <c r="W970" s="41">
        <v>160</v>
      </c>
      <c r="X970">
        <v>400</v>
      </c>
      <c r="Y970">
        <v>0.98</v>
      </c>
      <c r="Z970">
        <v>2149.2199999999998</v>
      </c>
      <c r="AA970">
        <v>1647.51</v>
      </c>
      <c r="AB970">
        <v>136.19999999999999</v>
      </c>
      <c r="AC970">
        <v>46</v>
      </c>
      <c r="AD970" s="41">
        <f t="shared" si="241"/>
        <v>0.40014516894501267</v>
      </c>
      <c r="AE970" s="41">
        <f t="shared" si="242"/>
        <v>0.52199986646515051</v>
      </c>
      <c r="AF970">
        <f t="shared" si="243"/>
        <v>1.3130366666666669</v>
      </c>
      <c r="AG970">
        <f t="shared" si="244"/>
        <v>0.13378933333333329</v>
      </c>
      <c r="AH970">
        <f t="shared" si="245"/>
        <v>1.3619999999999999</v>
      </c>
      <c r="AI970">
        <f>HLOOKUP(HLOOKUP(G970,'THP2'!$B$4:$J$8,5,FALSE),'Fuel &amp; Resister'!$B$3:$G$6,4,FALSE)</f>
        <v>2.7360666666666664</v>
      </c>
      <c r="AJ970" s="41">
        <f>HLOOKUP(HLOOKUP(G970,'THP2'!$B$4:$J$8,5,FALSE),'Fuel &amp; Resister'!$B$3:$G$6,3,FALSE)</f>
        <v>13.019</v>
      </c>
      <c r="AO970" s="1">
        <v>1</v>
      </c>
      <c r="AP970" s="1">
        <v>1</v>
      </c>
    </row>
    <row r="971" spans="2:42" x14ac:dyDescent="0.15">
      <c r="B971" s="82" t="s">
        <v>636</v>
      </c>
      <c r="C971" s="61">
        <f>VLOOKUP(B971,[1]SYS!$F$5:$G$359,2,FALSE)</f>
        <v>225</v>
      </c>
      <c r="D971" s="1" t="s">
        <v>50</v>
      </c>
      <c r="E971" s="65" t="s">
        <v>257</v>
      </c>
      <c r="F971" s="63" t="s">
        <v>458</v>
      </c>
      <c r="G971" s="1">
        <v>7</v>
      </c>
      <c r="H971" s="1">
        <f t="shared" si="228"/>
        <v>0.39928057553956836</v>
      </c>
      <c r="I971" s="1">
        <f t="shared" si="247"/>
        <v>0.27800000000000002</v>
      </c>
      <c r="J971" s="1">
        <f t="shared" si="240"/>
        <v>3.0000000000000027E-2</v>
      </c>
      <c r="K971" s="1">
        <f t="shared" si="231"/>
        <v>2.1826699999999999</v>
      </c>
      <c r="L971" s="1">
        <f t="shared" si="232"/>
        <v>1.6731500000000001</v>
      </c>
      <c r="M971" s="49">
        <f t="shared" si="246"/>
        <v>0.75503461720852016</v>
      </c>
      <c r="N971" s="49">
        <v>1.2302</v>
      </c>
      <c r="O971" s="1">
        <v>1113</v>
      </c>
      <c r="P971" s="51">
        <v>0.05</v>
      </c>
      <c r="Q971" s="51">
        <v>11</v>
      </c>
      <c r="R971" s="51">
        <v>1</v>
      </c>
      <c r="S971" s="1">
        <v>1</v>
      </c>
      <c r="T971" s="1">
        <v>0</v>
      </c>
      <c r="U971" s="47">
        <v>1</v>
      </c>
      <c r="V971" s="47">
        <v>280</v>
      </c>
      <c r="W971" s="41">
        <v>111</v>
      </c>
      <c r="X971">
        <v>278</v>
      </c>
      <c r="Y971">
        <v>0.97</v>
      </c>
      <c r="Z971">
        <v>2182.67</v>
      </c>
      <c r="AA971">
        <v>1673.15</v>
      </c>
      <c r="AB971">
        <v>123.02</v>
      </c>
      <c r="AC971">
        <v>36</v>
      </c>
      <c r="AD971" s="41">
        <f t="shared" si="241"/>
        <v>0.39401283748803073</v>
      </c>
      <c r="AE971" s="41">
        <f t="shared" si="242"/>
        <v>0.51400053790753963</v>
      </c>
      <c r="AF971">
        <f t="shared" si="243"/>
        <v>1.3344870059880243</v>
      </c>
      <c r="AG971">
        <f t="shared" si="244"/>
        <v>9.4148312335329304E-2</v>
      </c>
      <c r="AH971">
        <f t="shared" si="245"/>
        <v>1.2302</v>
      </c>
      <c r="AI971">
        <f>HLOOKUP(HLOOKUP(G971,'THP2'!$B$4:$J$8,5,FALSE),'Fuel &amp; Resister'!$B$3:$G$6,4,FALSE)</f>
        <v>2.7360666666666664</v>
      </c>
      <c r="AJ971" s="41">
        <f>HLOOKUP(HLOOKUP(G971,'THP2'!$B$4:$J$8,5,FALSE),'Fuel &amp; Resister'!$B$3:$G$6,3,FALSE)</f>
        <v>13.019</v>
      </c>
      <c r="AO971" s="1">
        <v>1</v>
      </c>
      <c r="AP971" s="1">
        <v>1</v>
      </c>
    </row>
    <row r="972" spans="2:42" x14ac:dyDescent="0.15">
      <c r="B972" s="82" t="s">
        <v>636</v>
      </c>
      <c r="C972" s="61">
        <f>VLOOKUP(B972,[1]SYS!$F$5:$G$359,2,FALSE)</f>
        <v>225</v>
      </c>
      <c r="D972" s="1" t="s">
        <v>50</v>
      </c>
      <c r="E972" s="65" t="s">
        <v>258</v>
      </c>
      <c r="F972" s="63" t="s">
        <v>458</v>
      </c>
      <c r="G972" s="1">
        <v>7</v>
      </c>
      <c r="H972" s="1">
        <f t="shared" si="228"/>
        <v>0.39928057553956836</v>
      </c>
      <c r="I972" s="1">
        <f t="shared" si="247"/>
        <v>0.27800000000000002</v>
      </c>
      <c r="J972" s="1">
        <f t="shared" si="240"/>
        <v>3.0000000000000027E-2</v>
      </c>
      <c r="K972" s="1">
        <f t="shared" si="231"/>
        <v>2.1826699999999999</v>
      </c>
      <c r="L972" s="1">
        <f t="shared" si="232"/>
        <v>1.6731500000000001</v>
      </c>
      <c r="M972" s="49">
        <f t="shared" si="246"/>
        <v>0.75503461720852016</v>
      </c>
      <c r="N972" s="49">
        <v>1.2302</v>
      </c>
      <c r="O972" s="1">
        <v>514</v>
      </c>
      <c r="P972" s="51">
        <v>0.05</v>
      </c>
      <c r="Q972" s="51">
        <v>11</v>
      </c>
      <c r="R972" s="51">
        <v>1</v>
      </c>
      <c r="S972" s="1">
        <v>1</v>
      </c>
      <c r="T972" s="1">
        <v>0</v>
      </c>
      <c r="U972" s="47">
        <v>1</v>
      </c>
      <c r="V972" s="47">
        <v>281</v>
      </c>
      <c r="W972" s="41">
        <v>111</v>
      </c>
      <c r="X972">
        <v>278</v>
      </c>
      <c r="Y972">
        <v>0.97</v>
      </c>
      <c r="Z972">
        <v>2182.67</v>
      </c>
      <c r="AA972">
        <v>1673.15</v>
      </c>
      <c r="AB972">
        <v>123.02</v>
      </c>
      <c r="AC972">
        <v>36</v>
      </c>
      <c r="AD972" s="41">
        <f t="shared" si="241"/>
        <v>0.39401283748803073</v>
      </c>
      <c r="AE972" s="41">
        <f t="shared" si="242"/>
        <v>0.51400053790753963</v>
      </c>
      <c r="AF972">
        <f t="shared" si="243"/>
        <v>1.3344870059880243</v>
      </c>
      <c r="AG972">
        <f t="shared" si="244"/>
        <v>9.4148312335329304E-2</v>
      </c>
      <c r="AH972">
        <f t="shared" si="245"/>
        <v>1.2302</v>
      </c>
      <c r="AI972">
        <f>HLOOKUP(HLOOKUP(G972,'THP2'!$B$4:$J$8,5,FALSE),'Fuel &amp; Resister'!$B$3:$G$6,4,FALSE)</f>
        <v>2.7360666666666664</v>
      </c>
      <c r="AJ972" s="41">
        <f>HLOOKUP(HLOOKUP(G972,'THP2'!$B$4:$J$8,5,FALSE),'Fuel &amp; Resister'!$B$3:$G$6,3,FALSE)</f>
        <v>13.019</v>
      </c>
      <c r="AO972" s="1">
        <v>1</v>
      </c>
      <c r="AP972" s="1">
        <v>1</v>
      </c>
    </row>
    <row r="973" spans="2:42" x14ac:dyDescent="0.15">
      <c r="B973" s="82" t="s">
        <v>636</v>
      </c>
      <c r="C973" s="61">
        <f>VLOOKUP(B973,[1]SYS!$F$5:$G$359,2,FALSE)</f>
        <v>225</v>
      </c>
      <c r="D973" s="1" t="s">
        <v>50</v>
      </c>
      <c r="E973" s="65" t="s">
        <v>259</v>
      </c>
      <c r="F973" s="63" t="s">
        <v>458</v>
      </c>
      <c r="G973" s="1">
        <v>7</v>
      </c>
      <c r="H973" s="1">
        <f t="shared" si="228"/>
        <v>0.4007220216606498</v>
      </c>
      <c r="I973" s="1">
        <f t="shared" si="247"/>
        <v>0.27700000000000002</v>
      </c>
      <c r="J973" s="1">
        <f t="shared" si="240"/>
        <v>3.0000000000000027E-2</v>
      </c>
      <c r="K973" s="1">
        <f t="shared" si="231"/>
        <v>2.1954799999999999</v>
      </c>
      <c r="L973" s="1">
        <f t="shared" si="232"/>
        <v>1.6829700000000001</v>
      </c>
      <c r="M973" s="49">
        <f t="shared" si="246"/>
        <v>0.75673415068632288</v>
      </c>
      <c r="N973" s="49">
        <v>1.2292000000000001</v>
      </c>
      <c r="O973" s="1">
        <v>1101</v>
      </c>
      <c r="P973" s="51">
        <v>0.05</v>
      </c>
      <c r="Q973" s="51">
        <v>11</v>
      </c>
      <c r="R973" s="51">
        <v>1</v>
      </c>
      <c r="S973" s="1">
        <v>1</v>
      </c>
      <c r="T973" s="1">
        <v>0</v>
      </c>
      <c r="U973" s="47">
        <v>1</v>
      </c>
      <c r="V973" s="47">
        <v>282</v>
      </c>
      <c r="W973" s="41">
        <v>111</v>
      </c>
      <c r="X973">
        <v>277</v>
      </c>
      <c r="Y973">
        <v>0.97</v>
      </c>
      <c r="Z973">
        <v>2195.48</v>
      </c>
      <c r="AA973">
        <v>1682.97</v>
      </c>
      <c r="AB973">
        <v>122.92</v>
      </c>
      <c r="AC973">
        <v>36</v>
      </c>
      <c r="AD973" s="41">
        <f t="shared" si="241"/>
        <v>0.39171388489077558</v>
      </c>
      <c r="AE973" s="41">
        <f t="shared" si="242"/>
        <v>0.5110013844572393</v>
      </c>
      <c r="AF973">
        <f t="shared" si="243"/>
        <v>1.3402675301204821</v>
      </c>
      <c r="AG973">
        <f t="shared" si="244"/>
        <v>9.49285841566265E-2</v>
      </c>
      <c r="AH973">
        <f t="shared" si="245"/>
        <v>1.2292000000000001</v>
      </c>
      <c r="AI973">
        <f>HLOOKUP(HLOOKUP(G973,'THP2'!$B$4:$J$8,5,FALSE),'Fuel &amp; Resister'!$B$3:$G$6,4,FALSE)</f>
        <v>2.7360666666666664</v>
      </c>
      <c r="AJ973" s="41">
        <f>HLOOKUP(HLOOKUP(G973,'THP2'!$B$4:$J$8,5,FALSE),'Fuel &amp; Resister'!$B$3:$G$6,3,FALSE)</f>
        <v>13.019</v>
      </c>
      <c r="AO973" s="1">
        <v>1</v>
      </c>
      <c r="AP973" s="1">
        <v>1</v>
      </c>
    </row>
    <row r="974" spans="2:42" x14ac:dyDescent="0.15">
      <c r="B974" s="82" t="s">
        <v>636</v>
      </c>
      <c r="C974" s="61">
        <f>VLOOKUP(B974,[1]SYS!$F$5:$G$359,2,FALSE)</f>
        <v>225</v>
      </c>
      <c r="D974" s="1" t="s">
        <v>50</v>
      </c>
      <c r="E974" s="65" t="s">
        <v>260</v>
      </c>
      <c r="F974" s="63" t="s">
        <v>458</v>
      </c>
      <c r="G974" s="1">
        <v>7</v>
      </c>
      <c r="H974" s="1">
        <f t="shared" si="228"/>
        <v>0.4007220216606498</v>
      </c>
      <c r="I974" s="1">
        <f t="shared" si="247"/>
        <v>0.27700000000000002</v>
      </c>
      <c r="J974" s="1">
        <f t="shared" si="240"/>
        <v>3.0000000000000027E-2</v>
      </c>
      <c r="K974" s="1">
        <f t="shared" si="231"/>
        <v>2.1954799999999999</v>
      </c>
      <c r="L974" s="1">
        <f t="shared" si="232"/>
        <v>1.6829700000000001</v>
      </c>
      <c r="M974" s="49">
        <f t="shared" si="246"/>
        <v>0.75673415068632288</v>
      </c>
      <c r="N974" s="49">
        <v>1.2292000000000001</v>
      </c>
      <c r="O974" s="1">
        <v>913</v>
      </c>
      <c r="P974" s="51">
        <v>0.05</v>
      </c>
      <c r="Q974" s="51">
        <v>11</v>
      </c>
      <c r="R974" s="51">
        <v>1</v>
      </c>
      <c r="S974" s="1">
        <v>1</v>
      </c>
      <c r="T974" s="1">
        <v>0</v>
      </c>
      <c r="U974" s="47">
        <v>1</v>
      </c>
      <c r="V974" s="47">
        <v>283</v>
      </c>
      <c r="W974" s="41">
        <v>111</v>
      </c>
      <c r="X974">
        <v>277</v>
      </c>
      <c r="Y974">
        <v>0.97</v>
      </c>
      <c r="Z974">
        <v>2195.48</v>
      </c>
      <c r="AA974">
        <v>1682.97</v>
      </c>
      <c r="AB974">
        <v>122.92</v>
      </c>
      <c r="AC974">
        <v>36</v>
      </c>
      <c r="AD974" s="41">
        <f t="shared" si="241"/>
        <v>0.39171388489077558</v>
      </c>
      <c r="AE974" s="41">
        <f t="shared" si="242"/>
        <v>0.5110013844572393</v>
      </c>
      <c r="AF974">
        <f t="shared" si="243"/>
        <v>1.3402675301204821</v>
      </c>
      <c r="AG974">
        <f t="shared" si="244"/>
        <v>9.49285841566265E-2</v>
      </c>
      <c r="AH974">
        <f t="shared" si="245"/>
        <v>1.2292000000000001</v>
      </c>
      <c r="AI974">
        <f>HLOOKUP(HLOOKUP(G974,'THP2'!$B$4:$J$8,5,FALSE),'Fuel &amp; Resister'!$B$3:$G$6,4,FALSE)</f>
        <v>2.7360666666666664</v>
      </c>
      <c r="AJ974" s="41">
        <f>HLOOKUP(HLOOKUP(G974,'THP2'!$B$4:$J$8,5,FALSE),'Fuel &amp; Resister'!$B$3:$G$6,3,FALSE)</f>
        <v>13.019</v>
      </c>
      <c r="AO974" s="1">
        <v>1</v>
      </c>
      <c r="AP974" s="1">
        <v>1</v>
      </c>
    </row>
    <row r="975" spans="2:42" x14ac:dyDescent="0.15">
      <c r="B975" s="82" t="s">
        <v>604</v>
      </c>
      <c r="C975" s="61">
        <f>VLOOKUP(B975,[1]SYS!$F$5:$G$359,2,FALSE)</f>
        <v>226</v>
      </c>
      <c r="D975" s="1" t="s">
        <v>50</v>
      </c>
      <c r="E975" s="42" t="s">
        <v>261</v>
      </c>
      <c r="F975" s="63" t="s">
        <v>460</v>
      </c>
      <c r="G975" s="1">
        <v>7</v>
      </c>
      <c r="H975" s="1">
        <f t="shared" si="228"/>
        <v>0.39915966386554624</v>
      </c>
      <c r="I975" s="1">
        <f t="shared" si="247"/>
        <v>0.23799999999999999</v>
      </c>
      <c r="J975" s="1">
        <f t="shared" si="240"/>
        <v>2.2800000000000042E-2</v>
      </c>
      <c r="K975" s="1">
        <f t="shared" si="231"/>
        <v>2.3799899999999998</v>
      </c>
      <c r="L975" s="1">
        <f t="shared" si="232"/>
        <v>1.8244100000000001</v>
      </c>
      <c r="M975" s="49">
        <f t="shared" si="246"/>
        <v>0.70483358732424195</v>
      </c>
      <c r="N975" s="49">
        <v>1.1872</v>
      </c>
      <c r="O975" s="1">
        <v>514</v>
      </c>
      <c r="P975" s="51">
        <v>0.05</v>
      </c>
      <c r="Q975" s="51">
        <v>11</v>
      </c>
      <c r="R975" s="51">
        <v>1</v>
      </c>
      <c r="S975" s="1">
        <v>1</v>
      </c>
      <c r="T975" s="1">
        <v>0</v>
      </c>
      <c r="U975" s="47">
        <v>0</v>
      </c>
      <c r="V975" s="47">
        <v>284</v>
      </c>
      <c r="W975" s="41">
        <v>95</v>
      </c>
      <c r="X975">
        <v>238</v>
      </c>
      <c r="Y975">
        <v>0.97719999999999996</v>
      </c>
      <c r="Z975">
        <v>2379.9899999999998</v>
      </c>
      <c r="AA975">
        <v>1824.41</v>
      </c>
      <c r="AB975">
        <v>118.72</v>
      </c>
      <c r="AC975">
        <v>36</v>
      </c>
      <c r="AD975" s="41">
        <f t="shared" si="241"/>
        <v>0.3613460560758659</v>
      </c>
      <c r="AE975" s="41">
        <f t="shared" si="242"/>
        <v>0.47138526975844242</v>
      </c>
      <c r="AF975">
        <f t="shared" si="243"/>
        <v>1.4553183916083918</v>
      </c>
      <c r="AG975">
        <f t="shared" si="244"/>
        <v>8.7843802797202761E-2</v>
      </c>
      <c r="AH975">
        <f t="shared" si="245"/>
        <v>1.1872</v>
      </c>
      <c r="AI975">
        <f>HLOOKUP(HLOOKUP(G975,'THP2'!$B$4:$J$8,5,FALSE),'Fuel &amp; Resister'!$B$3:$G$6,4,FALSE)</f>
        <v>2.7360666666666664</v>
      </c>
      <c r="AJ975" s="41">
        <f>HLOOKUP(HLOOKUP(G975,'THP2'!$B$4:$J$8,5,FALSE),'Fuel &amp; Resister'!$B$3:$G$6,3,FALSE)</f>
        <v>13.019</v>
      </c>
      <c r="AO975" s="1">
        <v>1</v>
      </c>
      <c r="AP975" s="1">
        <v>1</v>
      </c>
    </row>
    <row r="976" spans="2:42" x14ac:dyDescent="0.15">
      <c r="B976" s="82" t="s">
        <v>604</v>
      </c>
      <c r="C976" s="61">
        <f>VLOOKUP(B976,[1]SYS!$F$5:$G$359,2,FALSE)</f>
        <v>226</v>
      </c>
      <c r="D976" s="1" t="s">
        <v>50</v>
      </c>
      <c r="E976" s="42" t="s">
        <v>262</v>
      </c>
      <c r="F976" s="63" t="s">
        <v>460</v>
      </c>
      <c r="G976" s="1">
        <v>7</v>
      </c>
      <c r="H976" s="1">
        <f t="shared" si="228"/>
        <v>0.39915966386554624</v>
      </c>
      <c r="I976" s="1">
        <f t="shared" si="247"/>
        <v>0.23799999999999999</v>
      </c>
      <c r="J976" s="1">
        <f t="shared" si="240"/>
        <v>2.2800000000000042E-2</v>
      </c>
      <c r="K976" s="1">
        <f t="shared" si="231"/>
        <v>2.3799899999999998</v>
      </c>
      <c r="L976" s="1">
        <f t="shared" si="232"/>
        <v>1.8244100000000001</v>
      </c>
      <c r="M976" s="49">
        <f t="shared" si="246"/>
        <v>0.70483358732424195</v>
      </c>
      <c r="N976" s="49">
        <v>1.1872</v>
      </c>
      <c r="O976" s="6">
        <v>314</v>
      </c>
      <c r="P976" s="51">
        <v>0.05</v>
      </c>
      <c r="Q976" s="51">
        <v>11</v>
      </c>
      <c r="R976" s="51">
        <v>1</v>
      </c>
      <c r="S976" s="1">
        <v>1</v>
      </c>
      <c r="T976" s="1">
        <v>0</v>
      </c>
      <c r="U976" s="47">
        <v>0</v>
      </c>
      <c r="V976" s="47">
        <v>285</v>
      </c>
      <c r="W976" s="41">
        <v>95</v>
      </c>
      <c r="X976">
        <v>238</v>
      </c>
      <c r="Y976">
        <v>0.97719999999999996</v>
      </c>
      <c r="Z976">
        <v>2379.9899999999998</v>
      </c>
      <c r="AA976">
        <v>1824.41</v>
      </c>
      <c r="AB976">
        <v>118.72</v>
      </c>
      <c r="AC976">
        <v>36</v>
      </c>
      <c r="AD976" s="41">
        <f t="shared" si="241"/>
        <v>0.3613460560758659</v>
      </c>
      <c r="AE976" s="41">
        <f t="shared" si="242"/>
        <v>0.47138526975844242</v>
      </c>
      <c r="AF976">
        <f t="shared" si="243"/>
        <v>1.4553183916083918</v>
      </c>
      <c r="AG976">
        <f t="shared" si="244"/>
        <v>8.7843802797202761E-2</v>
      </c>
      <c r="AH976">
        <f t="shared" si="245"/>
        <v>1.1872</v>
      </c>
      <c r="AI976">
        <f>HLOOKUP(HLOOKUP(G976,'THP2'!$B$4:$J$8,5,FALSE),'Fuel &amp; Resister'!$B$3:$G$6,4,FALSE)</f>
        <v>2.7360666666666664</v>
      </c>
      <c r="AJ976" s="41">
        <f>HLOOKUP(HLOOKUP(G976,'THP2'!$B$4:$J$8,5,FALSE),'Fuel &amp; Resister'!$B$3:$G$6,3,FALSE)</f>
        <v>13.019</v>
      </c>
      <c r="AO976" s="1">
        <v>1</v>
      </c>
      <c r="AP976" s="1">
        <v>1</v>
      </c>
    </row>
    <row r="977" spans="2:42" x14ac:dyDescent="0.15">
      <c r="B977" s="82" t="s">
        <v>604</v>
      </c>
      <c r="C977" s="61">
        <f>VLOOKUP(B977,[1]SYS!$F$5:$G$359,2,FALSE)</f>
        <v>226</v>
      </c>
      <c r="D977" s="1" t="s">
        <v>50</v>
      </c>
      <c r="E977" s="42" t="s">
        <v>263</v>
      </c>
      <c r="F977" s="63" t="s">
        <v>460</v>
      </c>
      <c r="G977" s="1">
        <v>7</v>
      </c>
      <c r="H977" s="1">
        <f t="shared" si="228"/>
        <v>0.40084388185654007</v>
      </c>
      <c r="I977" s="1">
        <f t="shared" si="247"/>
        <v>0.23699999999999999</v>
      </c>
      <c r="J977" s="1">
        <f t="shared" si="240"/>
        <v>2.2800000000000042E-2</v>
      </c>
      <c r="K977" s="1">
        <f t="shared" si="231"/>
        <v>2.3799899999999998</v>
      </c>
      <c r="L977" s="1">
        <f t="shared" si="232"/>
        <v>1.8244100000000001</v>
      </c>
      <c r="M977" s="49">
        <f t="shared" si="246"/>
        <v>0.70187210166321556</v>
      </c>
      <c r="N977" s="49">
        <v>1.1860999999999999</v>
      </c>
      <c r="O977" s="1">
        <v>1125</v>
      </c>
      <c r="P977" s="51">
        <v>0.05</v>
      </c>
      <c r="Q977" s="51">
        <v>11</v>
      </c>
      <c r="R977" s="51">
        <v>1</v>
      </c>
      <c r="S977" s="1">
        <v>1</v>
      </c>
      <c r="T977" s="1">
        <v>0</v>
      </c>
      <c r="U977" s="47">
        <v>0</v>
      </c>
      <c r="V977" s="47">
        <v>286</v>
      </c>
      <c r="W977" s="41">
        <v>95</v>
      </c>
      <c r="X977">
        <v>237</v>
      </c>
      <c r="Y977">
        <v>0.97719999999999996</v>
      </c>
      <c r="Z977">
        <v>2379.9899999999998</v>
      </c>
      <c r="AA977">
        <v>1824.41</v>
      </c>
      <c r="AB977">
        <v>118.61</v>
      </c>
      <c r="AC977">
        <v>36</v>
      </c>
      <c r="AD977" s="41">
        <f t="shared" si="241"/>
        <v>0.3613460560758659</v>
      </c>
      <c r="AE977" s="41">
        <f t="shared" si="242"/>
        <v>0.47138526975844242</v>
      </c>
      <c r="AF977">
        <f t="shared" si="243"/>
        <v>1.4527191549295779</v>
      </c>
      <c r="AG977">
        <f t="shared" si="244"/>
        <v>8.8090730281690052E-2</v>
      </c>
      <c r="AH977">
        <f t="shared" si="245"/>
        <v>1.1860999999999999</v>
      </c>
      <c r="AI977">
        <f>HLOOKUP(HLOOKUP(G977,'THP2'!$B$4:$J$8,5,FALSE),'Fuel &amp; Resister'!$B$3:$G$6,4,FALSE)</f>
        <v>2.7360666666666664</v>
      </c>
      <c r="AJ977" s="41">
        <f>HLOOKUP(HLOOKUP(G977,'THP2'!$B$4:$J$8,5,FALSE),'Fuel &amp; Resister'!$B$3:$G$6,3,FALSE)</f>
        <v>13.019</v>
      </c>
      <c r="AO977" s="1">
        <v>1</v>
      </c>
      <c r="AP977" s="1">
        <v>1</v>
      </c>
    </row>
    <row r="978" spans="2:42" x14ac:dyDescent="0.15">
      <c r="B978" s="82" t="s">
        <v>604</v>
      </c>
      <c r="C978" s="61">
        <f>VLOOKUP(B978,[1]SYS!$F$5:$G$359,2,FALSE)</f>
        <v>226</v>
      </c>
      <c r="D978" s="1" t="s">
        <v>50</v>
      </c>
      <c r="E978" s="42" t="s">
        <v>264</v>
      </c>
      <c r="F978" s="63" t="s">
        <v>460</v>
      </c>
      <c r="G978" s="1">
        <v>7</v>
      </c>
      <c r="H978" s="1">
        <f t="shared" si="228"/>
        <v>0.3991769547325103</v>
      </c>
      <c r="I978" s="1">
        <f t="shared" si="247"/>
        <v>0.24299999999999999</v>
      </c>
      <c r="J978" s="1">
        <f t="shared" si="240"/>
        <v>2.3199999999999998E-2</v>
      </c>
      <c r="K978" s="1">
        <f t="shared" si="231"/>
        <v>2.4052199999999999</v>
      </c>
      <c r="L978" s="1">
        <f t="shared" si="232"/>
        <v>1.84375</v>
      </c>
      <c r="M978" s="49">
        <f t="shared" si="246"/>
        <v>0.72726970503705657</v>
      </c>
      <c r="N978" s="49">
        <v>1.1924999999999999</v>
      </c>
      <c r="O978" s="1">
        <v>1125</v>
      </c>
      <c r="P978" s="51">
        <v>0.05</v>
      </c>
      <c r="Q978" s="51">
        <v>11</v>
      </c>
      <c r="R978" s="51">
        <v>1</v>
      </c>
      <c r="S978" s="1">
        <v>1</v>
      </c>
      <c r="T978" s="1">
        <v>0</v>
      </c>
      <c r="U978" s="47">
        <v>0</v>
      </c>
      <c r="V978" s="47">
        <v>287</v>
      </c>
      <c r="W978" s="41">
        <v>97</v>
      </c>
      <c r="X978">
        <v>243</v>
      </c>
      <c r="Y978">
        <v>0.9768</v>
      </c>
      <c r="Z978">
        <v>2405.2199999999998</v>
      </c>
      <c r="AA978">
        <v>1843.75</v>
      </c>
      <c r="AB978">
        <v>119.25</v>
      </c>
      <c r="AC978">
        <v>36</v>
      </c>
      <c r="AD978" s="41">
        <f t="shared" si="241"/>
        <v>0.35755564979502918</v>
      </c>
      <c r="AE978" s="41">
        <f t="shared" si="242"/>
        <v>0.46644067796610167</v>
      </c>
      <c r="AF978">
        <f t="shared" si="243"/>
        <v>1.4707185616438359</v>
      </c>
      <c r="AG978">
        <f t="shared" si="244"/>
        <v>9.0646639520547884E-2</v>
      </c>
      <c r="AH978">
        <f t="shared" si="245"/>
        <v>1.1924999999999999</v>
      </c>
      <c r="AI978">
        <f>HLOOKUP(HLOOKUP(G978,'THP2'!$B$4:$J$8,5,FALSE),'Fuel &amp; Resister'!$B$3:$G$6,4,FALSE)</f>
        <v>2.7360666666666664</v>
      </c>
      <c r="AJ978" s="41">
        <f>HLOOKUP(HLOOKUP(G978,'THP2'!$B$4:$J$8,5,FALSE),'Fuel &amp; Resister'!$B$3:$G$6,3,FALSE)</f>
        <v>13.019</v>
      </c>
      <c r="AO978" s="1">
        <v>1</v>
      </c>
      <c r="AP978" s="1">
        <v>1</v>
      </c>
    </row>
    <row r="979" spans="2:42" x14ac:dyDescent="0.15">
      <c r="B979" s="82" t="s">
        <v>604</v>
      </c>
      <c r="C979" s="61">
        <f>VLOOKUP(B979,[1]SYS!$F$5:$G$359,2,FALSE)</f>
        <v>226</v>
      </c>
      <c r="D979" s="1" t="s">
        <v>50</v>
      </c>
      <c r="E979" s="42" t="s">
        <v>265</v>
      </c>
      <c r="F979" s="63" t="s">
        <v>460</v>
      </c>
      <c r="G979" s="1">
        <v>7</v>
      </c>
      <c r="H979" s="1">
        <f t="shared" si="228"/>
        <v>0.3991769547325103</v>
      </c>
      <c r="I979" s="1">
        <f t="shared" si="247"/>
        <v>0.24299999999999999</v>
      </c>
      <c r="J979" s="1">
        <f t="shared" si="240"/>
        <v>2.3199999999999998E-2</v>
      </c>
      <c r="K979" s="1">
        <f t="shared" si="231"/>
        <v>2.4052199999999999</v>
      </c>
      <c r="L979" s="1">
        <f t="shared" si="232"/>
        <v>1.84375</v>
      </c>
      <c r="M979" s="49">
        <f t="shared" si="246"/>
        <v>0.72726970503705657</v>
      </c>
      <c r="N979" s="49">
        <v>1.1924999999999999</v>
      </c>
      <c r="O979" s="6">
        <v>314</v>
      </c>
      <c r="P979" s="51">
        <v>0.05</v>
      </c>
      <c r="Q979" s="51">
        <v>11</v>
      </c>
      <c r="R979" s="51">
        <v>1</v>
      </c>
      <c r="S979" s="1">
        <v>1</v>
      </c>
      <c r="T979" s="1">
        <v>0</v>
      </c>
      <c r="U979" s="47">
        <v>0</v>
      </c>
      <c r="V979" s="47">
        <v>288</v>
      </c>
      <c r="W979" s="41">
        <v>97</v>
      </c>
      <c r="X979">
        <v>243</v>
      </c>
      <c r="Y979">
        <v>0.9768</v>
      </c>
      <c r="Z979">
        <v>2405.2199999999998</v>
      </c>
      <c r="AA979">
        <v>1843.75</v>
      </c>
      <c r="AB979">
        <v>119.25</v>
      </c>
      <c r="AC979">
        <v>36</v>
      </c>
      <c r="AD979" s="41">
        <f t="shared" si="241"/>
        <v>0.35755564979502918</v>
      </c>
      <c r="AE979" s="41">
        <f t="shared" si="242"/>
        <v>0.46644067796610167</v>
      </c>
      <c r="AF979">
        <f t="shared" si="243"/>
        <v>1.4707185616438359</v>
      </c>
      <c r="AG979">
        <f t="shared" si="244"/>
        <v>9.0646639520547884E-2</v>
      </c>
      <c r="AH979">
        <f t="shared" si="245"/>
        <v>1.1924999999999999</v>
      </c>
      <c r="AI979">
        <f>HLOOKUP(HLOOKUP(G979,'THP2'!$B$4:$J$8,5,FALSE),'Fuel &amp; Resister'!$B$3:$G$6,4,FALSE)</f>
        <v>2.7360666666666664</v>
      </c>
      <c r="AJ979" s="41">
        <f>HLOOKUP(HLOOKUP(G979,'THP2'!$B$4:$J$8,5,FALSE),'Fuel &amp; Resister'!$B$3:$G$6,3,FALSE)</f>
        <v>13.019</v>
      </c>
      <c r="AO979" s="1">
        <v>1</v>
      </c>
      <c r="AP979" s="1">
        <v>1</v>
      </c>
    </row>
    <row r="980" spans="2:42" x14ac:dyDescent="0.15">
      <c r="B980" s="82" t="s">
        <v>604</v>
      </c>
      <c r="C980" s="61">
        <f>VLOOKUP(B980,[1]SYS!$F$5:$G$359,2,FALSE)</f>
        <v>226</v>
      </c>
      <c r="D980" s="1" t="s">
        <v>50</v>
      </c>
      <c r="E980" s="42" t="s">
        <v>266</v>
      </c>
      <c r="F980" s="63" t="s">
        <v>460</v>
      </c>
      <c r="G980" s="1">
        <v>7</v>
      </c>
      <c r="H980" s="1">
        <f t="shared" si="228"/>
        <v>0.3991769547325103</v>
      </c>
      <c r="I980" s="1">
        <f t="shared" si="247"/>
        <v>0.24299999999999999</v>
      </c>
      <c r="J980" s="1">
        <f t="shared" si="240"/>
        <v>2.3199999999999998E-2</v>
      </c>
      <c r="K980" s="1">
        <f t="shared" si="231"/>
        <v>2.4052199999999999</v>
      </c>
      <c r="L980" s="1">
        <f t="shared" si="232"/>
        <v>1.84375</v>
      </c>
      <c r="M980" s="49">
        <f t="shared" si="246"/>
        <v>0.72726970503705657</v>
      </c>
      <c r="N980" s="49">
        <v>1.1924999999999999</v>
      </c>
      <c r="O980" s="1">
        <v>925</v>
      </c>
      <c r="P980" s="51">
        <v>0.05</v>
      </c>
      <c r="Q980" s="51">
        <v>11</v>
      </c>
      <c r="R980" s="51">
        <v>1</v>
      </c>
      <c r="S980" s="1">
        <v>1</v>
      </c>
      <c r="T980" s="1">
        <v>0</v>
      </c>
      <c r="U980" s="47">
        <v>0</v>
      </c>
      <c r="V980" s="47">
        <v>289</v>
      </c>
      <c r="W980" s="41">
        <v>97</v>
      </c>
      <c r="X980">
        <v>243</v>
      </c>
      <c r="Y980">
        <v>0.9768</v>
      </c>
      <c r="Z980">
        <v>2405.2199999999998</v>
      </c>
      <c r="AA980">
        <v>1843.75</v>
      </c>
      <c r="AB980">
        <v>119.25</v>
      </c>
      <c r="AC980">
        <v>36</v>
      </c>
      <c r="AD980" s="41">
        <f t="shared" si="241"/>
        <v>0.35755564979502918</v>
      </c>
      <c r="AE980" s="41">
        <f t="shared" si="242"/>
        <v>0.46644067796610167</v>
      </c>
      <c r="AF980">
        <f t="shared" si="243"/>
        <v>1.4707185616438359</v>
      </c>
      <c r="AG980">
        <f t="shared" si="244"/>
        <v>9.0646639520547884E-2</v>
      </c>
      <c r="AH980">
        <f t="shared" si="245"/>
        <v>1.1924999999999999</v>
      </c>
      <c r="AI980">
        <f>HLOOKUP(HLOOKUP(G980,'THP2'!$B$4:$J$8,5,FALSE),'Fuel &amp; Resister'!$B$3:$G$6,4,FALSE)</f>
        <v>2.7360666666666664</v>
      </c>
      <c r="AJ980" s="41">
        <f>HLOOKUP(HLOOKUP(G980,'THP2'!$B$4:$J$8,5,FALSE),'Fuel &amp; Resister'!$B$3:$G$6,3,FALSE)</f>
        <v>13.019</v>
      </c>
      <c r="AO980" s="1">
        <v>1</v>
      </c>
      <c r="AP980" s="1">
        <v>1</v>
      </c>
    </row>
    <row r="981" spans="2:42" x14ac:dyDescent="0.15">
      <c r="B981" s="82" t="s">
        <v>636</v>
      </c>
      <c r="C981" s="61">
        <f>VLOOKUP(B981,[1]SYS!$F$5:$G$359,2,FALSE)</f>
        <v>225</v>
      </c>
      <c r="D981" s="1" t="s">
        <v>50</v>
      </c>
      <c r="E981" s="42" t="s">
        <v>267</v>
      </c>
      <c r="F981" s="42"/>
      <c r="G981" s="1">
        <v>7</v>
      </c>
      <c r="H981" s="1">
        <f t="shared" si="228"/>
        <v>0.39705882352941174</v>
      </c>
      <c r="I981" s="1">
        <f t="shared" si="247"/>
        <v>0.13600000000000001</v>
      </c>
      <c r="J981" s="1">
        <f t="shared" si="240"/>
        <v>0</v>
      </c>
      <c r="K981" s="1">
        <f t="shared" si="231"/>
        <v>2.5701999999999998</v>
      </c>
      <c r="L981" s="1">
        <f t="shared" si="232"/>
        <v>1.9702200000000001</v>
      </c>
      <c r="M981" s="49">
        <f t="shared" si="246"/>
        <v>0.43495148894882418</v>
      </c>
      <c r="N981" s="49">
        <v>0.44880000000000003</v>
      </c>
      <c r="O981" s="1">
        <v>913</v>
      </c>
      <c r="P981" s="51">
        <v>0.05</v>
      </c>
      <c r="Q981" s="51">
        <v>11</v>
      </c>
      <c r="R981" s="51">
        <v>1</v>
      </c>
      <c r="S981" s="1">
        <v>1</v>
      </c>
      <c r="T981" s="1">
        <v>0</v>
      </c>
      <c r="U981" s="47">
        <v>0</v>
      </c>
      <c r="V981" s="47">
        <v>290</v>
      </c>
      <c r="W981" s="41">
        <v>54</v>
      </c>
      <c r="X981">
        <v>136</v>
      </c>
      <c r="Y981">
        <v>1</v>
      </c>
      <c r="Z981">
        <v>2570.1999999999998</v>
      </c>
      <c r="AA981">
        <v>1970.22</v>
      </c>
      <c r="AB981">
        <v>44.88</v>
      </c>
      <c r="AC981">
        <v>36</v>
      </c>
      <c r="AD981" s="41">
        <f t="shared" si="241"/>
        <v>0.3346043109485643</v>
      </c>
      <c r="AE981" s="41">
        <f t="shared" si="242"/>
        <v>0.43649947721574245</v>
      </c>
      <c r="AF981">
        <f t="shared" si="243"/>
        <v>1.5751112195121955</v>
      </c>
      <c r="AG981">
        <f t="shared" si="244"/>
        <v>5.3734794146341434E-2</v>
      </c>
      <c r="AH981">
        <f t="shared" si="245"/>
        <v>0.44880000000000003</v>
      </c>
      <c r="AI981">
        <f>HLOOKUP(HLOOKUP(G981,'THP2'!$B$4:$J$8,5,FALSE),'Fuel &amp; Resister'!$B$3:$G$6,4,FALSE)</f>
        <v>2.7360666666666664</v>
      </c>
      <c r="AJ981" s="41">
        <f>HLOOKUP(HLOOKUP(G981,'THP2'!$B$4:$J$8,5,FALSE),'Fuel &amp; Resister'!$B$3:$G$6,3,FALSE)</f>
        <v>13.019</v>
      </c>
      <c r="AO981" s="1">
        <v>1</v>
      </c>
      <c r="AP981" s="1">
        <v>1</v>
      </c>
    </row>
    <row r="982" spans="2:42" x14ac:dyDescent="0.15">
      <c r="B982" s="82" t="s">
        <v>636</v>
      </c>
      <c r="C982" s="61">
        <f>VLOOKUP(B982,[1]SYS!$F$5:$G$359,2,FALSE)</f>
        <v>225</v>
      </c>
      <c r="D982" s="1" t="s">
        <v>50</v>
      </c>
      <c r="E982" s="65" t="s">
        <v>268</v>
      </c>
      <c r="F982" s="63" t="s">
        <v>459</v>
      </c>
      <c r="G982" s="1">
        <v>7</v>
      </c>
      <c r="H982" s="1">
        <f t="shared" si="228"/>
        <v>0.39726027397260272</v>
      </c>
      <c r="I982" s="1">
        <f t="shared" si="247"/>
        <v>0.14599999999999999</v>
      </c>
      <c r="J982" s="1">
        <f t="shared" si="240"/>
        <v>0</v>
      </c>
      <c r="K982" s="1">
        <f t="shared" si="231"/>
        <v>2.5701999999999998</v>
      </c>
      <c r="L982" s="1">
        <f t="shared" si="232"/>
        <v>1.9702200000000001</v>
      </c>
      <c r="M982" s="49">
        <f t="shared" si="246"/>
        <v>0.46693321607741423</v>
      </c>
      <c r="N982" s="49">
        <v>0.48180000000000001</v>
      </c>
      <c r="O982" s="1">
        <v>1202</v>
      </c>
      <c r="P982" s="51">
        <v>0.05</v>
      </c>
      <c r="Q982" s="51">
        <v>11</v>
      </c>
      <c r="R982" s="51">
        <v>1</v>
      </c>
      <c r="S982" s="1">
        <v>1</v>
      </c>
      <c r="T982" s="1">
        <v>0</v>
      </c>
      <c r="U982" s="47">
        <v>1</v>
      </c>
      <c r="V982" s="47">
        <v>291</v>
      </c>
      <c r="W982" s="41">
        <v>58</v>
      </c>
      <c r="X982">
        <v>146</v>
      </c>
      <c r="Y982">
        <v>1</v>
      </c>
      <c r="Z982">
        <v>2570.1999999999998</v>
      </c>
      <c r="AA982">
        <v>1970.22</v>
      </c>
      <c r="AB982">
        <v>48.18</v>
      </c>
      <c r="AC982">
        <v>36</v>
      </c>
      <c r="AD982" s="41">
        <f t="shared" si="241"/>
        <v>0.3346043109485643</v>
      </c>
      <c r="AE982" s="41">
        <f t="shared" si="242"/>
        <v>0.43649947721574245</v>
      </c>
      <c r="AF982">
        <f t="shared" si="243"/>
        <v>1.5747786363636369</v>
      </c>
      <c r="AG982">
        <f t="shared" si="244"/>
        <v>5.7734439090909022E-2</v>
      </c>
      <c r="AH982">
        <f t="shared" si="245"/>
        <v>0.48180000000000001</v>
      </c>
      <c r="AI982">
        <f>HLOOKUP(HLOOKUP(G982,'THP2'!$B$4:$J$8,5,FALSE),'Fuel &amp; Resister'!$B$3:$G$6,4,FALSE)</f>
        <v>2.7360666666666664</v>
      </c>
      <c r="AJ982" s="41">
        <f>HLOOKUP(HLOOKUP(G982,'THP2'!$B$4:$J$8,5,FALSE),'Fuel &amp; Resister'!$B$3:$G$6,3,FALSE)</f>
        <v>13.019</v>
      </c>
      <c r="AO982" s="1">
        <v>1</v>
      </c>
      <c r="AP982" s="1">
        <v>1</v>
      </c>
    </row>
    <row r="983" spans="2:42" x14ac:dyDescent="0.15">
      <c r="B983" s="82" t="s">
        <v>636</v>
      </c>
      <c r="C983" s="61">
        <f>VLOOKUP(B983,[1]SYS!$F$5:$G$359,2,FALSE)</f>
        <v>225</v>
      </c>
      <c r="D983" s="1" t="s">
        <v>50</v>
      </c>
      <c r="E983" s="65" t="s">
        <v>269</v>
      </c>
      <c r="F983" s="42"/>
      <c r="G983" s="1">
        <v>7</v>
      </c>
      <c r="H983" s="1">
        <f t="shared" si="228"/>
        <v>0.3125</v>
      </c>
      <c r="I983" s="1">
        <f t="shared" si="247"/>
        <v>1.6E-2</v>
      </c>
      <c r="J983" s="1">
        <f t="shared" si="240"/>
        <v>4.0000000000000036E-2</v>
      </c>
      <c r="K983" s="1">
        <f t="shared" si="231"/>
        <v>2.5767800000000003</v>
      </c>
      <c r="L983" s="1">
        <f t="shared" si="232"/>
        <v>2.15</v>
      </c>
      <c r="M983" s="49">
        <f t="shared" si="246"/>
        <v>5.5840028688344277E-2</v>
      </c>
      <c r="N983" s="49">
        <v>5.28E-2</v>
      </c>
      <c r="O983" s="1">
        <v>913</v>
      </c>
      <c r="P983" s="51">
        <v>0.05</v>
      </c>
      <c r="Q983" s="51">
        <v>11</v>
      </c>
      <c r="R983" s="51">
        <v>1</v>
      </c>
      <c r="S983" s="1">
        <v>1</v>
      </c>
      <c r="T983" s="1">
        <v>0</v>
      </c>
      <c r="U983" s="47">
        <v>1</v>
      </c>
      <c r="V983" s="47">
        <v>292</v>
      </c>
      <c r="W983" s="41">
        <v>5</v>
      </c>
      <c r="X983">
        <v>16</v>
      </c>
      <c r="Y983">
        <v>0.96</v>
      </c>
      <c r="Z983">
        <v>2576.7800000000002</v>
      </c>
      <c r="AA983">
        <v>2150</v>
      </c>
      <c r="AB983">
        <v>5.28</v>
      </c>
      <c r="AC983">
        <v>36</v>
      </c>
      <c r="AD983" s="41">
        <f t="shared" si="241"/>
        <v>0.33374987387359417</v>
      </c>
      <c r="AE983" s="41">
        <f t="shared" si="242"/>
        <v>0.4</v>
      </c>
      <c r="AF983">
        <f t="shared" si="243"/>
        <v>1.9560090909090908</v>
      </c>
      <c r="AG983">
        <f t="shared" si="244"/>
        <v>3.1038545454545458E-3</v>
      </c>
      <c r="AH983">
        <f t="shared" si="245"/>
        <v>5.28E-2</v>
      </c>
      <c r="AI983">
        <f>HLOOKUP(HLOOKUP(G983,'THP2'!$B$4:$J$8,5,FALSE),'Fuel &amp; Resister'!$B$3:$G$6,4,FALSE)</f>
        <v>2.7360666666666664</v>
      </c>
      <c r="AJ983" s="41">
        <f>HLOOKUP(HLOOKUP(G983,'THP2'!$B$4:$J$8,5,FALSE),'Fuel &amp; Resister'!$B$3:$G$6,3,FALSE)</f>
        <v>13.019</v>
      </c>
      <c r="AO983" s="1">
        <v>1</v>
      </c>
      <c r="AP983" s="1">
        <v>1</v>
      </c>
    </row>
    <row r="984" spans="2:42" x14ac:dyDescent="0.15">
      <c r="B984" s="82" t="s">
        <v>636</v>
      </c>
      <c r="C984" s="61">
        <f>VLOOKUP(B984,[1]SYS!$F$5:$G$359,2,FALSE)</f>
        <v>225</v>
      </c>
      <c r="D984" s="1" t="s">
        <v>50</v>
      </c>
      <c r="E984" s="65" t="s">
        <v>270</v>
      </c>
      <c r="F984" s="63" t="s">
        <v>508</v>
      </c>
      <c r="G984" s="1">
        <v>7</v>
      </c>
      <c r="H984" s="1">
        <f t="shared" si="228"/>
        <v>0.39864864864864863</v>
      </c>
      <c r="I984" s="1">
        <f t="shared" si="247"/>
        <v>0.14799999999999999</v>
      </c>
      <c r="J984" s="1">
        <f t="shared" si="240"/>
        <v>7.020000000000004E-2</v>
      </c>
      <c r="K984" s="1">
        <f t="shared" si="231"/>
        <v>2.6807500000000002</v>
      </c>
      <c r="L984" s="1">
        <f t="shared" si="232"/>
        <v>2.0549599999999999</v>
      </c>
      <c r="M984" s="49">
        <f t="shared" si="246"/>
        <v>0.49368766721811613</v>
      </c>
      <c r="N984" s="49">
        <v>1.0911999999999999</v>
      </c>
      <c r="O984" s="1">
        <v>516</v>
      </c>
      <c r="P984" s="51">
        <v>0.05</v>
      </c>
      <c r="Q984" s="51">
        <v>11</v>
      </c>
      <c r="R984" s="51">
        <v>1</v>
      </c>
      <c r="S984" s="1">
        <v>1</v>
      </c>
      <c r="T984" s="1">
        <v>0</v>
      </c>
      <c r="U984" s="47">
        <v>1</v>
      </c>
      <c r="V984" s="47">
        <v>293</v>
      </c>
      <c r="W984" s="41">
        <v>59</v>
      </c>
      <c r="X984">
        <v>148</v>
      </c>
      <c r="Y984">
        <v>0.92979999999999996</v>
      </c>
      <c r="Z984">
        <v>2680.75</v>
      </c>
      <c r="AA984">
        <v>2054.96</v>
      </c>
      <c r="AB984">
        <v>109.12</v>
      </c>
      <c r="AC984">
        <v>46</v>
      </c>
      <c r="AD984" s="41">
        <f t="shared" si="241"/>
        <v>0.32080574466100903</v>
      </c>
      <c r="AE984" s="41">
        <f t="shared" si="242"/>
        <v>0.41849963016311753</v>
      </c>
      <c r="AF984">
        <f t="shared" si="243"/>
        <v>1.6401104494382022</v>
      </c>
      <c r="AG984">
        <f t="shared" si="244"/>
        <v>6.1397733483146061E-2</v>
      </c>
      <c r="AH984">
        <f t="shared" si="245"/>
        <v>1.0911999999999999</v>
      </c>
      <c r="AI984">
        <f>HLOOKUP(HLOOKUP(G984,'THP2'!$B$4:$J$8,5,FALSE),'Fuel &amp; Resister'!$B$3:$G$6,4,FALSE)</f>
        <v>2.7360666666666664</v>
      </c>
      <c r="AJ984" s="41">
        <f>HLOOKUP(HLOOKUP(G984,'THP2'!$B$4:$J$8,5,FALSE),'Fuel &amp; Resister'!$B$3:$G$6,3,FALSE)</f>
        <v>13.019</v>
      </c>
      <c r="AO984" s="1">
        <v>1</v>
      </c>
      <c r="AP984" s="1">
        <v>1</v>
      </c>
    </row>
    <row r="985" spans="2:42" x14ac:dyDescent="0.15">
      <c r="B985" s="82" t="s">
        <v>636</v>
      </c>
      <c r="C985" s="61">
        <f>VLOOKUP(B985,[1]SYS!$F$5:$G$359,2,FALSE)</f>
        <v>225</v>
      </c>
      <c r="D985" s="1" t="s">
        <v>50</v>
      </c>
      <c r="E985" s="42" t="s">
        <v>271</v>
      </c>
      <c r="F985" s="63" t="s">
        <v>507</v>
      </c>
      <c r="G985" s="1">
        <v>7</v>
      </c>
      <c r="H985" s="1">
        <f t="shared" si="228"/>
        <v>0.3</v>
      </c>
      <c r="I985" s="1">
        <f t="shared" si="247"/>
        <v>0.6</v>
      </c>
      <c r="J985" s="1">
        <f t="shared" si="240"/>
        <v>3.069999999999995E-2</v>
      </c>
      <c r="K985" s="1">
        <f t="shared" si="231"/>
        <v>2.6778200000000001</v>
      </c>
      <c r="L985" s="1">
        <f t="shared" si="232"/>
        <v>2.2343000000000002</v>
      </c>
      <c r="M985" s="49">
        <f t="shared" si="246"/>
        <v>2.1761053970645508</v>
      </c>
      <c r="N985" s="49">
        <v>2.83</v>
      </c>
      <c r="O985" s="1">
        <v>1009</v>
      </c>
      <c r="P985" s="51">
        <v>0.05</v>
      </c>
      <c r="Q985" s="51">
        <v>11</v>
      </c>
      <c r="R985" s="51">
        <v>1</v>
      </c>
      <c r="S985" s="1">
        <v>1</v>
      </c>
      <c r="T985" s="1">
        <v>0</v>
      </c>
      <c r="U985" s="47">
        <v>0</v>
      </c>
      <c r="V985" s="47">
        <v>294</v>
      </c>
      <c r="W985" s="41">
        <v>180</v>
      </c>
      <c r="X985">
        <v>600</v>
      </c>
      <c r="Y985">
        <v>0.96930000000000005</v>
      </c>
      <c r="Z985">
        <v>2677.82</v>
      </c>
      <c r="AA985">
        <v>2234.3000000000002</v>
      </c>
      <c r="AB985">
        <v>283</v>
      </c>
      <c r="AC985">
        <v>46</v>
      </c>
      <c r="AD985" s="41">
        <f t="shared" si="241"/>
        <v>0.32115676184358916</v>
      </c>
      <c r="AE985" s="41">
        <f t="shared" si="242"/>
        <v>0.38490802488475134</v>
      </c>
      <c r="AF985">
        <f t="shared" si="243"/>
        <v>2.0442200000000006</v>
      </c>
      <c r="AG985">
        <f t="shared" si="244"/>
        <v>0.11404799999999975</v>
      </c>
      <c r="AH985">
        <f t="shared" si="245"/>
        <v>2.83</v>
      </c>
      <c r="AI985">
        <f>HLOOKUP(HLOOKUP(G985,'THP2'!$B$4:$J$8,5,FALSE),'Fuel &amp; Resister'!$B$3:$G$6,4,FALSE)</f>
        <v>2.7360666666666664</v>
      </c>
      <c r="AJ985" s="41">
        <f>HLOOKUP(HLOOKUP(G985,'THP2'!$B$4:$J$8,5,FALSE),'Fuel &amp; Resister'!$B$3:$G$6,3,FALSE)</f>
        <v>13.019</v>
      </c>
      <c r="AO985" s="1">
        <v>1</v>
      </c>
      <c r="AP985" s="1">
        <v>1</v>
      </c>
    </row>
    <row r="986" spans="2:42" x14ac:dyDescent="0.15">
      <c r="B986" s="82" t="s">
        <v>604</v>
      </c>
      <c r="C986" s="61">
        <f>VLOOKUP(B986,[1]SYS!$F$5:$G$359,2,FALSE)</f>
        <v>226</v>
      </c>
      <c r="D986" s="1" t="s">
        <v>5</v>
      </c>
      <c r="E986" s="65" t="s">
        <v>272</v>
      </c>
      <c r="F986" s="42"/>
      <c r="G986" s="1">
        <v>7</v>
      </c>
      <c r="H986" s="1">
        <f t="shared" si="228"/>
        <v>0.30303030303030304</v>
      </c>
      <c r="I986" s="1">
        <f t="shared" si="247"/>
        <v>3.3000000000000002E-2</v>
      </c>
      <c r="J986" s="1">
        <f t="shared" si="240"/>
        <v>5.3000000000000047E-2</v>
      </c>
      <c r="K986" s="1">
        <f t="shared" si="231"/>
        <v>3.0049899999999998</v>
      </c>
      <c r="L986" s="1">
        <f t="shared" si="232"/>
        <v>2.5072899999999998</v>
      </c>
      <c r="M986" s="49">
        <f t="shared" si="246"/>
        <v>0.13430918030494063</v>
      </c>
      <c r="N986" s="49">
        <v>0.10890000000000001</v>
      </c>
      <c r="O986" s="1">
        <v>1101</v>
      </c>
      <c r="P986" s="51">
        <v>0.05</v>
      </c>
      <c r="Q986" s="51">
        <v>8</v>
      </c>
      <c r="R986" s="51">
        <v>1</v>
      </c>
      <c r="S986" s="1">
        <v>1</v>
      </c>
      <c r="T986" s="1">
        <v>0</v>
      </c>
      <c r="U986" s="47">
        <v>1</v>
      </c>
      <c r="V986" s="47">
        <v>295</v>
      </c>
      <c r="W986" s="41">
        <v>10</v>
      </c>
      <c r="X986">
        <v>33</v>
      </c>
      <c r="Y986">
        <v>0.94699999999999995</v>
      </c>
      <c r="Z986">
        <v>3004.99</v>
      </c>
      <c r="AA986">
        <v>2507.29</v>
      </c>
      <c r="AB986">
        <v>10.89</v>
      </c>
      <c r="AC986">
        <v>46</v>
      </c>
      <c r="AD986" s="41">
        <f t="shared" si="241"/>
        <v>0.28619063624171798</v>
      </c>
      <c r="AE986" s="41">
        <f t="shared" si="242"/>
        <v>0.34299981254661405</v>
      </c>
      <c r="AF986">
        <f t="shared" si="243"/>
        <v>2.2908986956521735</v>
      </c>
      <c r="AG986">
        <f t="shared" si="244"/>
        <v>7.1409130434782675E-3</v>
      </c>
      <c r="AH986">
        <f t="shared" si="245"/>
        <v>0.10890000000000001</v>
      </c>
      <c r="AI986">
        <f>HLOOKUP(HLOOKUP(G986,'THP2'!$B$4:$J$8,5,FALSE),'Fuel &amp; Resister'!$B$3:$G$6,4,FALSE)</f>
        <v>2.7360666666666664</v>
      </c>
      <c r="AJ986" s="41">
        <f>HLOOKUP(HLOOKUP(G986,'THP2'!$B$4:$J$8,5,FALSE),'Fuel &amp; Resister'!$B$3:$G$6,3,FALSE)</f>
        <v>13.019</v>
      </c>
      <c r="AO986" s="1">
        <v>1</v>
      </c>
      <c r="AP986" s="1">
        <v>1</v>
      </c>
    </row>
    <row r="987" spans="2:42" x14ac:dyDescent="0.15">
      <c r="B987" s="82" t="s">
        <v>604</v>
      </c>
      <c r="C987" s="61">
        <f>VLOOKUP(B987,[1]SYS!$F$5:$G$359,2,FALSE)</f>
        <v>226</v>
      </c>
      <c r="D987" s="1" t="s">
        <v>5</v>
      </c>
      <c r="E987" s="65" t="s">
        <v>273</v>
      </c>
      <c r="F987" s="42"/>
      <c r="G987" s="1">
        <v>7</v>
      </c>
      <c r="H987" s="1">
        <f t="shared" ref="H987:H1081" si="248">W987/X987</f>
        <v>0.30303030303030304</v>
      </c>
      <c r="I987" s="1">
        <f t="shared" si="247"/>
        <v>3.3000000000000002E-2</v>
      </c>
      <c r="J987" s="1">
        <f t="shared" si="240"/>
        <v>5.3000000000000047E-2</v>
      </c>
      <c r="K987" s="1">
        <f t="shared" ref="K987:K1081" si="249">Z987/1000</f>
        <v>3.0049899999999998</v>
      </c>
      <c r="L987" s="1">
        <f t="shared" ref="L987:L1081" si="250">AA987/1000</f>
        <v>2.5072899999999998</v>
      </c>
      <c r="M987" s="49">
        <f t="shared" si="246"/>
        <v>0.13430918030494063</v>
      </c>
      <c r="N987" s="49">
        <v>0.10890000000000001</v>
      </c>
      <c r="O987" s="1">
        <v>509</v>
      </c>
      <c r="P987" s="51">
        <v>0.05</v>
      </c>
      <c r="Q987" s="51">
        <v>8</v>
      </c>
      <c r="R987" s="51">
        <v>1</v>
      </c>
      <c r="S987" s="1">
        <v>1</v>
      </c>
      <c r="T987" s="1">
        <v>0</v>
      </c>
      <c r="U987" s="47">
        <v>1</v>
      </c>
      <c r="V987" s="47">
        <v>296</v>
      </c>
      <c r="W987" s="41">
        <v>10</v>
      </c>
      <c r="X987">
        <v>33</v>
      </c>
      <c r="Y987">
        <v>0.94699999999999995</v>
      </c>
      <c r="Z987">
        <v>3004.99</v>
      </c>
      <c r="AA987">
        <v>2507.29</v>
      </c>
      <c r="AB987">
        <v>10.89</v>
      </c>
      <c r="AC987">
        <v>46</v>
      </c>
      <c r="AD987" s="41">
        <f t="shared" si="241"/>
        <v>0.28619063624171798</v>
      </c>
      <c r="AE987" s="41">
        <f t="shared" si="242"/>
        <v>0.34299981254661405</v>
      </c>
      <c r="AF987">
        <f t="shared" si="243"/>
        <v>2.2908986956521735</v>
      </c>
      <c r="AG987">
        <f t="shared" si="244"/>
        <v>7.1409130434782675E-3</v>
      </c>
      <c r="AH987">
        <f t="shared" si="245"/>
        <v>0.10890000000000001</v>
      </c>
      <c r="AI987">
        <f>HLOOKUP(HLOOKUP(G987,'THP2'!$B$4:$J$8,5,FALSE),'Fuel &amp; Resister'!$B$3:$G$6,4,FALSE)</f>
        <v>2.7360666666666664</v>
      </c>
      <c r="AJ987" s="41">
        <f>HLOOKUP(HLOOKUP(G987,'THP2'!$B$4:$J$8,5,FALSE),'Fuel &amp; Resister'!$B$3:$G$6,3,FALSE)</f>
        <v>13.019</v>
      </c>
      <c r="AO987" s="1">
        <v>1</v>
      </c>
      <c r="AP987" s="1">
        <v>1</v>
      </c>
    </row>
    <row r="988" spans="2:42" x14ac:dyDescent="0.15">
      <c r="B988" s="82" t="s">
        <v>656</v>
      </c>
      <c r="C988" s="61">
        <f>VLOOKUP(B988,[1]SYS!$F$5:$G$359,2,FALSE)</f>
        <v>219</v>
      </c>
      <c r="D988" s="1" t="s">
        <v>50</v>
      </c>
      <c r="E988" s="65" t="s">
        <v>540</v>
      </c>
      <c r="F988" s="63" t="s">
        <v>547</v>
      </c>
      <c r="G988" s="1">
        <v>7</v>
      </c>
      <c r="H988" s="1">
        <f t="shared" si="248"/>
        <v>0.40041067761806981</v>
      </c>
      <c r="I988" s="1">
        <f t="shared" si="247"/>
        <v>0.48699999999999999</v>
      </c>
      <c r="J988" s="1">
        <f t="shared" si="240"/>
        <v>1.749999999999996E-2</v>
      </c>
      <c r="K988" s="1">
        <f t="shared" si="249"/>
        <v>2.0775799999999998</v>
      </c>
      <c r="L988" s="1">
        <f t="shared" si="250"/>
        <v>1.59259</v>
      </c>
      <c r="M988" s="49">
        <f t="shared" ref="M988:M1019" si="251">(I988*10^6*L988/AJ988*AI988/10^6)*24*365/1000*$A$772</f>
        <v>1.2589837824892756</v>
      </c>
      <c r="N988" s="49">
        <v>0.10890000000000001</v>
      </c>
      <c r="O988" s="1">
        <v>1004</v>
      </c>
      <c r="P988" s="51">
        <v>0.05</v>
      </c>
      <c r="Q988" s="51">
        <v>11</v>
      </c>
      <c r="R988" s="51">
        <v>1</v>
      </c>
      <c r="S988" s="1">
        <v>1</v>
      </c>
      <c r="T988" s="1">
        <v>0</v>
      </c>
      <c r="U988" s="47">
        <v>0</v>
      </c>
      <c r="V988" s="47"/>
      <c r="W988" s="41">
        <v>195</v>
      </c>
      <c r="X988">
        <v>487</v>
      </c>
      <c r="Y988">
        <v>0.98250000000000004</v>
      </c>
      <c r="Z988">
        <v>2077.58</v>
      </c>
      <c r="AA988">
        <v>1592.59</v>
      </c>
      <c r="AB988">
        <v>145.6</v>
      </c>
      <c r="AC988">
        <v>36</v>
      </c>
      <c r="AD988" s="41">
        <f t="shared" si="241"/>
        <v>0.41394314539030991</v>
      </c>
      <c r="AE988" s="41">
        <f t="shared" si="242"/>
        <v>0.54000087907119854</v>
      </c>
      <c r="AF988">
        <f t="shared" si="243"/>
        <v>1.268709691780822</v>
      </c>
      <c r="AG988">
        <f t="shared" si="244"/>
        <v>0.15772971010273965</v>
      </c>
      <c r="AH988">
        <f t="shared" si="245"/>
        <v>1.456</v>
      </c>
      <c r="AI988">
        <f>HLOOKUP(HLOOKUP(G988,'THP2'!$B$4:$J$8,5,FALSE),'Fuel &amp; Resister'!$B$3:$G$6,4,FALSE)</f>
        <v>2.7360666666666664</v>
      </c>
      <c r="AJ988" s="41">
        <f>HLOOKUP(HLOOKUP(G988,'THP2'!$B$4:$J$8,5,FALSE),'Fuel &amp; Resister'!$B$3:$G$6,3,FALSE)</f>
        <v>13.019</v>
      </c>
      <c r="AO988" s="1">
        <v>1</v>
      </c>
      <c r="AP988" s="1">
        <v>1</v>
      </c>
    </row>
    <row r="989" spans="2:42" x14ac:dyDescent="0.15">
      <c r="B989" s="82" t="s">
        <v>656</v>
      </c>
      <c r="C989" s="61">
        <f>VLOOKUP(B989,[1]SYS!$F$5:$G$359,2,FALSE)</f>
        <v>219</v>
      </c>
      <c r="D989" s="1" t="s">
        <v>50</v>
      </c>
      <c r="E989" s="65" t="s">
        <v>540</v>
      </c>
      <c r="F989" s="63" t="s">
        <v>547</v>
      </c>
      <c r="G989" s="1">
        <v>7</v>
      </c>
      <c r="H989" s="1">
        <f t="shared" si="248"/>
        <v>0.40041067761806981</v>
      </c>
      <c r="I989" s="1">
        <f t="shared" si="247"/>
        <v>0.48699999999999999</v>
      </c>
      <c r="J989" s="1">
        <f t="shared" si="240"/>
        <v>1.749999999999996E-2</v>
      </c>
      <c r="K989" s="1">
        <f t="shared" si="249"/>
        <v>2.0775799999999998</v>
      </c>
      <c r="L989" s="1">
        <f t="shared" si="250"/>
        <v>1.59259</v>
      </c>
      <c r="M989" s="49">
        <f t="shared" si="251"/>
        <v>1.2589837824892756</v>
      </c>
      <c r="N989" s="49">
        <v>0.10890000000000001</v>
      </c>
      <c r="O989" s="1">
        <v>1109</v>
      </c>
      <c r="P989" s="51">
        <v>0.05</v>
      </c>
      <c r="Q989" s="51">
        <v>11</v>
      </c>
      <c r="R989" s="51">
        <v>1</v>
      </c>
      <c r="S989" s="1">
        <v>1</v>
      </c>
      <c r="T989" s="1">
        <v>0</v>
      </c>
      <c r="U989" s="47">
        <v>0</v>
      </c>
      <c r="V989" s="47"/>
      <c r="W989" s="41">
        <v>195</v>
      </c>
      <c r="X989">
        <v>487</v>
      </c>
      <c r="Y989">
        <v>0.98250000000000004</v>
      </c>
      <c r="Z989">
        <v>2077.58</v>
      </c>
      <c r="AA989">
        <v>1592.59</v>
      </c>
      <c r="AB989">
        <v>145.6</v>
      </c>
      <c r="AC989">
        <v>36</v>
      </c>
      <c r="AD989" s="41">
        <f t="shared" si="241"/>
        <v>0.41394314539030991</v>
      </c>
      <c r="AE989" s="41">
        <f t="shared" si="242"/>
        <v>0.54000087907119854</v>
      </c>
      <c r="AF989">
        <f t="shared" si="243"/>
        <v>1.268709691780822</v>
      </c>
      <c r="AG989">
        <f t="shared" si="244"/>
        <v>0.15772971010273965</v>
      </c>
      <c r="AH989">
        <f t="shared" si="245"/>
        <v>1.456</v>
      </c>
      <c r="AI989">
        <f>HLOOKUP(HLOOKUP(G989,'THP2'!$B$4:$J$8,5,FALSE),'Fuel &amp; Resister'!$B$3:$G$6,4,FALSE)</f>
        <v>2.7360666666666664</v>
      </c>
      <c r="AJ989" s="41">
        <f>HLOOKUP(HLOOKUP(G989,'THP2'!$B$4:$J$8,5,FALSE),'Fuel &amp; Resister'!$B$3:$G$6,3,FALSE)</f>
        <v>13.019</v>
      </c>
      <c r="AO989" s="1">
        <v>1</v>
      </c>
      <c r="AP989" s="1">
        <v>1</v>
      </c>
    </row>
    <row r="990" spans="2:42" x14ac:dyDescent="0.15">
      <c r="B990" s="82" t="s">
        <v>656</v>
      </c>
      <c r="C990" s="61">
        <f>VLOOKUP(B990,[1]SYS!$F$5:$G$359,2,FALSE)</f>
        <v>219</v>
      </c>
      <c r="D990" s="1" t="s">
        <v>50</v>
      </c>
      <c r="E990" s="65" t="s">
        <v>540</v>
      </c>
      <c r="F990" s="63" t="s">
        <v>547</v>
      </c>
      <c r="G990" s="1">
        <v>7</v>
      </c>
      <c r="H990" s="1">
        <f t="shared" si="248"/>
        <v>0.40041067761806981</v>
      </c>
      <c r="I990" s="1">
        <f t="shared" si="247"/>
        <v>0.48699999999999999</v>
      </c>
      <c r="J990" s="1">
        <f t="shared" si="240"/>
        <v>1.749999999999996E-2</v>
      </c>
      <c r="K990" s="1">
        <f t="shared" si="249"/>
        <v>2.0775799999999998</v>
      </c>
      <c r="L990" s="1">
        <f t="shared" si="250"/>
        <v>1.59259</v>
      </c>
      <c r="M990" s="49">
        <f t="shared" si="251"/>
        <v>1.2589837824892756</v>
      </c>
      <c r="N990" s="49">
        <v>0.10890000000000001</v>
      </c>
      <c r="O990" s="1">
        <v>403</v>
      </c>
      <c r="P990" s="51">
        <v>0.05</v>
      </c>
      <c r="Q990" s="51">
        <v>11</v>
      </c>
      <c r="R990" s="51">
        <v>1</v>
      </c>
      <c r="S990" s="1">
        <v>1</v>
      </c>
      <c r="T990" s="1">
        <v>0</v>
      </c>
      <c r="U990" s="47">
        <v>0</v>
      </c>
      <c r="V990" s="47"/>
      <c r="W990" s="41">
        <v>195</v>
      </c>
      <c r="X990">
        <v>487</v>
      </c>
      <c r="Y990">
        <v>0.98250000000000004</v>
      </c>
      <c r="Z990">
        <v>2077.58</v>
      </c>
      <c r="AA990">
        <v>1592.59</v>
      </c>
      <c r="AB990">
        <v>145.6</v>
      </c>
      <c r="AC990">
        <v>36</v>
      </c>
      <c r="AD990" s="41">
        <f t="shared" si="241"/>
        <v>0.41394314539030991</v>
      </c>
      <c r="AE990" s="41">
        <f t="shared" si="242"/>
        <v>0.54000087907119854</v>
      </c>
      <c r="AF990">
        <f t="shared" si="243"/>
        <v>1.268709691780822</v>
      </c>
      <c r="AG990">
        <f t="shared" si="244"/>
        <v>0.15772971010273965</v>
      </c>
      <c r="AH990">
        <f t="shared" si="245"/>
        <v>1.456</v>
      </c>
      <c r="AI990">
        <f>HLOOKUP(HLOOKUP(G990,'THP2'!$B$4:$J$8,5,FALSE),'Fuel &amp; Resister'!$B$3:$G$6,4,FALSE)</f>
        <v>2.7360666666666664</v>
      </c>
      <c r="AJ990" s="41">
        <f>HLOOKUP(HLOOKUP(G990,'THP2'!$B$4:$J$8,5,FALSE),'Fuel &amp; Resister'!$B$3:$G$6,3,FALSE)</f>
        <v>13.019</v>
      </c>
      <c r="AO990" s="1">
        <v>1</v>
      </c>
      <c r="AP990" s="1">
        <v>1</v>
      </c>
    </row>
    <row r="991" spans="2:42" x14ac:dyDescent="0.15">
      <c r="B991" s="82" t="s">
        <v>656</v>
      </c>
      <c r="C991" s="61">
        <f>VLOOKUP(B991,[1]SYS!$F$5:$G$359,2,FALSE)</f>
        <v>219</v>
      </c>
      <c r="D991" s="1" t="s">
        <v>50</v>
      </c>
      <c r="E991" s="65" t="s">
        <v>540</v>
      </c>
      <c r="F991" s="63" t="s">
        <v>547</v>
      </c>
      <c r="G991" s="1">
        <v>7</v>
      </c>
      <c r="H991" s="1">
        <f t="shared" si="248"/>
        <v>0.40041067761806981</v>
      </c>
      <c r="I991" s="1">
        <f t="shared" si="247"/>
        <v>0.48699999999999999</v>
      </c>
      <c r="J991" s="1">
        <f t="shared" si="240"/>
        <v>1.749999999999996E-2</v>
      </c>
      <c r="K991" s="1">
        <f t="shared" si="249"/>
        <v>2.0775799999999998</v>
      </c>
      <c r="L991" s="1">
        <f t="shared" si="250"/>
        <v>1.59259</v>
      </c>
      <c r="M991" s="49">
        <f t="shared" si="251"/>
        <v>1.2589837824892756</v>
      </c>
      <c r="N991" s="49">
        <v>0.10890000000000001</v>
      </c>
      <c r="O991" s="1">
        <v>509</v>
      </c>
      <c r="P991" s="51">
        <v>0.05</v>
      </c>
      <c r="Q991" s="51">
        <v>11</v>
      </c>
      <c r="R991" s="51">
        <v>1</v>
      </c>
      <c r="S991" s="1">
        <v>1</v>
      </c>
      <c r="T991" s="1">
        <v>0</v>
      </c>
      <c r="U991" s="47">
        <v>0</v>
      </c>
      <c r="V991" s="47"/>
      <c r="W991" s="41">
        <v>195</v>
      </c>
      <c r="X991">
        <v>487</v>
      </c>
      <c r="Y991">
        <v>0.98250000000000004</v>
      </c>
      <c r="Z991">
        <v>2077.58</v>
      </c>
      <c r="AA991">
        <v>1592.59</v>
      </c>
      <c r="AB991">
        <v>145.6</v>
      </c>
      <c r="AC991">
        <v>36</v>
      </c>
      <c r="AD991" s="41">
        <f t="shared" si="241"/>
        <v>0.41394314539030991</v>
      </c>
      <c r="AE991" s="41">
        <f t="shared" si="242"/>
        <v>0.54000087907119854</v>
      </c>
      <c r="AF991">
        <f t="shared" si="243"/>
        <v>1.268709691780822</v>
      </c>
      <c r="AG991">
        <f t="shared" si="244"/>
        <v>0.15772971010273965</v>
      </c>
      <c r="AH991">
        <f t="shared" si="245"/>
        <v>1.456</v>
      </c>
      <c r="AI991">
        <f>HLOOKUP(HLOOKUP(G991,'THP2'!$B$4:$J$8,5,FALSE),'Fuel &amp; Resister'!$B$3:$G$6,4,FALSE)</f>
        <v>2.7360666666666664</v>
      </c>
      <c r="AJ991" s="41">
        <f>HLOOKUP(HLOOKUP(G991,'THP2'!$B$4:$J$8,5,FALSE),'Fuel &amp; Resister'!$B$3:$G$6,3,FALSE)</f>
        <v>13.019</v>
      </c>
      <c r="AO991" s="1">
        <v>1</v>
      </c>
      <c r="AP991" s="1">
        <v>1</v>
      </c>
    </row>
    <row r="992" spans="2:42" x14ac:dyDescent="0.15">
      <c r="B992" s="82" t="s">
        <v>656</v>
      </c>
      <c r="C992" s="61">
        <f>VLOOKUP(B992,[1]SYS!$F$5:$G$359,2,FALSE)</f>
        <v>219</v>
      </c>
      <c r="D992" s="1" t="s">
        <v>50</v>
      </c>
      <c r="E992" s="65" t="s">
        <v>540</v>
      </c>
      <c r="F992" s="63" t="s">
        <v>547</v>
      </c>
      <c r="G992" s="1">
        <v>7</v>
      </c>
      <c r="H992" s="1">
        <f t="shared" si="248"/>
        <v>0.40041067761806981</v>
      </c>
      <c r="I992" s="1">
        <f t="shared" si="247"/>
        <v>0.48699999999999999</v>
      </c>
      <c r="J992" s="1">
        <f t="shared" si="240"/>
        <v>1.749999999999996E-2</v>
      </c>
      <c r="K992" s="1">
        <f t="shared" si="249"/>
        <v>2.0775799999999998</v>
      </c>
      <c r="L992" s="1">
        <f t="shared" si="250"/>
        <v>1.59259</v>
      </c>
      <c r="M992" s="49">
        <f t="shared" si="251"/>
        <v>1.2589837824892756</v>
      </c>
      <c r="N992" s="49">
        <v>0.10890000000000001</v>
      </c>
      <c r="O992" s="1">
        <v>1004</v>
      </c>
      <c r="P992" s="51">
        <v>0.05</v>
      </c>
      <c r="Q992" s="51">
        <v>11</v>
      </c>
      <c r="R992" s="51">
        <v>1</v>
      </c>
      <c r="S992" s="1">
        <v>1</v>
      </c>
      <c r="T992" s="1">
        <v>0</v>
      </c>
      <c r="U992" s="47">
        <v>0</v>
      </c>
      <c r="V992" s="47"/>
      <c r="W992" s="41">
        <v>195</v>
      </c>
      <c r="X992">
        <v>487</v>
      </c>
      <c r="Y992">
        <v>0.98250000000000004</v>
      </c>
      <c r="Z992">
        <v>2077.58</v>
      </c>
      <c r="AA992">
        <v>1592.59</v>
      </c>
      <c r="AB992">
        <v>145.6</v>
      </c>
      <c r="AC992">
        <v>36</v>
      </c>
      <c r="AD992" s="41">
        <f t="shared" si="241"/>
        <v>0.41394314539030991</v>
      </c>
      <c r="AE992" s="41">
        <f t="shared" si="242"/>
        <v>0.54000087907119854</v>
      </c>
      <c r="AF992">
        <f t="shared" si="243"/>
        <v>1.268709691780822</v>
      </c>
      <c r="AG992">
        <f t="shared" si="244"/>
        <v>0.15772971010273965</v>
      </c>
      <c r="AH992">
        <f t="shared" si="245"/>
        <v>1.456</v>
      </c>
      <c r="AI992">
        <f>HLOOKUP(HLOOKUP(G992,'THP2'!$B$4:$J$8,5,FALSE),'Fuel &amp; Resister'!$B$3:$G$6,4,FALSE)</f>
        <v>2.7360666666666664</v>
      </c>
      <c r="AJ992" s="41">
        <f>HLOOKUP(HLOOKUP(G992,'THP2'!$B$4:$J$8,5,FALSE),'Fuel &amp; Resister'!$B$3:$G$6,3,FALSE)</f>
        <v>13.019</v>
      </c>
      <c r="AO992" s="1">
        <v>1</v>
      </c>
      <c r="AP992" s="1">
        <v>1</v>
      </c>
    </row>
    <row r="993" spans="2:42" x14ac:dyDescent="0.15">
      <c r="B993" s="82" t="s">
        <v>656</v>
      </c>
      <c r="C993" s="61">
        <f>VLOOKUP(B993,[1]SYS!$F$5:$G$359,2,FALSE)</f>
        <v>219</v>
      </c>
      <c r="D993" s="1" t="s">
        <v>50</v>
      </c>
      <c r="E993" s="65" t="s">
        <v>540</v>
      </c>
      <c r="F993" s="63" t="s">
        <v>547</v>
      </c>
      <c r="G993" s="1">
        <v>7</v>
      </c>
      <c r="H993" s="1">
        <f t="shared" si="248"/>
        <v>0.40041067761806981</v>
      </c>
      <c r="I993" s="1">
        <f t="shared" si="247"/>
        <v>0.48699999999999999</v>
      </c>
      <c r="J993" s="1">
        <f t="shared" si="240"/>
        <v>1.749999999999996E-2</v>
      </c>
      <c r="K993" s="1">
        <f t="shared" si="249"/>
        <v>2.0775799999999998</v>
      </c>
      <c r="L993" s="1">
        <f t="shared" si="250"/>
        <v>1.59259</v>
      </c>
      <c r="M993" s="49">
        <f t="shared" si="251"/>
        <v>1.2589837824892756</v>
      </c>
      <c r="N993" s="49">
        <v>0.10890000000000001</v>
      </c>
      <c r="O993" s="1">
        <v>1109</v>
      </c>
      <c r="P993" s="51">
        <v>0.05</v>
      </c>
      <c r="Q993" s="51">
        <v>11</v>
      </c>
      <c r="R993" s="51">
        <v>1</v>
      </c>
      <c r="S993" s="1">
        <v>1</v>
      </c>
      <c r="T993" s="1">
        <v>0</v>
      </c>
      <c r="U993" s="47">
        <v>0</v>
      </c>
      <c r="V993" s="47"/>
      <c r="W993" s="41">
        <v>195</v>
      </c>
      <c r="X993">
        <v>487</v>
      </c>
      <c r="Y993">
        <v>0.98250000000000004</v>
      </c>
      <c r="Z993">
        <v>2077.58</v>
      </c>
      <c r="AA993">
        <v>1592.59</v>
      </c>
      <c r="AB993">
        <v>145.6</v>
      </c>
      <c r="AC993">
        <v>36</v>
      </c>
      <c r="AD993" s="41">
        <f t="shared" si="241"/>
        <v>0.41394314539030991</v>
      </c>
      <c r="AE993" s="41">
        <f t="shared" si="242"/>
        <v>0.54000087907119854</v>
      </c>
      <c r="AF993">
        <f t="shared" si="243"/>
        <v>1.268709691780822</v>
      </c>
      <c r="AG993">
        <f t="shared" si="244"/>
        <v>0.15772971010273965</v>
      </c>
      <c r="AH993">
        <f t="shared" si="245"/>
        <v>1.456</v>
      </c>
      <c r="AI993">
        <f>HLOOKUP(HLOOKUP(G993,'THP2'!$B$4:$J$8,5,FALSE),'Fuel &amp; Resister'!$B$3:$G$6,4,FALSE)</f>
        <v>2.7360666666666664</v>
      </c>
      <c r="AJ993" s="41">
        <f>HLOOKUP(HLOOKUP(G993,'THP2'!$B$4:$J$8,5,FALSE),'Fuel &amp; Resister'!$B$3:$G$6,3,FALSE)</f>
        <v>13.019</v>
      </c>
      <c r="AO993" s="1">
        <v>1</v>
      </c>
      <c r="AP993" s="1">
        <v>1</v>
      </c>
    </row>
    <row r="994" spans="2:42" x14ac:dyDescent="0.15">
      <c r="B994" s="82" t="s">
        <v>656</v>
      </c>
      <c r="C994" s="61">
        <f>VLOOKUP(B994,[1]SYS!$F$5:$G$359,2,FALSE)</f>
        <v>219</v>
      </c>
      <c r="D994" s="1" t="s">
        <v>50</v>
      </c>
      <c r="E994" s="65" t="s">
        <v>540</v>
      </c>
      <c r="F994" s="63" t="s">
        <v>547</v>
      </c>
      <c r="G994" s="1">
        <v>7</v>
      </c>
      <c r="H994" s="1">
        <f t="shared" si="248"/>
        <v>0.40041067761806981</v>
      </c>
      <c r="I994" s="1">
        <f t="shared" si="247"/>
        <v>0.48699999999999999</v>
      </c>
      <c r="J994" s="1">
        <f t="shared" si="240"/>
        <v>1.749999999999996E-2</v>
      </c>
      <c r="K994" s="1">
        <f t="shared" si="249"/>
        <v>2.0775799999999998</v>
      </c>
      <c r="L994" s="1">
        <f t="shared" si="250"/>
        <v>1.59259</v>
      </c>
      <c r="M994" s="49">
        <f t="shared" si="251"/>
        <v>1.2589837824892756</v>
      </c>
      <c r="N994" s="49">
        <v>0.10890000000000001</v>
      </c>
      <c r="O994" s="1">
        <v>504</v>
      </c>
      <c r="P994" s="51">
        <v>0.05</v>
      </c>
      <c r="Q994" s="51">
        <v>11</v>
      </c>
      <c r="R994" s="51">
        <v>1</v>
      </c>
      <c r="S994" s="1">
        <v>1</v>
      </c>
      <c r="T994" s="1">
        <v>0</v>
      </c>
      <c r="U994" s="47">
        <v>0</v>
      </c>
      <c r="V994" s="47"/>
      <c r="W994" s="41">
        <v>195</v>
      </c>
      <c r="X994">
        <v>487</v>
      </c>
      <c r="Y994">
        <v>0.98250000000000004</v>
      </c>
      <c r="Z994">
        <v>2077.58</v>
      </c>
      <c r="AA994">
        <v>1592.59</v>
      </c>
      <c r="AB994">
        <v>145.6</v>
      </c>
      <c r="AC994">
        <v>36</v>
      </c>
      <c r="AD994" s="41">
        <f t="shared" si="241"/>
        <v>0.41394314539030991</v>
      </c>
      <c r="AE994" s="41">
        <f t="shared" si="242"/>
        <v>0.54000087907119854</v>
      </c>
      <c r="AF994">
        <f t="shared" si="243"/>
        <v>1.268709691780822</v>
      </c>
      <c r="AG994">
        <f t="shared" si="244"/>
        <v>0.15772971010273965</v>
      </c>
      <c r="AH994">
        <f t="shared" si="245"/>
        <v>1.456</v>
      </c>
      <c r="AI994">
        <f>HLOOKUP(HLOOKUP(G994,'THP2'!$B$4:$J$8,5,FALSE),'Fuel &amp; Resister'!$B$3:$G$6,4,FALSE)</f>
        <v>2.7360666666666664</v>
      </c>
      <c r="AJ994" s="41">
        <f>HLOOKUP(HLOOKUP(G994,'THP2'!$B$4:$J$8,5,FALSE),'Fuel &amp; Resister'!$B$3:$G$6,3,FALSE)</f>
        <v>13.019</v>
      </c>
      <c r="AO994" s="1">
        <v>1</v>
      </c>
      <c r="AP994" s="1">
        <v>1</v>
      </c>
    </row>
    <row r="995" spans="2:42" x14ac:dyDescent="0.15">
      <c r="B995" s="82" t="s">
        <v>601</v>
      </c>
      <c r="C995" s="61">
        <f>VLOOKUP(B995,[1]SYS!$F$5:$G$359,2,FALSE)</f>
        <v>220</v>
      </c>
      <c r="D995" s="1" t="s">
        <v>50</v>
      </c>
      <c r="E995" s="65" t="s">
        <v>540</v>
      </c>
      <c r="F995" s="63" t="s">
        <v>546</v>
      </c>
      <c r="G995" s="1">
        <v>7</v>
      </c>
      <c r="H995" s="1">
        <f t="shared" si="248"/>
        <v>0.40041067761806981</v>
      </c>
      <c r="I995" s="1">
        <f t="shared" si="247"/>
        <v>0.48699999999999999</v>
      </c>
      <c r="J995" s="1">
        <f t="shared" si="240"/>
        <v>1.749999999999996E-2</v>
      </c>
      <c r="K995" s="1">
        <f t="shared" si="249"/>
        <v>2.0775799999999998</v>
      </c>
      <c r="L995" s="1">
        <f t="shared" si="250"/>
        <v>1.59259</v>
      </c>
      <c r="M995" s="49">
        <f t="shared" si="251"/>
        <v>1.2589837824892756</v>
      </c>
      <c r="N995" s="49">
        <v>0.10890000000000001</v>
      </c>
      <c r="O995" s="1">
        <v>609</v>
      </c>
      <c r="P995" s="51">
        <v>0.05</v>
      </c>
      <c r="Q995" s="51">
        <v>11</v>
      </c>
      <c r="R995" s="51">
        <v>1</v>
      </c>
      <c r="S995" s="1">
        <v>1</v>
      </c>
      <c r="T995" s="1">
        <v>0</v>
      </c>
      <c r="U995" s="47">
        <v>0</v>
      </c>
      <c r="V995" s="47"/>
      <c r="W995" s="41">
        <v>195</v>
      </c>
      <c r="X995">
        <v>487</v>
      </c>
      <c r="Y995">
        <v>0.98250000000000004</v>
      </c>
      <c r="Z995">
        <v>2077.58</v>
      </c>
      <c r="AA995">
        <v>1592.59</v>
      </c>
      <c r="AB995">
        <v>145.6</v>
      </c>
      <c r="AC995">
        <v>36</v>
      </c>
      <c r="AD995" s="41">
        <f t="shared" si="241"/>
        <v>0.41394314539030991</v>
      </c>
      <c r="AE995" s="41">
        <f t="shared" si="242"/>
        <v>0.54000087907119854</v>
      </c>
      <c r="AF995">
        <f t="shared" si="243"/>
        <v>1.268709691780822</v>
      </c>
      <c r="AG995">
        <f t="shared" si="244"/>
        <v>0.15772971010273965</v>
      </c>
      <c r="AH995">
        <f t="shared" si="245"/>
        <v>1.456</v>
      </c>
      <c r="AI995">
        <f>HLOOKUP(HLOOKUP(G995,'THP2'!$B$4:$J$8,5,FALSE),'Fuel &amp; Resister'!$B$3:$G$6,4,FALSE)</f>
        <v>2.7360666666666664</v>
      </c>
      <c r="AJ995" s="41">
        <f>HLOOKUP(HLOOKUP(G995,'THP2'!$B$4:$J$8,5,FALSE),'Fuel &amp; Resister'!$B$3:$G$6,3,FALSE)</f>
        <v>13.019</v>
      </c>
      <c r="AO995" s="1">
        <v>1</v>
      </c>
      <c r="AP995" s="1">
        <v>1</v>
      </c>
    </row>
    <row r="996" spans="2:42" x14ac:dyDescent="0.15">
      <c r="B996" s="82" t="s">
        <v>601</v>
      </c>
      <c r="C996" s="61">
        <f>VLOOKUP(B996,[1]SYS!$F$5:$G$359,2,FALSE)</f>
        <v>220</v>
      </c>
      <c r="D996" s="1" t="s">
        <v>50</v>
      </c>
      <c r="E996" s="65" t="s">
        <v>540</v>
      </c>
      <c r="F996" s="63" t="s">
        <v>546</v>
      </c>
      <c r="G996" s="1">
        <v>7</v>
      </c>
      <c r="H996" s="1">
        <f t="shared" si="248"/>
        <v>0.40041067761806981</v>
      </c>
      <c r="I996" s="1">
        <f t="shared" si="247"/>
        <v>0.48699999999999999</v>
      </c>
      <c r="J996" s="1">
        <f t="shared" si="240"/>
        <v>1.749999999999996E-2</v>
      </c>
      <c r="K996" s="1">
        <f t="shared" si="249"/>
        <v>2.0775799999999998</v>
      </c>
      <c r="L996" s="1">
        <f t="shared" si="250"/>
        <v>1.59259</v>
      </c>
      <c r="M996" s="49">
        <f t="shared" si="251"/>
        <v>1.2589837824892756</v>
      </c>
      <c r="N996" s="49">
        <v>0.10890000000000001</v>
      </c>
      <c r="O996" s="1">
        <v>403</v>
      </c>
      <c r="P996" s="51">
        <v>0.05</v>
      </c>
      <c r="Q996" s="51">
        <v>11</v>
      </c>
      <c r="R996" s="51">
        <v>1</v>
      </c>
      <c r="S996" s="1">
        <v>1</v>
      </c>
      <c r="T996" s="1">
        <v>0</v>
      </c>
      <c r="U996" s="47">
        <v>0</v>
      </c>
      <c r="V996" s="47"/>
      <c r="W996" s="41">
        <v>195</v>
      </c>
      <c r="X996">
        <v>487</v>
      </c>
      <c r="Y996">
        <v>0.98250000000000004</v>
      </c>
      <c r="Z996">
        <v>2077.58</v>
      </c>
      <c r="AA996">
        <v>1592.59</v>
      </c>
      <c r="AB996">
        <v>145.6</v>
      </c>
      <c r="AC996">
        <v>36</v>
      </c>
      <c r="AD996" s="41">
        <f t="shared" si="241"/>
        <v>0.41394314539030991</v>
      </c>
      <c r="AE996" s="41">
        <f t="shared" si="242"/>
        <v>0.54000087907119854</v>
      </c>
      <c r="AF996">
        <f t="shared" si="243"/>
        <v>1.268709691780822</v>
      </c>
      <c r="AG996">
        <f t="shared" si="244"/>
        <v>0.15772971010273965</v>
      </c>
      <c r="AH996">
        <f t="shared" si="245"/>
        <v>1.456</v>
      </c>
      <c r="AI996">
        <f>HLOOKUP(HLOOKUP(G996,'THP2'!$B$4:$J$8,5,FALSE),'Fuel &amp; Resister'!$B$3:$G$6,4,FALSE)</f>
        <v>2.7360666666666664</v>
      </c>
      <c r="AJ996" s="41">
        <f>HLOOKUP(HLOOKUP(G996,'THP2'!$B$4:$J$8,5,FALSE),'Fuel &amp; Resister'!$B$3:$G$6,3,FALSE)</f>
        <v>13.019</v>
      </c>
      <c r="AO996" s="1">
        <v>1</v>
      </c>
      <c r="AP996" s="1">
        <v>1</v>
      </c>
    </row>
    <row r="997" spans="2:42" x14ac:dyDescent="0.15">
      <c r="B997" s="82" t="s">
        <v>601</v>
      </c>
      <c r="C997" s="61">
        <f>VLOOKUP(B997,[1]SYS!$F$5:$G$359,2,FALSE)</f>
        <v>220</v>
      </c>
      <c r="D997" s="1" t="s">
        <v>50</v>
      </c>
      <c r="E997" s="65" t="s">
        <v>540</v>
      </c>
      <c r="F997" s="63" t="s">
        <v>546</v>
      </c>
      <c r="G997" s="1">
        <v>7</v>
      </c>
      <c r="H997" s="1">
        <f t="shared" si="248"/>
        <v>0.40041067761806981</v>
      </c>
      <c r="I997" s="1">
        <f t="shared" si="247"/>
        <v>0.48699999999999999</v>
      </c>
      <c r="J997" s="1">
        <f t="shared" si="240"/>
        <v>1.749999999999996E-2</v>
      </c>
      <c r="K997" s="1">
        <f t="shared" si="249"/>
        <v>2.0775799999999998</v>
      </c>
      <c r="L997" s="1">
        <f t="shared" si="250"/>
        <v>1.59259</v>
      </c>
      <c r="M997" s="49">
        <f t="shared" si="251"/>
        <v>1.2589837824892756</v>
      </c>
      <c r="N997" s="49">
        <v>0.10890000000000001</v>
      </c>
      <c r="O997" s="1">
        <v>509</v>
      </c>
      <c r="P997" s="51">
        <v>0.05</v>
      </c>
      <c r="Q997" s="51">
        <v>11</v>
      </c>
      <c r="R997" s="51">
        <v>1</v>
      </c>
      <c r="S997" s="1">
        <v>1</v>
      </c>
      <c r="T997" s="1">
        <v>0</v>
      </c>
      <c r="U997" s="47">
        <v>0</v>
      </c>
      <c r="V997" s="47"/>
      <c r="W997" s="41">
        <v>195</v>
      </c>
      <c r="X997">
        <v>487</v>
      </c>
      <c r="Y997">
        <v>0.98250000000000004</v>
      </c>
      <c r="Z997">
        <v>2077.58</v>
      </c>
      <c r="AA997">
        <v>1592.59</v>
      </c>
      <c r="AB997">
        <v>145.6</v>
      </c>
      <c r="AC997">
        <v>36</v>
      </c>
      <c r="AD997" s="41">
        <f t="shared" si="241"/>
        <v>0.41394314539030991</v>
      </c>
      <c r="AE997" s="41">
        <f t="shared" si="242"/>
        <v>0.54000087907119854</v>
      </c>
      <c r="AF997">
        <f t="shared" si="243"/>
        <v>1.268709691780822</v>
      </c>
      <c r="AG997">
        <f t="shared" si="244"/>
        <v>0.15772971010273965</v>
      </c>
      <c r="AH997">
        <f t="shared" si="245"/>
        <v>1.456</v>
      </c>
      <c r="AI997">
        <f>HLOOKUP(HLOOKUP(G997,'THP2'!$B$4:$J$8,5,FALSE),'Fuel &amp; Resister'!$B$3:$G$6,4,FALSE)</f>
        <v>2.7360666666666664</v>
      </c>
      <c r="AJ997" s="41">
        <f>HLOOKUP(HLOOKUP(G997,'THP2'!$B$4:$J$8,5,FALSE),'Fuel &amp; Resister'!$B$3:$G$6,3,FALSE)</f>
        <v>13.019</v>
      </c>
      <c r="AO997" s="1">
        <v>1</v>
      </c>
      <c r="AP997" s="1">
        <v>1</v>
      </c>
    </row>
    <row r="998" spans="2:42" x14ac:dyDescent="0.15">
      <c r="B998" s="82" t="s">
        <v>601</v>
      </c>
      <c r="C998" s="61">
        <f>VLOOKUP(B998,[1]SYS!$F$5:$G$359,2,FALSE)</f>
        <v>220</v>
      </c>
      <c r="D998" s="1" t="s">
        <v>50</v>
      </c>
      <c r="E998" s="65" t="s">
        <v>540</v>
      </c>
      <c r="F998" s="63" t="s">
        <v>546</v>
      </c>
      <c r="G998" s="1">
        <v>7</v>
      </c>
      <c r="H998" s="1">
        <f t="shared" si="248"/>
        <v>0.40041067761806981</v>
      </c>
      <c r="I998" s="1">
        <f t="shared" si="247"/>
        <v>0.48699999999999999</v>
      </c>
      <c r="J998" s="1">
        <f t="shared" si="240"/>
        <v>1.749999999999996E-2</v>
      </c>
      <c r="K998" s="1">
        <f t="shared" si="249"/>
        <v>2.0775799999999998</v>
      </c>
      <c r="L998" s="1">
        <f t="shared" si="250"/>
        <v>1.59259</v>
      </c>
      <c r="M998" s="49">
        <f t="shared" si="251"/>
        <v>1.2589837824892756</v>
      </c>
      <c r="N998" s="49">
        <v>0.10890000000000001</v>
      </c>
      <c r="O998" s="1">
        <v>504</v>
      </c>
      <c r="P998" s="51">
        <v>0.05</v>
      </c>
      <c r="Q998" s="51">
        <v>11</v>
      </c>
      <c r="R998" s="51">
        <v>1</v>
      </c>
      <c r="S998" s="1">
        <v>1</v>
      </c>
      <c r="T998" s="1">
        <v>0</v>
      </c>
      <c r="U998" s="47">
        <v>0</v>
      </c>
      <c r="V998" s="47"/>
      <c r="W998" s="41">
        <v>195</v>
      </c>
      <c r="X998">
        <v>487</v>
      </c>
      <c r="Y998">
        <v>0.98250000000000004</v>
      </c>
      <c r="Z998">
        <v>2077.58</v>
      </c>
      <c r="AA998">
        <v>1592.59</v>
      </c>
      <c r="AB998">
        <v>145.6</v>
      </c>
      <c r="AC998">
        <v>36</v>
      </c>
      <c r="AD998" s="41">
        <f t="shared" si="241"/>
        <v>0.41394314539030991</v>
      </c>
      <c r="AE998" s="41">
        <f t="shared" si="242"/>
        <v>0.54000087907119854</v>
      </c>
      <c r="AF998">
        <f t="shared" si="243"/>
        <v>1.268709691780822</v>
      </c>
      <c r="AG998">
        <f t="shared" si="244"/>
        <v>0.15772971010273965</v>
      </c>
      <c r="AH998">
        <f t="shared" si="245"/>
        <v>1.456</v>
      </c>
      <c r="AI998">
        <f>HLOOKUP(HLOOKUP(G998,'THP2'!$B$4:$J$8,5,FALSE),'Fuel &amp; Resister'!$B$3:$G$6,4,FALSE)</f>
        <v>2.7360666666666664</v>
      </c>
      <c r="AJ998" s="41">
        <f>HLOOKUP(HLOOKUP(G998,'THP2'!$B$4:$J$8,5,FALSE),'Fuel &amp; Resister'!$B$3:$G$6,3,FALSE)</f>
        <v>13.019</v>
      </c>
      <c r="AO998" s="1">
        <v>1</v>
      </c>
      <c r="AP998" s="1">
        <v>1</v>
      </c>
    </row>
    <row r="999" spans="2:42" x14ac:dyDescent="0.15">
      <c r="B999" s="82" t="s">
        <v>601</v>
      </c>
      <c r="C999" s="61">
        <f>VLOOKUP(B999,[1]SYS!$F$5:$G$359,2,FALSE)</f>
        <v>220</v>
      </c>
      <c r="D999" s="1" t="s">
        <v>50</v>
      </c>
      <c r="E999" s="65" t="s">
        <v>540</v>
      </c>
      <c r="F999" s="63" t="s">
        <v>546</v>
      </c>
      <c r="G999" s="1">
        <v>7</v>
      </c>
      <c r="H999" s="1">
        <f t="shared" si="248"/>
        <v>0.40041067761806981</v>
      </c>
      <c r="I999" s="1">
        <f t="shared" si="247"/>
        <v>0.48699999999999999</v>
      </c>
      <c r="J999" s="1">
        <f t="shared" si="240"/>
        <v>1.749999999999996E-2</v>
      </c>
      <c r="K999" s="1">
        <f t="shared" si="249"/>
        <v>2.0775799999999998</v>
      </c>
      <c r="L999" s="1">
        <f t="shared" si="250"/>
        <v>1.59259</v>
      </c>
      <c r="M999" s="49">
        <f t="shared" si="251"/>
        <v>1.2589837824892756</v>
      </c>
      <c r="N999" s="49">
        <v>0.10890000000000001</v>
      </c>
      <c r="O999" s="1">
        <v>609</v>
      </c>
      <c r="P999" s="51">
        <v>0.05</v>
      </c>
      <c r="Q999" s="51">
        <v>11</v>
      </c>
      <c r="R999" s="51">
        <v>1</v>
      </c>
      <c r="S999" s="1">
        <v>1</v>
      </c>
      <c r="T999" s="1">
        <v>0</v>
      </c>
      <c r="U999" s="47">
        <v>0</v>
      </c>
      <c r="V999" s="47"/>
      <c r="W999" s="41">
        <v>195</v>
      </c>
      <c r="X999">
        <v>487</v>
      </c>
      <c r="Y999">
        <v>0.98250000000000004</v>
      </c>
      <c r="Z999">
        <v>2077.58</v>
      </c>
      <c r="AA999">
        <v>1592.59</v>
      </c>
      <c r="AB999">
        <v>145.6</v>
      </c>
      <c r="AC999">
        <v>36</v>
      </c>
      <c r="AD999" s="41">
        <f t="shared" si="241"/>
        <v>0.41394314539030991</v>
      </c>
      <c r="AE999" s="41">
        <f t="shared" si="242"/>
        <v>0.54000087907119854</v>
      </c>
      <c r="AF999">
        <f t="shared" si="243"/>
        <v>1.268709691780822</v>
      </c>
      <c r="AG999">
        <f t="shared" si="244"/>
        <v>0.15772971010273965</v>
      </c>
      <c r="AH999">
        <f t="shared" si="245"/>
        <v>1.456</v>
      </c>
      <c r="AI999">
        <f>HLOOKUP(HLOOKUP(G999,'THP2'!$B$4:$J$8,5,FALSE),'Fuel &amp; Resister'!$B$3:$G$6,4,FALSE)</f>
        <v>2.7360666666666664</v>
      </c>
      <c r="AJ999" s="41">
        <f>HLOOKUP(HLOOKUP(G999,'THP2'!$B$4:$J$8,5,FALSE),'Fuel &amp; Resister'!$B$3:$G$6,3,FALSE)</f>
        <v>13.019</v>
      </c>
      <c r="AO999" s="1">
        <v>1</v>
      </c>
      <c r="AP999" s="1">
        <v>1</v>
      </c>
    </row>
    <row r="1000" spans="2:42" x14ac:dyDescent="0.15">
      <c r="B1000" s="82" t="s">
        <v>601</v>
      </c>
      <c r="C1000" s="61">
        <f>VLOOKUP(B1000,[1]SYS!$F$5:$G$359,2,FALSE)</f>
        <v>220</v>
      </c>
      <c r="D1000" s="1" t="s">
        <v>50</v>
      </c>
      <c r="E1000" s="65" t="s">
        <v>540</v>
      </c>
      <c r="F1000" s="63" t="s">
        <v>546</v>
      </c>
      <c r="G1000" s="1">
        <v>7</v>
      </c>
      <c r="H1000" s="1">
        <f t="shared" si="248"/>
        <v>0.40041067761806981</v>
      </c>
      <c r="I1000" s="1">
        <f t="shared" si="247"/>
        <v>0.48699999999999999</v>
      </c>
      <c r="J1000" s="1">
        <f t="shared" si="240"/>
        <v>1.749999999999996E-2</v>
      </c>
      <c r="K1000" s="1">
        <f t="shared" si="249"/>
        <v>2.0775799999999998</v>
      </c>
      <c r="L1000" s="1">
        <f t="shared" si="250"/>
        <v>1.59259</v>
      </c>
      <c r="M1000" s="49">
        <f t="shared" si="251"/>
        <v>1.2589837824892756</v>
      </c>
      <c r="N1000" s="49">
        <v>0.10890000000000001</v>
      </c>
      <c r="O1000" s="1">
        <v>403</v>
      </c>
      <c r="P1000" s="51">
        <v>0.05</v>
      </c>
      <c r="Q1000" s="51">
        <v>11</v>
      </c>
      <c r="R1000" s="51">
        <v>1</v>
      </c>
      <c r="S1000" s="1">
        <v>1</v>
      </c>
      <c r="T1000" s="1">
        <v>0</v>
      </c>
      <c r="U1000" s="47">
        <v>0</v>
      </c>
      <c r="V1000" s="47"/>
      <c r="W1000" s="41">
        <v>195</v>
      </c>
      <c r="X1000">
        <v>487</v>
      </c>
      <c r="Y1000">
        <v>0.98250000000000004</v>
      </c>
      <c r="Z1000">
        <v>2077.58</v>
      </c>
      <c r="AA1000">
        <v>1592.59</v>
      </c>
      <c r="AB1000">
        <v>145.6</v>
      </c>
      <c r="AC1000">
        <v>36</v>
      </c>
      <c r="AD1000" s="41">
        <f t="shared" si="241"/>
        <v>0.41394314539030991</v>
      </c>
      <c r="AE1000" s="41">
        <f t="shared" si="242"/>
        <v>0.54000087907119854</v>
      </c>
      <c r="AF1000">
        <f t="shared" si="243"/>
        <v>1.268709691780822</v>
      </c>
      <c r="AG1000">
        <f t="shared" si="244"/>
        <v>0.15772971010273965</v>
      </c>
      <c r="AH1000">
        <f t="shared" si="245"/>
        <v>1.456</v>
      </c>
      <c r="AI1000">
        <f>HLOOKUP(HLOOKUP(G1000,'THP2'!$B$4:$J$8,5,FALSE),'Fuel &amp; Resister'!$B$3:$G$6,4,FALSE)</f>
        <v>2.7360666666666664</v>
      </c>
      <c r="AJ1000" s="41">
        <f>HLOOKUP(HLOOKUP(G1000,'THP2'!$B$4:$J$8,5,FALSE),'Fuel &amp; Resister'!$B$3:$G$6,3,FALSE)</f>
        <v>13.019</v>
      </c>
      <c r="AO1000" s="1">
        <v>1</v>
      </c>
      <c r="AP1000" s="1">
        <v>1</v>
      </c>
    </row>
    <row r="1001" spans="2:42" x14ac:dyDescent="0.15">
      <c r="B1001" s="82" t="s">
        <v>601</v>
      </c>
      <c r="C1001" s="61">
        <f>VLOOKUP(B1001,[1]SYS!$F$5:$G$359,2,FALSE)</f>
        <v>220</v>
      </c>
      <c r="D1001" s="1" t="s">
        <v>50</v>
      </c>
      <c r="E1001" s="65" t="s">
        <v>540</v>
      </c>
      <c r="F1001" s="63" t="s">
        <v>546</v>
      </c>
      <c r="G1001" s="1">
        <v>7</v>
      </c>
      <c r="H1001" s="1">
        <f t="shared" si="248"/>
        <v>0.40041067761806981</v>
      </c>
      <c r="I1001" s="1">
        <f t="shared" si="247"/>
        <v>0.48699999999999999</v>
      </c>
      <c r="J1001" s="1">
        <f t="shared" si="240"/>
        <v>1.749999999999996E-2</v>
      </c>
      <c r="K1001" s="1">
        <f t="shared" si="249"/>
        <v>2.0775799999999998</v>
      </c>
      <c r="L1001" s="1">
        <f t="shared" si="250"/>
        <v>1.59259</v>
      </c>
      <c r="M1001" s="49">
        <f t="shared" si="251"/>
        <v>1.2589837824892756</v>
      </c>
      <c r="N1001" s="49">
        <v>0.10890000000000001</v>
      </c>
      <c r="O1001" s="1">
        <v>509</v>
      </c>
      <c r="P1001" s="51">
        <v>0.05</v>
      </c>
      <c r="Q1001" s="51">
        <v>11</v>
      </c>
      <c r="R1001" s="51">
        <v>1</v>
      </c>
      <c r="S1001" s="1">
        <v>1</v>
      </c>
      <c r="T1001" s="1">
        <v>0</v>
      </c>
      <c r="U1001" s="47">
        <v>0</v>
      </c>
      <c r="V1001" s="47"/>
      <c r="W1001" s="41">
        <v>195</v>
      </c>
      <c r="X1001">
        <v>487</v>
      </c>
      <c r="Y1001">
        <v>0.98250000000000004</v>
      </c>
      <c r="Z1001">
        <v>2077.58</v>
      </c>
      <c r="AA1001">
        <v>1592.59</v>
      </c>
      <c r="AB1001">
        <v>145.6</v>
      </c>
      <c r="AC1001">
        <v>36</v>
      </c>
      <c r="AD1001" s="41">
        <f t="shared" si="241"/>
        <v>0.41394314539030991</v>
      </c>
      <c r="AE1001" s="41">
        <f t="shared" si="242"/>
        <v>0.54000087907119854</v>
      </c>
      <c r="AF1001">
        <f t="shared" si="243"/>
        <v>1.268709691780822</v>
      </c>
      <c r="AG1001">
        <f t="shared" si="244"/>
        <v>0.15772971010273965</v>
      </c>
      <c r="AH1001">
        <f t="shared" si="245"/>
        <v>1.456</v>
      </c>
      <c r="AI1001">
        <f>HLOOKUP(HLOOKUP(G1001,'THP2'!$B$4:$J$8,5,FALSE),'Fuel &amp; Resister'!$B$3:$G$6,4,FALSE)</f>
        <v>2.7360666666666664</v>
      </c>
      <c r="AJ1001" s="41">
        <f>HLOOKUP(HLOOKUP(G1001,'THP2'!$B$4:$J$8,5,FALSE),'Fuel &amp; Resister'!$B$3:$G$6,3,FALSE)</f>
        <v>13.019</v>
      </c>
      <c r="AO1001" s="1">
        <v>1</v>
      </c>
      <c r="AP1001" s="1">
        <v>1</v>
      </c>
    </row>
    <row r="1002" spans="2:42" x14ac:dyDescent="0.15">
      <c r="B1002" s="82" t="s">
        <v>601</v>
      </c>
      <c r="C1002" s="61">
        <f>VLOOKUP(B1002,[1]SYS!$F$5:$G$359,2,FALSE)</f>
        <v>220</v>
      </c>
      <c r="D1002" s="1" t="s">
        <v>50</v>
      </c>
      <c r="E1002" s="65" t="s">
        <v>540</v>
      </c>
      <c r="F1002" s="63" t="s">
        <v>546</v>
      </c>
      <c r="G1002" s="1">
        <v>7</v>
      </c>
      <c r="H1002" s="1">
        <f t="shared" si="248"/>
        <v>0.40041067761806981</v>
      </c>
      <c r="I1002" s="1">
        <f t="shared" si="247"/>
        <v>0.48699999999999999</v>
      </c>
      <c r="J1002" s="1">
        <f t="shared" si="240"/>
        <v>1.749999999999996E-2</v>
      </c>
      <c r="K1002" s="1">
        <f t="shared" si="249"/>
        <v>2.0775799999999998</v>
      </c>
      <c r="L1002" s="1">
        <f t="shared" si="250"/>
        <v>1.59259</v>
      </c>
      <c r="M1002" s="49">
        <f t="shared" si="251"/>
        <v>1.2589837824892756</v>
      </c>
      <c r="N1002" s="49">
        <v>0.10890000000000001</v>
      </c>
      <c r="O1002" s="1">
        <v>1202</v>
      </c>
      <c r="P1002" s="51">
        <v>0.05</v>
      </c>
      <c r="Q1002" s="51">
        <v>11</v>
      </c>
      <c r="R1002" s="51">
        <v>1</v>
      </c>
      <c r="S1002" s="1">
        <v>1</v>
      </c>
      <c r="T1002" s="1">
        <v>0</v>
      </c>
      <c r="U1002" s="47">
        <v>0</v>
      </c>
      <c r="V1002" s="47"/>
      <c r="W1002" s="41">
        <v>195</v>
      </c>
      <c r="X1002">
        <v>487</v>
      </c>
      <c r="Y1002">
        <v>0.98250000000000004</v>
      </c>
      <c r="Z1002">
        <v>2077.58</v>
      </c>
      <c r="AA1002">
        <v>1592.59</v>
      </c>
      <c r="AB1002">
        <v>145.6</v>
      </c>
      <c r="AC1002">
        <v>36</v>
      </c>
      <c r="AD1002" s="41">
        <f t="shared" si="241"/>
        <v>0.41394314539030991</v>
      </c>
      <c r="AE1002" s="41">
        <f t="shared" si="242"/>
        <v>0.54000087907119854</v>
      </c>
      <c r="AF1002">
        <f t="shared" si="243"/>
        <v>1.268709691780822</v>
      </c>
      <c r="AG1002">
        <f t="shared" si="244"/>
        <v>0.15772971010273965</v>
      </c>
      <c r="AH1002">
        <f t="shared" si="245"/>
        <v>1.456</v>
      </c>
      <c r="AI1002">
        <f>HLOOKUP(HLOOKUP(G1002,'THP2'!$B$4:$J$8,5,FALSE),'Fuel &amp; Resister'!$B$3:$G$6,4,FALSE)</f>
        <v>2.7360666666666664</v>
      </c>
      <c r="AJ1002" s="41">
        <f>HLOOKUP(HLOOKUP(G1002,'THP2'!$B$4:$J$8,5,FALSE),'Fuel &amp; Resister'!$B$3:$G$6,3,FALSE)</f>
        <v>13.019</v>
      </c>
      <c r="AO1002" s="1">
        <v>1</v>
      </c>
      <c r="AP1002" s="1">
        <v>1</v>
      </c>
    </row>
    <row r="1003" spans="2:42" x14ac:dyDescent="0.15">
      <c r="B1003" s="82" t="s">
        <v>601</v>
      </c>
      <c r="C1003" s="61">
        <f>VLOOKUP(B1003,[1]SYS!$F$5:$G$359,2,FALSE)</f>
        <v>220</v>
      </c>
      <c r="D1003" s="1" t="s">
        <v>50</v>
      </c>
      <c r="E1003" s="65" t="s">
        <v>540</v>
      </c>
      <c r="F1003" s="63" t="s">
        <v>546</v>
      </c>
      <c r="G1003" s="1">
        <v>7</v>
      </c>
      <c r="H1003" s="1">
        <f t="shared" si="248"/>
        <v>0.40041067761806981</v>
      </c>
      <c r="I1003" s="1">
        <f t="shared" si="247"/>
        <v>0.48699999999999999</v>
      </c>
      <c r="J1003" s="1">
        <f t="shared" si="240"/>
        <v>1.749999999999996E-2</v>
      </c>
      <c r="K1003" s="1">
        <f t="shared" si="249"/>
        <v>2.0775799999999998</v>
      </c>
      <c r="L1003" s="1">
        <f t="shared" si="250"/>
        <v>1.59259</v>
      </c>
      <c r="M1003" s="49">
        <f t="shared" si="251"/>
        <v>1.2589837824892756</v>
      </c>
      <c r="N1003" s="49">
        <v>0.10890000000000001</v>
      </c>
      <c r="O1003" s="1">
        <v>107</v>
      </c>
      <c r="P1003" s="51">
        <v>0.05</v>
      </c>
      <c r="Q1003" s="51">
        <v>11</v>
      </c>
      <c r="R1003" s="51">
        <v>1</v>
      </c>
      <c r="S1003" s="1">
        <v>1</v>
      </c>
      <c r="T1003" s="1">
        <v>0</v>
      </c>
      <c r="U1003" s="47">
        <v>0</v>
      </c>
      <c r="V1003" s="47"/>
      <c r="W1003" s="41">
        <v>195</v>
      </c>
      <c r="X1003">
        <v>487</v>
      </c>
      <c r="Y1003">
        <v>0.98250000000000004</v>
      </c>
      <c r="Z1003">
        <v>2077.58</v>
      </c>
      <c r="AA1003">
        <v>1592.59</v>
      </c>
      <c r="AB1003">
        <v>145.6</v>
      </c>
      <c r="AC1003">
        <v>36</v>
      </c>
      <c r="AD1003" s="41">
        <f t="shared" si="241"/>
        <v>0.41394314539030991</v>
      </c>
      <c r="AE1003" s="41">
        <f t="shared" si="242"/>
        <v>0.54000087907119854</v>
      </c>
      <c r="AF1003">
        <f t="shared" si="243"/>
        <v>1.268709691780822</v>
      </c>
      <c r="AG1003">
        <f t="shared" si="244"/>
        <v>0.15772971010273965</v>
      </c>
      <c r="AH1003">
        <f t="shared" si="245"/>
        <v>1.456</v>
      </c>
      <c r="AI1003">
        <f>HLOOKUP(HLOOKUP(G1003,'THP2'!$B$4:$J$8,5,FALSE),'Fuel &amp; Resister'!$B$3:$G$6,4,FALSE)</f>
        <v>2.7360666666666664</v>
      </c>
      <c r="AJ1003" s="41">
        <f>HLOOKUP(HLOOKUP(G1003,'THP2'!$B$4:$J$8,5,FALSE),'Fuel &amp; Resister'!$B$3:$G$6,3,FALSE)</f>
        <v>13.019</v>
      </c>
      <c r="AO1003" s="1">
        <v>1</v>
      </c>
      <c r="AP1003" s="1">
        <v>1</v>
      </c>
    </row>
    <row r="1004" spans="2:42" x14ac:dyDescent="0.15">
      <c r="B1004" s="82" t="s">
        <v>601</v>
      </c>
      <c r="C1004" s="61">
        <f>VLOOKUP(B1004,[1]SYS!$F$5:$G$359,2,FALSE)</f>
        <v>220</v>
      </c>
      <c r="D1004" s="1" t="s">
        <v>50</v>
      </c>
      <c r="E1004" s="65" t="s">
        <v>540</v>
      </c>
      <c r="F1004" s="63" t="s">
        <v>546</v>
      </c>
      <c r="G1004" s="1">
        <v>7</v>
      </c>
      <c r="H1004" s="1">
        <f t="shared" si="248"/>
        <v>0.40041067761806981</v>
      </c>
      <c r="I1004" s="1">
        <f t="shared" si="247"/>
        <v>0.48699999999999999</v>
      </c>
      <c r="J1004" s="1">
        <f t="shared" si="240"/>
        <v>1.749999999999996E-2</v>
      </c>
      <c r="K1004" s="1">
        <f t="shared" si="249"/>
        <v>2.0775799999999998</v>
      </c>
      <c r="L1004" s="1">
        <f t="shared" si="250"/>
        <v>1.59259</v>
      </c>
      <c r="M1004" s="49">
        <f t="shared" si="251"/>
        <v>1.2589837824892756</v>
      </c>
      <c r="N1004" s="49">
        <v>0.10890000000000001</v>
      </c>
      <c r="O1004" s="1">
        <v>804</v>
      </c>
      <c r="P1004" s="51">
        <v>0.05</v>
      </c>
      <c r="Q1004" s="51">
        <v>11</v>
      </c>
      <c r="R1004" s="51">
        <v>1</v>
      </c>
      <c r="S1004" s="1">
        <v>1</v>
      </c>
      <c r="T1004" s="1">
        <v>0</v>
      </c>
      <c r="U1004" s="47">
        <v>0</v>
      </c>
      <c r="V1004" s="47"/>
      <c r="W1004" s="41">
        <v>195</v>
      </c>
      <c r="X1004">
        <v>487</v>
      </c>
      <c r="Y1004">
        <v>0.98250000000000004</v>
      </c>
      <c r="Z1004">
        <v>2077.58</v>
      </c>
      <c r="AA1004">
        <v>1592.59</v>
      </c>
      <c r="AB1004">
        <v>145.6</v>
      </c>
      <c r="AC1004">
        <v>36</v>
      </c>
      <c r="AD1004" s="41">
        <f t="shared" si="241"/>
        <v>0.41394314539030991</v>
      </c>
      <c r="AE1004" s="41">
        <f t="shared" si="242"/>
        <v>0.54000087907119854</v>
      </c>
      <c r="AF1004">
        <f t="shared" si="243"/>
        <v>1.268709691780822</v>
      </c>
      <c r="AG1004">
        <f t="shared" si="244"/>
        <v>0.15772971010273965</v>
      </c>
      <c r="AH1004">
        <f t="shared" si="245"/>
        <v>1.456</v>
      </c>
      <c r="AI1004">
        <f>HLOOKUP(HLOOKUP(G1004,'THP2'!$B$4:$J$8,5,FALSE),'Fuel &amp; Resister'!$B$3:$G$6,4,FALSE)</f>
        <v>2.7360666666666664</v>
      </c>
      <c r="AJ1004" s="41">
        <f>HLOOKUP(HLOOKUP(G1004,'THP2'!$B$4:$J$8,5,FALSE),'Fuel &amp; Resister'!$B$3:$G$6,3,FALSE)</f>
        <v>13.019</v>
      </c>
      <c r="AO1004" s="1">
        <v>1</v>
      </c>
      <c r="AP1004" s="1">
        <v>1</v>
      </c>
    </row>
    <row r="1005" spans="2:42" x14ac:dyDescent="0.15">
      <c r="B1005" s="82" t="s">
        <v>601</v>
      </c>
      <c r="C1005" s="61">
        <f>VLOOKUP(B1005,[1]SYS!$F$5:$G$359,2,FALSE)</f>
        <v>220</v>
      </c>
      <c r="D1005" s="1" t="s">
        <v>50</v>
      </c>
      <c r="E1005" s="65" t="s">
        <v>540</v>
      </c>
      <c r="F1005" s="63" t="s">
        <v>546</v>
      </c>
      <c r="G1005" s="1">
        <v>7</v>
      </c>
      <c r="H1005" s="1">
        <f t="shared" si="248"/>
        <v>0.40041067761806981</v>
      </c>
      <c r="I1005" s="1">
        <f t="shared" si="247"/>
        <v>0.48699999999999999</v>
      </c>
      <c r="J1005" s="1">
        <f t="shared" si="240"/>
        <v>1.749999999999996E-2</v>
      </c>
      <c r="K1005" s="1">
        <f t="shared" si="249"/>
        <v>2.0775799999999998</v>
      </c>
      <c r="L1005" s="1">
        <f t="shared" si="250"/>
        <v>1.59259</v>
      </c>
      <c r="M1005" s="49">
        <f t="shared" si="251"/>
        <v>1.2589837824892756</v>
      </c>
      <c r="N1005" s="49">
        <v>0.10890000000000001</v>
      </c>
      <c r="O1005" s="1">
        <v>909</v>
      </c>
      <c r="P1005" s="51">
        <v>0.05</v>
      </c>
      <c r="Q1005" s="51">
        <v>11</v>
      </c>
      <c r="R1005" s="51">
        <v>1</v>
      </c>
      <c r="S1005" s="1">
        <v>1</v>
      </c>
      <c r="T1005" s="1">
        <v>0</v>
      </c>
      <c r="U1005" s="47">
        <v>0</v>
      </c>
      <c r="V1005" s="47"/>
      <c r="W1005" s="41">
        <v>195</v>
      </c>
      <c r="X1005">
        <v>487</v>
      </c>
      <c r="Y1005">
        <v>0.98250000000000004</v>
      </c>
      <c r="Z1005">
        <v>2077.58</v>
      </c>
      <c r="AA1005">
        <v>1592.59</v>
      </c>
      <c r="AB1005">
        <v>145.6</v>
      </c>
      <c r="AC1005">
        <v>36</v>
      </c>
      <c r="AD1005" s="41">
        <f t="shared" si="241"/>
        <v>0.41394314539030991</v>
      </c>
      <c r="AE1005" s="41">
        <f t="shared" si="242"/>
        <v>0.54000087907119854</v>
      </c>
      <c r="AF1005">
        <f t="shared" si="243"/>
        <v>1.268709691780822</v>
      </c>
      <c r="AG1005">
        <f t="shared" si="244"/>
        <v>0.15772971010273965</v>
      </c>
      <c r="AH1005">
        <f t="shared" si="245"/>
        <v>1.456</v>
      </c>
      <c r="AI1005">
        <f>HLOOKUP(HLOOKUP(G1005,'THP2'!$B$4:$J$8,5,FALSE),'Fuel &amp; Resister'!$B$3:$G$6,4,FALSE)</f>
        <v>2.7360666666666664</v>
      </c>
      <c r="AJ1005" s="41">
        <f>HLOOKUP(HLOOKUP(G1005,'THP2'!$B$4:$J$8,5,FALSE),'Fuel &amp; Resister'!$B$3:$G$6,3,FALSE)</f>
        <v>13.019</v>
      </c>
      <c r="AO1005" s="1">
        <v>1</v>
      </c>
      <c r="AP1005" s="1">
        <v>1</v>
      </c>
    </row>
    <row r="1006" spans="2:42" x14ac:dyDescent="0.15">
      <c r="B1006" s="82" t="s">
        <v>601</v>
      </c>
      <c r="C1006" s="61">
        <f>VLOOKUP(B1006,[1]SYS!$F$5:$G$359,2,FALSE)</f>
        <v>220</v>
      </c>
      <c r="D1006" s="1" t="s">
        <v>50</v>
      </c>
      <c r="E1006" s="65" t="s">
        <v>540</v>
      </c>
      <c r="F1006" s="63" t="s">
        <v>546</v>
      </c>
      <c r="G1006" s="1">
        <v>7</v>
      </c>
      <c r="H1006" s="1">
        <f t="shared" si="248"/>
        <v>0.40041067761806981</v>
      </c>
      <c r="I1006" s="1">
        <f t="shared" si="247"/>
        <v>0.48699999999999999</v>
      </c>
      <c r="J1006" s="1">
        <f t="shared" si="240"/>
        <v>1.749999999999996E-2</v>
      </c>
      <c r="K1006" s="1">
        <f t="shared" si="249"/>
        <v>2.0775799999999998</v>
      </c>
      <c r="L1006" s="1">
        <f t="shared" si="250"/>
        <v>1.59259</v>
      </c>
      <c r="M1006" s="49">
        <f t="shared" si="251"/>
        <v>1.2589837824892756</v>
      </c>
      <c r="N1006" s="49">
        <v>0.10890000000000001</v>
      </c>
      <c r="O1006" s="1">
        <v>603</v>
      </c>
      <c r="P1006" s="51">
        <v>0.05</v>
      </c>
      <c r="Q1006" s="51">
        <v>11</v>
      </c>
      <c r="R1006" s="51">
        <v>1</v>
      </c>
      <c r="S1006" s="1">
        <v>1</v>
      </c>
      <c r="T1006" s="1">
        <v>0</v>
      </c>
      <c r="U1006" s="47">
        <v>0</v>
      </c>
      <c r="V1006" s="47"/>
      <c r="W1006" s="41">
        <v>195</v>
      </c>
      <c r="X1006">
        <v>487</v>
      </c>
      <c r="Y1006">
        <v>0.98250000000000004</v>
      </c>
      <c r="Z1006">
        <v>2077.58</v>
      </c>
      <c r="AA1006">
        <v>1592.59</v>
      </c>
      <c r="AB1006">
        <v>145.6</v>
      </c>
      <c r="AC1006">
        <v>36</v>
      </c>
      <c r="AD1006" s="41">
        <f t="shared" si="241"/>
        <v>0.41394314539030991</v>
      </c>
      <c r="AE1006" s="41">
        <f t="shared" si="242"/>
        <v>0.54000087907119854</v>
      </c>
      <c r="AF1006">
        <f t="shared" si="243"/>
        <v>1.268709691780822</v>
      </c>
      <c r="AG1006">
        <f t="shared" si="244"/>
        <v>0.15772971010273965</v>
      </c>
      <c r="AH1006">
        <f t="shared" si="245"/>
        <v>1.456</v>
      </c>
      <c r="AI1006">
        <f>HLOOKUP(HLOOKUP(G1006,'THP2'!$B$4:$J$8,5,FALSE),'Fuel &amp; Resister'!$B$3:$G$6,4,FALSE)</f>
        <v>2.7360666666666664</v>
      </c>
      <c r="AJ1006" s="41">
        <f>HLOOKUP(HLOOKUP(G1006,'THP2'!$B$4:$J$8,5,FALSE),'Fuel &amp; Resister'!$B$3:$G$6,3,FALSE)</f>
        <v>13.019</v>
      </c>
      <c r="AO1006" s="1">
        <v>1</v>
      </c>
      <c r="AP1006" s="1">
        <v>1</v>
      </c>
    </row>
    <row r="1007" spans="2:42" x14ac:dyDescent="0.15">
      <c r="B1007" s="82" t="s">
        <v>601</v>
      </c>
      <c r="C1007" s="61">
        <f>VLOOKUP(B1007,[1]SYS!$F$5:$G$359,2,FALSE)</f>
        <v>220</v>
      </c>
      <c r="D1007" s="1" t="s">
        <v>50</v>
      </c>
      <c r="E1007" s="65" t="s">
        <v>540</v>
      </c>
      <c r="F1007" s="63" t="s">
        <v>546</v>
      </c>
      <c r="G1007" s="1">
        <v>7</v>
      </c>
      <c r="H1007" s="1">
        <f t="shared" si="248"/>
        <v>0.40041067761806981</v>
      </c>
      <c r="I1007" s="1">
        <f t="shared" si="247"/>
        <v>0.48699999999999999</v>
      </c>
      <c r="J1007" s="1">
        <f t="shared" si="240"/>
        <v>1.749999999999996E-2</v>
      </c>
      <c r="K1007" s="1">
        <f t="shared" si="249"/>
        <v>2.0775799999999998</v>
      </c>
      <c r="L1007" s="1">
        <f t="shared" si="250"/>
        <v>1.59259</v>
      </c>
      <c r="M1007" s="49">
        <f t="shared" si="251"/>
        <v>1.2589837824892756</v>
      </c>
      <c r="N1007" s="49">
        <v>0.10890000000000001</v>
      </c>
      <c r="O1007" s="1">
        <v>709</v>
      </c>
      <c r="P1007" s="51">
        <v>0.05</v>
      </c>
      <c r="Q1007" s="51">
        <v>11</v>
      </c>
      <c r="R1007" s="51">
        <v>1</v>
      </c>
      <c r="S1007" s="1">
        <v>1</v>
      </c>
      <c r="T1007" s="1">
        <v>0</v>
      </c>
      <c r="U1007" s="47">
        <v>0</v>
      </c>
      <c r="V1007" s="47"/>
      <c r="W1007" s="41">
        <v>195</v>
      </c>
      <c r="X1007">
        <v>487</v>
      </c>
      <c r="Y1007">
        <v>0.98250000000000004</v>
      </c>
      <c r="Z1007">
        <v>2077.58</v>
      </c>
      <c r="AA1007">
        <v>1592.59</v>
      </c>
      <c r="AB1007">
        <v>145.6</v>
      </c>
      <c r="AC1007">
        <v>36</v>
      </c>
      <c r="AD1007" s="41">
        <f t="shared" si="241"/>
        <v>0.41394314539030991</v>
      </c>
      <c r="AE1007" s="41">
        <f t="shared" si="242"/>
        <v>0.54000087907119854</v>
      </c>
      <c r="AF1007">
        <f t="shared" si="243"/>
        <v>1.268709691780822</v>
      </c>
      <c r="AG1007">
        <f t="shared" si="244"/>
        <v>0.15772971010273965</v>
      </c>
      <c r="AH1007">
        <f t="shared" si="245"/>
        <v>1.456</v>
      </c>
      <c r="AI1007">
        <f>HLOOKUP(HLOOKUP(G1007,'THP2'!$B$4:$J$8,5,FALSE),'Fuel &amp; Resister'!$B$3:$G$6,4,FALSE)</f>
        <v>2.7360666666666664</v>
      </c>
      <c r="AJ1007" s="41">
        <f>HLOOKUP(HLOOKUP(G1007,'THP2'!$B$4:$J$8,5,FALSE),'Fuel &amp; Resister'!$B$3:$G$6,3,FALSE)</f>
        <v>13.019</v>
      </c>
      <c r="AO1007" s="1">
        <v>1</v>
      </c>
      <c r="AP1007" s="1">
        <v>1</v>
      </c>
    </row>
    <row r="1008" spans="2:42" x14ac:dyDescent="0.15">
      <c r="B1008" s="82" t="s">
        <v>601</v>
      </c>
      <c r="C1008" s="61">
        <f>VLOOKUP(B1008,[1]SYS!$F$5:$G$359,2,FALSE)</f>
        <v>220</v>
      </c>
      <c r="D1008" s="1" t="s">
        <v>50</v>
      </c>
      <c r="E1008" s="65" t="s">
        <v>540</v>
      </c>
      <c r="F1008" s="63" t="s">
        <v>546</v>
      </c>
      <c r="G1008" s="1">
        <v>7</v>
      </c>
      <c r="H1008" s="1">
        <f t="shared" si="248"/>
        <v>0.40041067761806981</v>
      </c>
      <c r="I1008" s="1">
        <f t="shared" si="247"/>
        <v>0.48699999999999999</v>
      </c>
      <c r="J1008" s="1">
        <f t="shared" si="240"/>
        <v>1.749999999999996E-2</v>
      </c>
      <c r="K1008" s="1">
        <f t="shared" si="249"/>
        <v>2.0775799999999998</v>
      </c>
      <c r="L1008" s="1">
        <f t="shared" si="250"/>
        <v>1.59259</v>
      </c>
      <c r="M1008" s="49">
        <f t="shared" si="251"/>
        <v>1.2589837824892756</v>
      </c>
      <c r="N1008" s="49">
        <v>0.10890000000000001</v>
      </c>
      <c r="O1008" s="1">
        <v>204</v>
      </c>
      <c r="P1008" s="51">
        <v>0.05</v>
      </c>
      <c r="Q1008" s="51">
        <v>11</v>
      </c>
      <c r="R1008" s="51">
        <v>1</v>
      </c>
      <c r="S1008" s="1">
        <v>1</v>
      </c>
      <c r="T1008" s="1">
        <v>0</v>
      </c>
      <c r="U1008" s="47">
        <v>0</v>
      </c>
      <c r="V1008" s="47"/>
      <c r="W1008" s="41">
        <v>195</v>
      </c>
      <c r="X1008">
        <v>487</v>
      </c>
      <c r="Y1008">
        <v>0.98250000000000004</v>
      </c>
      <c r="Z1008">
        <v>2077.58</v>
      </c>
      <c r="AA1008">
        <v>1592.59</v>
      </c>
      <c r="AB1008">
        <v>145.6</v>
      </c>
      <c r="AC1008">
        <v>36</v>
      </c>
      <c r="AD1008" s="41">
        <f t="shared" si="241"/>
        <v>0.41394314539030991</v>
      </c>
      <c r="AE1008" s="41">
        <f t="shared" si="242"/>
        <v>0.54000087907119854</v>
      </c>
      <c r="AF1008">
        <f t="shared" si="243"/>
        <v>1.268709691780822</v>
      </c>
      <c r="AG1008">
        <f t="shared" si="244"/>
        <v>0.15772971010273965</v>
      </c>
      <c r="AH1008">
        <f t="shared" si="245"/>
        <v>1.456</v>
      </c>
      <c r="AI1008">
        <f>HLOOKUP(HLOOKUP(G1008,'THP2'!$B$4:$J$8,5,FALSE),'Fuel &amp; Resister'!$B$3:$G$6,4,FALSE)</f>
        <v>2.7360666666666664</v>
      </c>
      <c r="AJ1008" s="41">
        <f>HLOOKUP(HLOOKUP(G1008,'THP2'!$B$4:$J$8,5,FALSE),'Fuel &amp; Resister'!$B$3:$G$6,3,FALSE)</f>
        <v>13.019</v>
      </c>
      <c r="AO1008" s="1">
        <v>1</v>
      </c>
      <c r="AP1008" s="1">
        <v>1</v>
      </c>
    </row>
    <row r="1009" spans="2:42" x14ac:dyDescent="0.15">
      <c r="B1009" s="82" t="s">
        <v>601</v>
      </c>
      <c r="C1009" s="61">
        <f>VLOOKUP(B1009,[1]SYS!$F$5:$G$359,2,FALSE)</f>
        <v>220</v>
      </c>
      <c r="D1009" s="1" t="s">
        <v>50</v>
      </c>
      <c r="E1009" s="65" t="s">
        <v>540</v>
      </c>
      <c r="F1009" s="63" t="s">
        <v>546</v>
      </c>
      <c r="G1009" s="1">
        <v>7</v>
      </c>
      <c r="H1009" s="1">
        <f t="shared" si="248"/>
        <v>0.40041067761806981</v>
      </c>
      <c r="I1009" s="1">
        <f t="shared" si="247"/>
        <v>0.48699999999999999</v>
      </c>
      <c r="J1009" s="1">
        <f t="shared" si="240"/>
        <v>1.749999999999996E-2</v>
      </c>
      <c r="K1009" s="1">
        <f t="shared" si="249"/>
        <v>2.0775799999999998</v>
      </c>
      <c r="L1009" s="1">
        <f t="shared" si="250"/>
        <v>1.59259</v>
      </c>
      <c r="M1009" s="49">
        <f t="shared" si="251"/>
        <v>1.2589837824892756</v>
      </c>
      <c r="N1009" s="49">
        <v>0.10890000000000001</v>
      </c>
      <c r="O1009" s="1">
        <v>1004</v>
      </c>
      <c r="P1009" s="51">
        <v>0.05</v>
      </c>
      <c r="Q1009" s="51">
        <v>11</v>
      </c>
      <c r="R1009" s="51">
        <v>1</v>
      </c>
      <c r="S1009" s="1">
        <v>1</v>
      </c>
      <c r="T1009" s="1">
        <v>0</v>
      </c>
      <c r="U1009" s="47">
        <v>0</v>
      </c>
      <c r="V1009" s="47"/>
      <c r="W1009" s="41">
        <v>195</v>
      </c>
      <c r="X1009">
        <v>487</v>
      </c>
      <c r="Y1009">
        <v>0.98250000000000004</v>
      </c>
      <c r="Z1009">
        <v>2077.58</v>
      </c>
      <c r="AA1009">
        <v>1592.59</v>
      </c>
      <c r="AB1009">
        <v>145.6</v>
      </c>
      <c r="AC1009">
        <v>36</v>
      </c>
      <c r="AD1009" s="41">
        <f t="shared" si="241"/>
        <v>0.41394314539030991</v>
      </c>
      <c r="AE1009" s="41">
        <f t="shared" si="242"/>
        <v>0.54000087907119854</v>
      </c>
      <c r="AF1009">
        <f t="shared" si="243"/>
        <v>1.268709691780822</v>
      </c>
      <c r="AG1009">
        <f t="shared" si="244"/>
        <v>0.15772971010273965</v>
      </c>
      <c r="AH1009">
        <f t="shared" si="245"/>
        <v>1.456</v>
      </c>
      <c r="AI1009">
        <f>HLOOKUP(HLOOKUP(G1009,'THP2'!$B$4:$J$8,5,FALSE),'Fuel &amp; Resister'!$B$3:$G$6,4,FALSE)</f>
        <v>2.7360666666666664</v>
      </c>
      <c r="AJ1009" s="41">
        <f>HLOOKUP(HLOOKUP(G1009,'THP2'!$B$4:$J$8,5,FALSE),'Fuel &amp; Resister'!$B$3:$G$6,3,FALSE)</f>
        <v>13.019</v>
      </c>
      <c r="AO1009" s="1">
        <v>1</v>
      </c>
      <c r="AP1009" s="1">
        <v>1</v>
      </c>
    </row>
    <row r="1010" spans="2:42" x14ac:dyDescent="0.15">
      <c r="B1010" s="82" t="s">
        <v>604</v>
      </c>
      <c r="C1010" s="61">
        <f>VLOOKUP(B1010,[1]SYS!$F$5:$G$359,2,FALSE)</f>
        <v>226</v>
      </c>
      <c r="D1010" s="1" t="s">
        <v>50</v>
      </c>
      <c r="E1010" s="65" t="s">
        <v>540</v>
      </c>
      <c r="F1010" s="63" t="s">
        <v>546</v>
      </c>
      <c r="G1010" s="1">
        <v>7</v>
      </c>
      <c r="H1010" s="1">
        <f t="shared" si="248"/>
        <v>0.40041067761806981</v>
      </c>
      <c r="I1010" s="1">
        <f t="shared" si="247"/>
        <v>0.48699999999999999</v>
      </c>
      <c r="J1010" s="1">
        <f t="shared" si="240"/>
        <v>1.749999999999996E-2</v>
      </c>
      <c r="K1010" s="1">
        <f t="shared" si="249"/>
        <v>2.0775799999999998</v>
      </c>
      <c r="L1010" s="1">
        <f t="shared" si="250"/>
        <v>1.59259</v>
      </c>
      <c r="M1010" s="49">
        <f t="shared" si="251"/>
        <v>1.2589837824892756</v>
      </c>
      <c r="N1010" s="49">
        <v>0.10890000000000001</v>
      </c>
      <c r="O1010" s="1">
        <v>1109</v>
      </c>
      <c r="P1010" s="51">
        <v>0.05</v>
      </c>
      <c r="Q1010" s="51">
        <v>11</v>
      </c>
      <c r="R1010" s="51">
        <v>1</v>
      </c>
      <c r="S1010" s="1">
        <v>1</v>
      </c>
      <c r="T1010" s="1">
        <v>0</v>
      </c>
      <c r="U1010" s="47">
        <v>0</v>
      </c>
      <c r="V1010" s="47"/>
      <c r="W1010" s="41">
        <v>195</v>
      </c>
      <c r="X1010">
        <v>487</v>
      </c>
      <c r="Y1010">
        <v>0.98250000000000004</v>
      </c>
      <c r="Z1010">
        <v>2077.58</v>
      </c>
      <c r="AA1010">
        <v>1592.59</v>
      </c>
      <c r="AB1010">
        <v>145.6</v>
      </c>
      <c r="AC1010">
        <v>36</v>
      </c>
      <c r="AD1010" s="41">
        <f t="shared" si="241"/>
        <v>0.41394314539030991</v>
      </c>
      <c r="AE1010" s="41">
        <f t="shared" si="242"/>
        <v>0.54000087907119854</v>
      </c>
      <c r="AF1010">
        <f t="shared" si="243"/>
        <v>1.268709691780822</v>
      </c>
      <c r="AG1010">
        <f t="shared" si="244"/>
        <v>0.15772971010273965</v>
      </c>
      <c r="AH1010">
        <f t="shared" si="245"/>
        <v>1.456</v>
      </c>
      <c r="AI1010">
        <f>HLOOKUP(HLOOKUP(G1010,'THP2'!$B$4:$J$8,5,FALSE),'Fuel &amp; Resister'!$B$3:$G$6,4,FALSE)</f>
        <v>2.7360666666666664</v>
      </c>
      <c r="AJ1010" s="41">
        <f>HLOOKUP(HLOOKUP(G1010,'THP2'!$B$4:$J$8,5,FALSE),'Fuel &amp; Resister'!$B$3:$G$6,3,FALSE)</f>
        <v>13.019</v>
      </c>
      <c r="AO1010" s="1">
        <v>1</v>
      </c>
      <c r="AP1010" s="1">
        <v>1</v>
      </c>
    </row>
    <row r="1011" spans="2:42" x14ac:dyDescent="0.15">
      <c r="B1011" s="82" t="s">
        <v>604</v>
      </c>
      <c r="C1011" s="61">
        <f>VLOOKUP(B1011,[1]SYS!$F$5:$G$359,2,FALSE)</f>
        <v>226</v>
      </c>
      <c r="D1011" s="1" t="s">
        <v>50</v>
      </c>
      <c r="E1011" s="65" t="s">
        <v>540</v>
      </c>
      <c r="F1011" s="63" t="s">
        <v>546</v>
      </c>
      <c r="G1011" s="1">
        <v>7</v>
      </c>
      <c r="H1011" s="1">
        <f t="shared" si="248"/>
        <v>0.40041067761806981</v>
      </c>
      <c r="I1011" s="1">
        <f t="shared" si="247"/>
        <v>0.48699999999999999</v>
      </c>
      <c r="J1011" s="1">
        <f t="shared" si="240"/>
        <v>1.749999999999996E-2</v>
      </c>
      <c r="K1011" s="1">
        <f t="shared" si="249"/>
        <v>2.0775799999999998</v>
      </c>
      <c r="L1011" s="1">
        <f t="shared" si="250"/>
        <v>1.59259</v>
      </c>
      <c r="M1011" s="49">
        <f t="shared" si="251"/>
        <v>1.2589837824892756</v>
      </c>
      <c r="N1011" s="49">
        <v>0.10890000000000001</v>
      </c>
      <c r="O1011" s="1">
        <v>401</v>
      </c>
      <c r="P1011" s="51">
        <v>0.05</v>
      </c>
      <c r="Q1011" s="51">
        <v>11</v>
      </c>
      <c r="R1011" s="51">
        <v>1</v>
      </c>
      <c r="S1011" s="1">
        <v>1</v>
      </c>
      <c r="T1011" s="1">
        <v>0</v>
      </c>
      <c r="U1011" s="47">
        <v>0</v>
      </c>
      <c r="V1011" s="47"/>
      <c r="W1011" s="41">
        <v>195</v>
      </c>
      <c r="X1011">
        <v>487</v>
      </c>
      <c r="Y1011">
        <v>0.98250000000000004</v>
      </c>
      <c r="Z1011">
        <v>2077.58</v>
      </c>
      <c r="AA1011">
        <v>1592.59</v>
      </c>
      <c r="AB1011">
        <v>145.6</v>
      </c>
      <c r="AC1011">
        <v>36</v>
      </c>
      <c r="AD1011" s="41">
        <f t="shared" si="241"/>
        <v>0.41394314539030991</v>
      </c>
      <c r="AE1011" s="41">
        <f t="shared" si="242"/>
        <v>0.54000087907119854</v>
      </c>
      <c r="AF1011">
        <f t="shared" si="243"/>
        <v>1.268709691780822</v>
      </c>
      <c r="AG1011">
        <f t="shared" si="244"/>
        <v>0.15772971010273965</v>
      </c>
      <c r="AH1011">
        <f t="shared" si="245"/>
        <v>1.456</v>
      </c>
      <c r="AI1011">
        <f>HLOOKUP(HLOOKUP(G1011,'THP2'!$B$4:$J$8,5,FALSE),'Fuel &amp; Resister'!$B$3:$G$6,4,FALSE)</f>
        <v>2.7360666666666664</v>
      </c>
      <c r="AJ1011" s="41">
        <f>HLOOKUP(HLOOKUP(G1011,'THP2'!$B$4:$J$8,5,FALSE),'Fuel &amp; Resister'!$B$3:$G$6,3,FALSE)</f>
        <v>13.019</v>
      </c>
      <c r="AO1011" s="1">
        <v>1</v>
      </c>
      <c r="AP1011" s="1">
        <v>1</v>
      </c>
    </row>
    <row r="1012" spans="2:42" x14ac:dyDescent="0.15">
      <c r="B1012" s="82" t="s">
        <v>604</v>
      </c>
      <c r="C1012" s="61">
        <f>VLOOKUP(B1012,[1]SYS!$F$5:$G$359,2,FALSE)</f>
        <v>226</v>
      </c>
      <c r="D1012" s="1" t="s">
        <v>50</v>
      </c>
      <c r="E1012" s="65" t="s">
        <v>540</v>
      </c>
      <c r="F1012" s="63" t="s">
        <v>546</v>
      </c>
      <c r="G1012" s="1">
        <v>7</v>
      </c>
      <c r="H1012" s="1">
        <f t="shared" si="248"/>
        <v>0.40041067761806981</v>
      </c>
      <c r="I1012" s="1">
        <f t="shared" si="247"/>
        <v>0.48699999999999999</v>
      </c>
      <c r="J1012" s="1">
        <f t="shared" si="240"/>
        <v>1.749999999999996E-2</v>
      </c>
      <c r="K1012" s="1">
        <f t="shared" si="249"/>
        <v>2.0775799999999998</v>
      </c>
      <c r="L1012" s="1">
        <f t="shared" si="250"/>
        <v>1.59259</v>
      </c>
      <c r="M1012" s="49">
        <f t="shared" si="251"/>
        <v>1.2589837824892756</v>
      </c>
      <c r="N1012" s="49">
        <v>0.10890000000000001</v>
      </c>
      <c r="O1012" s="1">
        <v>507</v>
      </c>
      <c r="P1012" s="51">
        <v>0.05</v>
      </c>
      <c r="Q1012" s="51">
        <v>11</v>
      </c>
      <c r="R1012" s="51">
        <v>1</v>
      </c>
      <c r="S1012" s="1">
        <v>1</v>
      </c>
      <c r="T1012" s="1">
        <v>0</v>
      </c>
      <c r="U1012" s="47">
        <v>0</v>
      </c>
      <c r="V1012" s="47"/>
      <c r="W1012" s="41">
        <v>195</v>
      </c>
      <c r="X1012">
        <v>487</v>
      </c>
      <c r="Y1012">
        <v>0.98250000000000004</v>
      </c>
      <c r="Z1012">
        <v>2077.58</v>
      </c>
      <c r="AA1012">
        <v>1592.59</v>
      </c>
      <c r="AB1012">
        <v>145.6</v>
      </c>
      <c r="AC1012">
        <v>36</v>
      </c>
      <c r="AD1012" s="41">
        <f t="shared" si="241"/>
        <v>0.41394314539030991</v>
      </c>
      <c r="AE1012" s="41">
        <f t="shared" si="242"/>
        <v>0.54000087907119854</v>
      </c>
      <c r="AF1012">
        <f t="shared" si="243"/>
        <v>1.268709691780822</v>
      </c>
      <c r="AG1012">
        <f t="shared" si="244"/>
        <v>0.15772971010273965</v>
      </c>
      <c r="AH1012">
        <f t="shared" si="245"/>
        <v>1.456</v>
      </c>
      <c r="AI1012">
        <f>HLOOKUP(HLOOKUP(G1012,'THP2'!$B$4:$J$8,5,FALSE),'Fuel &amp; Resister'!$B$3:$G$6,4,FALSE)</f>
        <v>2.7360666666666664</v>
      </c>
      <c r="AJ1012" s="41">
        <f>HLOOKUP(HLOOKUP(G1012,'THP2'!$B$4:$J$8,5,FALSE),'Fuel &amp; Resister'!$B$3:$G$6,3,FALSE)</f>
        <v>13.019</v>
      </c>
      <c r="AO1012" s="1">
        <v>1</v>
      </c>
      <c r="AP1012" s="1">
        <v>1</v>
      </c>
    </row>
    <row r="1013" spans="2:42" x14ac:dyDescent="0.15">
      <c r="B1013" s="82" t="s">
        <v>637</v>
      </c>
      <c r="C1013" s="61">
        <f>VLOOKUP(B1013,[1]SYS!$F$5:$G$359,2,FALSE)</f>
        <v>258</v>
      </c>
      <c r="D1013" s="1" t="s">
        <v>50</v>
      </c>
      <c r="E1013" s="65" t="s">
        <v>274</v>
      </c>
      <c r="F1013" s="63" t="s">
        <v>495</v>
      </c>
      <c r="G1013" s="1">
        <v>7</v>
      </c>
      <c r="H1013" s="1">
        <f t="shared" si="248"/>
        <v>0.48442906574394462</v>
      </c>
      <c r="I1013" s="1">
        <f t="shared" si="247"/>
        <v>0.28899999999999998</v>
      </c>
      <c r="J1013" s="1">
        <f t="shared" si="240"/>
        <v>2.0000000000000018E-2</v>
      </c>
      <c r="K1013" s="1">
        <f t="shared" si="249"/>
        <v>1.7941500000000001</v>
      </c>
      <c r="L1013" s="1">
        <f t="shared" si="250"/>
        <v>1.6764100000000002</v>
      </c>
      <c r="M1013" s="49">
        <f t="shared" si="251"/>
        <v>0.78643942269187417</v>
      </c>
      <c r="N1013" s="49">
        <v>1.2421</v>
      </c>
      <c r="O1013" s="1">
        <v>125</v>
      </c>
      <c r="P1013" s="51">
        <v>0.05</v>
      </c>
      <c r="Q1013" s="51">
        <v>11</v>
      </c>
      <c r="R1013" s="51">
        <v>1</v>
      </c>
      <c r="S1013" s="1">
        <v>1</v>
      </c>
      <c r="T1013" s="1">
        <v>0</v>
      </c>
      <c r="U1013" s="47">
        <v>1</v>
      </c>
      <c r="V1013" s="47">
        <v>297</v>
      </c>
      <c r="W1013" s="41">
        <v>140</v>
      </c>
      <c r="X1013">
        <v>289</v>
      </c>
      <c r="Y1013">
        <v>0.98</v>
      </c>
      <c r="Z1013">
        <v>1794.15</v>
      </c>
      <c r="AA1013">
        <v>1676.41</v>
      </c>
      <c r="AB1013">
        <v>124.21</v>
      </c>
      <c r="AC1013">
        <v>36</v>
      </c>
      <c r="AD1013" s="41">
        <f t="shared" si="241"/>
        <v>0.47933561853802636</v>
      </c>
      <c r="AE1013" s="41">
        <f t="shared" si="242"/>
        <v>0.51300099617635297</v>
      </c>
      <c r="AF1013">
        <f t="shared" si="243"/>
        <v>1.5657818120805371</v>
      </c>
      <c r="AG1013">
        <f t="shared" si="244"/>
        <v>3.197154630872482E-2</v>
      </c>
      <c r="AH1013">
        <f t="shared" si="245"/>
        <v>1.2421</v>
      </c>
      <c r="AI1013">
        <f>HLOOKUP(HLOOKUP(G1013,'THP2'!$B$4:$J$8,5,FALSE),'Fuel &amp; Resister'!$B$3:$G$6,4,FALSE)</f>
        <v>2.7360666666666664</v>
      </c>
      <c r="AJ1013" s="41">
        <f>HLOOKUP(HLOOKUP(G1013,'THP2'!$B$4:$J$8,5,FALSE),'Fuel &amp; Resister'!$B$3:$G$6,3,FALSE)</f>
        <v>13.019</v>
      </c>
      <c r="AO1013" s="1">
        <v>1</v>
      </c>
      <c r="AP1013" s="1">
        <v>1</v>
      </c>
    </row>
    <row r="1014" spans="2:42" x14ac:dyDescent="0.15">
      <c r="B1014" s="82" t="s">
        <v>638</v>
      </c>
      <c r="C1014" s="61">
        <f>VLOOKUP(B1014,[1]SYS!$F$5:$G$359,2,FALSE)</f>
        <v>272</v>
      </c>
      <c r="D1014" s="1" t="s">
        <v>50</v>
      </c>
      <c r="E1014" s="65" t="s">
        <v>275</v>
      </c>
      <c r="F1014" s="63" t="s">
        <v>495</v>
      </c>
      <c r="G1014" s="1">
        <v>7</v>
      </c>
      <c r="H1014" s="1">
        <f t="shared" si="248"/>
        <v>0.30405405405405406</v>
      </c>
      <c r="I1014" s="1">
        <f t="shared" si="247"/>
        <v>0.29599999999999999</v>
      </c>
      <c r="J1014" s="1">
        <f t="shared" si="240"/>
        <v>2.0000000000000018E-2</v>
      </c>
      <c r="K1014" s="1">
        <f t="shared" si="249"/>
        <v>2.0613000000000001</v>
      </c>
      <c r="L1014" s="1">
        <f t="shared" si="250"/>
        <v>1.7199</v>
      </c>
      <c r="M1014" s="49">
        <f t="shared" si="251"/>
        <v>0.82638437619071692</v>
      </c>
      <c r="N1014" s="49">
        <v>1.2497</v>
      </c>
      <c r="O1014" s="6">
        <v>314</v>
      </c>
      <c r="P1014" s="51">
        <v>0.05</v>
      </c>
      <c r="Q1014" s="51">
        <v>11</v>
      </c>
      <c r="R1014" s="51">
        <v>1</v>
      </c>
      <c r="S1014" s="1">
        <v>1</v>
      </c>
      <c r="T1014" s="1">
        <v>0</v>
      </c>
      <c r="U1014" s="47">
        <v>1</v>
      </c>
      <c r="V1014" s="47">
        <v>298</v>
      </c>
      <c r="W1014" s="41">
        <v>90</v>
      </c>
      <c r="X1014">
        <v>296</v>
      </c>
      <c r="Y1014">
        <v>0.98</v>
      </c>
      <c r="Z1014">
        <v>2061.3000000000002</v>
      </c>
      <c r="AA1014">
        <v>1719.9</v>
      </c>
      <c r="AB1014">
        <v>124.97</v>
      </c>
      <c r="AC1014">
        <v>36</v>
      </c>
      <c r="AD1014" s="41">
        <f t="shared" si="241"/>
        <v>0.41721243875224373</v>
      </c>
      <c r="AE1014" s="41">
        <f t="shared" si="242"/>
        <v>0.50002907145764286</v>
      </c>
      <c r="AF1014">
        <f t="shared" si="243"/>
        <v>1.5707446601941748</v>
      </c>
      <c r="AG1014">
        <f t="shared" si="244"/>
        <v>4.4149980582524249E-2</v>
      </c>
      <c r="AH1014">
        <f t="shared" si="245"/>
        <v>1.2497</v>
      </c>
      <c r="AI1014">
        <f>HLOOKUP(HLOOKUP(G1014,'THP2'!$B$4:$J$8,5,FALSE),'Fuel &amp; Resister'!$B$3:$G$6,4,FALSE)</f>
        <v>2.7360666666666664</v>
      </c>
      <c r="AJ1014" s="41">
        <f>HLOOKUP(HLOOKUP(G1014,'THP2'!$B$4:$J$8,5,FALSE),'Fuel &amp; Resister'!$B$3:$G$6,3,FALSE)</f>
        <v>13.019</v>
      </c>
      <c r="AO1014" s="1">
        <v>1</v>
      </c>
      <c r="AP1014" s="1">
        <v>1</v>
      </c>
    </row>
    <row r="1015" spans="2:42" x14ac:dyDescent="0.15">
      <c r="B1015" s="82" t="s">
        <v>639</v>
      </c>
      <c r="C1015" s="61">
        <f>VLOOKUP(B1015,[1]SYS!$F$5:$G$359,2,FALSE)</f>
        <v>256</v>
      </c>
      <c r="D1015" s="1" t="s">
        <v>50</v>
      </c>
      <c r="E1015" s="65" t="s">
        <v>276</v>
      </c>
      <c r="F1015" s="63" t="s">
        <v>526</v>
      </c>
      <c r="G1015" s="1">
        <v>7</v>
      </c>
      <c r="H1015" s="1">
        <f t="shared" si="248"/>
        <v>0.4</v>
      </c>
      <c r="I1015" s="1">
        <f t="shared" si="247"/>
        <v>0.15</v>
      </c>
      <c r="J1015" s="1">
        <f t="shared" si="240"/>
        <v>2.0000000000000018E-2</v>
      </c>
      <c r="K1015" s="1">
        <f t="shared" si="249"/>
        <v>2.49309</v>
      </c>
      <c r="L1015" s="1">
        <f t="shared" si="250"/>
        <v>1.9111099999999999</v>
      </c>
      <c r="M1015" s="49">
        <f t="shared" si="251"/>
        <v>0.46533330186009431</v>
      </c>
      <c r="N1015" s="49">
        <v>0.495</v>
      </c>
      <c r="O1015" s="1">
        <v>613</v>
      </c>
      <c r="P1015" s="51">
        <v>0.05</v>
      </c>
      <c r="Q1015" s="51">
        <v>11</v>
      </c>
      <c r="R1015" s="51">
        <v>1</v>
      </c>
      <c r="S1015" s="1">
        <v>1</v>
      </c>
      <c r="T1015" s="1">
        <v>0</v>
      </c>
      <c r="U1015" s="47">
        <v>1</v>
      </c>
      <c r="V1015" s="47">
        <v>299</v>
      </c>
      <c r="W1015" s="41">
        <v>60</v>
      </c>
      <c r="X1015">
        <v>150</v>
      </c>
      <c r="Y1015">
        <v>0.98</v>
      </c>
      <c r="Z1015">
        <v>2493.09</v>
      </c>
      <c r="AA1015">
        <v>1911.11</v>
      </c>
      <c r="AB1015">
        <v>49.5</v>
      </c>
      <c r="AC1015">
        <v>36</v>
      </c>
      <c r="AD1015" s="41">
        <f t="shared" si="241"/>
        <v>0.34495345133950234</v>
      </c>
      <c r="AE1015" s="41">
        <f t="shared" si="242"/>
        <v>0.45000026162805912</v>
      </c>
      <c r="AF1015">
        <f t="shared" si="243"/>
        <v>1.5231233333333332</v>
      </c>
      <c r="AG1015">
        <f t="shared" si="244"/>
        <v>5.8198E-2</v>
      </c>
      <c r="AH1015">
        <f t="shared" si="245"/>
        <v>0.495</v>
      </c>
      <c r="AI1015">
        <f>HLOOKUP(HLOOKUP(G1015,'THP2'!$B$4:$J$8,5,FALSE),'Fuel &amp; Resister'!$B$3:$G$6,4,FALSE)</f>
        <v>2.7360666666666664</v>
      </c>
      <c r="AJ1015" s="41">
        <f>HLOOKUP(HLOOKUP(G1015,'THP2'!$B$4:$J$8,5,FALSE),'Fuel &amp; Resister'!$B$3:$G$6,3,FALSE)</f>
        <v>13.019</v>
      </c>
      <c r="AO1015" s="1">
        <v>1</v>
      </c>
      <c r="AP1015" s="1">
        <v>1</v>
      </c>
    </row>
    <row r="1016" spans="2:42" x14ac:dyDescent="0.15">
      <c r="B1016" s="82" t="s">
        <v>606</v>
      </c>
      <c r="C1016" s="61">
        <f>VLOOKUP(B1016,[1]SYS!$F$5:$G$359,2,FALSE)</f>
        <v>260</v>
      </c>
      <c r="D1016" s="1" t="s">
        <v>50</v>
      </c>
      <c r="E1016" s="65" t="s">
        <v>538</v>
      </c>
      <c r="F1016" s="63" t="s">
        <v>548</v>
      </c>
      <c r="G1016" s="1">
        <v>7</v>
      </c>
      <c r="H1016" s="1">
        <f t="shared" si="248"/>
        <v>0.48442906574394462</v>
      </c>
      <c r="I1016" s="1">
        <f t="shared" si="247"/>
        <v>0.28899999999999998</v>
      </c>
      <c r="J1016" s="1">
        <f t="shared" si="240"/>
        <v>2.0000000000000018E-2</v>
      </c>
      <c r="K1016" s="1">
        <f t="shared" si="249"/>
        <v>1.7941500000000001</v>
      </c>
      <c r="L1016" s="1">
        <f t="shared" si="250"/>
        <v>1.6764100000000002</v>
      </c>
      <c r="M1016" s="49">
        <f t="shared" si="251"/>
        <v>0.78643942269187417</v>
      </c>
      <c r="N1016" s="49">
        <f>AB1016/100</f>
        <v>1.2421</v>
      </c>
      <c r="O1016" s="1">
        <v>413</v>
      </c>
      <c r="P1016" s="51">
        <v>0.05</v>
      </c>
      <c r="Q1016" s="51">
        <v>11</v>
      </c>
      <c r="R1016" s="51">
        <v>1</v>
      </c>
      <c r="S1016" s="1">
        <v>1</v>
      </c>
      <c r="T1016" s="1">
        <v>0</v>
      </c>
      <c r="U1016" s="47">
        <v>0</v>
      </c>
      <c r="V1016" s="47"/>
      <c r="W1016">
        <v>140</v>
      </c>
      <c r="X1016">
        <v>289</v>
      </c>
      <c r="Y1016">
        <v>0.98</v>
      </c>
      <c r="Z1016">
        <v>1794.15</v>
      </c>
      <c r="AA1016" s="41">
        <v>1676.41</v>
      </c>
      <c r="AB1016" s="41">
        <v>124.21</v>
      </c>
      <c r="AC1016">
        <v>36</v>
      </c>
      <c r="AD1016" s="41">
        <f t="shared" si="241"/>
        <v>0.47933561853802636</v>
      </c>
      <c r="AE1016" s="41">
        <f t="shared" si="242"/>
        <v>0.51300099617635297</v>
      </c>
      <c r="AF1016">
        <f t="shared" si="243"/>
        <v>1.5657818120805371</v>
      </c>
      <c r="AG1016">
        <f t="shared" si="244"/>
        <v>3.197154630872482E-2</v>
      </c>
      <c r="AH1016">
        <f t="shared" si="245"/>
        <v>1.2421</v>
      </c>
      <c r="AI1016">
        <f>HLOOKUP(HLOOKUP(G1016,'THP2'!$B$4:$J$8,5,FALSE),'Fuel &amp; Resister'!$B$3:$G$6,4,FALSE)</f>
        <v>2.7360666666666664</v>
      </c>
      <c r="AJ1016" s="41">
        <f>HLOOKUP(HLOOKUP(G1016,'THP2'!$B$4:$J$8,5,FALSE),'Fuel &amp; Resister'!$B$3:$G$6,3,FALSE)</f>
        <v>13.019</v>
      </c>
      <c r="AO1016" s="1">
        <v>1</v>
      </c>
      <c r="AP1016" s="1">
        <v>1</v>
      </c>
    </row>
    <row r="1017" spans="2:42" x14ac:dyDescent="0.15">
      <c r="B1017" s="82" t="s">
        <v>606</v>
      </c>
      <c r="C1017" s="61">
        <f>VLOOKUP(B1017,[1]SYS!$F$5:$G$359,2,FALSE)</f>
        <v>260</v>
      </c>
      <c r="D1017" s="1" t="s">
        <v>50</v>
      </c>
      <c r="E1017" s="65" t="s">
        <v>538</v>
      </c>
      <c r="F1017" s="63" t="s">
        <v>548</v>
      </c>
      <c r="G1017" s="1">
        <v>7</v>
      </c>
      <c r="H1017" s="1">
        <f t="shared" si="248"/>
        <v>0.48442906574394462</v>
      </c>
      <c r="I1017" s="1">
        <f t="shared" si="247"/>
        <v>0.28899999999999998</v>
      </c>
      <c r="J1017" s="1">
        <f t="shared" si="240"/>
        <v>2.0000000000000018E-2</v>
      </c>
      <c r="K1017" s="1">
        <f t="shared" si="249"/>
        <v>1.7941500000000001</v>
      </c>
      <c r="L1017" s="1">
        <f t="shared" si="250"/>
        <v>1.6764100000000002</v>
      </c>
      <c r="M1017" s="49">
        <f t="shared" si="251"/>
        <v>0.78643942269187417</v>
      </c>
      <c r="N1017" s="49">
        <f t="shared" ref="N1017:N1022" si="252">AB1017/100</f>
        <v>1.2421</v>
      </c>
      <c r="O1017" s="1">
        <v>613</v>
      </c>
      <c r="P1017" s="51">
        <v>0.05</v>
      </c>
      <c r="Q1017" s="51">
        <v>11</v>
      </c>
      <c r="R1017" s="51">
        <v>1</v>
      </c>
      <c r="S1017" s="1">
        <v>1</v>
      </c>
      <c r="T1017" s="1">
        <v>0</v>
      </c>
      <c r="U1017" s="47">
        <v>0</v>
      </c>
      <c r="V1017" s="47"/>
      <c r="W1017">
        <v>140</v>
      </c>
      <c r="X1017">
        <v>289</v>
      </c>
      <c r="Y1017">
        <v>0.98</v>
      </c>
      <c r="Z1017">
        <v>1794.15</v>
      </c>
      <c r="AA1017" s="41">
        <v>1676.41</v>
      </c>
      <c r="AB1017" s="41">
        <v>124.21</v>
      </c>
      <c r="AC1017">
        <v>36</v>
      </c>
      <c r="AD1017" s="41">
        <f t="shared" si="241"/>
        <v>0.47933561853802636</v>
      </c>
      <c r="AE1017" s="41">
        <f t="shared" si="242"/>
        <v>0.51300099617635297</v>
      </c>
      <c r="AF1017">
        <f t="shared" si="243"/>
        <v>1.5657818120805371</v>
      </c>
      <c r="AG1017">
        <f t="shared" si="244"/>
        <v>3.197154630872482E-2</v>
      </c>
      <c r="AH1017">
        <f t="shared" si="245"/>
        <v>1.2421</v>
      </c>
      <c r="AI1017">
        <f>HLOOKUP(HLOOKUP(G1017,'THP2'!$B$4:$J$8,5,FALSE),'Fuel &amp; Resister'!$B$3:$G$6,4,FALSE)</f>
        <v>2.7360666666666664</v>
      </c>
      <c r="AJ1017" s="41">
        <f>HLOOKUP(HLOOKUP(G1017,'THP2'!$B$4:$J$8,5,FALSE),'Fuel &amp; Resister'!$B$3:$G$6,3,FALSE)</f>
        <v>13.019</v>
      </c>
      <c r="AO1017" s="1">
        <v>1</v>
      </c>
      <c r="AP1017" s="1">
        <v>1</v>
      </c>
    </row>
    <row r="1018" spans="2:42" x14ac:dyDescent="0.15">
      <c r="B1018" s="82" t="s">
        <v>606</v>
      </c>
      <c r="C1018" s="61">
        <f>VLOOKUP(B1018,[1]SYS!$F$5:$G$359,2,FALSE)</f>
        <v>260</v>
      </c>
      <c r="D1018" s="1" t="s">
        <v>50</v>
      </c>
      <c r="E1018" s="65" t="s">
        <v>538</v>
      </c>
      <c r="F1018" s="63" t="s">
        <v>548</v>
      </c>
      <c r="G1018" s="1">
        <v>7</v>
      </c>
      <c r="H1018" s="1">
        <f t="shared" si="248"/>
        <v>0.48442906574394462</v>
      </c>
      <c r="I1018" s="1">
        <f t="shared" si="247"/>
        <v>0.28899999999999998</v>
      </c>
      <c r="J1018" s="1">
        <f t="shared" si="240"/>
        <v>2.0000000000000018E-2</v>
      </c>
      <c r="K1018" s="1">
        <f t="shared" si="249"/>
        <v>1.7941500000000001</v>
      </c>
      <c r="L1018" s="1">
        <f t="shared" si="250"/>
        <v>1.6764100000000002</v>
      </c>
      <c r="M1018" s="49">
        <f t="shared" si="251"/>
        <v>0.78643942269187417</v>
      </c>
      <c r="N1018" s="49">
        <f t="shared" si="252"/>
        <v>1.2421</v>
      </c>
      <c r="O1018" s="1">
        <v>1113</v>
      </c>
      <c r="P1018" s="51">
        <v>0.05</v>
      </c>
      <c r="Q1018" s="51">
        <v>11</v>
      </c>
      <c r="R1018" s="51">
        <v>1</v>
      </c>
      <c r="S1018" s="1">
        <v>1</v>
      </c>
      <c r="T1018" s="1">
        <v>0</v>
      </c>
      <c r="U1018" s="47">
        <v>0</v>
      </c>
      <c r="V1018" s="47"/>
      <c r="W1018">
        <v>140</v>
      </c>
      <c r="X1018">
        <v>289</v>
      </c>
      <c r="Y1018">
        <v>0.98</v>
      </c>
      <c r="Z1018">
        <v>1794.15</v>
      </c>
      <c r="AA1018" s="41">
        <v>1676.41</v>
      </c>
      <c r="AB1018" s="41">
        <v>124.21</v>
      </c>
      <c r="AC1018">
        <v>36</v>
      </c>
      <c r="AD1018" s="41">
        <f t="shared" si="241"/>
        <v>0.47933561853802636</v>
      </c>
      <c r="AE1018" s="41">
        <f t="shared" si="242"/>
        <v>0.51300099617635297</v>
      </c>
      <c r="AF1018">
        <f t="shared" si="243"/>
        <v>1.5657818120805371</v>
      </c>
      <c r="AG1018">
        <f t="shared" si="244"/>
        <v>3.197154630872482E-2</v>
      </c>
      <c r="AH1018">
        <f t="shared" si="245"/>
        <v>1.2421</v>
      </c>
      <c r="AI1018">
        <f>HLOOKUP(HLOOKUP(G1018,'THP2'!$B$4:$J$8,5,FALSE),'Fuel &amp; Resister'!$B$3:$G$6,4,FALSE)</f>
        <v>2.7360666666666664</v>
      </c>
      <c r="AJ1018" s="41">
        <f>HLOOKUP(HLOOKUP(G1018,'THP2'!$B$4:$J$8,5,FALSE),'Fuel &amp; Resister'!$B$3:$G$6,3,FALSE)</f>
        <v>13.019</v>
      </c>
      <c r="AO1018" s="1">
        <v>1</v>
      </c>
      <c r="AP1018" s="1">
        <v>1</v>
      </c>
    </row>
    <row r="1019" spans="2:42" x14ac:dyDescent="0.15">
      <c r="B1019" s="82" t="s">
        <v>606</v>
      </c>
      <c r="C1019" s="61">
        <f>VLOOKUP(B1019,[1]SYS!$F$5:$G$359,2,FALSE)</f>
        <v>260</v>
      </c>
      <c r="D1019" s="1" t="s">
        <v>50</v>
      </c>
      <c r="E1019" s="65" t="s">
        <v>538</v>
      </c>
      <c r="F1019" s="63" t="s">
        <v>548</v>
      </c>
      <c r="G1019" s="1">
        <v>7</v>
      </c>
      <c r="H1019" s="1">
        <f t="shared" si="248"/>
        <v>0.48442906574394462</v>
      </c>
      <c r="I1019" s="1">
        <f t="shared" si="247"/>
        <v>0.28899999999999998</v>
      </c>
      <c r="J1019" s="1">
        <f t="shared" si="240"/>
        <v>2.0000000000000018E-2</v>
      </c>
      <c r="K1019" s="1">
        <f t="shared" si="249"/>
        <v>1.7941500000000001</v>
      </c>
      <c r="L1019" s="1">
        <f t="shared" si="250"/>
        <v>1.6764100000000002</v>
      </c>
      <c r="M1019" s="49">
        <f t="shared" si="251"/>
        <v>0.78643942269187417</v>
      </c>
      <c r="N1019" s="49">
        <f t="shared" si="252"/>
        <v>1.2421</v>
      </c>
      <c r="O1019" s="1">
        <v>403</v>
      </c>
      <c r="P1019" s="51">
        <v>0.05</v>
      </c>
      <c r="Q1019" s="51">
        <v>11</v>
      </c>
      <c r="R1019" s="51">
        <v>1</v>
      </c>
      <c r="S1019" s="1">
        <v>1</v>
      </c>
      <c r="T1019" s="1">
        <v>0</v>
      </c>
      <c r="U1019" s="47">
        <v>0</v>
      </c>
      <c r="V1019" s="47"/>
      <c r="W1019">
        <v>140</v>
      </c>
      <c r="X1019">
        <v>289</v>
      </c>
      <c r="Y1019">
        <v>0.98</v>
      </c>
      <c r="Z1019">
        <v>1794.15</v>
      </c>
      <c r="AA1019" s="41">
        <v>1676.41</v>
      </c>
      <c r="AB1019" s="41">
        <v>124.21</v>
      </c>
      <c r="AC1019">
        <v>36</v>
      </c>
      <c r="AD1019" s="41">
        <f t="shared" si="241"/>
        <v>0.47933561853802636</v>
      </c>
      <c r="AE1019" s="41">
        <f t="shared" si="242"/>
        <v>0.51300099617635297</v>
      </c>
      <c r="AF1019">
        <f t="shared" si="243"/>
        <v>1.5657818120805371</v>
      </c>
      <c r="AG1019">
        <f t="shared" si="244"/>
        <v>3.197154630872482E-2</v>
      </c>
      <c r="AH1019">
        <f t="shared" si="245"/>
        <v>1.2421</v>
      </c>
      <c r="AI1019">
        <f>HLOOKUP(HLOOKUP(G1019,'THP2'!$B$4:$J$8,5,FALSE),'Fuel &amp; Resister'!$B$3:$G$6,4,FALSE)</f>
        <v>2.7360666666666664</v>
      </c>
      <c r="AJ1019" s="41">
        <f>HLOOKUP(HLOOKUP(G1019,'THP2'!$B$4:$J$8,5,FALSE),'Fuel &amp; Resister'!$B$3:$G$6,3,FALSE)</f>
        <v>13.019</v>
      </c>
      <c r="AO1019" s="1">
        <v>1</v>
      </c>
      <c r="AP1019" s="1">
        <v>1</v>
      </c>
    </row>
    <row r="1020" spans="2:42" x14ac:dyDescent="0.15">
      <c r="B1020" s="82" t="s">
        <v>606</v>
      </c>
      <c r="C1020" s="61">
        <f>VLOOKUP(B1020,[1]SYS!$F$5:$G$359,2,FALSE)</f>
        <v>260</v>
      </c>
      <c r="D1020" s="1" t="s">
        <v>50</v>
      </c>
      <c r="E1020" s="65" t="s">
        <v>538</v>
      </c>
      <c r="F1020" s="63" t="s">
        <v>548</v>
      </c>
      <c r="G1020" s="1">
        <v>7</v>
      </c>
      <c r="H1020" s="1">
        <f t="shared" si="248"/>
        <v>0.48442906574394462</v>
      </c>
      <c r="I1020" s="1">
        <f t="shared" si="247"/>
        <v>0.28899999999999998</v>
      </c>
      <c r="J1020" s="1">
        <f t="shared" si="240"/>
        <v>2.0000000000000018E-2</v>
      </c>
      <c r="K1020" s="1">
        <f t="shared" si="249"/>
        <v>1.7941500000000001</v>
      </c>
      <c r="L1020" s="1">
        <f t="shared" si="250"/>
        <v>1.6764100000000002</v>
      </c>
      <c r="M1020" s="49">
        <f t="shared" ref="M1020:M1051" si="253">(I1020*10^6*L1020/AJ1020*AI1020/10^6)*24*365/1000*$A$772</f>
        <v>0.78643942269187417</v>
      </c>
      <c r="N1020" s="49">
        <f t="shared" si="252"/>
        <v>1.2421</v>
      </c>
      <c r="O1020" s="1">
        <v>509</v>
      </c>
      <c r="P1020" s="51">
        <v>0.05</v>
      </c>
      <c r="Q1020" s="51">
        <v>11</v>
      </c>
      <c r="R1020" s="51">
        <v>1</v>
      </c>
      <c r="S1020" s="1">
        <v>1</v>
      </c>
      <c r="T1020" s="1">
        <v>0</v>
      </c>
      <c r="U1020" s="47">
        <v>0</v>
      </c>
      <c r="V1020" s="47"/>
      <c r="W1020">
        <v>140</v>
      </c>
      <c r="X1020">
        <v>289</v>
      </c>
      <c r="Y1020">
        <v>0.98</v>
      </c>
      <c r="Z1020">
        <v>1794.15</v>
      </c>
      <c r="AA1020" s="41">
        <v>1676.41</v>
      </c>
      <c r="AB1020" s="41">
        <v>124.21</v>
      </c>
      <c r="AC1020">
        <v>36</v>
      </c>
      <c r="AD1020" s="41">
        <f t="shared" si="241"/>
        <v>0.47933561853802636</v>
      </c>
      <c r="AE1020" s="41">
        <f t="shared" si="242"/>
        <v>0.51300099617635297</v>
      </c>
      <c r="AF1020">
        <f t="shared" si="243"/>
        <v>1.5657818120805371</v>
      </c>
      <c r="AG1020">
        <f t="shared" si="244"/>
        <v>3.197154630872482E-2</v>
      </c>
      <c r="AH1020">
        <f t="shared" si="245"/>
        <v>1.2421</v>
      </c>
      <c r="AI1020">
        <f>HLOOKUP(HLOOKUP(G1020,'THP2'!$B$4:$J$8,5,FALSE),'Fuel &amp; Resister'!$B$3:$G$6,4,FALSE)</f>
        <v>2.7360666666666664</v>
      </c>
      <c r="AJ1020" s="41">
        <f>HLOOKUP(HLOOKUP(G1020,'THP2'!$B$4:$J$8,5,FALSE),'Fuel &amp; Resister'!$B$3:$G$6,3,FALSE)</f>
        <v>13.019</v>
      </c>
      <c r="AO1020" s="1">
        <v>1</v>
      </c>
      <c r="AP1020" s="1">
        <v>1</v>
      </c>
    </row>
    <row r="1021" spans="2:42" x14ac:dyDescent="0.15">
      <c r="B1021" s="82" t="s">
        <v>606</v>
      </c>
      <c r="C1021" s="61">
        <f>VLOOKUP(B1021,[1]SYS!$F$5:$G$359,2,FALSE)</f>
        <v>260</v>
      </c>
      <c r="D1021" s="1" t="s">
        <v>50</v>
      </c>
      <c r="E1021" s="65" t="s">
        <v>538</v>
      </c>
      <c r="F1021" s="63" t="s">
        <v>548</v>
      </c>
      <c r="G1021" s="1">
        <v>7</v>
      </c>
      <c r="H1021" s="1">
        <f t="shared" si="248"/>
        <v>0.48442906574394462</v>
      </c>
      <c r="I1021" s="1">
        <f t="shared" si="247"/>
        <v>0.28899999999999998</v>
      </c>
      <c r="J1021" s="1">
        <f t="shared" si="240"/>
        <v>2.0000000000000018E-2</v>
      </c>
      <c r="K1021" s="1">
        <f t="shared" si="249"/>
        <v>1.7941500000000001</v>
      </c>
      <c r="L1021" s="1">
        <f t="shared" si="250"/>
        <v>1.6764100000000002</v>
      </c>
      <c r="M1021" s="49">
        <f t="shared" si="253"/>
        <v>0.78643942269187417</v>
      </c>
      <c r="N1021" s="49">
        <f t="shared" si="252"/>
        <v>1.2421</v>
      </c>
      <c r="O1021" s="1">
        <v>827</v>
      </c>
      <c r="P1021" s="51">
        <v>0.05</v>
      </c>
      <c r="Q1021" s="51">
        <v>11</v>
      </c>
      <c r="R1021" s="51">
        <v>1</v>
      </c>
      <c r="S1021" s="1">
        <v>1</v>
      </c>
      <c r="T1021" s="1">
        <v>0</v>
      </c>
      <c r="U1021" s="47">
        <v>0</v>
      </c>
      <c r="V1021" s="47"/>
      <c r="W1021">
        <v>140</v>
      </c>
      <c r="X1021">
        <v>289</v>
      </c>
      <c r="Y1021">
        <v>0.98</v>
      </c>
      <c r="Z1021">
        <v>1794.15</v>
      </c>
      <c r="AA1021" s="41">
        <v>1676.41</v>
      </c>
      <c r="AB1021" s="41">
        <v>124.21</v>
      </c>
      <c r="AC1021">
        <v>36</v>
      </c>
      <c r="AD1021" s="41">
        <f t="shared" si="241"/>
        <v>0.47933561853802636</v>
      </c>
      <c r="AE1021" s="41">
        <f t="shared" si="242"/>
        <v>0.51300099617635297</v>
      </c>
      <c r="AF1021">
        <f t="shared" si="243"/>
        <v>1.5657818120805371</v>
      </c>
      <c r="AG1021">
        <f t="shared" si="244"/>
        <v>3.197154630872482E-2</v>
      </c>
      <c r="AH1021">
        <f t="shared" si="245"/>
        <v>1.2421</v>
      </c>
      <c r="AI1021">
        <f>HLOOKUP(HLOOKUP(G1021,'THP2'!$B$4:$J$8,5,FALSE),'Fuel &amp; Resister'!$B$3:$G$6,4,FALSE)</f>
        <v>2.7360666666666664</v>
      </c>
      <c r="AJ1021" s="41">
        <f>HLOOKUP(HLOOKUP(G1021,'THP2'!$B$4:$J$8,5,FALSE),'Fuel &amp; Resister'!$B$3:$G$6,3,FALSE)</f>
        <v>13.019</v>
      </c>
      <c r="AO1021" s="1">
        <v>1</v>
      </c>
      <c r="AP1021" s="1">
        <v>1</v>
      </c>
    </row>
    <row r="1022" spans="2:42" x14ac:dyDescent="0.15">
      <c r="B1022" s="82" t="s">
        <v>606</v>
      </c>
      <c r="C1022" s="61">
        <f>VLOOKUP(B1022,[1]SYS!$F$5:$G$359,2,FALSE)</f>
        <v>260</v>
      </c>
      <c r="D1022" s="1" t="s">
        <v>50</v>
      </c>
      <c r="E1022" s="65" t="s">
        <v>538</v>
      </c>
      <c r="F1022" s="63" t="s">
        <v>548</v>
      </c>
      <c r="G1022" s="1">
        <v>7</v>
      </c>
      <c r="H1022" s="1">
        <f t="shared" si="248"/>
        <v>0.48442906574394462</v>
      </c>
      <c r="I1022" s="1">
        <f t="shared" si="247"/>
        <v>0.28899999999999998</v>
      </c>
      <c r="J1022" s="1">
        <f t="shared" si="240"/>
        <v>2.0000000000000018E-2</v>
      </c>
      <c r="K1022" s="1">
        <f t="shared" si="249"/>
        <v>1.7941500000000001</v>
      </c>
      <c r="L1022" s="1">
        <f t="shared" si="250"/>
        <v>1.6764100000000002</v>
      </c>
      <c r="M1022" s="49">
        <f t="shared" si="253"/>
        <v>0.78643942269187417</v>
      </c>
      <c r="N1022" s="49">
        <f t="shared" si="252"/>
        <v>1.2421</v>
      </c>
      <c r="O1022" s="1">
        <v>401</v>
      </c>
      <c r="P1022" s="51">
        <v>0.05</v>
      </c>
      <c r="Q1022" s="51">
        <v>11</v>
      </c>
      <c r="R1022" s="51">
        <v>1</v>
      </c>
      <c r="S1022" s="1">
        <v>1</v>
      </c>
      <c r="T1022" s="1">
        <v>0</v>
      </c>
      <c r="U1022" s="47">
        <v>0</v>
      </c>
      <c r="V1022" s="47"/>
      <c r="W1022">
        <v>140</v>
      </c>
      <c r="X1022">
        <v>289</v>
      </c>
      <c r="Y1022">
        <v>0.98</v>
      </c>
      <c r="Z1022">
        <v>1794.15</v>
      </c>
      <c r="AA1022" s="41">
        <v>1676.41</v>
      </c>
      <c r="AB1022" s="41">
        <v>124.21</v>
      </c>
      <c r="AC1022">
        <v>36</v>
      </c>
      <c r="AD1022" s="41">
        <f t="shared" si="241"/>
        <v>0.47933561853802636</v>
      </c>
      <c r="AE1022" s="41">
        <f t="shared" si="242"/>
        <v>0.51300099617635297</v>
      </c>
      <c r="AF1022">
        <f t="shared" si="243"/>
        <v>1.5657818120805371</v>
      </c>
      <c r="AG1022">
        <f t="shared" si="244"/>
        <v>3.197154630872482E-2</v>
      </c>
      <c r="AH1022">
        <f t="shared" si="245"/>
        <v>1.2421</v>
      </c>
      <c r="AI1022">
        <f>HLOOKUP(HLOOKUP(G1022,'THP2'!$B$4:$J$8,5,FALSE),'Fuel &amp; Resister'!$B$3:$G$6,4,FALSE)</f>
        <v>2.7360666666666664</v>
      </c>
      <c r="AJ1022" s="41">
        <f>HLOOKUP(HLOOKUP(G1022,'THP2'!$B$4:$J$8,5,FALSE),'Fuel &amp; Resister'!$B$3:$G$6,3,FALSE)</f>
        <v>13.019</v>
      </c>
      <c r="AO1022" s="1">
        <v>1</v>
      </c>
      <c r="AP1022" s="1">
        <v>1</v>
      </c>
    </row>
    <row r="1023" spans="2:42" x14ac:dyDescent="0.15">
      <c r="B1023" s="82" t="s">
        <v>640</v>
      </c>
      <c r="C1023" s="61">
        <f>VLOOKUP(B1023,[1]SYS!$F$5:$G$359,2,FALSE)</f>
        <v>297</v>
      </c>
      <c r="D1023" s="1" t="s">
        <v>50</v>
      </c>
      <c r="E1023" s="65" t="s">
        <v>277</v>
      </c>
      <c r="F1023" s="63" t="s">
        <v>451</v>
      </c>
      <c r="G1023" s="1">
        <v>7</v>
      </c>
      <c r="H1023" s="1">
        <f t="shared" si="248"/>
        <v>0.49122807017543857</v>
      </c>
      <c r="I1023" s="1">
        <f t="shared" si="247"/>
        <v>0.28499999999999998</v>
      </c>
      <c r="J1023" s="1">
        <f t="shared" si="240"/>
        <v>2.0000000000000018E-2</v>
      </c>
      <c r="K1023" s="1">
        <f t="shared" si="249"/>
        <v>1.9819800000000001</v>
      </c>
      <c r="L1023" s="1">
        <f t="shared" si="250"/>
        <v>1.72</v>
      </c>
      <c r="M1023" s="49">
        <f t="shared" si="253"/>
        <v>0.79572040880890593</v>
      </c>
      <c r="N1023" s="49">
        <v>1.2378</v>
      </c>
      <c r="O1023" s="1">
        <v>613</v>
      </c>
      <c r="P1023" s="51">
        <v>0.05</v>
      </c>
      <c r="Q1023" s="51">
        <v>11</v>
      </c>
      <c r="R1023" s="51">
        <v>1</v>
      </c>
      <c r="S1023" s="1">
        <v>1</v>
      </c>
      <c r="T1023" s="1">
        <v>0</v>
      </c>
      <c r="U1023" s="47">
        <v>1</v>
      </c>
      <c r="V1023" s="47">
        <v>300</v>
      </c>
      <c r="W1023" s="41">
        <v>140</v>
      </c>
      <c r="X1023">
        <v>285</v>
      </c>
      <c r="Y1023">
        <v>0.98</v>
      </c>
      <c r="Z1023">
        <v>1981.98</v>
      </c>
      <c r="AA1023">
        <v>1720</v>
      </c>
      <c r="AB1023">
        <v>123.78</v>
      </c>
      <c r="AC1023">
        <v>36</v>
      </c>
      <c r="AD1023" s="41">
        <f t="shared" si="241"/>
        <v>0.43390952481861572</v>
      </c>
      <c r="AE1023" s="41">
        <f t="shared" si="242"/>
        <v>0.5</v>
      </c>
      <c r="AF1023">
        <f t="shared" si="243"/>
        <v>1.4670537931034482</v>
      </c>
      <c r="AG1023">
        <f t="shared" si="244"/>
        <v>7.2089668965517259E-2</v>
      </c>
      <c r="AH1023">
        <f t="shared" si="245"/>
        <v>1.2378</v>
      </c>
      <c r="AI1023">
        <f>HLOOKUP(HLOOKUP(G1023,'THP2'!$B$4:$J$8,5,FALSE),'Fuel &amp; Resister'!$B$3:$G$6,4,FALSE)</f>
        <v>2.7360666666666664</v>
      </c>
      <c r="AJ1023" s="41">
        <f>HLOOKUP(HLOOKUP(G1023,'THP2'!$B$4:$J$8,5,FALSE),'Fuel &amp; Resister'!$B$3:$G$6,3,FALSE)</f>
        <v>13.019</v>
      </c>
      <c r="AO1023" s="1">
        <v>1</v>
      </c>
      <c r="AP1023" s="1">
        <v>1</v>
      </c>
    </row>
    <row r="1024" spans="2:42" x14ac:dyDescent="0.15">
      <c r="B1024" s="82" t="s">
        <v>641</v>
      </c>
      <c r="C1024" s="61">
        <f>VLOOKUP(B1024,[1]SYS!$F$5:$G$359,2,FALSE)</f>
        <v>295</v>
      </c>
      <c r="D1024" s="1" t="s">
        <v>50</v>
      </c>
      <c r="E1024" s="65" t="s">
        <v>278</v>
      </c>
      <c r="F1024" s="63" t="s">
        <v>452</v>
      </c>
      <c r="G1024" s="1">
        <v>7</v>
      </c>
      <c r="H1024" s="1">
        <f t="shared" si="248"/>
        <v>0.4</v>
      </c>
      <c r="I1024" s="1">
        <f t="shared" si="247"/>
        <v>0.23</v>
      </c>
      <c r="J1024" s="1">
        <f t="shared" si="240"/>
        <v>2.0000000000000018E-2</v>
      </c>
      <c r="K1024" s="1">
        <f t="shared" si="249"/>
        <v>2.2903099999999998</v>
      </c>
      <c r="L1024" s="1">
        <f t="shared" si="250"/>
        <v>1.75566</v>
      </c>
      <c r="M1024" s="49">
        <f t="shared" si="253"/>
        <v>0.65547395629084482</v>
      </c>
      <c r="N1024" s="49">
        <v>1.1787000000000001</v>
      </c>
      <c r="O1024" s="1">
        <v>401</v>
      </c>
      <c r="P1024" s="51">
        <v>0.05</v>
      </c>
      <c r="Q1024" s="51">
        <v>11</v>
      </c>
      <c r="R1024" s="51">
        <v>1</v>
      </c>
      <c r="S1024" s="1">
        <v>1</v>
      </c>
      <c r="T1024" s="1">
        <v>0</v>
      </c>
      <c r="U1024" s="47">
        <v>1</v>
      </c>
      <c r="V1024" s="47">
        <v>301</v>
      </c>
      <c r="W1024" s="41">
        <v>92</v>
      </c>
      <c r="X1024">
        <v>230</v>
      </c>
      <c r="Y1024">
        <v>0.98</v>
      </c>
      <c r="Z1024">
        <v>2290.31</v>
      </c>
      <c r="AA1024">
        <v>1755.66</v>
      </c>
      <c r="AB1024">
        <v>117.87</v>
      </c>
      <c r="AC1024">
        <v>36</v>
      </c>
      <c r="AD1024" s="41">
        <f t="shared" si="241"/>
        <v>0.37549502032475951</v>
      </c>
      <c r="AE1024" s="41">
        <f t="shared" si="242"/>
        <v>0.4898442750874315</v>
      </c>
      <c r="AF1024">
        <f t="shared" si="243"/>
        <v>1.3992266666666668</v>
      </c>
      <c r="AG1024">
        <f t="shared" si="244"/>
        <v>8.1979666666666631E-2</v>
      </c>
      <c r="AH1024">
        <f t="shared" si="245"/>
        <v>1.1787000000000001</v>
      </c>
      <c r="AI1024">
        <f>HLOOKUP(HLOOKUP(G1024,'THP2'!$B$4:$J$8,5,FALSE),'Fuel &amp; Resister'!$B$3:$G$6,4,FALSE)</f>
        <v>2.7360666666666664</v>
      </c>
      <c r="AJ1024" s="41">
        <f>HLOOKUP(HLOOKUP(G1024,'THP2'!$B$4:$J$8,5,FALSE),'Fuel &amp; Resister'!$B$3:$G$6,3,FALSE)</f>
        <v>13.019</v>
      </c>
      <c r="AO1024" s="1">
        <v>1</v>
      </c>
      <c r="AP1024" s="1">
        <v>1</v>
      </c>
    </row>
    <row r="1025" spans="2:42" x14ac:dyDescent="0.15">
      <c r="B1025" s="82" t="s">
        <v>642</v>
      </c>
      <c r="C1025" s="61">
        <f>VLOOKUP(B1025,[1]SYS!$F$5:$G$359,2,FALSE)</f>
        <v>278</v>
      </c>
      <c r="D1025" s="1" t="s">
        <v>50</v>
      </c>
      <c r="E1025" s="42" t="s">
        <v>279</v>
      </c>
      <c r="F1025" s="63" t="s">
        <v>449</v>
      </c>
      <c r="G1025" s="1">
        <v>7</v>
      </c>
      <c r="H1025" s="1">
        <f t="shared" si="248"/>
        <v>0.44444444444444442</v>
      </c>
      <c r="I1025" s="1">
        <f t="shared" si="247"/>
        <v>0.18</v>
      </c>
      <c r="J1025" s="1">
        <f t="shared" si="240"/>
        <v>2.2700000000000053E-2</v>
      </c>
      <c r="K1025" s="1">
        <f t="shared" si="249"/>
        <v>2.3353299999999999</v>
      </c>
      <c r="L1025" s="1">
        <f t="shared" si="250"/>
        <v>1.9084100000000002</v>
      </c>
      <c r="M1025" s="49">
        <f t="shared" si="253"/>
        <v>0.55761105950122547</v>
      </c>
      <c r="N1025" s="49">
        <v>1.1253</v>
      </c>
      <c r="O1025" s="1">
        <v>211</v>
      </c>
      <c r="P1025" s="51">
        <v>0.05</v>
      </c>
      <c r="Q1025" s="51">
        <v>11</v>
      </c>
      <c r="R1025" s="51">
        <v>1</v>
      </c>
      <c r="S1025" s="1">
        <v>1</v>
      </c>
      <c r="T1025" s="1">
        <v>0</v>
      </c>
      <c r="U1025" s="47">
        <v>0</v>
      </c>
      <c r="V1025" s="47">
        <v>302</v>
      </c>
      <c r="W1025" s="41">
        <v>80</v>
      </c>
      <c r="X1025">
        <v>180</v>
      </c>
      <c r="Y1025">
        <v>0.97729999999999995</v>
      </c>
      <c r="Z1025">
        <v>2335.33</v>
      </c>
      <c r="AA1025">
        <v>1908.41</v>
      </c>
      <c r="AB1025">
        <v>112.53</v>
      </c>
      <c r="AC1025">
        <v>36</v>
      </c>
      <c r="AD1025" s="41">
        <f t="shared" si="241"/>
        <v>0.36825630638924695</v>
      </c>
      <c r="AE1025" s="41">
        <f t="shared" si="242"/>
        <v>0.45063691764348329</v>
      </c>
      <c r="AF1025">
        <f t="shared" si="243"/>
        <v>1.5668740000000003</v>
      </c>
      <c r="AG1025">
        <f t="shared" si="244"/>
        <v>6.1476479999999972E-2</v>
      </c>
      <c r="AH1025">
        <f t="shared" si="245"/>
        <v>1.1253</v>
      </c>
      <c r="AI1025">
        <f>HLOOKUP(HLOOKUP(G1025,'THP2'!$B$4:$J$8,5,FALSE),'Fuel &amp; Resister'!$B$3:$G$6,4,FALSE)</f>
        <v>2.7360666666666664</v>
      </c>
      <c r="AJ1025" s="41">
        <f>HLOOKUP(HLOOKUP(G1025,'THP2'!$B$4:$J$8,5,FALSE),'Fuel &amp; Resister'!$B$3:$G$6,3,FALSE)</f>
        <v>13.019</v>
      </c>
      <c r="AO1025" s="1">
        <v>1</v>
      </c>
      <c r="AP1025" s="1">
        <v>1</v>
      </c>
    </row>
    <row r="1026" spans="2:42" x14ac:dyDescent="0.15">
      <c r="B1026" s="82" t="s">
        <v>642</v>
      </c>
      <c r="C1026" s="61">
        <f>VLOOKUP(B1026,[1]SYS!$F$5:$G$359,2,FALSE)</f>
        <v>278</v>
      </c>
      <c r="D1026" s="1" t="s">
        <v>50</v>
      </c>
      <c r="E1026" s="42" t="s">
        <v>280</v>
      </c>
      <c r="F1026" s="63" t="s">
        <v>449</v>
      </c>
      <c r="G1026" s="1">
        <v>7</v>
      </c>
      <c r="H1026" s="1">
        <f t="shared" si="248"/>
        <v>0.44444444444444442</v>
      </c>
      <c r="I1026" s="1">
        <f t="shared" si="247"/>
        <v>0.18</v>
      </c>
      <c r="J1026" s="1">
        <f t="shared" si="240"/>
        <v>2.2700000000000053E-2</v>
      </c>
      <c r="K1026" s="1">
        <f t="shared" si="249"/>
        <v>2.3353299999999999</v>
      </c>
      <c r="L1026" s="1">
        <f t="shared" si="250"/>
        <v>1.9084100000000002</v>
      </c>
      <c r="M1026" s="49">
        <f t="shared" si="253"/>
        <v>0.55761105950122547</v>
      </c>
      <c r="N1026" s="49">
        <v>1.1253</v>
      </c>
      <c r="O1026" s="1">
        <v>913</v>
      </c>
      <c r="P1026" s="51">
        <v>0.05</v>
      </c>
      <c r="Q1026" s="51">
        <v>11</v>
      </c>
      <c r="R1026" s="51">
        <v>1</v>
      </c>
      <c r="S1026" s="1">
        <v>1</v>
      </c>
      <c r="T1026" s="1">
        <v>0</v>
      </c>
      <c r="U1026" s="47">
        <v>0</v>
      </c>
      <c r="V1026" s="47">
        <v>303</v>
      </c>
      <c r="W1026" s="41">
        <v>80</v>
      </c>
      <c r="X1026">
        <v>180</v>
      </c>
      <c r="Y1026">
        <v>0.97729999999999995</v>
      </c>
      <c r="Z1026">
        <v>2335.33</v>
      </c>
      <c r="AA1026">
        <v>1908.41</v>
      </c>
      <c r="AB1026">
        <v>112.53</v>
      </c>
      <c r="AC1026">
        <v>36</v>
      </c>
      <c r="AD1026" s="41">
        <f t="shared" si="241"/>
        <v>0.36825630638924695</v>
      </c>
      <c r="AE1026" s="41">
        <f t="shared" si="242"/>
        <v>0.45063691764348329</v>
      </c>
      <c r="AF1026">
        <f t="shared" si="243"/>
        <v>1.5668740000000003</v>
      </c>
      <c r="AG1026">
        <f t="shared" si="244"/>
        <v>6.1476479999999972E-2</v>
      </c>
      <c r="AH1026">
        <f t="shared" si="245"/>
        <v>1.1253</v>
      </c>
      <c r="AI1026">
        <f>HLOOKUP(HLOOKUP(G1026,'THP2'!$B$4:$J$8,5,FALSE),'Fuel &amp; Resister'!$B$3:$G$6,4,FALSE)</f>
        <v>2.7360666666666664</v>
      </c>
      <c r="AJ1026" s="41">
        <f>HLOOKUP(HLOOKUP(G1026,'THP2'!$B$4:$J$8,5,FALSE),'Fuel &amp; Resister'!$B$3:$G$6,3,FALSE)</f>
        <v>13.019</v>
      </c>
      <c r="AO1026" s="1">
        <v>1</v>
      </c>
      <c r="AP1026" s="1">
        <v>1</v>
      </c>
    </row>
    <row r="1027" spans="2:42" x14ac:dyDescent="0.15">
      <c r="B1027" s="82" t="s">
        <v>642</v>
      </c>
      <c r="C1027" s="61">
        <f>VLOOKUP(B1027,[1]SYS!$F$5:$G$359,2,FALSE)</f>
        <v>278</v>
      </c>
      <c r="D1027" s="1" t="s">
        <v>50</v>
      </c>
      <c r="E1027" s="42" t="s">
        <v>281</v>
      </c>
      <c r="F1027" s="63" t="s">
        <v>449</v>
      </c>
      <c r="G1027" s="1">
        <v>7</v>
      </c>
      <c r="H1027" s="1">
        <f t="shared" si="248"/>
        <v>0.44444444444444442</v>
      </c>
      <c r="I1027" s="1">
        <f t="shared" si="247"/>
        <v>0.18</v>
      </c>
      <c r="J1027" s="1">
        <f t="shared" si="240"/>
        <v>2.3599999999999954E-2</v>
      </c>
      <c r="K1027" s="1">
        <f t="shared" si="249"/>
        <v>2.3826700000000001</v>
      </c>
      <c r="L1027" s="1">
        <f t="shared" si="250"/>
        <v>1.9470999999999998</v>
      </c>
      <c r="M1027" s="49">
        <f t="shared" si="253"/>
        <v>0.56891574344864881</v>
      </c>
      <c r="N1027" s="49">
        <v>1.1253</v>
      </c>
      <c r="O1027" s="1">
        <v>401</v>
      </c>
      <c r="P1027" s="51">
        <v>0.05</v>
      </c>
      <c r="Q1027" s="51">
        <v>11</v>
      </c>
      <c r="R1027" s="51">
        <v>1</v>
      </c>
      <c r="S1027" s="1">
        <v>1</v>
      </c>
      <c r="T1027" s="1">
        <v>0</v>
      </c>
      <c r="U1027" s="47">
        <v>0</v>
      </c>
      <c r="V1027" s="47">
        <v>304</v>
      </c>
      <c r="W1027" s="41">
        <v>80</v>
      </c>
      <c r="X1027">
        <v>180</v>
      </c>
      <c r="Y1027">
        <v>0.97640000000000005</v>
      </c>
      <c r="Z1027">
        <v>2382.67</v>
      </c>
      <c r="AA1027">
        <v>1947.1</v>
      </c>
      <c r="AB1027">
        <v>112.53</v>
      </c>
      <c r="AC1027">
        <v>36</v>
      </c>
      <c r="AD1027" s="41">
        <f t="shared" si="241"/>
        <v>0.36093961815945974</v>
      </c>
      <c r="AE1027" s="41">
        <f t="shared" si="242"/>
        <v>0.44168250218273336</v>
      </c>
      <c r="AF1027">
        <f t="shared" si="243"/>
        <v>1.5986439999999997</v>
      </c>
      <c r="AG1027">
        <f t="shared" si="244"/>
        <v>6.2722080000000013E-2</v>
      </c>
      <c r="AH1027">
        <f t="shared" si="245"/>
        <v>1.1253</v>
      </c>
      <c r="AI1027">
        <f>HLOOKUP(HLOOKUP(G1027,'THP2'!$B$4:$J$8,5,FALSE),'Fuel &amp; Resister'!$B$3:$G$6,4,FALSE)</f>
        <v>2.7360666666666664</v>
      </c>
      <c r="AJ1027" s="41">
        <f>HLOOKUP(HLOOKUP(G1027,'THP2'!$B$4:$J$8,5,FALSE),'Fuel &amp; Resister'!$B$3:$G$6,3,FALSE)</f>
        <v>13.019</v>
      </c>
      <c r="AO1027" s="62">
        <v>0</v>
      </c>
      <c r="AP1027" s="62">
        <v>0</v>
      </c>
    </row>
    <row r="1028" spans="2:42" x14ac:dyDescent="0.15">
      <c r="B1028" s="82" t="s">
        <v>642</v>
      </c>
      <c r="C1028" s="61">
        <f>VLOOKUP(B1028,[1]SYS!$F$5:$G$359,2,FALSE)</f>
        <v>278</v>
      </c>
      <c r="D1028" s="1" t="s">
        <v>50</v>
      </c>
      <c r="E1028" s="42" t="s">
        <v>282</v>
      </c>
      <c r="F1028" s="63" t="s">
        <v>449</v>
      </c>
      <c r="G1028" s="1">
        <v>7</v>
      </c>
      <c r="H1028" s="1">
        <f t="shared" si="248"/>
        <v>0.44444444444444442</v>
      </c>
      <c r="I1028" s="1">
        <f t="shared" si="247"/>
        <v>0.18</v>
      </c>
      <c r="J1028" s="1">
        <f t="shared" si="240"/>
        <v>2.3599999999999954E-2</v>
      </c>
      <c r="K1028" s="1">
        <f t="shared" si="249"/>
        <v>2.3826700000000001</v>
      </c>
      <c r="L1028" s="1">
        <f t="shared" si="250"/>
        <v>1.9470999999999998</v>
      </c>
      <c r="M1028" s="49">
        <f t="shared" si="253"/>
        <v>0.56891574344864881</v>
      </c>
      <c r="N1028" s="49">
        <v>1.1253</v>
      </c>
      <c r="O1028" s="1">
        <v>613</v>
      </c>
      <c r="P1028" s="51">
        <v>0.05</v>
      </c>
      <c r="Q1028" s="51">
        <v>11</v>
      </c>
      <c r="R1028" s="51">
        <v>1</v>
      </c>
      <c r="S1028" s="1">
        <v>1</v>
      </c>
      <c r="T1028" s="1">
        <v>0</v>
      </c>
      <c r="U1028" s="47">
        <v>0</v>
      </c>
      <c r="V1028" s="47">
        <v>305</v>
      </c>
      <c r="W1028" s="41">
        <v>80</v>
      </c>
      <c r="X1028">
        <v>180</v>
      </c>
      <c r="Y1028">
        <v>0.97640000000000005</v>
      </c>
      <c r="Z1028">
        <v>2382.67</v>
      </c>
      <c r="AA1028">
        <v>1947.1</v>
      </c>
      <c r="AB1028">
        <v>112.53</v>
      </c>
      <c r="AC1028">
        <v>36</v>
      </c>
      <c r="AD1028" s="41">
        <f t="shared" si="241"/>
        <v>0.36093961815945974</v>
      </c>
      <c r="AE1028" s="41">
        <f t="shared" si="242"/>
        <v>0.44168250218273336</v>
      </c>
      <c r="AF1028">
        <f t="shared" si="243"/>
        <v>1.5986439999999997</v>
      </c>
      <c r="AG1028">
        <f t="shared" si="244"/>
        <v>6.2722080000000013E-2</v>
      </c>
      <c r="AH1028">
        <f t="shared" si="245"/>
        <v>1.1253</v>
      </c>
      <c r="AI1028">
        <f>HLOOKUP(HLOOKUP(G1028,'THP2'!$B$4:$J$8,5,FALSE),'Fuel &amp; Resister'!$B$3:$G$6,4,FALSE)</f>
        <v>2.7360666666666664</v>
      </c>
      <c r="AJ1028" s="41">
        <f>HLOOKUP(HLOOKUP(G1028,'THP2'!$B$4:$J$8,5,FALSE),'Fuel &amp; Resister'!$B$3:$G$6,3,FALSE)</f>
        <v>13.019</v>
      </c>
      <c r="AO1028" s="62">
        <v>0</v>
      </c>
      <c r="AP1028" s="62">
        <v>0</v>
      </c>
    </row>
    <row r="1029" spans="2:42" x14ac:dyDescent="0.15">
      <c r="B1029" s="82" t="s">
        <v>642</v>
      </c>
      <c r="C1029" s="61">
        <f>VLOOKUP(B1029,[1]SYS!$F$5:$G$359,2,FALSE)</f>
        <v>278</v>
      </c>
      <c r="D1029" s="1" t="s">
        <v>50</v>
      </c>
      <c r="E1029" s="42" t="s">
        <v>283</v>
      </c>
      <c r="F1029" s="63" t="s">
        <v>449</v>
      </c>
      <c r="G1029" s="1">
        <v>7</v>
      </c>
      <c r="H1029" s="1">
        <f t="shared" si="248"/>
        <v>0.35087719298245612</v>
      </c>
      <c r="I1029" s="1">
        <f t="shared" si="247"/>
        <v>0.114</v>
      </c>
      <c r="J1029" s="1">
        <f t="shared" si="240"/>
        <v>2.410000000000001E-2</v>
      </c>
      <c r="K1029" s="1">
        <f t="shared" si="249"/>
        <v>2.74668</v>
      </c>
      <c r="L1029" s="1">
        <f t="shared" si="250"/>
        <v>1.96644</v>
      </c>
      <c r="M1029" s="49">
        <f t="shared" si="253"/>
        <v>0.36389219551120588</v>
      </c>
      <c r="N1029" s="49">
        <v>1.0548999999999999</v>
      </c>
      <c r="O1029" s="1">
        <v>901</v>
      </c>
      <c r="P1029" s="51">
        <v>0.05</v>
      </c>
      <c r="Q1029" s="51">
        <v>11</v>
      </c>
      <c r="R1029" s="51">
        <v>1</v>
      </c>
      <c r="S1029" s="1">
        <v>1</v>
      </c>
      <c r="T1029" s="1">
        <v>0</v>
      </c>
      <c r="U1029" s="47">
        <v>0</v>
      </c>
      <c r="V1029" s="47">
        <v>306</v>
      </c>
      <c r="W1029" s="41">
        <v>40</v>
      </c>
      <c r="X1029">
        <v>114</v>
      </c>
      <c r="Y1029">
        <v>0.97589999999999999</v>
      </c>
      <c r="Z1029">
        <v>2746.68</v>
      </c>
      <c r="AA1029">
        <v>1966.44</v>
      </c>
      <c r="AB1029">
        <v>105.49</v>
      </c>
      <c r="AC1029">
        <v>36</v>
      </c>
      <c r="AD1029" s="41">
        <f t="shared" si="241"/>
        <v>0.31310527618797973</v>
      </c>
      <c r="AE1029" s="41">
        <f t="shared" si="242"/>
        <v>0.43733854071316697</v>
      </c>
      <c r="AF1029">
        <f t="shared" si="243"/>
        <v>1.5446886486486489</v>
      </c>
      <c r="AG1029">
        <f t="shared" si="244"/>
        <v>4.8079654054054032E-2</v>
      </c>
      <c r="AH1029">
        <f t="shared" si="245"/>
        <v>1.0548999999999999</v>
      </c>
      <c r="AI1029">
        <f>HLOOKUP(HLOOKUP(G1029,'THP2'!$B$4:$J$8,5,FALSE),'Fuel &amp; Resister'!$B$3:$G$6,4,FALSE)</f>
        <v>2.7360666666666664</v>
      </c>
      <c r="AJ1029" s="41">
        <f>HLOOKUP(HLOOKUP(G1029,'THP2'!$B$4:$J$8,5,FALSE),'Fuel &amp; Resister'!$B$3:$G$6,3,FALSE)</f>
        <v>13.019</v>
      </c>
      <c r="AO1029" s="62">
        <v>0</v>
      </c>
      <c r="AP1029" s="62">
        <v>0</v>
      </c>
    </row>
    <row r="1030" spans="2:42" x14ac:dyDescent="0.15">
      <c r="B1030" s="82" t="s">
        <v>642</v>
      </c>
      <c r="C1030" s="61">
        <f>VLOOKUP(B1030,[1]SYS!$F$5:$G$359,2,FALSE)</f>
        <v>278</v>
      </c>
      <c r="D1030" s="1" t="s">
        <v>50</v>
      </c>
      <c r="E1030" s="42" t="s">
        <v>284</v>
      </c>
      <c r="F1030" s="63" t="s">
        <v>449</v>
      </c>
      <c r="G1030" s="1">
        <v>7</v>
      </c>
      <c r="H1030" s="1">
        <f t="shared" si="248"/>
        <v>0.35087719298245612</v>
      </c>
      <c r="I1030" s="1">
        <f t="shared" si="247"/>
        <v>0.114</v>
      </c>
      <c r="J1030" s="1">
        <f t="shared" si="240"/>
        <v>2.410000000000001E-2</v>
      </c>
      <c r="K1030" s="1">
        <f t="shared" si="249"/>
        <v>2.74668</v>
      </c>
      <c r="L1030" s="1">
        <f t="shared" si="250"/>
        <v>1.96644</v>
      </c>
      <c r="M1030" s="49">
        <f t="shared" si="253"/>
        <v>0.36389219551120588</v>
      </c>
      <c r="N1030" s="49">
        <v>1.0548999999999999</v>
      </c>
      <c r="O1030" s="1">
        <v>1014</v>
      </c>
      <c r="P1030" s="51">
        <v>0.05</v>
      </c>
      <c r="Q1030" s="51">
        <v>11</v>
      </c>
      <c r="R1030" s="51">
        <v>1</v>
      </c>
      <c r="S1030" s="1">
        <v>1</v>
      </c>
      <c r="T1030" s="1">
        <v>0</v>
      </c>
      <c r="U1030" s="47">
        <v>0</v>
      </c>
      <c r="V1030" s="47">
        <v>307</v>
      </c>
      <c r="W1030" s="41">
        <v>40</v>
      </c>
      <c r="X1030">
        <v>114</v>
      </c>
      <c r="Y1030">
        <v>0.97589999999999999</v>
      </c>
      <c r="Z1030">
        <v>2746.68</v>
      </c>
      <c r="AA1030">
        <v>1966.44</v>
      </c>
      <c r="AB1030">
        <v>105.49</v>
      </c>
      <c r="AC1030">
        <v>36</v>
      </c>
      <c r="AD1030" s="41">
        <f t="shared" si="241"/>
        <v>0.31310527618797973</v>
      </c>
      <c r="AE1030" s="41">
        <f t="shared" si="242"/>
        <v>0.43733854071316697</v>
      </c>
      <c r="AF1030">
        <f t="shared" si="243"/>
        <v>1.5446886486486489</v>
      </c>
      <c r="AG1030">
        <f t="shared" si="244"/>
        <v>4.8079654054054032E-2</v>
      </c>
      <c r="AH1030">
        <f t="shared" si="245"/>
        <v>1.0548999999999999</v>
      </c>
      <c r="AI1030">
        <f>HLOOKUP(HLOOKUP(G1030,'THP2'!$B$4:$J$8,5,FALSE),'Fuel &amp; Resister'!$B$3:$G$6,4,FALSE)</f>
        <v>2.7360666666666664</v>
      </c>
      <c r="AJ1030" s="41">
        <f>HLOOKUP(HLOOKUP(G1030,'THP2'!$B$4:$J$8,5,FALSE),'Fuel &amp; Resister'!$B$3:$G$6,3,FALSE)</f>
        <v>13.019</v>
      </c>
      <c r="AO1030" s="62">
        <v>0</v>
      </c>
      <c r="AP1030" s="62">
        <v>0</v>
      </c>
    </row>
    <row r="1031" spans="2:42" x14ac:dyDescent="0.15">
      <c r="B1031" s="82" t="s">
        <v>642</v>
      </c>
      <c r="C1031" s="61">
        <f>VLOOKUP(B1031,[1]SYS!$F$5:$G$359,2,FALSE)</f>
        <v>278</v>
      </c>
      <c r="D1031" s="1" t="s">
        <v>50</v>
      </c>
      <c r="E1031" s="42" t="s">
        <v>285</v>
      </c>
      <c r="F1031" s="63" t="s">
        <v>449</v>
      </c>
      <c r="G1031" s="1">
        <v>7</v>
      </c>
      <c r="H1031" s="1">
        <f t="shared" si="248"/>
        <v>0.35398230088495575</v>
      </c>
      <c r="I1031" s="1">
        <f t="shared" si="247"/>
        <v>0.113</v>
      </c>
      <c r="J1031" s="1">
        <f t="shared" si="240"/>
        <v>2.410000000000001E-2</v>
      </c>
      <c r="K1031" s="1">
        <f t="shared" si="249"/>
        <v>2.74668</v>
      </c>
      <c r="L1031" s="1">
        <f t="shared" si="250"/>
        <v>1.96644</v>
      </c>
      <c r="M1031" s="49">
        <f t="shared" si="253"/>
        <v>0.36070015870847594</v>
      </c>
      <c r="N1031" s="49">
        <v>1.0539000000000001</v>
      </c>
      <c r="O1031" s="6">
        <v>326</v>
      </c>
      <c r="P1031" s="51">
        <v>0.05</v>
      </c>
      <c r="Q1031" s="51">
        <v>11</v>
      </c>
      <c r="R1031" s="51">
        <v>1</v>
      </c>
      <c r="S1031" s="1">
        <v>1</v>
      </c>
      <c r="T1031" s="1">
        <v>0</v>
      </c>
      <c r="U1031" s="47">
        <v>0</v>
      </c>
      <c r="V1031" s="47">
        <v>308</v>
      </c>
      <c r="W1031" s="41">
        <v>40</v>
      </c>
      <c r="X1031">
        <v>113</v>
      </c>
      <c r="Y1031">
        <v>0.97589999999999999</v>
      </c>
      <c r="Z1031">
        <v>2746.68</v>
      </c>
      <c r="AA1031">
        <v>1966.44</v>
      </c>
      <c r="AB1031">
        <v>105.39</v>
      </c>
      <c r="AC1031">
        <v>36</v>
      </c>
      <c r="AD1031" s="41">
        <f t="shared" si="241"/>
        <v>0.31310527618797973</v>
      </c>
      <c r="AE1031" s="41">
        <f t="shared" si="242"/>
        <v>0.43733854071316697</v>
      </c>
      <c r="AF1031">
        <f t="shared" si="243"/>
        <v>1.5389112328767123</v>
      </c>
      <c r="AG1031">
        <f t="shared" si="244"/>
        <v>4.8310750684931507E-2</v>
      </c>
      <c r="AH1031">
        <f t="shared" si="245"/>
        <v>1.0539000000000001</v>
      </c>
      <c r="AI1031">
        <f>HLOOKUP(HLOOKUP(G1031,'THP2'!$B$4:$J$8,5,FALSE),'Fuel &amp; Resister'!$B$3:$G$6,4,FALSE)</f>
        <v>2.7360666666666664</v>
      </c>
      <c r="AJ1031" s="41">
        <f>HLOOKUP(HLOOKUP(G1031,'THP2'!$B$4:$J$8,5,FALSE),'Fuel &amp; Resister'!$B$3:$G$6,3,FALSE)</f>
        <v>13.019</v>
      </c>
      <c r="AO1031" s="62">
        <v>0</v>
      </c>
      <c r="AP1031" s="62">
        <v>0</v>
      </c>
    </row>
    <row r="1032" spans="2:42" x14ac:dyDescent="0.15">
      <c r="B1032" s="82" t="s">
        <v>642</v>
      </c>
      <c r="C1032" s="61">
        <f>VLOOKUP(B1032,[1]SYS!$F$5:$G$359,2,FALSE)</f>
        <v>278</v>
      </c>
      <c r="D1032" s="1" t="s">
        <v>50</v>
      </c>
      <c r="E1032" s="42" t="s">
        <v>286</v>
      </c>
      <c r="F1032" s="63" t="s">
        <v>449</v>
      </c>
      <c r="G1032" s="1">
        <v>7</v>
      </c>
      <c r="H1032" s="1">
        <f t="shared" si="248"/>
        <v>0.35398230088495575</v>
      </c>
      <c r="I1032" s="1">
        <f t="shared" si="247"/>
        <v>0.113</v>
      </c>
      <c r="J1032" s="1">
        <f t="shared" si="240"/>
        <v>2.5000000000000022E-2</v>
      </c>
      <c r="K1032" s="1">
        <f t="shared" si="249"/>
        <v>2.8007199999999997</v>
      </c>
      <c r="L1032" s="1">
        <f t="shared" si="250"/>
        <v>2.0051300000000003</v>
      </c>
      <c r="M1032" s="49">
        <f t="shared" si="253"/>
        <v>0.36779698807546957</v>
      </c>
      <c r="N1032" s="49">
        <v>1.0539000000000001</v>
      </c>
      <c r="O1032" s="1">
        <v>1113</v>
      </c>
      <c r="P1032" s="51">
        <v>0.05</v>
      </c>
      <c r="Q1032" s="51">
        <v>11</v>
      </c>
      <c r="R1032" s="51">
        <v>1</v>
      </c>
      <c r="S1032" s="1">
        <v>1</v>
      </c>
      <c r="T1032" s="1">
        <v>0</v>
      </c>
      <c r="U1032" s="47">
        <v>0</v>
      </c>
      <c r="V1032" s="47">
        <v>309</v>
      </c>
      <c r="W1032" s="41">
        <v>40</v>
      </c>
      <c r="X1032">
        <v>113</v>
      </c>
      <c r="Y1032">
        <v>0.97499999999999998</v>
      </c>
      <c r="Z1032">
        <v>2800.72</v>
      </c>
      <c r="AA1032">
        <v>2005.13</v>
      </c>
      <c r="AB1032">
        <v>105.39</v>
      </c>
      <c r="AC1032">
        <v>36</v>
      </c>
      <c r="AD1032" s="41">
        <f t="shared" si="241"/>
        <v>0.30706389785483734</v>
      </c>
      <c r="AE1032" s="41">
        <f t="shared" si="242"/>
        <v>0.42889987182875922</v>
      </c>
      <c r="AF1032">
        <f t="shared" si="243"/>
        <v>1.5691902739726036</v>
      </c>
      <c r="AG1032">
        <f t="shared" si="244"/>
        <v>4.9261189041095832E-2</v>
      </c>
      <c r="AH1032">
        <f t="shared" si="245"/>
        <v>1.0539000000000001</v>
      </c>
      <c r="AI1032">
        <f>HLOOKUP(HLOOKUP(G1032,'THP2'!$B$4:$J$8,5,FALSE),'Fuel &amp; Resister'!$B$3:$G$6,4,FALSE)</f>
        <v>2.7360666666666664</v>
      </c>
      <c r="AJ1032" s="41">
        <f>HLOOKUP(HLOOKUP(G1032,'THP2'!$B$4:$J$8,5,FALSE),'Fuel &amp; Resister'!$B$3:$G$6,3,FALSE)</f>
        <v>13.019</v>
      </c>
      <c r="AO1032" s="62">
        <v>0</v>
      </c>
      <c r="AP1032" s="62">
        <v>0</v>
      </c>
    </row>
    <row r="1033" spans="2:42" x14ac:dyDescent="0.15">
      <c r="B1033" s="82" t="s">
        <v>642</v>
      </c>
      <c r="C1033" s="61">
        <f>VLOOKUP(B1033,[1]SYS!$F$5:$G$359,2,FALSE)</f>
        <v>278</v>
      </c>
      <c r="D1033" s="1" t="s">
        <v>50</v>
      </c>
      <c r="E1033" s="42" t="s">
        <v>287</v>
      </c>
      <c r="F1033" s="63" t="s">
        <v>449</v>
      </c>
      <c r="G1033" s="1">
        <v>7</v>
      </c>
      <c r="H1033" s="1">
        <f t="shared" si="248"/>
        <v>0.35398230088495575</v>
      </c>
      <c r="I1033" s="1">
        <f t="shared" si="247"/>
        <v>0.113</v>
      </c>
      <c r="J1033" s="1">
        <f t="shared" si="240"/>
        <v>2.5000000000000022E-2</v>
      </c>
      <c r="K1033" s="1">
        <f t="shared" si="249"/>
        <v>2.8007199999999997</v>
      </c>
      <c r="L1033" s="1">
        <f t="shared" si="250"/>
        <v>2.0051300000000003</v>
      </c>
      <c r="M1033" s="49">
        <f t="shared" si="253"/>
        <v>0.36779698807546957</v>
      </c>
      <c r="N1033" s="49">
        <v>1.0539000000000001</v>
      </c>
      <c r="O1033" s="1">
        <v>702</v>
      </c>
      <c r="P1033" s="51">
        <v>0.05</v>
      </c>
      <c r="Q1033" s="51">
        <v>11</v>
      </c>
      <c r="R1033" s="51">
        <v>1</v>
      </c>
      <c r="S1033" s="1">
        <v>1</v>
      </c>
      <c r="T1033" s="1">
        <v>0</v>
      </c>
      <c r="U1033" s="47">
        <v>0</v>
      </c>
      <c r="V1033" s="47">
        <v>310</v>
      </c>
      <c r="W1033" s="41">
        <v>40</v>
      </c>
      <c r="X1033">
        <v>113</v>
      </c>
      <c r="Y1033">
        <v>0.97499999999999998</v>
      </c>
      <c r="Z1033">
        <v>2800.72</v>
      </c>
      <c r="AA1033">
        <v>2005.13</v>
      </c>
      <c r="AB1033">
        <v>105.39</v>
      </c>
      <c r="AC1033">
        <v>36</v>
      </c>
      <c r="AD1033" s="41">
        <f t="shared" si="241"/>
        <v>0.30706389785483734</v>
      </c>
      <c r="AE1033" s="41">
        <f t="shared" si="242"/>
        <v>0.42889987182875922</v>
      </c>
      <c r="AF1033">
        <f t="shared" si="243"/>
        <v>1.5691902739726036</v>
      </c>
      <c r="AG1033">
        <f t="shared" si="244"/>
        <v>4.9261189041095832E-2</v>
      </c>
      <c r="AH1033">
        <f t="shared" si="245"/>
        <v>1.0539000000000001</v>
      </c>
      <c r="AI1033">
        <f>HLOOKUP(HLOOKUP(G1033,'THP2'!$B$4:$J$8,5,FALSE),'Fuel &amp; Resister'!$B$3:$G$6,4,FALSE)</f>
        <v>2.7360666666666664</v>
      </c>
      <c r="AJ1033" s="41">
        <f>HLOOKUP(HLOOKUP(G1033,'THP2'!$B$4:$J$8,5,FALSE),'Fuel &amp; Resister'!$B$3:$G$6,3,FALSE)</f>
        <v>13.019</v>
      </c>
      <c r="AO1033" s="62">
        <v>0</v>
      </c>
      <c r="AP1033" s="62">
        <v>0</v>
      </c>
    </row>
    <row r="1034" spans="2:42" x14ac:dyDescent="0.15">
      <c r="B1034" s="82" t="s">
        <v>642</v>
      </c>
      <c r="C1034" s="61">
        <f>VLOOKUP(B1034,[1]SYS!$F$5:$G$359,2,FALSE)</f>
        <v>278</v>
      </c>
      <c r="D1034" s="1" t="s">
        <v>50</v>
      </c>
      <c r="E1034" s="42" t="s">
        <v>288</v>
      </c>
      <c r="F1034" s="63" t="s">
        <v>449</v>
      </c>
      <c r="G1034" s="1">
        <v>7</v>
      </c>
      <c r="H1034" s="1">
        <f t="shared" si="248"/>
        <v>0.35398230088495575</v>
      </c>
      <c r="I1034" s="1">
        <f t="shared" si="247"/>
        <v>0.113</v>
      </c>
      <c r="J1034" s="1">
        <f t="shared" si="240"/>
        <v>2.5000000000000022E-2</v>
      </c>
      <c r="K1034" s="1">
        <f t="shared" si="249"/>
        <v>2.8007199999999997</v>
      </c>
      <c r="L1034" s="1">
        <f t="shared" si="250"/>
        <v>2.0051300000000003</v>
      </c>
      <c r="M1034" s="49">
        <f t="shared" si="253"/>
        <v>0.36779698807546957</v>
      </c>
      <c r="N1034" s="49">
        <v>1.0539000000000001</v>
      </c>
      <c r="O1034" s="1">
        <v>625</v>
      </c>
      <c r="P1034" s="51">
        <v>0.05</v>
      </c>
      <c r="Q1034" s="51">
        <v>11</v>
      </c>
      <c r="R1034" s="51">
        <v>1</v>
      </c>
      <c r="S1034" s="1">
        <v>1</v>
      </c>
      <c r="T1034" s="1">
        <v>0</v>
      </c>
      <c r="U1034" s="47">
        <v>0</v>
      </c>
      <c r="V1034" s="47">
        <v>311</v>
      </c>
      <c r="W1034" s="41">
        <v>40</v>
      </c>
      <c r="X1034">
        <v>113</v>
      </c>
      <c r="Y1034">
        <v>0.97499999999999998</v>
      </c>
      <c r="Z1034">
        <v>2800.72</v>
      </c>
      <c r="AA1034">
        <v>2005.13</v>
      </c>
      <c r="AB1034">
        <v>105.39</v>
      </c>
      <c r="AC1034">
        <v>36</v>
      </c>
      <c r="AD1034" s="41">
        <f t="shared" si="241"/>
        <v>0.30706389785483734</v>
      </c>
      <c r="AE1034" s="41">
        <f t="shared" si="242"/>
        <v>0.42889987182875922</v>
      </c>
      <c r="AF1034">
        <f t="shared" si="243"/>
        <v>1.5691902739726036</v>
      </c>
      <c r="AG1034">
        <f t="shared" si="244"/>
        <v>4.9261189041095832E-2</v>
      </c>
      <c r="AH1034">
        <f t="shared" si="245"/>
        <v>1.0539000000000001</v>
      </c>
      <c r="AI1034">
        <f>HLOOKUP(HLOOKUP(G1034,'THP2'!$B$4:$J$8,5,FALSE),'Fuel &amp; Resister'!$B$3:$G$6,4,FALSE)</f>
        <v>2.7360666666666664</v>
      </c>
      <c r="AJ1034" s="41">
        <f>HLOOKUP(HLOOKUP(G1034,'THP2'!$B$4:$J$8,5,FALSE),'Fuel &amp; Resister'!$B$3:$G$6,3,FALSE)</f>
        <v>13.019</v>
      </c>
      <c r="AO1034" s="62">
        <v>0</v>
      </c>
      <c r="AP1034" s="62">
        <v>0</v>
      </c>
    </row>
    <row r="1035" spans="2:42" x14ac:dyDescent="0.15">
      <c r="B1035" s="82" t="s">
        <v>642</v>
      </c>
      <c r="C1035" s="61">
        <f>VLOOKUP(B1035,[1]SYS!$F$5:$G$359,2,FALSE)</f>
        <v>278</v>
      </c>
      <c r="D1035" s="1" t="s">
        <v>50</v>
      </c>
      <c r="E1035" s="65" t="s">
        <v>539</v>
      </c>
      <c r="F1035" s="63" t="s">
        <v>549</v>
      </c>
      <c r="G1035" s="1">
        <v>7</v>
      </c>
      <c r="H1035" s="1">
        <f t="shared" si="248"/>
        <v>0.49122807017543857</v>
      </c>
      <c r="I1035" s="1">
        <f t="shared" si="247"/>
        <v>0.28499999999999998</v>
      </c>
      <c r="J1035" s="1">
        <f t="shared" si="240"/>
        <v>2.0000000000000018E-2</v>
      </c>
      <c r="K1035" s="1">
        <f t="shared" si="249"/>
        <v>1.9819800000000001</v>
      </c>
      <c r="L1035" s="1">
        <f t="shared" si="250"/>
        <v>1.72</v>
      </c>
      <c r="M1035" s="49">
        <f t="shared" si="253"/>
        <v>0.79572040880890593</v>
      </c>
      <c r="N1035" s="49">
        <f>AB1035/100</f>
        <v>1.2378</v>
      </c>
      <c r="O1035" s="1">
        <v>314</v>
      </c>
      <c r="P1035" s="51">
        <v>0.05</v>
      </c>
      <c r="Q1035" s="51">
        <v>11</v>
      </c>
      <c r="R1035" s="51">
        <v>1</v>
      </c>
      <c r="S1035" s="1">
        <v>1</v>
      </c>
      <c r="T1035" s="1">
        <v>0</v>
      </c>
      <c r="U1035" s="47">
        <v>0</v>
      </c>
      <c r="V1035" s="47"/>
      <c r="W1035" s="41">
        <v>140</v>
      </c>
      <c r="X1035">
        <v>285</v>
      </c>
      <c r="Y1035">
        <v>0.98</v>
      </c>
      <c r="Z1035">
        <v>1981.98</v>
      </c>
      <c r="AA1035">
        <v>1720</v>
      </c>
      <c r="AB1035">
        <v>123.78</v>
      </c>
      <c r="AC1035">
        <v>36</v>
      </c>
      <c r="AD1035" s="41">
        <f t="shared" si="241"/>
        <v>0.43390952481861572</v>
      </c>
      <c r="AE1035" s="41">
        <f t="shared" si="242"/>
        <v>0.5</v>
      </c>
      <c r="AF1035">
        <f t="shared" si="243"/>
        <v>1.4670537931034482</v>
      </c>
      <c r="AG1035">
        <f t="shared" si="244"/>
        <v>7.2089668965517259E-2</v>
      </c>
      <c r="AH1035">
        <f t="shared" si="245"/>
        <v>1.2378</v>
      </c>
      <c r="AI1035">
        <f>HLOOKUP(HLOOKUP(G1035,'THP2'!$B$4:$J$8,5,FALSE),'Fuel &amp; Resister'!$B$3:$G$6,4,FALSE)</f>
        <v>2.7360666666666664</v>
      </c>
      <c r="AJ1035" s="41">
        <f>HLOOKUP(HLOOKUP(G1035,'THP2'!$B$4:$J$8,5,FALSE),'Fuel &amp; Resister'!$B$3:$G$6,3,FALSE)</f>
        <v>13.019</v>
      </c>
      <c r="AO1035" s="1">
        <v>1</v>
      </c>
      <c r="AP1035" s="1">
        <v>1</v>
      </c>
    </row>
    <row r="1036" spans="2:42" x14ac:dyDescent="0.15">
      <c r="B1036" s="82" t="s">
        <v>642</v>
      </c>
      <c r="C1036" s="61">
        <f>VLOOKUP(B1036,[1]SYS!$F$5:$G$359,2,FALSE)</f>
        <v>278</v>
      </c>
      <c r="D1036" s="1" t="s">
        <v>50</v>
      </c>
      <c r="E1036" s="65" t="s">
        <v>539</v>
      </c>
      <c r="F1036" s="63" t="s">
        <v>549</v>
      </c>
      <c r="G1036" s="1">
        <v>7</v>
      </c>
      <c r="H1036" s="1">
        <f t="shared" si="248"/>
        <v>0.49122807017543857</v>
      </c>
      <c r="I1036" s="1">
        <f t="shared" si="247"/>
        <v>0.28499999999999998</v>
      </c>
      <c r="J1036" s="1">
        <f t="shared" si="240"/>
        <v>2.0000000000000018E-2</v>
      </c>
      <c r="K1036" s="1">
        <f t="shared" si="249"/>
        <v>1.9819800000000001</v>
      </c>
      <c r="L1036" s="1">
        <f t="shared" si="250"/>
        <v>1.72</v>
      </c>
      <c r="M1036" s="49">
        <f t="shared" si="253"/>
        <v>0.79572040880890593</v>
      </c>
      <c r="N1036" s="49">
        <f t="shared" ref="N1036:N1047" si="254">AB1036/100</f>
        <v>1.2378</v>
      </c>
      <c r="O1036" s="1">
        <v>1113</v>
      </c>
      <c r="P1036" s="51">
        <v>0.05</v>
      </c>
      <c r="Q1036" s="51">
        <v>11</v>
      </c>
      <c r="R1036" s="51">
        <v>1</v>
      </c>
      <c r="S1036" s="1">
        <v>1</v>
      </c>
      <c r="T1036" s="1">
        <v>0</v>
      </c>
      <c r="U1036" s="47">
        <v>0</v>
      </c>
      <c r="V1036" s="47"/>
      <c r="W1036" s="41">
        <v>140</v>
      </c>
      <c r="X1036">
        <v>285</v>
      </c>
      <c r="Y1036">
        <v>0.98</v>
      </c>
      <c r="Z1036">
        <v>1981.98</v>
      </c>
      <c r="AA1036">
        <v>1720</v>
      </c>
      <c r="AB1036">
        <v>123.78</v>
      </c>
      <c r="AC1036">
        <v>36</v>
      </c>
      <c r="AD1036" s="41">
        <f t="shared" si="241"/>
        <v>0.43390952481861572</v>
      </c>
      <c r="AE1036" s="41">
        <f t="shared" si="242"/>
        <v>0.5</v>
      </c>
      <c r="AF1036">
        <f t="shared" si="243"/>
        <v>1.4670537931034482</v>
      </c>
      <c r="AG1036">
        <f t="shared" si="244"/>
        <v>7.2089668965517259E-2</v>
      </c>
      <c r="AH1036">
        <f t="shared" si="245"/>
        <v>1.2378</v>
      </c>
      <c r="AI1036">
        <f>HLOOKUP(HLOOKUP(G1036,'THP2'!$B$4:$J$8,5,FALSE),'Fuel &amp; Resister'!$B$3:$G$6,4,FALSE)</f>
        <v>2.7360666666666664</v>
      </c>
      <c r="AJ1036" s="41">
        <f>HLOOKUP(HLOOKUP(G1036,'THP2'!$B$4:$J$8,5,FALSE),'Fuel &amp; Resister'!$B$3:$G$6,3,FALSE)</f>
        <v>13.019</v>
      </c>
      <c r="AO1036" s="1">
        <v>1</v>
      </c>
      <c r="AP1036" s="1">
        <v>1</v>
      </c>
    </row>
    <row r="1037" spans="2:42" x14ac:dyDescent="0.15">
      <c r="B1037" s="82" t="s">
        <v>642</v>
      </c>
      <c r="C1037" s="61">
        <f>VLOOKUP(B1037,[1]SYS!$F$5:$G$359,2,FALSE)</f>
        <v>278</v>
      </c>
      <c r="D1037" s="1" t="s">
        <v>50</v>
      </c>
      <c r="E1037" s="65" t="s">
        <v>539</v>
      </c>
      <c r="F1037" s="63" t="s">
        <v>549</v>
      </c>
      <c r="G1037" s="1">
        <v>7</v>
      </c>
      <c r="H1037" s="1">
        <f t="shared" si="248"/>
        <v>0.49122807017543857</v>
      </c>
      <c r="I1037" s="1">
        <f t="shared" si="247"/>
        <v>0.28499999999999998</v>
      </c>
      <c r="J1037" s="1">
        <f t="shared" si="240"/>
        <v>2.0000000000000018E-2</v>
      </c>
      <c r="K1037" s="1">
        <f t="shared" si="249"/>
        <v>1.9819800000000001</v>
      </c>
      <c r="L1037" s="1">
        <f t="shared" si="250"/>
        <v>1.72</v>
      </c>
      <c r="M1037" s="49">
        <f t="shared" si="253"/>
        <v>0.79572040880890593</v>
      </c>
      <c r="N1037" s="49">
        <f t="shared" si="254"/>
        <v>1.2378</v>
      </c>
      <c r="O1037" s="1">
        <v>903</v>
      </c>
      <c r="P1037" s="51">
        <v>0.05</v>
      </c>
      <c r="Q1037" s="51">
        <v>11</v>
      </c>
      <c r="R1037" s="51">
        <v>1</v>
      </c>
      <c r="S1037" s="1">
        <v>1</v>
      </c>
      <c r="T1037" s="1">
        <v>0</v>
      </c>
      <c r="U1037" s="47">
        <v>0</v>
      </c>
      <c r="V1037" s="47"/>
      <c r="W1037" s="41">
        <v>140</v>
      </c>
      <c r="X1037">
        <v>285</v>
      </c>
      <c r="Y1037">
        <v>0.98</v>
      </c>
      <c r="Z1037">
        <v>1981.98</v>
      </c>
      <c r="AA1037">
        <v>1720</v>
      </c>
      <c r="AB1037">
        <v>123.78</v>
      </c>
      <c r="AC1037">
        <v>36</v>
      </c>
      <c r="AD1037" s="41">
        <f t="shared" si="241"/>
        <v>0.43390952481861572</v>
      </c>
      <c r="AE1037" s="41">
        <f t="shared" si="242"/>
        <v>0.5</v>
      </c>
      <c r="AF1037">
        <f t="shared" si="243"/>
        <v>1.4670537931034482</v>
      </c>
      <c r="AG1037">
        <f t="shared" si="244"/>
        <v>7.2089668965517259E-2</v>
      </c>
      <c r="AH1037">
        <f t="shared" si="245"/>
        <v>1.2378</v>
      </c>
      <c r="AI1037">
        <f>HLOOKUP(HLOOKUP(G1037,'THP2'!$B$4:$J$8,5,FALSE),'Fuel &amp; Resister'!$B$3:$G$6,4,FALSE)</f>
        <v>2.7360666666666664</v>
      </c>
      <c r="AJ1037" s="41">
        <f>HLOOKUP(HLOOKUP(G1037,'THP2'!$B$4:$J$8,5,FALSE),'Fuel &amp; Resister'!$B$3:$G$6,3,FALSE)</f>
        <v>13.019</v>
      </c>
      <c r="AO1037" s="1">
        <v>1</v>
      </c>
      <c r="AP1037" s="1">
        <v>1</v>
      </c>
    </row>
    <row r="1038" spans="2:42" x14ac:dyDescent="0.15">
      <c r="B1038" s="82" t="s">
        <v>642</v>
      </c>
      <c r="C1038" s="61">
        <f>VLOOKUP(B1038,[1]SYS!$F$5:$G$359,2,FALSE)</f>
        <v>278</v>
      </c>
      <c r="D1038" s="1" t="s">
        <v>50</v>
      </c>
      <c r="E1038" s="65" t="s">
        <v>539</v>
      </c>
      <c r="F1038" s="63" t="s">
        <v>549</v>
      </c>
      <c r="G1038" s="1">
        <v>7</v>
      </c>
      <c r="H1038" s="1">
        <f t="shared" si="248"/>
        <v>0.49122807017543857</v>
      </c>
      <c r="I1038" s="1">
        <f t="shared" si="247"/>
        <v>0.28499999999999998</v>
      </c>
      <c r="J1038" s="1">
        <f t="shared" si="240"/>
        <v>2.0000000000000018E-2</v>
      </c>
      <c r="K1038" s="1">
        <f t="shared" si="249"/>
        <v>1.9819800000000001</v>
      </c>
      <c r="L1038" s="1">
        <f t="shared" si="250"/>
        <v>1.72</v>
      </c>
      <c r="M1038" s="49">
        <f t="shared" si="253"/>
        <v>0.79572040880890593</v>
      </c>
      <c r="N1038" s="49">
        <f t="shared" si="254"/>
        <v>1.2378</v>
      </c>
      <c r="O1038" s="1">
        <v>1009</v>
      </c>
      <c r="P1038" s="51">
        <v>0.05</v>
      </c>
      <c r="Q1038" s="51">
        <v>11</v>
      </c>
      <c r="R1038" s="51">
        <v>1</v>
      </c>
      <c r="S1038" s="1">
        <v>1</v>
      </c>
      <c r="T1038" s="1">
        <v>0</v>
      </c>
      <c r="U1038" s="47">
        <v>0</v>
      </c>
      <c r="V1038" s="47"/>
      <c r="W1038" s="41">
        <v>140</v>
      </c>
      <c r="X1038">
        <v>285</v>
      </c>
      <c r="Y1038">
        <v>0.98</v>
      </c>
      <c r="Z1038">
        <v>1981.98</v>
      </c>
      <c r="AA1038">
        <v>1720</v>
      </c>
      <c r="AB1038">
        <v>123.78</v>
      </c>
      <c r="AC1038">
        <v>36</v>
      </c>
      <c r="AD1038" s="41">
        <f t="shared" si="241"/>
        <v>0.43390952481861572</v>
      </c>
      <c r="AE1038" s="41">
        <f t="shared" si="242"/>
        <v>0.5</v>
      </c>
      <c r="AF1038">
        <f t="shared" si="243"/>
        <v>1.4670537931034482</v>
      </c>
      <c r="AG1038">
        <f t="shared" si="244"/>
        <v>7.2089668965517259E-2</v>
      </c>
      <c r="AH1038">
        <f t="shared" si="245"/>
        <v>1.2378</v>
      </c>
      <c r="AI1038">
        <f>HLOOKUP(HLOOKUP(G1038,'THP2'!$B$4:$J$8,5,FALSE),'Fuel &amp; Resister'!$B$3:$G$6,4,FALSE)</f>
        <v>2.7360666666666664</v>
      </c>
      <c r="AJ1038" s="41">
        <f>HLOOKUP(HLOOKUP(G1038,'THP2'!$B$4:$J$8,5,FALSE),'Fuel &amp; Resister'!$B$3:$G$6,3,FALSE)</f>
        <v>13.019</v>
      </c>
      <c r="AO1038" s="1">
        <v>1</v>
      </c>
      <c r="AP1038" s="1">
        <v>1</v>
      </c>
    </row>
    <row r="1039" spans="2:42" x14ac:dyDescent="0.15">
      <c r="B1039" s="82" t="s">
        <v>642</v>
      </c>
      <c r="C1039" s="61">
        <f>VLOOKUP(B1039,[1]SYS!$F$5:$G$359,2,FALSE)</f>
        <v>278</v>
      </c>
      <c r="D1039" s="1" t="s">
        <v>50</v>
      </c>
      <c r="E1039" s="65" t="s">
        <v>539</v>
      </c>
      <c r="F1039" s="63" t="s">
        <v>549</v>
      </c>
      <c r="G1039" s="1">
        <v>7</v>
      </c>
      <c r="H1039" s="1">
        <f t="shared" si="248"/>
        <v>0.49122807017543857</v>
      </c>
      <c r="I1039" s="1">
        <f t="shared" si="247"/>
        <v>0.28499999999999998</v>
      </c>
      <c r="J1039" s="1">
        <f t="shared" si="240"/>
        <v>2.0000000000000018E-2</v>
      </c>
      <c r="K1039" s="1">
        <f t="shared" si="249"/>
        <v>1.9819800000000001</v>
      </c>
      <c r="L1039" s="1">
        <f t="shared" si="250"/>
        <v>1.72</v>
      </c>
      <c r="M1039" s="49">
        <f t="shared" si="253"/>
        <v>0.79572040880890593</v>
      </c>
      <c r="N1039" s="49">
        <f t="shared" si="254"/>
        <v>1.2378</v>
      </c>
      <c r="O1039" s="1">
        <v>507</v>
      </c>
      <c r="P1039" s="51">
        <v>0.05</v>
      </c>
      <c r="Q1039" s="51">
        <v>11</v>
      </c>
      <c r="R1039" s="51">
        <v>1</v>
      </c>
      <c r="S1039" s="1">
        <v>1</v>
      </c>
      <c r="T1039" s="1">
        <v>0</v>
      </c>
      <c r="U1039" s="47">
        <v>0</v>
      </c>
      <c r="V1039" s="47"/>
      <c r="W1039" s="41">
        <v>140</v>
      </c>
      <c r="X1039">
        <v>285</v>
      </c>
      <c r="Y1039">
        <v>0.98</v>
      </c>
      <c r="Z1039">
        <v>1981.98</v>
      </c>
      <c r="AA1039">
        <v>1720</v>
      </c>
      <c r="AB1039">
        <v>123.78</v>
      </c>
      <c r="AC1039">
        <v>36</v>
      </c>
      <c r="AD1039" s="41">
        <f t="shared" si="241"/>
        <v>0.43390952481861572</v>
      </c>
      <c r="AE1039" s="41">
        <f t="shared" si="242"/>
        <v>0.5</v>
      </c>
      <c r="AF1039">
        <f t="shared" si="243"/>
        <v>1.4670537931034482</v>
      </c>
      <c r="AG1039">
        <f t="shared" si="244"/>
        <v>7.2089668965517259E-2</v>
      </c>
      <c r="AH1039">
        <f t="shared" si="245"/>
        <v>1.2378</v>
      </c>
      <c r="AI1039">
        <f>HLOOKUP(HLOOKUP(G1039,'THP2'!$B$4:$J$8,5,FALSE),'Fuel &amp; Resister'!$B$3:$G$6,4,FALSE)</f>
        <v>2.7360666666666664</v>
      </c>
      <c r="AJ1039" s="41">
        <f>HLOOKUP(HLOOKUP(G1039,'THP2'!$B$4:$J$8,5,FALSE),'Fuel &amp; Resister'!$B$3:$G$6,3,FALSE)</f>
        <v>13.019</v>
      </c>
      <c r="AO1039" s="1">
        <v>1</v>
      </c>
      <c r="AP1039" s="1">
        <v>1</v>
      </c>
    </row>
    <row r="1040" spans="2:42" x14ac:dyDescent="0.15">
      <c r="B1040" s="82" t="s">
        <v>642</v>
      </c>
      <c r="C1040" s="61">
        <f>VLOOKUP(B1040,[1]SYS!$F$5:$G$359,2,FALSE)</f>
        <v>278</v>
      </c>
      <c r="D1040" s="1" t="s">
        <v>50</v>
      </c>
      <c r="E1040" s="65" t="s">
        <v>539</v>
      </c>
      <c r="F1040" s="63" t="s">
        <v>549</v>
      </c>
      <c r="G1040" s="1">
        <v>7</v>
      </c>
      <c r="H1040" s="1">
        <f t="shared" si="248"/>
        <v>0.49122807017543857</v>
      </c>
      <c r="I1040" s="1">
        <f t="shared" si="247"/>
        <v>0.28499999999999998</v>
      </c>
      <c r="J1040" s="1">
        <f t="shared" si="240"/>
        <v>2.0000000000000018E-2</v>
      </c>
      <c r="K1040" s="1">
        <f t="shared" si="249"/>
        <v>1.9819800000000001</v>
      </c>
      <c r="L1040" s="1">
        <f t="shared" si="250"/>
        <v>1.72</v>
      </c>
      <c r="M1040" s="49">
        <f t="shared" si="253"/>
        <v>0.79572040880890593</v>
      </c>
      <c r="N1040" s="49">
        <f t="shared" si="254"/>
        <v>1.2378</v>
      </c>
      <c r="O1040" s="1">
        <v>612</v>
      </c>
      <c r="P1040" s="51">
        <v>0.05</v>
      </c>
      <c r="Q1040" s="51">
        <v>11</v>
      </c>
      <c r="R1040" s="51">
        <v>1</v>
      </c>
      <c r="S1040" s="1">
        <v>1</v>
      </c>
      <c r="T1040" s="1">
        <v>0</v>
      </c>
      <c r="U1040" s="47">
        <v>0</v>
      </c>
      <c r="V1040" s="47"/>
      <c r="W1040" s="41">
        <v>140</v>
      </c>
      <c r="X1040">
        <v>285</v>
      </c>
      <c r="Y1040">
        <v>0.98</v>
      </c>
      <c r="Z1040">
        <v>1981.98</v>
      </c>
      <c r="AA1040">
        <v>1720</v>
      </c>
      <c r="AB1040">
        <v>123.78</v>
      </c>
      <c r="AC1040">
        <v>36</v>
      </c>
      <c r="AD1040" s="41">
        <f t="shared" si="241"/>
        <v>0.43390952481861572</v>
      </c>
      <c r="AE1040" s="41">
        <f t="shared" si="242"/>
        <v>0.5</v>
      </c>
      <c r="AF1040">
        <f t="shared" si="243"/>
        <v>1.4670537931034482</v>
      </c>
      <c r="AG1040">
        <f t="shared" si="244"/>
        <v>7.2089668965517259E-2</v>
      </c>
      <c r="AH1040">
        <f t="shared" si="245"/>
        <v>1.2378</v>
      </c>
      <c r="AI1040">
        <f>HLOOKUP(HLOOKUP(G1040,'THP2'!$B$4:$J$8,5,FALSE),'Fuel &amp; Resister'!$B$3:$G$6,4,FALSE)</f>
        <v>2.7360666666666664</v>
      </c>
      <c r="AJ1040" s="41">
        <f>HLOOKUP(HLOOKUP(G1040,'THP2'!$B$4:$J$8,5,FALSE),'Fuel &amp; Resister'!$B$3:$G$6,3,FALSE)</f>
        <v>13.019</v>
      </c>
      <c r="AO1040" s="1">
        <v>1</v>
      </c>
      <c r="AP1040" s="1">
        <v>1</v>
      </c>
    </row>
    <row r="1041" spans="2:42" x14ac:dyDescent="0.15">
      <c r="B1041" s="82" t="s">
        <v>642</v>
      </c>
      <c r="C1041" s="61">
        <f>VLOOKUP(B1041,[1]SYS!$F$5:$G$359,2,FALSE)</f>
        <v>278</v>
      </c>
      <c r="D1041" s="1" t="s">
        <v>50</v>
      </c>
      <c r="E1041" s="65" t="s">
        <v>539</v>
      </c>
      <c r="F1041" s="63" t="s">
        <v>549</v>
      </c>
      <c r="G1041" s="1">
        <v>7</v>
      </c>
      <c r="H1041" s="1">
        <f t="shared" si="248"/>
        <v>0.49122807017543857</v>
      </c>
      <c r="I1041" s="1">
        <f t="shared" si="247"/>
        <v>0.28499999999999998</v>
      </c>
      <c r="J1041" s="1">
        <f t="shared" si="240"/>
        <v>2.0000000000000018E-2</v>
      </c>
      <c r="K1041" s="1">
        <f t="shared" si="249"/>
        <v>1.9819800000000001</v>
      </c>
      <c r="L1041" s="1">
        <f t="shared" si="250"/>
        <v>1.72</v>
      </c>
      <c r="M1041" s="49">
        <f t="shared" si="253"/>
        <v>0.79572040880890593</v>
      </c>
      <c r="N1041" s="49">
        <f t="shared" si="254"/>
        <v>1.2378</v>
      </c>
      <c r="O1041" s="1">
        <v>401</v>
      </c>
      <c r="P1041" s="51">
        <v>0.05</v>
      </c>
      <c r="Q1041" s="51">
        <v>11</v>
      </c>
      <c r="R1041" s="51">
        <v>1</v>
      </c>
      <c r="S1041" s="1">
        <v>1</v>
      </c>
      <c r="T1041" s="1">
        <v>0</v>
      </c>
      <c r="U1041" s="47">
        <v>0</v>
      </c>
      <c r="V1041" s="47"/>
      <c r="W1041" s="41">
        <v>140</v>
      </c>
      <c r="X1041">
        <v>285</v>
      </c>
      <c r="Y1041">
        <v>0.98</v>
      </c>
      <c r="Z1041">
        <v>1981.98</v>
      </c>
      <c r="AA1041">
        <v>1720</v>
      </c>
      <c r="AB1041">
        <v>123.78</v>
      </c>
      <c r="AC1041">
        <v>36</v>
      </c>
      <c r="AD1041" s="41">
        <f t="shared" si="241"/>
        <v>0.43390952481861572</v>
      </c>
      <c r="AE1041" s="41">
        <f t="shared" si="242"/>
        <v>0.5</v>
      </c>
      <c r="AF1041">
        <f t="shared" si="243"/>
        <v>1.4670537931034482</v>
      </c>
      <c r="AG1041">
        <f t="shared" si="244"/>
        <v>7.2089668965517259E-2</v>
      </c>
      <c r="AH1041">
        <f t="shared" si="245"/>
        <v>1.2378</v>
      </c>
      <c r="AI1041">
        <f>HLOOKUP(HLOOKUP(G1041,'THP2'!$B$4:$J$8,5,FALSE),'Fuel &amp; Resister'!$B$3:$G$6,4,FALSE)</f>
        <v>2.7360666666666664</v>
      </c>
      <c r="AJ1041" s="41">
        <f>HLOOKUP(HLOOKUP(G1041,'THP2'!$B$4:$J$8,5,FALSE),'Fuel &amp; Resister'!$B$3:$G$6,3,FALSE)</f>
        <v>13.019</v>
      </c>
      <c r="AO1041" s="1">
        <v>1</v>
      </c>
      <c r="AP1041" s="1">
        <v>1</v>
      </c>
    </row>
    <row r="1042" spans="2:42" x14ac:dyDescent="0.15">
      <c r="B1042" s="82" t="s">
        <v>642</v>
      </c>
      <c r="C1042" s="61">
        <f>VLOOKUP(B1042,[1]SYS!$F$5:$G$359,2,FALSE)</f>
        <v>278</v>
      </c>
      <c r="D1042" s="1" t="s">
        <v>50</v>
      </c>
      <c r="E1042" s="65" t="s">
        <v>539</v>
      </c>
      <c r="F1042" s="63" t="s">
        <v>549</v>
      </c>
      <c r="G1042" s="1">
        <v>7</v>
      </c>
      <c r="H1042" s="1">
        <f t="shared" si="248"/>
        <v>0.49122807017543857</v>
      </c>
      <c r="I1042" s="1">
        <f t="shared" si="247"/>
        <v>0.28499999999999998</v>
      </c>
      <c r="J1042" s="1">
        <f t="shared" si="240"/>
        <v>2.0000000000000018E-2</v>
      </c>
      <c r="K1042" s="1">
        <f t="shared" si="249"/>
        <v>1.9819800000000001</v>
      </c>
      <c r="L1042" s="1">
        <f t="shared" si="250"/>
        <v>1.72</v>
      </c>
      <c r="M1042" s="49">
        <f t="shared" si="253"/>
        <v>0.79572040880890593</v>
      </c>
      <c r="N1042" s="49">
        <f t="shared" si="254"/>
        <v>1.2378</v>
      </c>
      <c r="O1042" s="1">
        <v>507</v>
      </c>
      <c r="P1042" s="51">
        <v>0.05</v>
      </c>
      <c r="Q1042" s="51">
        <v>11</v>
      </c>
      <c r="R1042" s="51">
        <v>1</v>
      </c>
      <c r="S1042" s="1">
        <v>1</v>
      </c>
      <c r="T1042" s="1">
        <v>0</v>
      </c>
      <c r="U1042" s="47">
        <v>0</v>
      </c>
      <c r="V1042" s="47"/>
      <c r="W1042" s="41">
        <v>140</v>
      </c>
      <c r="X1042">
        <v>285</v>
      </c>
      <c r="Y1042">
        <v>0.98</v>
      </c>
      <c r="Z1042">
        <v>1981.98</v>
      </c>
      <c r="AA1042">
        <v>1720</v>
      </c>
      <c r="AB1042">
        <v>123.78</v>
      </c>
      <c r="AC1042">
        <v>36</v>
      </c>
      <c r="AD1042" s="41">
        <f t="shared" si="241"/>
        <v>0.43390952481861572</v>
      </c>
      <c r="AE1042" s="41">
        <f t="shared" si="242"/>
        <v>0.5</v>
      </c>
      <c r="AF1042">
        <f t="shared" si="243"/>
        <v>1.4670537931034482</v>
      </c>
      <c r="AG1042">
        <f t="shared" si="244"/>
        <v>7.2089668965517259E-2</v>
      </c>
      <c r="AH1042">
        <f t="shared" si="245"/>
        <v>1.2378</v>
      </c>
      <c r="AI1042">
        <f>HLOOKUP(HLOOKUP(G1042,'THP2'!$B$4:$J$8,5,FALSE),'Fuel &amp; Resister'!$B$3:$G$6,4,FALSE)</f>
        <v>2.7360666666666664</v>
      </c>
      <c r="AJ1042" s="41">
        <f>HLOOKUP(HLOOKUP(G1042,'THP2'!$B$4:$J$8,5,FALSE),'Fuel &amp; Resister'!$B$3:$G$6,3,FALSE)</f>
        <v>13.019</v>
      </c>
      <c r="AO1042" s="1">
        <v>1</v>
      </c>
      <c r="AP1042" s="1">
        <v>1</v>
      </c>
    </row>
    <row r="1043" spans="2:42" x14ac:dyDescent="0.15">
      <c r="B1043" s="82" t="s">
        <v>643</v>
      </c>
      <c r="C1043" s="61">
        <f>VLOOKUP(B1043,[1]SYS!$F$5:$G$359,2,FALSE)</f>
        <v>289</v>
      </c>
      <c r="D1043" s="1" t="s">
        <v>50</v>
      </c>
      <c r="E1043" s="65" t="s">
        <v>539</v>
      </c>
      <c r="F1043" s="63" t="s">
        <v>566</v>
      </c>
      <c r="G1043" s="1">
        <v>7</v>
      </c>
      <c r="H1043" s="1">
        <f t="shared" si="248"/>
        <v>0.49122807017543857</v>
      </c>
      <c r="I1043" s="1">
        <f t="shared" si="247"/>
        <v>0.28499999999999998</v>
      </c>
      <c r="J1043" s="1">
        <f t="shared" si="240"/>
        <v>2.0000000000000018E-2</v>
      </c>
      <c r="K1043" s="1">
        <f t="shared" si="249"/>
        <v>1.9819800000000001</v>
      </c>
      <c r="L1043" s="1">
        <f t="shared" si="250"/>
        <v>1.72</v>
      </c>
      <c r="M1043" s="49">
        <f t="shared" si="253"/>
        <v>0.79572040880890593</v>
      </c>
      <c r="N1043" s="49">
        <f t="shared" si="254"/>
        <v>1.2378</v>
      </c>
      <c r="O1043" s="1">
        <v>825</v>
      </c>
      <c r="P1043" s="51">
        <v>0.05</v>
      </c>
      <c r="Q1043" s="51">
        <v>11</v>
      </c>
      <c r="R1043" s="51">
        <v>1</v>
      </c>
      <c r="S1043" s="1">
        <v>1</v>
      </c>
      <c r="T1043" s="1">
        <v>0</v>
      </c>
      <c r="U1043" s="47">
        <v>0</v>
      </c>
      <c r="V1043" s="47"/>
      <c r="W1043" s="41">
        <v>140</v>
      </c>
      <c r="X1043">
        <v>285</v>
      </c>
      <c r="Y1043">
        <v>0.98</v>
      </c>
      <c r="Z1043">
        <v>1981.98</v>
      </c>
      <c r="AA1043">
        <v>1720</v>
      </c>
      <c r="AB1043">
        <v>123.78</v>
      </c>
      <c r="AC1043">
        <v>36</v>
      </c>
      <c r="AD1043" s="41">
        <f t="shared" si="241"/>
        <v>0.43390952481861572</v>
      </c>
      <c r="AE1043" s="41">
        <f t="shared" si="242"/>
        <v>0.5</v>
      </c>
      <c r="AF1043">
        <f t="shared" si="243"/>
        <v>1.4670537931034482</v>
      </c>
      <c r="AG1043">
        <f t="shared" si="244"/>
        <v>7.2089668965517259E-2</v>
      </c>
      <c r="AH1043">
        <f t="shared" si="245"/>
        <v>1.2378</v>
      </c>
      <c r="AI1043">
        <f>HLOOKUP(HLOOKUP(G1043,'THP2'!$B$4:$J$8,5,FALSE),'Fuel &amp; Resister'!$B$3:$G$6,4,FALSE)</f>
        <v>2.7360666666666664</v>
      </c>
      <c r="AJ1043" s="41">
        <f>HLOOKUP(HLOOKUP(G1043,'THP2'!$B$4:$J$8,5,FALSE),'Fuel &amp; Resister'!$B$3:$G$6,3,FALSE)</f>
        <v>13.019</v>
      </c>
      <c r="AO1043" s="1">
        <v>1</v>
      </c>
      <c r="AP1043" s="1">
        <v>1</v>
      </c>
    </row>
    <row r="1044" spans="2:42" x14ac:dyDescent="0.15">
      <c r="B1044" s="82" t="s">
        <v>609</v>
      </c>
      <c r="C1044" s="61">
        <f>VLOOKUP(B1044,[1]SYS!$F$5:$G$359,2,FALSE)</f>
        <v>279</v>
      </c>
      <c r="D1044" s="1" t="s">
        <v>50</v>
      </c>
      <c r="E1044" s="65" t="s">
        <v>539</v>
      </c>
      <c r="F1044" s="63" t="s">
        <v>564</v>
      </c>
      <c r="G1044" s="1">
        <v>7</v>
      </c>
      <c r="H1044" s="1">
        <f t="shared" si="248"/>
        <v>0.49122807017543857</v>
      </c>
      <c r="I1044" s="1">
        <f t="shared" si="247"/>
        <v>0.28499999999999998</v>
      </c>
      <c r="J1044" s="1">
        <f t="shared" si="240"/>
        <v>2.0000000000000018E-2</v>
      </c>
      <c r="K1044" s="1">
        <f t="shared" si="249"/>
        <v>1.9819800000000001</v>
      </c>
      <c r="L1044" s="1">
        <f t="shared" si="250"/>
        <v>1.72</v>
      </c>
      <c r="M1044" s="49">
        <f t="shared" si="253"/>
        <v>0.79572040880890593</v>
      </c>
      <c r="N1044" s="49">
        <f t="shared" si="254"/>
        <v>1.2378</v>
      </c>
      <c r="O1044" s="1">
        <v>827</v>
      </c>
      <c r="P1044" s="51">
        <v>0.05</v>
      </c>
      <c r="Q1044" s="51">
        <v>11</v>
      </c>
      <c r="R1044" s="51">
        <v>1</v>
      </c>
      <c r="S1044" s="1">
        <v>1</v>
      </c>
      <c r="T1044" s="1">
        <v>0</v>
      </c>
      <c r="U1044" s="47">
        <v>0</v>
      </c>
      <c r="V1044" s="47"/>
      <c r="W1044" s="41">
        <v>140</v>
      </c>
      <c r="X1044">
        <v>285</v>
      </c>
      <c r="Y1044">
        <v>0.98</v>
      </c>
      <c r="Z1044">
        <v>1981.98</v>
      </c>
      <c r="AA1044">
        <v>1720</v>
      </c>
      <c r="AB1044">
        <v>123.78</v>
      </c>
      <c r="AC1044">
        <v>36</v>
      </c>
      <c r="AD1044" s="41">
        <f t="shared" si="241"/>
        <v>0.43390952481861572</v>
      </c>
      <c r="AE1044" s="41">
        <f t="shared" si="242"/>
        <v>0.5</v>
      </c>
      <c r="AF1044">
        <f t="shared" si="243"/>
        <v>1.4670537931034482</v>
      </c>
      <c r="AG1044">
        <f t="shared" si="244"/>
        <v>7.2089668965517259E-2</v>
      </c>
      <c r="AH1044">
        <f t="shared" si="245"/>
        <v>1.2378</v>
      </c>
      <c r="AI1044">
        <f>HLOOKUP(HLOOKUP(G1044,'THP2'!$B$4:$J$8,5,FALSE),'Fuel &amp; Resister'!$B$3:$G$6,4,FALSE)</f>
        <v>2.7360666666666664</v>
      </c>
      <c r="AJ1044" s="41">
        <f>HLOOKUP(HLOOKUP(G1044,'THP2'!$B$4:$J$8,5,FALSE),'Fuel &amp; Resister'!$B$3:$G$6,3,FALSE)</f>
        <v>13.019</v>
      </c>
      <c r="AO1044" s="1">
        <v>1</v>
      </c>
      <c r="AP1044" s="1">
        <v>1</v>
      </c>
    </row>
    <row r="1045" spans="2:42" x14ac:dyDescent="0.15">
      <c r="B1045" s="82" t="s">
        <v>609</v>
      </c>
      <c r="C1045" s="61">
        <f>VLOOKUP(B1045,[1]SYS!$F$5:$G$359,2,FALSE)</f>
        <v>279</v>
      </c>
      <c r="D1045" s="1" t="s">
        <v>50</v>
      </c>
      <c r="E1045" s="65" t="s">
        <v>539</v>
      </c>
      <c r="F1045" s="63" t="s">
        <v>565</v>
      </c>
      <c r="G1045" s="1">
        <v>7</v>
      </c>
      <c r="H1045" s="1">
        <f t="shared" si="248"/>
        <v>0.49122807017543857</v>
      </c>
      <c r="I1045" s="1">
        <f t="shared" si="247"/>
        <v>0.28499999999999998</v>
      </c>
      <c r="J1045" s="1">
        <f t="shared" si="240"/>
        <v>2.0000000000000018E-2</v>
      </c>
      <c r="K1045" s="1">
        <f t="shared" si="249"/>
        <v>1.9819800000000001</v>
      </c>
      <c r="L1045" s="1">
        <f t="shared" si="250"/>
        <v>1.72</v>
      </c>
      <c r="M1045" s="49">
        <f t="shared" si="253"/>
        <v>0.79572040880890593</v>
      </c>
      <c r="N1045" s="49">
        <f t="shared" si="254"/>
        <v>1.2378</v>
      </c>
      <c r="O1045" s="1">
        <v>908</v>
      </c>
      <c r="P1045" s="51">
        <v>0.05</v>
      </c>
      <c r="Q1045" s="51">
        <v>11</v>
      </c>
      <c r="R1045" s="51">
        <v>1</v>
      </c>
      <c r="S1045" s="1">
        <v>1</v>
      </c>
      <c r="T1045" s="1">
        <v>0</v>
      </c>
      <c r="U1045" s="47">
        <v>0</v>
      </c>
      <c r="V1045" s="47"/>
      <c r="W1045" s="41">
        <v>140</v>
      </c>
      <c r="X1045">
        <v>285</v>
      </c>
      <c r="Y1045">
        <v>0.98</v>
      </c>
      <c r="Z1045">
        <v>1981.98</v>
      </c>
      <c r="AA1045">
        <v>1720</v>
      </c>
      <c r="AB1045">
        <v>123.78</v>
      </c>
      <c r="AC1045">
        <v>36</v>
      </c>
      <c r="AD1045" s="41">
        <f t="shared" si="241"/>
        <v>0.43390952481861572</v>
      </c>
      <c r="AE1045" s="41">
        <f t="shared" si="242"/>
        <v>0.5</v>
      </c>
      <c r="AF1045">
        <f t="shared" si="243"/>
        <v>1.4670537931034482</v>
      </c>
      <c r="AG1045">
        <f t="shared" si="244"/>
        <v>7.2089668965517259E-2</v>
      </c>
      <c r="AH1045">
        <f t="shared" si="245"/>
        <v>1.2378</v>
      </c>
      <c r="AI1045">
        <f>HLOOKUP(HLOOKUP(G1045,'THP2'!$B$4:$J$8,5,FALSE),'Fuel &amp; Resister'!$B$3:$G$6,4,FALSE)</f>
        <v>2.7360666666666664</v>
      </c>
      <c r="AJ1045" s="41">
        <f>HLOOKUP(HLOOKUP(G1045,'THP2'!$B$4:$J$8,5,FALSE),'Fuel &amp; Resister'!$B$3:$G$6,3,FALSE)</f>
        <v>13.019</v>
      </c>
      <c r="AO1045" s="1">
        <v>1</v>
      </c>
      <c r="AP1045" s="1">
        <v>1</v>
      </c>
    </row>
    <row r="1046" spans="2:42" x14ac:dyDescent="0.15">
      <c r="B1046" s="82" t="s">
        <v>609</v>
      </c>
      <c r="C1046" s="61">
        <f>VLOOKUP(B1046,[1]SYS!$F$5:$G$359,2,FALSE)</f>
        <v>279</v>
      </c>
      <c r="D1046" s="1" t="s">
        <v>50</v>
      </c>
      <c r="E1046" s="65" t="s">
        <v>539</v>
      </c>
      <c r="F1046" s="63" t="s">
        <v>564</v>
      </c>
      <c r="G1046" s="1">
        <v>7</v>
      </c>
      <c r="H1046" s="1">
        <f t="shared" si="248"/>
        <v>0.49122807017543857</v>
      </c>
      <c r="I1046" s="1">
        <f t="shared" si="247"/>
        <v>0.28499999999999998</v>
      </c>
      <c r="J1046" s="1">
        <f t="shared" si="240"/>
        <v>2.0000000000000018E-2</v>
      </c>
      <c r="K1046" s="1">
        <f t="shared" si="249"/>
        <v>1.9819800000000001</v>
      </c>
      <c r="L1046" s="1">
        <f t="shared" si="250"/>
        <v>1.72</v>
      </c>
      <c r="M1046" s="49">
        <f t="shared" si="253"/>
        <v>0.79572040880890593</v>
      </c>
      <c r="N1046" s="49">
        <f t="shared" si="254"/>
        <v>1.2378</v>
      </c>
      <c r="O1046" s="1">
        <v>211</v>
      </c>
      <c r="P1046" s="51">
        <v>0.05</v>
      </c>
      <c r="Q1046" s="51">
        <v>11</v>
      </c>
      <c r="R1046" s="51">
        <v>1</v>
      </c>
      <c r="S1046" s="1">
        <v>1</v>
      </c>
      <c r="T1046" s="1">
        <v>0</v>
      </c>
      <c r="U1046" s="47">
        <v>0</v>
      </c>
      <c r="V1046" s="47"/>
      <c r="W1046" s="41">
        <v>140</v>
      </c>
      <c r="X1046">
        <v>285</v>
      </c>
      <c r="Y1046">
        <v>0.98</v>
      </c>
      <c r="Z1046">
        <v>1981.98</v>
      </c>
      <c r="AA1046">
        <v>1720</v>
      </c>
      <c r="AB1046">
        <v>123.78</v>
      </c>
      <c r="AC1046">
        <v>36</v>
      </c>
      <c r="AD1046" s="41">
        <f t="shared" si="241"/>
        <v>0.43390952481861572</v>
      </c>
      <c r="AE1046" s="41">
        <f t="shared" si="242"/>
        <v>0.5</v>
      </c>
      <c r="AF1046">
        <f t="shared" si="243"/>
        <v>1.4670537931034482</v>
      </c>
      <c r="AG1046">
        <f t="shared" si="244"/>
        <v>7.2089668965517259E-2</v>
      </c>
      <c r="AH1046">
        <f t="shared" si="245"/>
        <v>1.2378</v>
      </c>
      <c r="AI1046">
        <f>HLOOKUP(HLOOKUP(G1046,'THP2'!$B$4:$J$8,5,FALSE),'Fuel &amp; Resister'!$B$3:$G$6,4,FALSE)</f>
        <v>2.7360666666666664</v>
      </c>
      <c r="AJ1046" s="41">
        <f>HLOOKUP(HLOOKUP(G1046,'THP2'!$B$4:$J$8,5,FALSE),'Fuel &amp; Resister'!$B$3:$G$6,3,FALSE)</f>
        <v>13.019</v>
      </c>
      <c r="AO1046" s="1">
        <v>1</v>
      </c>
      <c r="AP1046" s="1">
        <v>1</v>
      </c>
    </row>
    <row r="1047" spans="2:42" x14ac:dyDescent="0.15">
      <c r="B1047" s="82" t="s">
        <v>609</v>
      </c>
      <c r="C1047" s="61">
        <f>VLOOKUP(B1047,[1]SYS!$F$5:$G$359,2,FALSE)</f>
        <v>279</v>
      </c>
      <c r="D1047" s="1" t="s">
        <v>50</v>
      </c>
      <c r="E1047" s="65" t="s">
        <v>539</v>
      </c>
      <c r="F1047" s="63" t="s">
        <v>564</v>
      </c>
      <c r="G1047" s="1">
        <v>7</v>
      </c>
      <c r="H1047" s="1">
        <f t="shared" si="248"/>
        <v>0.49122807017543857</v>
      </c>
      <c r="I1047" s="1">
        <f t="shared" si="247"/>
        <v>0.28499999999999998</v>
      </c>
      <c r="J1047" s="1">
        <f t="shared" si="240"/>
        <v>2.0000000000000018E-2</v>
      </c>
      <c r="K1047" s="1">
        <f t="shared" si="249"/>
        <v>1.9819800000000001</v>
      </c>
      <c r="L1047" s="1">
        <f t="shared" si="250"/>
        <v>1.72</v>
      </c>
      <c r="M1047" s="49">
        <f t="shared" si="253"/>
        <v>0.79572040880890593</v>
      </c>
      <c r="N1047" s="49">
        <f t="shared" si="254"/>
        <v>1.2378</v>
      </c>
      <c r="O1047" s="1">
        <v>1217</v>
      </c>
      <c r="P1047" s="51">
        <v>0.05</v>
      </c>
      <c r="Q1047" s="51">
        <v>11</v>
      </c>
      <c r="R1047" s="51">
        <v>1</v>
      </c>
      <c r="S1047" s="1">
        <v>1</v>
      </c>
      <c r="T1047" s="1">
        <v>0</v>
      </c>
      <c r="U1047" s="47">
        <v>0</v>
      </c>
      <c r="V1047" s="47"/>
      <c r="W1047" s="41">
        <v>140</v>
      </c>
      <c r="X1047">
        <v>285</v>
      </c>
      <c r="Y1047">
        <v>0.98</v>
      </c>
      <c r="Z1047">
        <v>1981.98</v>
      </c>
      <c r="AA1047">
        <v>1720</v>
      </c>
      <c r="AB1047">
        <v>123.78</v>
      </c>
      <c r="AC1047">
        <v>36</v>
      </c>
      <c r="AD1047" s="41">
        <f t="shared" si="241"/>
        <v>0.43390952481861572</v>
      </c>
      <c r="AE1047" s="41">
        <f t="shared" si="242"/>
        <v>0.5</v>
      </c>
      <c r="AF1047">
        <f t="shared" si="243"/>
        <v>1.4670537931034482</v>
      </c>
      <c r="AG1047">
        <f t="shared" si="244"/>
        <v>7.2089668965517259E-2</v>
      </c>
      <c r="AH1047">
        <f t="shared" si="245"/>
        <v>1.2378</v>
      </c>
      <c r="AI1047">
        <f>HLOOKUP(HLOOKUP(G1047,'THP2'!$B$4:$J$8,5,FALSE),'Fuel &amp; Resister'!$B$3:$G$6,4,FALSE)</f>
        <v>2.7360666666666664</v>
      </c>
      <c r="AJ1047" s="41">
        <f>HLOOKUP(HLOOKUP(G1047,'THP2'!$B$4:$J$8,5,FALSE),'Fuel &amp; Resister'!$B$3:$G$6,3,FALSE)</f>
        <v>13.019</v>
      </c>
      <c r="AO1047" s="62">
        <v>0</v>
      </c>
      <c r="AP1047" s="62">
        <v>0</v>
      </c>
    </row>
    <row r="1048" spans="2:42" x14ac:dyDescent="0.15">
      <c r="B1048" s="82" t="s">
        <v>617</v>
      </c>
      <c r="C1048" s="61">
        <f>VLOOKUP(B1048,[1]SYS!$F$5:$G$359,2,FALSE)</f>
        <v>324</v>
      </c>
      <c r="D1048" s="1" t="s">
        <v>50</v>
      </c>
      <c r="E1048" s="65" t="s">
        <v>289</v>
      </c>
      <c r="F1048" s="63" t="s">
        <v>420</v>
      </c>
      <c r="G1048" s="1">
        <v>7</v>
      </c>
      <c r="H1048" s="1">
        <f t="shared" si="248"/>
        <v>0.26143790849673204</v>
      </c>
      <c r="I1048" s="1">
        <f t="shared" si="247"/>
        <v>0.45900000000000002</v>
      </c>
      <c r="J1048" s="1">
        <f t="shared" si="240"/>
        <v>2.0000000000000018E-2</v>
      </c>
      <c r="K1048" s="1">
        <f t="shared" si="249"/>
        <v>2.56718</v>
      </c>
      <c r="L1048" s="1">
        <f t="shared" si="250"/>
        <v>1.5779799999999999</v>
      </c>
      <c r="M1048" s="49">
        <f t="shared" si="253"/>
        <v>1.1757131351035399</v>
      </c>
      <c r="N1048" s="49">
        <v>1.4257</v>
      </c>
      <c r="O1048" s="1">
        <v>413</v>
      </c>
      <c r="P1048" s="51">
        <v>0.05</v>
      </c>
      <c r="Q1048" s="51">
        <v>11</v>
      </c>
      <c r="R1048" s="51">
        <v>1</v>
      </c>
      <c r="S1048" s="1">
        <v>1</v>
      </c>
      <c r="T1048" s="1">
        <v>0</v>
      </c>
      <c r="U1048" s="47">
        <v>1</v>
      </c>
      <c r="V1048" s="47">
        <v>312</v>
      </c>
      <c r="W1048" s="41">
        <v>120</v>
      </c>
      <c r="X1048">
        <v>459</v>
      </c>
      <c r="Y1048">
        <v>0.98</v>
      </c>
      <c r="Z1048">
        <v>2567.1799999999998</v>
      </c>
      <c r="AA1048">
        <v>1577.98</v>
      </c>
      <c r="AB1048">
        <v>142.57</v>
      </c>
      <c r="AC1048">
        <v>36</v>
      </c>
      <c r="AD1048" s="41">
        <f t="shared" si="241"/>
        <v>0.33499793547783951</v>
      </c>
      <c r="AE1048" s="41">
        <f t="shared" si="242"/>
        <v>0.54500057034943405</v>
      </c>
      <c r="AF1048">
        <f t="shared" si="243"/>
        <v>1.2278207079646015</v>
      </c>
      <c r="AG1048">
        <f t="shared" si="244"/>
        <v>0.16072311504424788</v>
      </c>
      <c r="AH1048">
        <f t="shared" si="245"/>
        <v>1.4257</v>
      </c>
      <c r="AI1048">
        <f>HLOOKUP(HLOOKUP(G1048,'THP2'!$B$4:$J$8,5,FALSE),'Fuel &amp; Resister'!$B$3:$G$6,4,FALSE)</f>
        <v>2.7360666666666664</v>
      </c>
      <c r="AJ1048" s="41">
        <f>HLOOKUP(HLOOKUP(G1048,'THP2'!$B$4:$J$8,5,FALSE),'Fuel &amp; Resister'!$B$3:$G$6,3,FALSE)</f>
        <v>13.019</v>
      </c>
      <c r="AO1048" s="62">
        <v>0</v>
      </c>
      <c r="AP1048" s="62">
        <v>0</v>
      </c>
    </row>
    <row r="1049" spans="2:42" x14ac:dyDescent="0.15">
      <c r="B1049" s="82" t="s">
        <v>618</v>
      </c>
      <c r="C1049" s="61">
        <f>VLOOKUP(B1049,[1]SYS!$F$5:$G$359,2,FALSE)</f>
        <v>308</v>
      </c>
      <c r="D1049" s="1" t="s">
        <v>50</v>
      </c>
      <c r="E1049" s="65" t="s">
        <v>290</v>
      </c>
      <c r="F1049" s="63" t="s">
        <v>450</v>
      </c>
      <c r="G1049" s="1">
        <v>7</v>
      </c>
      <c r="H1049" s="1">
        <f t="shared" si="248"/>
        <v>0.4</v>
      </c>
      <c r="I1049" s="1">
        <f t="shared" si="247"/>
        <v>0.4</v>
      </c>
      <c r="J1049" s="1">
        <f t="shared" si="240"/>
        <v>2.0000000000000018E-2</v>
      </c>
      <c r="K1049" s="1">
        <f t="shared" si="249"/>
        <v>2.1574800000000001</v>
      </c>
      <c r="L1049" s="1">
        <f t="shared" si="250"/>
        <v>1.6538499999999998</v>
      </c>
      <c r="M1049" s="49">
        <f t="shared" si="253"/>
        <v>1.073849202863002</v>
      </c>
      <c r="N1049" s="49">
        <v>1.3619999999999999</v>
      </c>
      <c r="O1049" s="1">
        <v>514</v>
      </c>
      <c r="P1049" s="51">
        <v>0.05</v>
      </c>
      <c r="Q1049" s="51">
        <v>11</v>
      </c>
      <c r="R1049" s="51">
        <v>1</v>
      </c>
      <c r="S1049" s="1">
        <v>1</v>
      </c>
      <c r="T1049" s="1">
        <v>0</v>
      </c>
      <c r="U1049" s="47">
        <v>1</v>
      </c>
      <c r="V1049" s="47">
        <v>313</v>
      </c>
      <c r="W1049" s="41">
        <v>160</v>
      </c>
      <c r="X1049">
        <v>400</v>
      </c>
      <c r="Y1049">
        <v>0.98</v>
      </c>
      <c r="Z1049">
        <v>2157.48</v>
      </c>
      <c r="AA1049">
        <v>1653.85</v>
      </c>
      <c r="AB1049">
        <v>136.19999999999999</v>
      </c>
      <c r="AC1049">
        <v>36</v>
      </c>
      <c r="AD1049" s="41">
        <f t="shared" si="241"/>
        <v>0.39861319687783897</v>
      </c>
      <c r="AE1049" s="41">
        <f t="shared" si="242"/>
        <v>0.51999879070048671</v>
      </c>
      <c r="AF1049">
        <f t="shared" si="243"/>
        <v>1.3180966666666663</v>
      </c>
      <c r="AG1049">
        <f t="shared" si="244"/>
        <v>0.13430133333333344</v>
      </c>
      <c r="AH1049">
        <f t="shared" si="245"/>
        <v>1.3619999999999999</v>
      </c>
      <c r="AI1049">
        <f>HLOOKUP(HLOOKUP(G1049,'THP2'!$B$4:$J$8,5,FALSE),'Fuel &amp; Resister'!$B$3:$G$6,4,FALSE)</f>
        <v>2.7360666666666664</v>
      </c>
      <c r="AJ1049" s="41">
        <f>HLOOKUP(HLOOKUP(G1049,'THP2'!$B$4:$J$8,5,FALSE),'Fuel &amp; Resister'!$B$3:$G$6,3,FALSE)</f>
        <v>13.019</v>
      </c>
      <c r="AO1049" s="1">
        <v>1</v>
      </c>
      <c r="AP1049" s="62">
        <v>0</v>
      </c>
    </row>
    <row r="1050" spans="2:42" x14ac:dyDescent="0.15">
      <c r="B1050" s="82" t="s">
        <v>618</v>
      </c>
      <c r="C1050" s="61">
        <f>VLOOKUP(B1050,[1]SYS!$F$5:$G$359,2,FALSE)</f>
        <v>308</v>
      </c>
      <c r="D1050" s="1" t="s">
        <v>50</v>
      </c>
      <c r="E1050" s="65" t="s">
        <v>291</v>
      </c>
      <c r="F1050" s="63" t="s">
        <v>450</v>
      </c>
      <c r="G1050" s="1">
        <v>7</v>
      </c>
      <c r="H1050" s="1">
        <f t="shared" si="248"/>
        <v>0.4</v>
      </c>
      <c r="I1050" s="1">
        <f t="shared" si="247"/>
        <v>0.4</v>
      </c>
      <c r="J1050" s="1">
        <f t="shared" si="240"/>
        <v>2.0000000000000018E-2</v>
      </c>
      <c r="K1050" s="1">
        <f t="shared" si="249"/>
        <v>2.1574800000000001</v>
      </c>
      <c r="L1050" s="1">
        <f t="shared" si="250"/>
        <v>1.6538499999999998</v>
      </c>
      <c r="M1050" s="49">
        <f t="shared" si="253"/>
        <v>1.073849202863002</v>
      </c>
      <c r="N1050" s="49">
        <v>1.3619999999999999</v>
      </c>
      <c r="O1050" s="1">
        <v>1113</v>
      </c>
      <c r="P1050" s="51">
        <v>0.05</v>
      </c>
      <c r="Q1050" s="51">
        <v>11</v>
      </c>
      <c r="R1050" s="51">
        <v>1</v>
      </c>
      <c r="S1050" s="1">
        <v>1</v>
      </c>
      <c r="T1050" s="1">
        <v>0</v>
      </c>
      <c r="U1050" s="47">
        <v>1</v>
      </c>
      <c r="V1050" s="47">
        <v>314</v>
      </c>
      <c r="W1050" s="41">
        <v>160</v>
      </c>
      <c r="X1050">
        <v>400</v>
      </c>
      <c r="Y1050">
        <v>0.98</v>
      </c>
      <c r="Z1050">
        <v>2157.48</v>
      </c>
      <c r="AA1050">
        <v>1653.85</v>
      </c>
      <c r="AB1050">
        <v>136.19999999999999</v>
      </c>
      <c r="AC1050">
        <v>36</v>
      </c>
      <c r="AD1050" s="41">
        <f t="shared" si="241"/>
        <v>0.39861319687783897</v>
      </c>
      <c r="AE1050" s="41">
        <f t="shared" si="242"/>
        <v>0.51999879070048671</v>
      </c>
      <c r="AF1050">
        <f t="shared" si="243"/>
        <v>1.3180966666666663</v>
      </c>
      <c r="AG1050">
        <f t="shared" si="244"/>
        <v>0.13430133333333344</v>
      </c>
      <c r="AH1050">
        <f t="shared" si="245"/>
        <v>1.3619999999999999</v>
      </c>
      <c r="AI1050">
        <f>HLOOKUP(HLOOKUP(G1050,'THP2'!$B$4:$J$8,5,FALSE),'Fuel &amp; Resister'!$B$3:$G$6,4,FALSE)</f>
        <v>2.7360666666666664</v>
      </c>
      <c r="AJ1050" s="41">
        <f>HLOOKUP(HLOOKUP(G1050,'THP2'!$B$4:$J$8,5,FALSE),'Fuel &amp; Resister'!$B$3:$G$6,3,FALSE)</f>
        <v>13.019</v>
      </c>
      <c r="AO1050" s="1">
        <v>1</v>
      </c>
      <c r="AP1050" s="62">
        <v>0</v>
      </c>
    </row>
    <row r="1051" spans="2:42" x14ac:dyDescent="0.15">
      <c r="B1051" s="82" t="s">
        <v>618</v>
      </c>
      <c r="C1051" s="61">
        <f>VLOOKUP(B1051,[1]SYS!$F$5:$G$359,2,FALSE)</f>
        <v>308</v>
      </c>
      <c r="D1051" s="1" t="s">
        <v>50</v>
      </c>
      <c r="E1051" s="65" t="s">
        <v>292</v>
      </c>
      <c r="F1051" s="63" t="s">
        <v>450</v>
      </c>
      <c r="G1051" s="1">
        <v>7</v>
      </c>
      <c r="H1051" s="1">
        <f t="shared" si="248"/>
        <v>0.4</v>
      </c>
      <c r="I1051" s="1">
        <f t="shared" si="247"/>
        <v>0.4</v>
      </c>
      <c r="J1051" s="1">
        <f t="shared" si="240"/>
        <v>2.0000000000000018E-2</v>
      </c>
      <c r="K1051" s="1">
        <f t="shared" si="249"/>
        <v>2.1574800000000001</v>
      </c>
      <c r="L1051" s="1">
        <f t="shared" si="250"/>
        <v>1.6538499999999998</v>
      </c>
      <c r="M1051" s="49">
        <f t="shared" si="253"/>
        <v>1.073849202863002</v>
      </c>
      <c r="N1051" s="49">
        <v>1.3619999999999999</v>
      </c>
      <c r="O1051" s="6">
        <v>314</v>
      </c>
      <c r="P1051" s="51">
        <v>0.05</v>
      </c>
      <c r="Q1051" s="51">
        <v>11</v>
      </c>
      <c r="R1051" s="51">
        <v>1</v>
      </c>
      <c r="S1051" s="1">
        <v>1</v>
      </c>
      <c r="T1051" s="1">
        <v>0</v>
      </c>
      <c r="U1051" s="47">
        <v>1</v>
      </c>
      <c r="V1051" s="47">
        <v>315</v>
      </c>
      <c r="W1051" s="41">
        <v>160</v>
      </c>
      <c r="X1051">
        <v>400</v>
      </c>
      <c r="Y1051">
        <v>0.98</v>
      </c>
      <c r="Z1051">
        <v>2157.48</v>
      </c>
      <c r="AA1051">
        <v>1653.85</v>
      </c>
      <c r="AB1051">
        <v>136.19999999999999</v>
      </c>
      <c r="AC1051">
        <v>36</v>
      </c>
      <c r="AD1051" s="41">
        <f t="shared" si="241"/>
        <v>0.39861319687783897</v>
      </c>
      <c r="AE1051" s="41">
        <f t="shared" si="242"/>
        <v>0.51999879070048671</v>
      </c>
      <c r="AF1051">
        <f t="shared" si="243"/>
        <v>1.3180966666666663</v>
      </c>
      <c r="AG1051">
        <f t="shared" si="244"/>
        <v>0.13430133333333344</v>
      </c>
      <c r="AH1051">
        <f t="shared" si="245"/>
        <v>1.3619999999999999</v>
      </c>
      <c r="AI1051">
        <f>HLOOKUP(HLOOKUP(G1051,'THP2'!$B$4:$J$8,5,FALSE),'Fuel &amp; Resister'!$B$3:$G$6,4,FALSE)</f>
        <v>2.7360666666666664</v>
      </c>
      <c r="AJ1051" s="41">
        <f>HLOOKUP(HLOOKUP(G1051,'THP2'!$B$4:$J$8,5,FALSE),'Fuel &amp; Resister'!$B$3:$G$6,3,FALSE)</f>
        <v>13.019</v>
      </c>
      <c r="AO1051" s="1">
        <v>1</v>
      </c>
      <c r="AP1051" s="62">
        <v>0</v>
      </c>
    </row>
    <row r="1052" spans="2:42" x14ac:dyDescent="0.15">
      <c r="B1052" s="82" t="s">
        <v>618</v>
      </c>
      <c r="C1052" s="61">
        <f>VLOOKUP(B1052,[1]SYS!$F$5:$G$359,2,FALSE)</f>
        <v>308</v>
      </c>
      <c r="D1052" s="1" t="s">
        <v>50</v>
      </c>
      <c r="E1052" s="65" t="s">
        <v>293</v>
      </c>
      <c r="F1052" s="63" t="s">
        <v>450</v>
      </c>
      <c r="G1052" s="1">
        <v>7</v>
      </c>
      <c r="H1052" s="1">
        <f t="shared" si="248"/>
        <v>0.4</v>
      </c>
      <c r="I1052" s="1">
        <f t="shared" si="247"/>
        <v>0.4</v>
      </c>
      <c r="J1052" s="1">
        <f t="shared" si="240"/>
        <v>2.0000000000000018E-2</v>
      </c>
      <c r="K1052" s="1">
        <f t="shared" si="249"/>
        <v>2.1574800000000001</v>
      </c>
      <c r="L1052" s="1">
        <f t="shared" si="250"/>
        <v>1.6538499999999998</v>
      </c>
      <c r="M1052" s="49">
        <f t="shared" ref="M1052:M1083" si="255">(I1052*10^6*L1052/AJ1052*AI1052/10^6)*24*365/1000*$A$772</f>
        <v>1.073849202863002</v>
      </c>
      <c r="N1052" s="49">
        <v>1.3619999999999999</v>
      </c>
      <c r="O1052" s="1">
        <v>514</v>
      </c>
      <c r="P1052" s="51">
        <v>0.05</v>
      </c>
      <c r="Q1052" s="51">
        <v>11</v>
      </c>
      <c r="R1052" s="51">
        <v>1</v>
      </c>
      <c r="S1052" s="1">
        <v>1</v>
      </c>
      <c r="T1052" s="1">
        <v>0</v>
      </c>
      <c r="U1052" s="47">
        <v>1</v>
      </c>
      <c r="V1052" s="47">
        <v>316</v>
      </c>
      <c r="W1052" s="41">
        <v>160</v>
      </c>
      <c r="X1052">
        <v>400</v>
      </c>
      <c r="Y1052">
        <v>0.98</v>
      </c>
      <c r="Z1052">
        <v>2157.48</v>
      </c>
      <c r="AA1052">
        <v>1653.85</v>
      </c>
      <c r="AB1052">
        <v>136.19999999999999</v>
      </c>
      <c r="AC1052">
        <v>36</v>
      </c>
      <c r="AD1052" s="41">
        <f t="shared" si="241"/>
        <v>0.39861319687783897</v>
      </c>
      <c r="AE1052" s="41">
        <f t="shared" si="242"/>
        <v>0.51999879070048671</v>
      </c>
      <c r="AF1052">
        <f t="shared" si="243"/>
        <v>1.3180966666666663</v>
      </c>
      <c r="AG1052">
        <f t="shared" si="244"/>
        <v>0.13430133333333344</v>
      </c>
      <c r="AH1052">
        <f t="shared" si="245"/>
        <v>1.3619999999999999</v>
      </c>
      <c r="AI1052">
        <f>HLOOKUP(HLOOKUP(G1052,'THP2'!$B$4:$J$8,5,FALSE),'Fuel &amp; Resister'!$B$3:$G$6,4,FALSE)</f>
        <v>2.7360666666666664</v>
      </c>
      <c r="AJ1052" s="41">
        <f>HLOOKUP(HLOOKUP(G1052,'THP2'!$B$4:$J$8,5,FALSE),'Fuel &amp; Resister'!$B$3:$G$6,3,FALSE)</f>
        <v>13.019</v>
      </c>
      <c r="AO1052" s="1">
        <v>1</v>
      </c>
      <c r="AP1052" s="62">
        <v>0</v>
      </c>
    </row>
    <row r="1053" spans="2:42" x14ac:dyDescent="0.15">
      <c r="B1053" s="82" t="s">
        <v>617</v>
      </c>
      <c r="C1053" s="61">
        <f>VLOOKUP(B1053,[1]SYS!$F$5:$G$359,2,FALSE)</f>
        <v>324</v>
      </c>
      <c r="D1053" s="1" t="s">
        <v>50</v>
      </c>
      <c r="E1053" s="42" t="s">
        <v>294</v>
      </c>
      <c r="F1053" s="63" t="s">
        <v>420</v>
      </c>
      <c r="G1053" s="1">
        <v>7</v>
      </c>
      <c r="H1053" s="1">
        <f t="shared" si="248"/>
        <v>0.24897959183673468</v>
      </c>
      <c r="I1053" s="1">
        <f t="shared" si="247"/>
        <v>0.245</v>
      </c>
      <c r="J1053" s="1">
        <f t="shared" si="240"/>
        <v>2.3399999999999976E-2</v>
      </c>
      <c r="K1053" s="1">
        <f t="shared" si="249"/>
        <v>2.9363699999999997</v>
      </c>
      <c r="L1053" s="1">
        <f t="shared" si="250"/>
        <v>1.80491</v>
      </c>
      <c r="M1053" s="49">
        <f t="shared" si="255"/>
        <v>0.71780887831600204</v>
      </c>
      <c r="N1053" s="49">
        <v>1.1947000000000001</v>
      </c>
      <c r="O1053" s="6">
        <v>314</v>
      </c>
      <c r="P1053" s="51">
        <v>0.05</v>
      </c>
      <c r="Q1053" s="51">
        <v>11</v>
      </c>
      <c r="R1053" s="51">
        <v>1</v>
      </c>
      <c r="S1053" s="1">
        <v>1</v>
      </c>
      <c r="T1053" s="1">
        <v>0</v>
      </c>
      <c r="U1053" s="47">
        <v>0</v>
      </c>
      <c r="V1053" s="47">
        <v>317</v>
      </c>
      <c r="W1053" s="41">
        <v>61</v>
      </c>
      <c r="X1053">
        <v>245</v>
      </c>
      <c r="Y1053">
        <v>0.97660000000000002</v>
      </c>
      <c r="Z1053">
        <v>2936.37</v>
      </c>
      <c r="AA1053">
        <v>1804.91</v>
      </c>
      <c r="AB1053">
        <v>119.47</v>
      </c>
      <c r="AC1053">
        <v>36</v>
      </c>
      <c r="AD1053" s="41">
        <f t="shared" si="241"/>
        <v>0.29287862224447192</v>
      </c>
      <c r="AE1053" s="41">
        <f t="shared" si="242"/>
        <v>0.47647805153719575</v>
      </c>
      <c r="AF1053">
        <f t="shared" si="243"/>
        <v>1.4298064130434784</v>
      </c>
      <c r="AG1053">
        <f t="shared" si="244"/>
        <v>9.1900378804347788E-2</v>
      </c>
      <c r="AH1053">
        <f t="shared" si="245"/>
        <v>1.1947000000000001</v>
      </c>
      <c r="AI1053">
        <f>HLOOKUP(HLOOKUP(G1053,'THP2'!$B$4:$J$8,5,FALSE),'Fuel &amp; Resister'!$B$3:$G$6,4,FALSE)</f>
        <v>2.7360666666666664</v>
      </c>
      <c r="AJ1053" s="41">
        <f>HLOOKUP(HLOOKUP(G1053,'THP2'!$B$4:$J$8,5,FALSE),'Fuel &amp; Resister'!$B$3:$G$6,3,FALSE)</f>
        <v>13.019</v>
      </c>
      <c r="AO1053" s="1">
        <v>1</v>
      </c>
      <c r="AP1053" s="62">
        <v>0</v>
      </c>
    </row>
    <row r="1054" spans="2:42" x14ac:dyDescent="0.15">
      <c r="B1054" s="82" t="s">
        <v>617</v>
      </c>
      <c r="C1054" s="61">
        <f>VLOOKUP(B1054,[1]SYS!$F$5:$G$359,2,FALSE)</f>
        <v>324</v>
      </c>
      <c r="D1054" s="1" t="s">
        <v>50</v>
      </c>
      <c r="E1054" s="42" t="s">
        <v>295</v>
      </c>
      <c r="F1054" s="63" t="s">
        <v>420</v>
      </c>
      <c r="G1054" s="1">
        <v>7</v>
      </c>
      <c r="H1054" s="1">
        <f t="shared" si="248"/>
        <v>0.24897959183673468</v>
      </c>
      <c r="I1054" s="1">
        <f t="shared" si="247"/>
        <v>0.245</v>
      </c>
      <c r="J1054" s="1">
        <f t="shared" si="240"/>
        <v>2.3399999999999976E-2</v>
      </c>
      <c r="K1054" s="1">
        <f t="shared" si="249"/>
        <v>2.9363699999999997</v>
      </c>
      <c r="L1054" s="1">
        <f t="shared" si="250"/>
        <v>1.80491</v>
      </c>
      <c r="M1054" s="49">
        <f t="shared" si="255"/>
        <v>0.71780887831600204</v>
      </c>
      <c r="N1054" s="49">
        <v>1.1947000000000001</v>
      </c>
      <c r="O1054" s="1">
        <v>211</v>
      </c>
      <c r="P1054" s="51">
        <v>0.05</v>
      </c>
      <c r="Q1054" s="51">
        <v>11</v>
      </c>
      <c r="R1054" s="51">
        <v>1</v>
      </c>
      <c r="S1054" s="1">
        <v>1</v>
      </c>
      <c r="T1054" s="1">
        <v>0</v>
      </c>
      <c r="U1054" s="47">
        <v>0</v>
      </c>
      <c r="V1054" s="47">
        <v>318</v>
      </c>
      <c r="W1054" s="41">
        <v>61</v>
      </c>
      <c r="X1054">
        <v>245</v>
      </c>
      <c r="Y1054">
        <v>0.97660000000000002</v>
      </c>
      <c r="Z1054">
        <v>2936.37</v>
      </c>
      <c r="AA1054">
        <v>1804.91</v>
      </c>
      <c r="AB1054">
        <v>119.47</v>
      </c>
      <c r="AC1054">
        <v>36</v>
      </c>
      <c r="AD1054" s="41">
        <f t="shared" si="241"/>
        <v>0.29287862224447192</v>
      </c>
      <c r="AE1054" s="41">
        <f t="shared" si="242"/>
        <v>0.47647805153719575</v>
      </c>
      <c r="AF1054">
        <f t="shared" si="243"/>
        <v>1.4298064130434784</v>
      </c>
      <c r="AG1054">
        <f t="shared" si="244"/>
        <v>9.1900378804347788E-2</v>
      </c>
      <c r="AH1054">
        <f t="shared" si="245"/>
        <v>1.1947000000000001</v>
      </c>
      <c r="AI1054">
        <f>HLOOKUP(HLOOKUP(G1054,'THP2'!$B$4:$J$8,5,FALSE),'Fuel &amp; Resister'!$B$3:$G$6,4,FALSE)</f>
        <v>2.7360666666666664</v>
      </c>
      <c r="AJ1054" s="41">
        <f>HLOOKUP(HLOOKUP(G1054,'THP2'!$B$4:$J$8,5,FALSE),'Fuel &amp; Resister'!$B$3:$G$6,3,FALSE)</f>
        <v>13.019</v>
      </c>
      <c r="AO1054" s="1">
        <v>1</v>
      </c>
      <c r="AP1054" s="62">
        <v>0</v>
      </c>
    </row>
    <row r="1055" spans="2:42" x14ac:dyDescent="0.15">
      <c r="B1055" s="82" t="s">
        <v>617</v>
      </c>
      <c r="C1055" s="61">
        <f>VLOOKUP(B1055,[1]SYS!$F$5:$G$359,2,FALSE)</f>
        <v>324</v>
      </c>
      <c r="D1055" s="1" t="s">
        <v>50</v>
      </c>
      <c r="E1055" s="42" t="s">
        <v>296</v>
      </c>
      <c r="F1055" s="63" t="s">
        <v>420</v>
      </c>
      <c r="G1055" s="1">
        <v>7</v>
      </c>
      <c r="H1055" s="1">
        <f t="shared" si="248"/>
        <v>0.24897959183673468</v>
      </c>
      <c r="I1055" s="1">
        <f t="shared" si="247"/>
        <v>0.245</v>
      </c>
      <c r="J1055" s="1">
        <f t="shared" si="240"/>
        <v>2.3399999999999976E-2</v>
      </c>
      <c r="K1055" s="1">
        <f t="shared" si="249"/>
        <v>2.9363699999999997</v>
      </c>
      <c r="L1055" s="1">
        <f t="shared" si="250"/>
        <v>1.80491</v>
      </c>
      <c r="M1055" s="49">
        <f t="shared" si="255"/>
        <v>0.71780887831600204</v>
      </c>
      <c r="N1055" s="49">
        <v>1.1947000000000001</v>
      </c>
      <c r="O1055" s="1">
        <v>1113</v>
      </c>
      <c r="P1055" s="51">
        <v>0.05</v>
      </c>
      <c r="Q1055" s="51">
        <v>11</v>
      </c>
      <c r="R1055" s="51">
        <v>1</v>
      </c>
      <c r="S1055" s="1">
        <v>1</v>
      </c>
      <c r="T1055" s="1">
        <v>0</v>
      </c>
      <c r="U1055" s="47">
        <v>0</v>
      </c>
      <c r="V1055" s="47">
        <v>319</v>
      </c>
      <c r="W1055" s="41">
        <v>61</v>
      </c>
      <c r="X1055">
        <v>245</v>
      </c>
      <c r="Y1055">
        <v>0.97660000000000002</v>
      </c>
      <c r="Z1055">
        <v>2936.37</v>
      </c>
      <c r="AA1055">
        <v>1804.91</v>
      </c>
      <c r="AB1055">
        <v>119.47</v>
      </c>
      <c r="AC1055">
        <v>36</v>
      </c>
      <c r="AD1055" s="41">
        <f t="shared" si="241"/>
        <v>0.29287862224447192</v>
      </c>
      <c r="AE1055" s="41">
        <f t="shared" si="242"/>
        <v>0.47647805153719575</v>
      </c>
      <c r="AF1055">
        <f t="shared" si="243"/>
        <v>1.4298064130434784</v>
      </c>
      <c r="AG1055">
        <f t="shared" si="244"/>
        <v>9.1900378804347788E-2</v>
      </c>
      <c r="AH1055">
        <f t="shared" si="245"/>
        <v>1.1947000000000001</v>
      </c>
      <c r="AI1055">
        <f>HLOOKUP(HLOOKUP(G1055,'THP2'!$B$4:$J$8,5,FALSE),'Fuel &amp; Resister'!$B$3:$G$6,4,FALSE)</f>
        <v>2.7360666666666664</v>
      </c>
      <c r="AJ1055" s="41">
        <f>HLOOKUP(HLOOKUP(G1055,'THP2'!$B$4:$J$8,5,FALSE),'Fuel &amp; Resister'!$B$3:$G$6,3,FALSE)</f>
        <v>13.019</v>
      </c>
      <c r="AO1055" s="1">
        <v>1</v>
      </c>
      <c r="AP1055" s="62">
        <v>0</v>
      </c>
    </row>
    <row r="1056" spans="2:42" x14ac:dyDescent="0.15">
      <c r="B1056" s="82" t="s">
        <v>617</v>
      </c>
      <c r="C1056" s="61">
        <f>VLOOKUP(B1056,[1]SYS!$F$5:$G$359,2,FALSE)</f>
        <v>324</v>
      </c>
      <c r="D1056" s="1" t="s">
        <v>50</v>
      </c>
      <c r="E1056" s="42" t="s">
        <v>297</v>
      </c>
      <c r="F1056" s="63" t="s">
        <v>420</v>
      </c>
      <c r="G1056" s="1">
        <v>7</v>
      </c>
      <c r="H1056" s="1">
        <f t="shared" si="248"/>
        <v>0.23478260869565218</v>
      </c>
      <c r="I1056" s="1">
        <f t="shared" si="247"/>
        <v>0.23</v>
      </c>
      <c r="J1056" s="1">
        <f t="shared" si="240"/>
        <v>2.4800000000000044E-2</v>
      </c>
      <c r="K1056" s="1">
        <f t="shared" si="249"/>
        <v>3.03078</v>
      </c>
      <c r="L1056" s="1">
        <f t="shared" si="250"/>
        <v>1.86294</v>
      </c>
      <c r="M1056" s="49">
        <f t="shared" si="255"/>
        <v>0.69552684012420751</v>
      </c>
      <c r="N1056" s="49">
        <v>1.1787000000000001</v>
      </c>
      <c r="O1056" s="1">
        <v>1113</v>
      </c>
      <c r="P1056" s="51">
        <v>0.05</v>
      </c>
      <c r="Q1056" s="51">
        <v>11</v>
      </c>
      <c r="R1056" s="51">
        <v>1</v>
      </c>
      <c r="S1056" s="1">
        <v>1</v>
      </c>
      <c r="T1056" s="1">
        <v>0</v>
      </c>
      <c r="U1056" s="47">
        <v>0</v>
      </c>
      <c r="V1056" s="47">
        <v>320</v>
      </c>
      <c r="W1056" s="41">
        <v>54</v>
      </c>
      <c r="X1056">
        <v>230</v>
      </c>
      <c r="Y1056">
        <v>0.97519999999999996</v>
      </c>
      <c r="Z1056">
        <v>3030.78</v>
      </c>
      <c r="AA1056">
        <v>1862.94</v>
      </c>
      <c r="AB1056">
        <v>117.87</v>
      </c>
      <c r="AC1056">
        <v>36</v>
      </c>
      <c r="AD1056" s="41">
        <f t="shared" si="241"/>
        <v>0.28375533690997035</v>
      </c>
      <c r="AE1056" s="41">
        <f t="shared" si="242"/>
        <v>0.4616359088322759</v>
      </c>
      <c r="AF1056">
        <f t="shared" si="243"/>
        <v>1.5046254545454545</v>
      </c>
      <c r="AG1056">
        <f t="shared" si="244"/>
        <v>8.2412345454545483E-2</v>
      </c>
      <c r="AH1056">
        <f t="shared" si="245"/>
        <v>1.1787000000000001</v>
      </c>
      <c r="AI1056">
        <f>HLOOKUP(HLOOKUP(G1056,'THP2'!$B$4:$J$8,5,FALSE),'Fuel &amp; Resister'!$B$3:$G$6,4,FALSE)</f>
        <v>2.7360666666666664</v>
      </c>
      <c r="AJ1056" s="41">
        <f>HLOOKUP(HLOOKUP(G1056,'THP2'!$B$4:$J$8,5,FALSE),'Fuel &amp; Resister'!$B$3:$G$6,3,FALSE)</f>
        <v>13.019</v>
      </c>
      <c r="AO1056" s="1">
        <v>1</v>
      </c>
      <c r="AP1056" s="62">
        <v>0</v>
      </c>
    </row>
    <row r="1057" spans="2:42" x14ac:dyDescent="0.15">
      <c r="B1057" s="82" t="s">
        <v>617</v>
      </c>
      <c r="C1057" s="61">
        <f>VLOOKUP(B1057,[1]SYS!$F$5:$G$359,2,FALSE)</f>
        <v>324</v>
      </c>
      <c r="D1057" s="1" t="s">
        <v>50</v>
      </c>
      <c r="E1057" s="42" t="s">
        <v>298</v>
      </c>
      <c r="F1057" s="63" t="s">
        <v>420</v>
      </c>
      <c r="G1057" s="1">
        <v>7</v>
      </c>
      <c r="H1057" s="1">
        <f t="shared" si="248"/>
        <v>0.23478260869565218</v>
      </c>
      <c r="I1057" s="1">
        <f t="shared" si="247"/>
        <v>0.23</v>
      </c>
      <c r="J1057" s="1">
        <f t="shared" si="240"/>
        <v>2.4800000000000044E-2</v>
      </c>
      <c r="K1057" s="1">
        <f t="shared" si="249"/>
        <v>3.03078</v>
      </c>
      <c r="L1057" s="1">
        <f t="shared" si="250"/>
        <v>1.86294</v>
      </c>
      <c r="M1057" s="49">
        <f t="shared" si="255"/>
        <v>0.69552684012420751</v>
      </c>
      <c r="N1057" s="49">
        <v>1.1787000000000001</v>
      </c>
      <c r="O1057" s="1">
        <v>211</v>
      </c>
      <c r="P1057" s="51">
        <v>0.05</v>
      </c>
      <c r="Q1057" s="51">
        <v>11</v>
      </c>
      <c r="R1057" s="51">
        <v>1</v>
      </c>
      <c r="S1057" s="1">
        <v>1</v>
      </c>
      <c r="T1057" s="1">
        <v>0</v>
      </c>
      <c r="U1057" s="47">
        <v>0</v>
      </c>
      <c r="V1057" s="47">
        <v>321</v>
      </c>
      <c r="W1057" s="41">
        <v>54</v>
      </c>
      <c r="X1057">
        <v>230</v>
      </c>
      <c r="Y1057">
        <v>0.97519999999999996</v>
      </c>
      <c r="Z1057">
        <v>3030.78</v>
      </c>
      <c r="AA1057">
        <v>1862.94</v>
      </c>
      <c r="AB1057">
        <v>117.87</v>
      </c>
      <c r="AC1057">
        <v>36</v>
      </c>
      <c r="AD1057" s="41">
        <f t="shared" si="241"/>
        <v>0.28375533690997035</v>
      </c>
      <c r="AE1057" s="41">
        <f t="shared" si="242"/>
        <v>0.4616359088322759</v>
      </c>
      <c r="AF1057">
        <f t="shared" si="243"/>
        <v>1.5046254545454545</v>
      </c>
      <c r="AG1057">
        <f t="shared" si="244"/>
        <v>8.2412345454545483E-2</v>
      </c>
      <c r="AH1057">
        <f t="shared" si="245"/>
        <v>1.1787000000000001</v>
      </c>
      <c r="AI1057">
        <f>HLOOKUP(HLOOKUP(G1057,'THP2'!$B$4:$J$8,5,FALSE),'Fuel &amp; Resister'!$B$3:$G$6,4,FALSE)</f>
        <v>2.7360666666666664</v>
      </c>
      <c r="AJ1057" s="41">
        <f>HLOOKUP(HLOOKUP(G1057,'THP2'!$B$4:$J$8,5,FALSE),'Fuel &amp; Resister'!$B$3:$G$6,3,FALSE)</f>
        <v>13.019</v>
      </c>
      <c r="AO1057" s="1">
        <v>1</v>
      </c>
      <c r="AP1057" s="62">
        <v>0</v>
      </c>
    </row>
    <row r="1058" spans="2:42" x14ac:dyDescent="0.15">
      <c r="B1058" s="82" t="s">
        <v>617</v>
      </c>
      <c r="C1058" s="61">
        <f>VLOOKUP(B1058,[1]SYS!$F$5:$G$359,2,FALSE)</f>
        <v>324</v>
      </c>
      <c r="D1058" s="1" t="s">
        <v>50</v>
      </c>
      <c r="E1058" s="42" t="s">
        <v>299</v>
      </c>
      <c r="F1058" s="63" t="s">
        <v>420</v>
      </c>
      <c r="G1058" s="1">
        <v>7</v>
      </c>
      <c r="H1058" s="1">
        <f t="shared" si="248"/>
        <v>0.23478260869565218</v>
      </c>
      <c r="I1058" s="1">
        <f t="shared" si="247"/>
        <v>0.23</v>
      </c>
      <c r="J1058" s="1">
        <f t="shared" si="240"/>
        <v>2.5299999999999989E-2</v>
      </c>
      <c r="K1058" s="1">
        <f t="shared" si="249"/>
        <v>3.0622600000000002</v>
      </c>
      <c r="L1058" s="1">
        <f t="shared" si="250"/>
        <v>1.88229</v>
      </c>
      <c r="M1058" s="49">
        <f t="shared" si="255"/>
        <v>0.70275114383576198</v>
      </c>
      <c r="N1058" s="49">
        <v>1.1787000000000001</v>
      </c>
      <c r="O1058" s="1">
        <v>613</v>
      </c>
      <c r="P1058" s="51">
        <v>0.05</v>
      </c>
      <c r="Q1058" s="51">
        <v>11</v>
      </c>
      <c r="R1058" s="51">
        <v>1</v>
      </c>
      <c r="S1058" s="1">
        <v>1</v>
      </c>
      <c r="T1058" s="1">
        <v>0</v>
      </c>
      <c r="U1058" s="47">
        <v>0</v>
      </c>
      <c r="V1058" s="47">
        <v>322</v>
      </c>
      <c r="W1058" s="41">
        <v>54</v>
      </c>
      <c r="X1058">
        <v>230</v>
      </c>
      <c r="Y1058">
        <v>0.97470000000000001</v>
      </c>
      <c r="Z1058">
        <v>3062.26</v>
      </c>
      <c r="AA1058">
        <v>1882.29</v>
      </c>
      <c r="AB1058">
        <v>117.87</v>
      </c>
      <c r="AC1058">
        <v>36</v>
      </c>
      <c r="AD1058" s="41">
        <f t="shared" si="241"/>
        <v>0.2808383350858516</v>
      </c>
      <c r="AE1058" s="41">
        <f t="shared" si="242"/>
        <v>0.45689027726864623</v>
      </c>
      <c r="AF1058">
        <f t="shared" si="243"/>
        <v>1.52025375</v>
      </c>
      <c r="AG1058">
        <f t="shared" si="244"/>
        <v>8.3268337500000011E-2</v>
      </c>
      <c r="AH1058">
        <f t="shared" si="245"/>
        <v>1.1787000000000001</v>
      </c>
      <c r="AI1058">
        <f>HLOOKUP(HLOOKUP(G1058,'THP2'!$B$4:$J$8,5,FALSE),'Fuel &amp; Resister'!$B$3:$G$6,4,FALSE)</f>
        <v>2.7360666666666664</v>
      </c>
      <c r="AJ1058" s="41">
        <f>HLOOKUP(HLOOKUP(G1058,'THP2'!$B$4:$J$8,5,FALSE),'Fuel &amp; Resister'!$B$3:$G$6,3,FALSE)</f>
        <v>13.019</v>
      </c>
      <c r="AO1058" s="1">
        <v>1</v>
      </c>
      <c r="AP1058" s="62">
        <v>0</v>
      </c>
    </row>
    <row r="1059" spans="2:42" x14ac:dyDescent="0.15">
      <c r="B1059" s="82" t="s">
        <v>617</v>
      </c>
      <c r="C1059" s="61">
        <f>VLOOKUP(B1059,[1]SYS!$F$5:$G$359,2,FALSE)</f>
        <v>324</v>
      </c>
      <c r="D1059" s="1" t="s">
        <v>50</v>
      </c>
      <c r="E1059" s="42" t="s">
        <v>300</v>
      </c>
      <c r="F1059" s="63" t="s">
        <v>420</v>
      </c>
      <c r="G1059" s="1">
        <v>7</v>
      </c>
      <c r="H1059" s="1">
        <f t="shared" si="248"/>
        <v>0.23478260869565218</v>
      </c>
      <c r="I1059" s="1">
        <f t="shared" si="247"/>
        <v>0.23</v>
      </c>
      <c r="J1059" s="1">
        <f t="shared" si="240"/>
        <v>2.5299999999999989E-2</v>
      </c>
      <c r="K1059" s="1">
        <f t="shared" si="249"/>
        <v>3.0622600000000002</v>
      </c>
      <c r="L1059" s="1">
        <f t="shared" si="250"/>
        <v>1.88229</v>
      </c>
      <c r="M1059" s="49">
        <f t="shared" si="255"/>
        <v>0.70275114383576198</v>
      </c>
      <c r="N1059" s="49">
        <v>1.1787000000000001</v>
      </c>
      <c r="O1059" s="1">
        <v>1113</v>
      </c>
      <c r="P1059" s="51">
        <v>0.05</v>
      </c>
      <c r="Q1059" s="51">
        <v>11</v>
      </c>
      <c r="R1059" s="51">
        <v>1</v>
      </c>
      <c r="S1059" s="1">
        <v>1</v>
      </c>
      <c r="T1059" s="1">
        <v>0</v>
      </c>
      <c r="U1059" s="47">
        <v>0</v>
      </c>
      <c r="V1059" s="47">
        <v>323</v>
      </c>
      <c r="W1059" s="41">
        <v>54</v>
      </c>
      <c r="X1059">
        <v>230</v>
      </c>
      <c r="Y1059">
        <v>0.97470000000000001</v>
      </c>
      <c r="Z1059">
        <v>3062.26</v>
      </c>
      <c r="AA1059">
        <v>1882.29</v>
      </c>
      <c r="AB1059">
        <v>117.87</v>
      </c>
      <c r="AC1059">
        <v>36</v>
      </c>
      <c r="AD1059" s="41">
        <f t="shared" si="241"/>
        <v>0.2808383350858516</v>
      </c>
      <c r="AE1059" s="41">
        <f t="shared" si="242"/>
        <v>0.45689027726864623</v>
      </c>
      <c r="AF1059">
        <f t="shared" si="243"/>
        <v>1.52025375</v>
      </c>
      <c r="AG1059">
        <f t="shared" si="244"/>
        <v>8.3268337500000011E-2</v>
      </c>
      <c r="AH1059">
        <f t="shared" si="245"/>
        <v>1.1787000000000001</v>
      </c>
      <c r="AI1059">
        <f>HLOOKUP(HLOOKUP(G1059,'THP2'!$B$4:$J$8,5,FALSE),'Fuel &amp; Resister'!$B$3:$G$6,4,FALSE)</f>
        <v>2.7360666666666664</v>
      </c>
      <c r="AJ1059" s="41">
        <f>HLOOKUP(HLOOKUP(G1059,'THP2'!$B$4:$J$8,5,FALSE),'Fuel &amp; Resister'!$B$3:$G$6,3,FALSE)</f>
        <v>13.019</v>
      </c>
      <c r="AO1059" s="1">
        <v>1</v>
      </c>
      <c r="AP1059" s="62">
        <v>0</v>
      </c>
    </row>
    <row r="1060" spans="2:42" x14ac:dyDescent="0.15">
      <c r="B1060" s="82" t="s">
        <v>617</v>
      </c>
      <c r="C1060" s="61">
        <f>VLOOKUP(B1060,[1]SYS!$F$5:$G$359,2,FALSE)</f>
        <v>324</v>
      </c>
      <c r="D1060" s="1" t="s">
        <v>50</v>
      </c>
      <c r="E1060" s="42" t="s">
        <v>301</v>
      </c>
      <c r="F1060" s="63" t="s">
        <v>420</v>
      </c>
      <c r="G1060" s="1">
        <v>7</v>
      </c>
      <c r="H1060" s="1">
        <f t="shared" si="248"/>
        <v>0.30434782608695654</v>
      </c>
      <c r="I1060" s="1">
        <f t="shared" si="247"/>
        <v>0.115</v>
      </c>
      <c r="J1060" s="1">
        <f t="shared" si="240"/>
        <v>2.6699999999999946E-2</v>
      </c>
      <c r="K1060" s="1">
        <f t="shared" si="249"/>
        <v>2.9164499999999998</v>
      </c>
      <c r="L1060" s="1">
        <f t="shared" si="250"/>
        <v>1.94032</v>
      </c>
      <c r="M1060" s="49">
        <f t="shared" si="255"/>
        <v>0.36220829399492266</v>
      </c>
      <c r="N1060" s="49">
        <v>1.056</v>
      </c>
      <c r="O1060" s="1">
        <v>413</v>
      </c>
      <c r="P1060" s="51">
        <v>0.05</v>
      </c>
      <c r="Q1060" s="51">
        <v>11</v>
      </c>
      <c r="R1060" s="51">
        <v>1</v>
      </c>
      <c r="S1060" s="1">
        <v>1</v>
      </c>
      <c r="T1060" s="1">
        <v>0</v>
      </c>
      <c r="U1060" s="47">
        <v>0</v>
      </c>
      <c r="V1060" s="47">
        <v>324</v>
      </c>
      <c r="W1060" s="41">
        <v>35</v>
      </c>
      <c r="X1060">
        <v>115</v>
      </c>
      <c r="Y1060">
        <v>0.97330000000000005</v>
      </c>
      <c r="Z1060">
        <v>2916.45</v>
      </c>
      <c r="AA1060">
        <v>1940.32</v>
      </c>
      <c r="AB1060">
        <v>105.6</v>
      </c>
      <c r="AC1060">
        <v>36</v>
      </c>
      <c r="AD1060" s="41">
        <f t="shared" si="241"/>
        <v>0.2948790481578632</v>
      </c>
      <c r="AE1060" s="41">
        <f t="shared" si="242"/>
        <v>0.44322585965201616</v>
      </c>
      <c r="AF1060">
        <f t="shared" si="243"/>
        <v>1.5132631250000002</v>
      </c>
      <c r="AG1060">
        <f t="shared" si="244"/>
        <v>4.9111540624999991E-2</v>
      </c>
      <c r="AH1060">
        <f t="shared" si="245"/>
        <v>1.056</v>
      </c>
      <c r="AI1060">
        <f>HLOOKUP(HLOOKUP(G1060,'THP2'!$B$4:$J$8,5,FALSE),'Fuel &amp; Resister'!$B$3:$G$6,4,FALSE)</f>
        <v>2.7360666666666664</v>
      </c>
      <c r="AJ1060" s="41">
        <f>HLOOKUP(HLOOKUP(G1060,'THP2'!$B$4:$J$8,5,FALSE),'Fuel &amp; Resister'!$B$3:$G$6,3,FALSE)</f>
        <v>13.019</v>
      </c>
      <c r="AO1060" s="1">
        <v>1</v>
      </c>
      <c r="AP1060" s="62">
        <v>0</v>
      </c>
    </row>
    <row r="1061" spans="2:42" x14ac:dyDescent="0.15">
      <c r="B1061" s="82" t="s">
        <v>617</v>
      </c>
      <c r="C1061" s="61">
        <f>VLOOKUP(B1061,[1]SYS!$F$5:$G$359,2,FALSE)</f>
        <v>324</v>
      </c>
      <c r="D1061" s="1" t="s">
        <v>50</v>
      </c>
      <c r="E1061" s="42" t="s">
        <v>302</v>
      </c>
      <c r="F1061" s="63" t="s">
        <v>420</v>
      </c>
      <c r="G1061" s="1">
        <v>7</v>
      </c>
      <c r="H1061" s="1">
        <f t="shared" si="248"/>
        <v>0.30434782608695654</v>
      </c>
      <c r="I1061" s="1">
        <f t="shared" si="247"/>
        <v>0.115</v>
      </c>
      <c r="J1061" s="1">
        <f t="shared" si="240"/>
        <v>2.6699999999999946E-2</v>
      </c>
      <c r="K1061" s="1">
        <f t="shared" si="249"/>
        <v>2.9164499999999998</v>
      </c>
      <c r="L1061" s="1">
        <f t="shared" si="250"/>
        <v>1.94032</v>
      </c>
      <c r="M1061" s="49">
        <f t="shared" si="255"/>
        <v>0.36220829399492266</v>
      </c>
      <c r="N1061" s="49">
        <v>1.056</v>
      </c>
      <c r="O1061" s="1">
        <v>413</v>
      </c>
      <c r="P1061" s="51">
        <v>0.05</v>
      </c>
      <c r="Q1061" s="51">
        <v>11</v>
      </c>
      <c r="R1061" s="51">
        <v>1</v>
      </c>
      <c r="S1061" s="1">
        <v>1</v>
      </c>
      <c r="T1061" s="1">
        <v>0</v>
      </c>
      <c r="U1061" s="47">
        <v>0</v>
      </c>
      <c r="V1061" s="47">
        <v>325</v>
      </c>
      <c r="W1061" s="41">
        <v>35</v>
      </c>
      <c r="X1061">
        <v>115</v>
      </c>
      <c r="Y1061">
        <v>0.97330000000000005</v>
      </c>
      <c r="Z1061">
        <v>2916.45</v>
      </c>
      <c r="AA1061">
        <v>1940.32</v>
      </c>
      <c r="AB1061">
        <v>105.6</v>
      </c>
      <c r="AC1061">
        <v>36</v>
      </c>
      <c r="AD1061" s="41">
        <f t="shared" si="241"/>
        <v>0.2948790481578632</v>
      </c>
      <c r="AE1061" s="41">
        <f t="shared" si="242"/>
        <v>0.44322585965201616</v>
      </c>
      <c r="AF1061">
        <f t="shared" si="243"/>
        <v>1.5132631250000002</v>
      </c>
      <c r="AG1061">
        <f t="shared" si="244"/>
        <v>4.9111540624999991E-2</v>
      </c>
      <c r="AH1061">
        <f t="shared" si="245"/>
        <v>1.056</v>
      </c>
      <c r="AI1061">
        <f>HLOOKUP(HLOOKUP(G1061,'THP2'!$B$4:$J$8,5,FALSE),'Fuel &amp; Resister'!$B$3:$G$6,4,FALSE)</f>
        <v>2.7360666666666664</v>
      </c>
      <c r="AJ1061" s="41">
        <f>HLOOKUP(HLOOKUP(G1061,'THP2'!$B$4:$J$8,5,FALSE),'Fuel &amp; Resister'!$B$3:$G$6,3,FALSE)</f>
        <v>13.019</v>
      </c>
      <c r="AO1061" s="1">
        <v>1</v>
      </c>
      <c r="AP1061" s="62">
        <v>0</v>
      </c>
    </row>
    <row r="1062" spans="2:42" x14ac:dyDescent="0.15">
      <c r="B1062" s="82" t="s">
        <v>617</v>
      </c>
      <c r="C1062" s="61">
        <f>VLOOKUP(B1062,[1]SYS!$F$5:$G$359,2,FALSE)</f>
        <v>324</v>
      </c>
      <c r="D1062" s="1" t="s">
        <v>50</v>
      </c>
      <c r="E1062" s="42" t="s">
        <v>303</v>
      </c>
      <c r="F1062" s="63" t="s">
        <v>420</v>
      </c>
      <c r="G1062" s="1">
        <v>7</v>
      </c>
      <c r="H1062" s="1">
        <f t="shared" si="248"/>
        <v>0.30434782608695654</v>
      </c>
      <c r="I1062" s="1">
        <f t="shared" si="247"/>
        <v>0.115</v>
      </c>
      <c r="J1062" s="1">
        <f t="shared" si="240"/>
        <v>2.6699999999999946E-2</v>
      </c>
      <c r="K1062" s="1">
        <f t="shared" si="249"/>
        <v>2.9164499999999998</v>
      </c>
      <c r="L1062" s="1">
        <f t="shared" si="250"/>
        <v>1.94032</v>
      </c>
      <c r="M1062" s="49">
        <f t="shared" si="255"/>
        <v>0.36220829399492266</v>
      </c>
      <c r="N1062" s="49">
        <v>1.056</v>
      </c>
      <c r="O1062" s="1">
        <v>613</v>
      </c>
      <c r="P1062" s="51">
        <v>0.05</v>
      </c>
      <c r="Q1062" s="51">
        <v>11</v>
      </c>
      <c r="R1062" s="51">
        <v>1</v>
      </c>
      <c r="S1062" s="1">
        <v>1</v>
      </c>
      <c r="T1062" s="1">
        <v>0</v>
      </c>
      <c r="U1062" s="47">
        <v>0</v>
      </c>
      <c r="V1062" s="47">
        <v>326</v>
      </c>
      <c r="W1062" s="41">
        <v>35</v>
      </c>
      <c r="X1062">
        <v>115</v>
      </c>
      <c r="Y1062">
        <v>0.97330000000000005</v>
      </c>
      <c r="Z1062">
        <v>2916.45</v>
      </c>
      <c r="AA1062">
        <v>1940.32</v>
      </c>
      <c r="AB1062">
        <v>105.6</v>
      </c>
      <c r="AC1062">
        <v>36</v>
      </c>
      <c r="AD1062" s="41">
        <f t="shared" si="241"/>
        <v>0.2948790481578632</v>
      </c>
      <c r="AE1062" s="41">
        <f t="shared" si="242"/>
        <v>0.44322585965201616</v>
      </c>
      <c r="AF1062">
        <f t="shared" si="243"/>
        <v>1.5132631250000002</v>
      </c>
      <c r="AG1062">
        <f t="shared" si="244"/>
        <v>4.9111540624999991E-2</v>
      </c>
      <c r="AH1062">
        <f t="shared" si="245"/>
        <v>1.056</v>
      </c>
      <c r="AI1062">
        <f>HLOOKUP(HLOOKUP(G1062,'THP2'!$B$4:$J$8,5,FALSE),'Fuel &amp; Resister'!$B$3:$G$6,4,FALSE)</f>
        <v>2.7360666666666664</v>
      </c>
      <c r="AJ1062" s="41">
        <f>HLOOKUP(HLOOKUP(G1062,'THP2'!$B$4:$J$8,5,FALSE),'Fuel &amp; Resister'!$B$3:$G$6,3,FALSE)</f>
        <v>13.019</v>
      </c>
      <c r="AO1062" s="1">
        <v>1</v>
      </c>
      <c r="AP1062" s="62">
        <v>0</v>
      </c>
    </row>
    <row r="1063" spans="2:42" x14ac:dyDescent="0.15">
      <c r="B1063" s="82" t="s">
        <v>617</v>
      </c>
      <c r="C1063" s="61">
        <f>VLOOKUP(B1063,[1]SYS!$F$5:$G$359,2,FALSE)</f>
        <v>324</v>
      </c>
      <c r="D1063" s="1" t="s">
        <v>50</v>
      </c>
      <c r="E1063" s="42" t="s">
        <v>304</v>
      </c>
      <c r="F1063" s="63" t="s">
        <v>420</v>
      </c>
      <c r="G1063" s="1">
        <v>7</v>
      </c>
      <c r="H1063" s="1">
        <f t="shared" si="248"/>
        <v>0.30434782608695654</v>
      </c>
      <c r="I1063" s="1">
        <f t="shared" si="247"/>
        <v>0.115</v>
      </c>
      <c r="J1063" s="1">
        <f t="shared" ref="J1063:J1126" si="256">1-Y1063</f>
        <v>2.6699999999999946E-2</v>
      </c>
      <c r="K1063" s="1">
        <f t="shared" si="249"/>
        <v>2.9164499999999998</v>
      </c>
      <c r="L1063" s="1">
        <f t="shared" si="250"/>
        <v>1.94032</v>
      </c>
      <c r="M1063" s="49">
        <f t="shared" si="255"/>
        <v>0.36220829399492266</v>
      </c>
      <c r="N1063" s="49">
        <v>1.056</v>
      </c>
      <c r="O1063" s="1">
        <v>1113</v>
      </c>
      <c r="P1063" s="51">
        <v>0.05</v>
      </c>
      <c r="Q1063" s="51">
        <v>11</v>
      </c>
      <c r="R1063" s="51">
        <v>1</v>
      </c>
      <c r="S1063" s="1">
        <v>1</v>
      </c>
      <c r="T1063" s="1">
        <v>0</v>
      </c>
      <c r="U1063" s="47">
        <v>0</v>
      </c>
      <c r="V1063" s="47">
        <v>327</v>
      </c>
      <c r="W1063" s="41">
        <v>35</v>
      </c>
      <c r="X1063">
        <v>115</v>
      </c>
      <c r="Y1063">
        <v>0.97330000000000005</v>
      </c>
      <c r="Z1063">
        <v>2916.45</v>
      </c>
      <c r="AA1063">
        <v>1940.32</v>
      </c>
      <c r="AB1063">
        <v>105.6</v>
      </c>
      <c r="AC1063">
        <v>36</v>
      </c>
      <c r="AD1063" s="41">
        <f t="shared" si="241"/>
        <v>0.2948790481578632</v>
      </c>
      <c r="AE1063" s="41">
        <f t="shared" si="242"/>
        <v>0.44322585965201616</v>
      </c>
      <c r="AF1063">
        <f t="shared" si="243"/>
        <v>1.5132631250000002</v>
      </c>
      <c r="AG1063">
        <f t="shared" si="244"/>
        <v>4.9111540624999991E-2</v>
      </c>
      <c r="AH1063">
        <f t="shared" si="245"/>
        <v>1.056</v>
      </c>
      <c r="AI1063">
        <f>HLOOKUP(HLOOKUP(G1063,'THP2'!$B$4:$J$8,5,FALSE),'Fuel &amp; Resister'!$B$3:$G$6,4,FALSE)</f>
        <v>2.7360666666666664</v>
      </c>
      <c r="AJ1063" s="41">
        <f>HLOOKUP(HLOOKUP(G1063,'THP2'!$B$4:$J$8,5,FALSE),'Fuel &amp; Resister'!$B$3:$G$6,3,FALSE)</f>
        <v>13.019</v>
      </c>
      <c r="AO1063" s="1">
        <v>1</v>
      </c>
      <c r="AP1063" s="62">
        <v>0</v>
      </c>
    </row>
    <row r="1064" spans="2:42" x14ac:dyDescent="0.15">
      <c r="B1064" s="82" t="s">
        <v>617</v>
      </c>
      <c r="C1064" s="61">
        <f>VLOOKUP(B1064,[1]SYS!$F$5:$G$359,2,FALSE)</f>
        <v>324</v>
      </c>
      <c r="D1064" s="1" t="s">
        <v>50</v>
      </c>
      <c r="E1064" s="42" t="s">
        <v>305</v>
      </c>
      <c r="F1064" s="63" t="s">
        <v>420</v>
      </c>
      <c r="G1064" s="1">
        <v>7</v>
      </c>
      <c r="H1064" s="1">
        <f t="shared" si="248"/>
        <v>0.30434782608695654</v>
      </c>
      <c r="I1064" s="1">
        <f t="shared" si="247"/>
        <v>0.115</v>
      </c>
      <c r="J1064" s="1">
        <f t="shared" si="256"/>
        <v>2.6699999999999946E-2</v>
      </c>
      <c r="K1064" s="1">
        <f t="shared" si="249"/>
        <v>2.9164499999999998</v>
      </c>
      <c r="L1064" s="1">
        <f t="shared" si="250"/>
        <v>1.94032</v>
      </c>
      <c r="M1064" s="49">
        <f t="shared" si="255"/>
        <v>0.36220829399492266</v>
      </c>
      <c r="N1064" s="49">
        <v>1.056</v>
      </c>
      <c r="O1064" s="1">
        <v>211</v>
      </c>
      <c r="P1064" s="51">
        <v>0.05</v>
      </c>
      <c r="Q1064" s="51">
        <v>11</v>
      </c>
      <c r="R1064" s="51">
        <v>1</v>
      </c>
      <c r="S1064" s="1">
        <v>1</v>
      </c>
      <c r="T1064" s="1">
        <v>0</v>
      </c>
      <c r="U1064" s="47">
        <v>0</v>
      </c>
      <c r="V1064" s="47">
        <v>328</v>
      </c>
      <c r="W1064" s="41">
        <v>35</v>
      </c>
      <c r="X1064">
        <v>115</v>
      </c>
      <c r="Y1064">
        <v>0.97330000000000005</v>
      </c>
      <c r="Z1064">
        <v>2916.45</v>
      </c>
      <c r="AA1064">
        <v>1940.32</v>
      </c>
      <c r="AB1064">
        <v>105.6</v>
      </c>
      <c r="AC1064">
        <v>36</v>
      </c>
      <c r="AD1064" s="41">
        <f t="shared" si="241"/>
        <v>0.2948790481578632</v>
      </c>
      <c r="AE1064" s="41">
        <f t="shared" si="242"/>
        <v>0.44322585965201616</v>
      </c>
      <c r="AF1064">
        <f t="shared" si="243"/>
        <v>1.5132631250000002</v>
      </c>
      <c r="AG1064">
        <f t="shared" si="244"/>
        <v>4.9111540624999991E-2</v>
      </c>
      <c r="AH1064">
        <f t="shared" si="245"/>
        <v>1.056</v>
      </c>
      <c r="AI1064">
        <f>HLOOKUP(HLOOKUP(G1064,'THP2'!$B$4:$J$8,5,FALSE),'Fuel &amp; Resister'!$B$3:$G$6,4,FALSE)</f>
        <v>2.7360666666666664</v>
      </c>
      <c r="AJ1064" s="41">
        <f>HLOOKUP(HLOOKUP(G1064,'THP2'!$B$4:$J$8,5,FALSE),'Fuel &amp; Resister'!$B$3:$G$6,3,FALSE)</f>
        <v>13.019</v>
      </c>
      <c r="AO1064" s="1">
        <v>1</v>
      </c>
      <c r="AP1064" s="62">
        <v>0</v>
      </c>
    </row>
    <row r="1065" spans="2:42" x14ac:dyDescent="0.15">
      <c r="B1065" s="82" t="s">
        <v>617</v>
      </c>
      <c r="C1065" s="61">
        <f>VLOOKUP(B1065,[1]SYS!$F$5:$G$359,2,FALSE)</f>
        <v>324</v>
      </c>
      <c r="D1065" s="1" t="s">
        <v>50</v>
      </c>
      <c r="E1065" s="42" t="s">
        <v>306</v>
      </c>
      <c r="F1065" s="63" t="s">
        <v>420</v>
      </c>
      <c r="G1065" s="1">
        <v>7</v>
      </c>
      <c r="H1065" s="1">
        <f t="shared" si="248"/>
        <v>0.30434782608695654</v>
      </c>
      <c r="I1065" s="1">
        <f t="shared" si="247"/>
        <v>0.115</v>
      </c>
      <c r="J1065" s="1">
        <f t="shared" si="256"/>
        <v>2.6699999999999946E-2</v>
      </c>
      <c r="K1065" s="1">
        <f t="shared" si="249"/>
        <v>2.9164499999999998</v>
      </c>
      <c r="L1065" s="1">
        <f t="shared" si="250"/>
        <v>1.94032</v>
      </c>
      <c r="M1065" s="49">
        <f t="shared" si="255"/>
        <v>0.36220829399492266</v>
      </c>
      <c r="N1065" s="49">
        <v>1.056</v>
      </c>
      <c r="O1065" s="1">
        <v>901</v>
      </c>
      <c r="P1065" s="51">
        <v>0.05</v>
      </c>
      <c r="Q1065" s="51">
        <v>11</v>
      </c>
      <c r="R1065" s="51">
        <v>1</v>
      </c>
      <c r="S1065" s="1">
        <v>1</v>
      </c>
      <c r="T1065" s="1">
        <v>0</v>
      </c>
      <c r="U1065" s="47">
        <v>0</v>
      </c>
      <c r="V1065" s="47">
        <v>329</v>
      </c>
      <c r="W1065" s="41">
        <v>35</v>
      </c>
      <c r="X1065">
        <v>115</v>
      </c>
      <c r="Y1065">
        <v>0.97330000000000005</v>
      </c>
      <c r="Z1065">
        <v>2916.45</v>
      </c>
      <c r="AA1065">
        <v>1940.32</v>
      </c>
      <c r="AB1065">
        <v>105.6</v>
      </c>
      <c r="AC1065">
        <v>36</v>
      </c>
      <c r="AD1065" s="41">
        <f t="shared" si="241"/>
        <v>0.2948790481578632</v>
      </c>
      <c r="AE1065" s="41">
        <f t="shared" si="242"/>
        <v>0.44322585965201616</v>
      </c>
      <c r="AF1065">
        <f t="shared" si="243"/>
        <v>1.5132631250000002</v>
      </c>
      <c r="AG1065">
        <f t="shared" si="244"/>
        <v>4.9111540624999991E-2</v>
      </c>
      <c r="AH1065">
        <f t="shared" si="245"/>
        <v>1.056</v>
      </c>
      <c r="AI1065">
        <f>HLOOKUP(HLOOKUP(G1065,'THP2'!$B$4:$J$8,5,FALSE),'Fuel &amp; Resister'!$B$3:$G$6,4,FALSE)</f>
        <v>2.7360666666666664</v>
      </c>
      <c r="AJ1065" s="41">
        <f>HLOOKUP(HLOOKUP(G1065,'THP2'!$B$4:$J$8,5,FALSE),'Fuel &amp; Resister'!$B$3:$G$6,3,FALSE)</f>
        <v>13.019</v>
      </c>
      <c r="AO1065" s="1">
        <v>1</v>
      </c>
      <c r="AP1065" s="62">
        <v>0</v>
      </c>
    </row>
    <row r="1066" spans="2:42" x14ac:dyDescent="0.15">
      <c r="B1066" s="82" t="s">
        <v>644</v>
      </c>
      <c r="C1066" s="61">
        <f>VLOOKUP(B1066,[1]SYS!$F$5:$G$359,2,FALSE)</f>
        <v>312</v>
      </c>
      <c r="D1066" s="1" t="s">
        <v>50</v>
      </c>
      <c r="E1066" s="65" t="s">
        <v>537</v>
      </c>
      <c r="F1066" s="63" t="s">
        <v>558</v>
      </c>
      <c r="G1066" s="1">
        <v>7</v>
      </c>
      <c r="H1066" s="1">
        <f t="shared" si="248"/>
        <v>0.26143790849673204</v>
      </c>
      <c r="I1066" s="1">
        <f t="shared" si="247"/>
        <v>0.45900000000000002</v>
      </c>
      <c r="J1066" s="1">
        <f t="shared" si="256"/>
        <v>2.0000000000000018E-2</v>
      </c>
      <c r="K1066" s="1">
        <f t="shared" si="249"/>
        <v>2.56718</v>
      </c>
      <c r="L1066" s="1">
        <f t="shared" si="250"/>
        <v>1.5779799999999999</v>
      </c>
      <c r="M1066" s="49">
        <f t="shared" si="255"/>
        <v>1.1757131351035399</v>
      </c>
      <c r="N1066" s="49">
        <f>AB1066/100</f>
        <v>1.4257</v>
      </c>
      <c r="O1066" s="1">
        <v>603</v>
      </c>
      <c r="P1066" s="51">
        <v>0.05</v>
      </c>
      <c r="Q1066" s="51">
        <v>11</v>
      </c>
      <c r="R1066" s="51">
        <v>1</v>
      </c>
      <c r="S1066" s="1">
        <v>1</v>
      </c>
      <c r="T1066" s="1">
        <v>0</v>
      </c>
      <c r="U1066" s="47">
        <v>0</v>
      </c>
      <c r="V1066" s="47"/>
      <c r="W1066" s="41">
        <v>120</v>
      </c>
      <c r="X1066">
        <v>459</v>
      </c>
      <c r="Y1066">
        <v>0.98</v>
      </c>
      <c r="Z1066">
        <v>2567.1799999999998</v>
      </c>
      <c r="AA1066">
        <v>1577.98</v>
      </c>
      <c r="AB1066">
        <v>142.57</v>
      </c>
      <c r="AC1066">
        <v>36</v>
      </c>
      <c r="AD1066" s="41">
        <f t="shared" si="241"/>
        <v>0.33499793547783951</v>
      </c>
      <c r="AE1066" s="41">
        <f t="shared" si="242"/>
        <v>0.54500057034943405</v>
      </c>
      <c r="AF1066">
        <f t="shared" si="243"/>
        <v>1.2278207079646015</v>
      </c>
      <c r="AG1066">
        <f t="shared" si="244"/>
        <v>0.16072311504424788</v>
      </c>
      <c r="AH1066">
        <f t="shared" si="245"/>
        <v>1.4257</v>
      </c>
      <c r="AI1066">
        <f>HLOOKUP(HLOOKUP(G1066,'THP2'!$B$4:$J$8,5,FALSE),'Fuel &amp; Resister'!$B$3:$G$6,4,FALSE)</f>
        <v>2.7360666666666664</v>
      </c>
      <c r="AJ1066" s="41">
        <f>HLOOKUP(HLOOKUP(G1066,'THP2'!$B$4:$J$8,5,FALSE),'Fuel &amp; Resister'!$B$3:$G$6,3,FALSE)</f>
        <v>13.019</v>
      </c>
      <c r="AO1066" s="1">
        <v>1</v>
      </c>
      <c r="AP1066" s="62">
        <v>0</v>
      </c>
    </row>
    <row r="1067" spans="2:42" x14ac:dyDescent="0.15">
      <c r="B1067" s="82" t="s">
        <v>644</v>
      </c>
      <c r="C1067" s="61">
        <f>VLOOKUP(B1067,[1]SYS!$F$5:$G$359,2,FALSE)</f>
        <v>312</v>
      </c>
      <c r="D1067" s="1" t="s">
        <v>50</v>
      </c>
      <c r="E1067" s="65" t="s">
        <v>537</v>
      </c>
      <c r="F1067" s="63" t="s">
        <v>559</v>
      </c>
      <c r="G1067" s="1">
        <v>7</v>
      </c>
      <c r="H1067" s="1">
        <f t="shared" si="248"/>
        <v>0.26143790849673204</v>
      </c>
      <c r="I1067" s="1">
        <f t="shared" si="247"/>
        <v>0.45900000000000002</v>
      </c>
      <c r="J1067" s="1">
        <f t="shared" si="256"/>
        <v>2.0000000000000018E-2</v>
      </c>
      <c r="K1067" s="1">
        <f t="shared" si="249"/>
        <v>2.56718</v>
      </c>
      <c r="L1067" s="1">
        <f t="shared" si="250"/>
        <v>1.5779799999999999</v>
      </c>
      <c r="M1067" s="49">
        <f t="shared" si="255"/>
        <v>1.1757131351035399</v>
      </c>
      <c r="N1067" s="49">
        <f t="shared" ref="N1067:N1081" si="257">AB1067/100</f>
        <v>1.4257</v>
      </c>
      <c r="O1067" s="1">
        <v>709</v>
      </c>
      <c r="P1067" s="51">
        <v>0.05</v>
      </c>
      <c r="Q1067" s="51">
        <v>11</v>
      </c>
      <c r="R1067" s="51">
        <v>1</v>
      </c>
      <c r="S1067" s="1">
        <v>1</v>
      </c>
      <c r="T1067" s="1">
        <v>0</v>
      </c>
      <c r="U1067" s="47">
        <v>0</v>
      </c>
      <c r="V1067" s="47"/>
      <c r="W1067" s="41">
        <v>120</v>
      </c>
      <c r="X1067">
        <v>459</v>
      </c>
      <c r="Y1067">
        <v>0.98</v>
      </c>
      <c r="Z1067">
        <v>2567.1799999999998</v>
      </c>
      <c r="AA1067">
        <v>1577.98</v>
      </c>
      <c r="AB1067">
        <v>142.57</v>
      </c>
      <c r="AC1067">
        <v>36</v>
      </c>
      <c r="AD1067" s="41">
        <f t="shared" si="241"/>
        <v>0.33499793547783951</v>
      </c>
      <c r="AE1067" s="41">
        <f t="shared" si="242"/>
        <v>0.54500057034943405</v>
      </c>
      <c r="AF1067">
        <f t="shared" si="243"/>
        <v>1.2278207079646015</v>
      </c>
      <c r="AG1067">
        <f t="shared" si="244"/>
        <v>0.16072311504424788</v>
      </c>
      <c r="AH1067">
        <f t="shared" si="245"/>
        <v>1.4257</v>
      </c>
      <c r="AI1067">
        <f>HLOOKUP(HLOOKUP(G1067,'THP2'!$B$4:$J$8,5,FALSE),'Fuel &amp; Resister'!$B$3:$G$6,4,FALSE)</f>
        <v>2.7360666666666664</v>
      </c>
      <c r="AJ1067" s="41">
        <f>HLOOKUP(HLOOKUP(G1067,'THP2'!$B$4:$J$8,5,FALSE),'Fuel &amp; Resister'!$B$3:$G$6,3,FALSE)</f>
        <v>13.019</v>
      </c>
      <c r="AO1067" s="1">
        <v>1</v>
      </c>
      <c r="AP1067" s="62">
        <v>0</v>
      </c>
    </row>
    <row r="1068" spans="2:42" x14ac:dyDescent="0.15">
      <c r="B1068" s="82" t="s">
        <v>644</v>
      </c>
      <c r="C1068" s="61">
        <f>VLOOKUP(B1068,[1]SYS!$F$5:$G$359,2,FALSE)</f>
        <v>312</v>
      </c>
      <c r="D1068" s="1" t="s">
        <v>50</v>
      </c>
      <c r="E1068" s="65" t="s">
        <v>537</v>
      </c>
      <c r="F1068" s="63" t="s">
        <v>557</v>
      </c>
      <c r="G1068" s="1">
        <v>7</v>
      </c>
      <c r="H1068" s="1">
        <f t="shared" si="248"/>
        <v>0.26143790849673204</v>
      </c>
      <c r="I1068" s="1">
        <f t="shared" si="247"/>
        <v>0.45900000000000002</v>
      </c>
      <c r="J1068" s="1">
        <f t="shared" si="256"/>
        <v>2.0000000000000018E-2</v>
      </c>
      <c r="K1068" s="1">
        <f t="shared" si="249"/>
        <v>2.56718</v>
      </c>
      <c r="L1068" s="1">
        <f t="shared" si="250"/>
        <v>1.5779799999999999</v>
      </c>
      <c r="M1068" s="49">
        <f t="shared" si="255"/>
        <v>1.1757131351035399</v>
      </c>
      <c r="N1068" s="49">
        <f t="shared" si="257"/>
        <v>1.4257</v>
      </c>
      <c r="O1068" s="1">
        <v>403</v>
      </c>
      <c r="P1068" s="51">
        <v>0.05</v>
      </c>
      <c r="Q1068" s="51">
        <v>11</v>
      </c>
      <c r="R1068" s="51">
        <v>1</v>
      </c>
      <c r="S1068" s="1">
        <v>1</v>
      </c>
      <c r="T1068" s="1">
        <v>0</v>
      </c>
      <c r="U1068" s="47">
        <v>0</v>
      </c>
      <c r="V1068" s="47"/>
      <c r="W1068" s="41">
        <v>120</v>
      </c>
      <c r="X1068">
        <v>459</v>
      </c>
      <c r="Y1068">
        <v>0.98</v>
      </c>
      <c r="Z1068">
        <v>2567.1799999999998</v>
      </c>
      <c r="AA1068">
        <v>1577.98</v>
      </c>
      <c r="AB1068">
        <v>142.57</v>
      </c>
      <c r="AC1068">
        <v>36</v>
      </c>
      <c r="AD1068" s="41">
        <f t="shared" si="241"/>
        <v>0.33499793547783951</v>
      </c>
      <c r="AE1068" s="41">
        <f t="shared" si="242"/>
        <v>0.54500057034943405</v>
      </c>
      <c r="AF1068">
        <f t="shared" si="243"/>
        <v>1.2278207079646015</v>
      </c>
      <c r="AG1068">
        <f t="shared" si="244"/>
        <v>0.16072311504424788</v>
      </c>
      <c r="AH1068">
        <f t="shared" si="245"/>
        <v>1.4257</v>
      </c>
      <c r="AI1068">
        <f>HLOOKUP(HLOOKUP(G1068,'THP2'!$B$4:$J$8,5,FALSE),'Fuel &amp; Resister'!$B$3:$G$6,4,FALSE)</f>
        <v>2.7360666666666664</v>
      </c>
      <c r="AJ1068" s="41">
        <f>HLOOKUP(HLOOKUP(G1068,'THP2'!$B$4:$J$8,5,FALSE),'Fuel &amp; Resister'!$B$3:$G$6,3,FALSE)</f>
        <v>13.019</v>
      </c>
      <c r="AO1068" s="1">
        <v>1</v>
      </c>
      <c r="AP1068" s="62">
        <v>0</v>
      </c>
    </row>
    <row r="1069" spans="2:42" x14ac:dyDescent="0.15">
      <c r="B1069" s="82" t="s">
        <v>644</v>
      </c>
      <c r="C1069" s="61">
        <f>VLOOKUP(B1069,[1]SYS!$F$5:$G$359,2,FALSE)</f>
        <v>312</v>
      </c>
      <c r="D1069" s="1" t="s">
        <v>50</v>
      </c>
      <c r="E1069" s="65" t="s">
        <v>537</v>
      </c>
      <c r="F1069" s="63" t="s">
        <v>557</v>
      </c>
      <c r="G1069" s="1">
        <v>7</v>
      </c>
      <c r="H1069" s="1">
        <f t="shared" si="248"/>
        <v>0.26143790849673204</v>
      </c>
      <c r="I1069" s="1">
        <f t="shared" si="247"/>
        <v>0.45900000000000002</v>
      </c>
      <c r="J1069" s="1">
        <f t="shared" si="256"/>
        <v>2.0000000000000018E-2</v>
      </c>
      <c r="K1069" s="1">
        <f t="shared" si="249"/>
        <v>2.56718</v>
      </c>
      <c r="L1069" s="1">
        <f t="shared" si="250"/>
        <v>1.5779799999999999</v>
      </c>
      <c r="M1069" s="49">
        <f t="shared" si="255"/>
        <v>1.1757131351035399</v>
      </c>
      <c r="N1069" s="49">
        <f t="shared" si="257"/>
        <v>1.4257</v>
      </c>
      <c r="O1069" s="1">
        <v>509</v>
      </c>
      <c r="P1069" s="51">
        <v>0.05</v>
      </c>
      <c r="Q1069" s="51">
        <v>11</v>
      </c>
      <c r="R1069" s="51">
        <v>1</v>
      </c>
      <c r="S1069" s="1">
        <v>1</v>
      </c>
      <c r="T1069" s="1">
        <v>0</v>
      </c>
      <c r="U1069" s="47">
        <v>0</v>
      </c>
      <c r="V1069" s="47"/>
      <c r="W1069" s="41">
        <v>120</v>
      </c>
      <c r="X1069">
        <v>459</v>
      </c>
      <c r="Y1069">
        <v>0.98</v>
      </c>
      <c r="Z1069">
        <v>2567.1799999999998</v>
      </c>
      <c r="AA1069">
        <v>1577.98</v>
      </c>
      <c r="AB1069">
        <v>142.57</v>
      </c>
      <c r="AC1069">
        <v>36</v>
      </c>
      <c r="AD1069" s="41">
        <f t="shared" si="241"/>
        <v>0.33499793547783951</v>
      </c>
      <c r="AE1069" s="41">
        <f t="shared" si="242"/>
        <v>0.54500057034943405</v>
      </c>
      <c r="AF1069">
        <f t="shared" si="243"/>
        <v>1.2278207079646015</v>
      </c>
      <c r="AG1069">
        <f t="shared" si="244"/>
        <v>0.16072311504424788</v>
      </c>
      <c r="AH1069">
        <f t="shared" si="245"/>
        <v>1.4257</v>
      </c>
      <c r="AI1069">
        <f>HLOOKUP(HLOOKUP(G1069,'THP2'!$B$4:$J$8,5,FALSE),'Fuel &amp; Resister'!$B$3:$G$6,4,FALSE)</f>
        <v>2.7360666666666664</v>
      </c>
      <c r="AJ1069" s="41">
        <f>HLOOKUP(HLOOKUP(G1069,'THP2'!$B$4:$J$8,5,FALSE),'Fuel &amp; Resister'!$B$3:$G$6,3,FALSE)</f>
        <v>13.019</v>
      </c>
      <c r="AO1069" s="1">
        <v>1</v>
      </c>
      <c r="AP1069" s="62">
        <v>0</v>
      </c>
    </row>
    <row r="1070" spans="2:42" x14ac:dyDescent="0.15">
      <c r="B1070" s="82" t="s">
        <v>644</v>
      </c>
      <c r="C1070" s="61">
        <f>VLOOKUP(B1070,[1]SYS!$F$5:$G$359,2,FALSE)</f>
        <v>312</v>
      </c>
      <c r="D1070" s="1" t="s">
        <v>50</v>
      </c>
      <c r="E1070" s="65" t="s">
        <v>537</v>
      </c>
      <c r="F1070" s="63" t="s">
        <v>557</v>
      </c>
      <c r="G1070" s="1">
        <v>7</v>
      </c>
      <c r="H1070" s="1">
        <f t="shared" si="248"/>
        <v>0.26143790849673204</v>
      </c>
      <c r="I1070" s="1">
        <f t="shared" si="247"/>
        <v>0.45900000000000002</v>
      </c>
      <c r="J1070" s="1">
        <f t="shared" si="256"/>
        <v>2.0000000000000018E-2</v>
      </c>
      <c r="K1070" s="1">
        <f t="shared" si="249"/>
        <v>2.56718</v>
      </c>
      <c r="L1070" s="1">
        <f t="shared" si="250"/>
        <v>1.5779799999999999</v>
      </c>
      <c r="M1070" s="49">
        <f t="shared" si="255"/>
        <v>1.1757131351035399</v>
      </c>
      <c r="N1070" s="49">
        <f t="shared" si="257"/>
        <v>1.4257</v>
      </c>
      <c r="O1070" s="1">
        <v>403</v>
      </c>
      <c r="P1070" s="51">
        <v>0.05</v>
      </c>
      <c r="Q1070" s="51">
        <v>11</v>
      </c>
      <c r="R1070" s="51">
        <v>1</v>
      </c>
      <c r="S1070" s="1">
        <v>1</v>
      </c>
      <c r="T1070" s="1">
        <v>0</v>
      </c>
      <c r="U1070" s="47">
        <v>0</v>
      </c>
      <c r="V1070" s="47"/>
      <c r="W1070" s="41">
        <v>120</v>
      </c>
      <c r="X1070">
        <v>459</v>
      </c>
      <c r="Y1070">
        <v>0.98</v>
      </c>
      <c r="Z1070">
        <v>2567.1799999999998</v>
      </c>
      <c r="AA1070">
        <v>1577.98</v>
      </c>
      <c r="AB1070">
        <v>142.57</v>
      </c>
      <c r="AC1070">
        <v>36</v>
      </c>
      <c r="AD1070" s="41">
        <f t="shared" si="241"/>
        <v>0.33499793547783951</v>
      </c>
      <c r="AE1070" s="41">
        <f t="shared" si="242"/>
        <v>0.54500057034943405</v>
      </c>
      <c r="AF1070">
        <f t="shared" si="243"/>
        <v>1.2278207079646015</v>
      </c>
      <c r="AG1070">
        <f t="shared" si="244"/>
        <v>0.16072311504424788</v>
      </c>
      <c r="AH1070">
        <f t="shared" si="245"/>
        <v>1.4257</v>
      </c>
      <c r="AI1070">
        <f>HLOOKUP(HLOOKUP(G1070,'THP2'!$B$4:$J$8,5,FALSE),'Fuel &amp; Resister'!$B$3:$G$6,4,FALSE)</f>
        <v>2.7360666666666664</v>
      </c>
      <c r="AJ1070" s="41">
        <f>HLOOKUP(HLOOKUP(G1070,'THP2'!$B$4:$J$8,5,FALSE),'Fuel &amp; Resister'!$B$3:$G$6,3,FALSE)</f>
        <v>13.019</v>
      </c>
      <c r="AO1070" s="1">
        <v>1</v>
      </c>
      <c r="AP1070" s="62">
        <v>0</v>
      </c>
    </row>
    <row r="1071" spans="2:42" x14ac:dyDescent="0.15">
      <c r="B1071" s="82" t="s">
        <v>644</v>
      </c>
      <c r="C1071" s="61">
        <f>VLOOKUP(B1071,[1]SYS!$F$5:$G$359,2,FALSE)</f>
        <v>312</v>
      </c>
      <c r="D1071" s="1" t="s">
        <v>50</v>
      </c>
      <c r="E1071" s="65" t="s">
        <v>537</v>
      </c>
      <c r="F1071" s="63" t="s">
        <v>557</v>
      </c>
      <c r="G1071" s="1">
        <v>7</v>
      </c>
      <c r="H1071" s="1">
        <f t="shared" si="248"/>
        <v>0.26143790849673204</v>
      </c>
      <c r="I1071" s="1">
        <f t="shared" si="247"/>
        <v>0.45900000000000002</v>
      </c>
      <c r="J1071" s="1">
        <f t="shared" si="256"/>
        <v>2.0000000000000018E-2</v>
      </c>
      <c r="K1071" s="1">
        <f t="shared" si="249"/>
        <v>2.56718</v>
      </c>
      <c r="L1071" s="1">
        <f t="shared" si="250"/>
        <v>1.5779799999999999</v>
      </c>
      <c r="M1071" s="49">
        <f t="shared" si="255"/>
        <v>1.1757131351035399</v>
      </c>
      <c r="N1071" s="49">
        <f t="shared" si="257"/>
        <v>1.4257</v>
      </c>
      <c r="O1071" s="1">
        <v>509</v>
      </c>
      <c r="P1071" s="51">
        <v>0.05</v>
      </c>
      <c r="Q1071" s="51">
        <v>11</v>
      </c>
      <c r="R1071" s="51">
        <v>1</v>
      </c>
      <c r="S1071" s="1">
        <v>1</v>
      </c>
      <c r="T1071" s="1">
        <v>0</v>
      </c>
      <c r="U1071" s="47">
        <v>0</v>
      </c>
      <c r="V1071" s="47"/>
      <c r="W1071" s="41">
        <v>120</v>
      </c>
      <c r="X1071">
        <v>459</v>
      </c>
      <c r="Y1071">
        <v>0.98</v>
      </c>
      <c r="Z1071">
        <v>2567.1799999999998</v>
      </c>
      <c r="AA1071">
        <v>1577.98</v>
      </c>
      <c r="AB1071">
        <v>142.57</v>
      </c>
      <c r="AC1071">
        <v>36</v>
      </c>
      <c r="AD1071" s="41">
        <f t="shared" si="241"/>
        <v>0.33499793547783951</v>
      </c>
      <c r="AE1071" s="41">
        <f t="shared" si="242"/>
        <v>0.54500057034943405</v>
      </c>
      <c r="AF1071">
        <f t="shared" si="243"/>
        <v>1.2278207079646015</v>
      </c>
      <c r="AG1071">
        <f t="shared" si="244"/>
        <v>0.16072311504424788</v>
      </c>
      <c r="AH1071">
        <f t="shared" si="245"/>
        <v>1.4257</v>
      </c>
      <c r="AI1071">
        <f>HLOOKUP(HLOOKUP(G1071,'THP2'!$B$4:$J$8,5,FALSE),'Fuel &amp; Resister'!$B$3:$G$6,4,FALSE)</f>
        <v>2.7360666666666664</v>
      </c>
      <c r="AJ1071" s="41">
        <f>HLOOKUP(HLOOKUP(G1071,'THP2'!$B$4:$J$8,5,FALSE),'Fuel &amp; Resister'!$B$3:$G$6,3,FALSE)</f>
        <v>13.019</v>
      </c>
      <c r="AO1071" s="1">
        <v>1</v>
      </c>
      <c r="AP1071" s="62">
        <v>0</v>
      </c>
    </row>
    <row r="1072" spans="2:42" x14ac:dyDescent="0.15">
      <c r="B1072" s="82" t="s">
        <v>644</v>
      </c>
      <c r="C1072" s="61">
        <f>VLOOKUP(B1072,[1]SYS!$F$5:$G$359,2,FALSE)</f>
        <v>312</v>
      </c>
      <c r="D1072" s="1" t="s">
        <v>50</v>
      </c>
      <c r="E1072" s="65" t="s">
        <v>537</v>
      </c>
      <c r="F1072" s="63" t="s">
        <v>557</v>
      </c>
      <c r="G1072" s="1">
        <v>7</v>
      </c>
      <c r="H1072" s="1">
        <f t="shared" si="248"/>
        <v>0.26143790849673204</v>
      </c>
      <c r="I1072" s="1">
        <f t="shared" si="247"/>
        <v>0.45900000000000002</v>
      </c>
      <c r="J1072" s="1">
        <f t="shared" si="256"/>
        <v>2.0000000000000018E-2</v>
      </c>
      <c r="K1072" s="1">
        <f t="shared" si="249"/>
        <v>2.56718</v>
      </c>
      <c r="L1072" s="1">
        <f t="shared" si="250"/>
        <v>1.5779799999999999</v>
      </c>
      <c r="M1072" s="49">
        <f t="shared" si="255"/>
        <v>1.1757131351035399</v>
      </c>
      <c r="N1072" s="49">
        <f t="shared" si="257"/>
        <v>1.4257</v>
      </c>
      <c r="O1072" s="1">
        <v>807</v>
      </c>
      <c r="P1072" s="51">
        <v>0.05</v>
      </c>
      <c r="Q1072" s="51">
        <v>11</v>
      </c>
      <c r="R1072" s="51">
        <v>1</v>
      </c>
      <c r="S1072" s="1">
        <v>1</v>
      </c>
      <c r="T1072" s="1">
        <v>0</v>
      </c>
      <c r="U1072" s="47">
        <v>0</v>
      </c>
      <c r="V1072" s="47"/>
      <c r="W1072" s="41">
        <v>120</v>
      </c>
      <c r="X1072">
        <v>459</v>
      </c>
      <c r="Y1072">
        <v>0.98</v>
      </c>
      <c r="Z1072">
        <v>2567.1799999999998</v>
      </c>
      <c r="AA1072">
        <v>1577.98</v>
      </c>
      <c r="AB1072">
        <v>142.57</v>
      </c>
      <c r="AC1072">
        <v>36</v>
      </c>
      <c r="AD1072" s="41">
        <f t="shared" si="241"/>
        <v>0.33499793547783951</v>
      </c>
      <c r="AE1072" s="41">
        <f t="shared" si="242"/>
        <v>0.54500057034943405</v>
      </c>
      <c r="AF1072">
        <f t="shared" si="243"/>
        <v>1.2278207079646015</v>
      </c>
      <c r="AG1072">
        <f t="shared" si="244"/>
        <v>0.16072311504424788</v>
      </c>
      <c r="AH1072">
        <f t="shared" si="245"/>
        <v>1.4257</v>
      </c>
      <c r="AI1072">
        <f>HLOOKUP(HLOOKUP(G1072,'THP2'!$B$4:$J$8,5,FALSE),'Fuel &amp; Resister'!$B$3:$G$6,4,FALSE)</f>
        <v>2.7360666666666664</v>
      </c>
      <c r="AJ1072" s="41">
        <f>HLOOKUP(HLOOKUP(G1072,'THP2'!$B$4:$J$8,5,FALSE),'Fuel &amp; Resister'!$B$3:$G$6,3,FALSE)</f>
        <v>13.019</v>
      </c>
      <c r="AO1072" s="1">
        <v>1</v>
      </c>
      <c r="AP1072" s="62">
        <v>0</v>
      </c>
    </row>
    <row r="1073" spans="2:42" x14ac:dyDescent="0.15">
      <c r="B1073" s="82" t="s">
        <v>644</v>
      </c>
      <c r="C1073" s="61">
        <f>VLOOKUP(B1073,[1]SYS!$F$5:$G$359,2,FALSE)</f>
        <v>312</v>
      </c>
      <c r="D1073" s="1" t="s">
        <v>50</v>
      </c>
      <c r="E1073" s="65" t="s">
        <v>537</v>
      </c>
      <c r="F1073" s="63" t="s">
        <v>550</v>
      </c>
      <c r="G1073" s="1">
        <v>7</v>
      </c>
      <c r="H1073" s="1">
        <f t="shared" si="248"/>
        <v>0.26143790849673204</v>
      </c>
      <c r="I1073" s="1">
        <f t="shared" si="247"/>
        <v>0.45900000000000002</v>
      </c>
      <c r="J1073" s="1">
        <f t="shared" si="256"/>
        <v>2.0000000000000018E-2</v>
      </c>
      <c r="K1073" s="1">
        <f t="shared" si="249"/>
        <v>2.56718</v>
      </c>
      <c r="L1073" s="1">
        <f t="shared" si="250"/>
        <v>1.5779799999999999</v>
      </c>
      <c r="M1073" s="49">
        <f t="shared" si="255"/>
        <v>1.1757131351035399</v>
      </c>
      <c r="N1073" s="49">
        <f t="shared" si="257"/>
        <v>1.4257</v>
      </c>
      <c r="O1073" s="1">
        <v>403</v>
      </c>
      <c r="P1073" s="51">
        <v>0.05</v>
      </c>
      <c r="Q1073" s="51">
        <v>11</v>
      </c>
      <c r="R1073" s="51">
        <v>1</v>
      </c>
      <c r="S1073" s="1">
        <v>1</v>
      </c>
      <c r="T1073" s="1">
        <v>0</v>
      </c>
      <c r="U1073" s="47">
        <v>0</v>
      </c>
      <c r="V1073" s="47"/>
      <c r="W1073" s="41">
        <v>120</v>
      </c>
      <c r="X1073">
        <v>459</v>
      </c>
      <c r="Y1073">
        <v>0.98</v>
      </c>
      <c r="Z1073">
        <v>2567.1799999999998</v>
      </c>
      <c r="AA1073">
        <v>1577.98</v>
      </c>
      <c r="AB1073">
        <v>142.57</v>
      </c>
      <c r="AC1073">
        <v>36</v>
      </c>
      <c r="AD1073" s="41">
        <f t="shared" si="241"/>
        <v>0.33499793547783951</v>
      </c>
      <c r="AE1073" s="41">
        <f t="shared" si="242"/>
        <v>0.54500057034943405</v>
      </c>
      <c r="AF1073">
        <f t="shared" si="243"/>
        <v>1.2278207079646015</v>
      </c>
      <c r="AG1073">
        <f t="shared" si="244"/>
        <v>0.16072311504424788</v>
      </c>
      <c r="AH1073">
        <f t="shared" si="245"/>
        <v>1.4257</v>
      </c>
      <c r="AI1073">
        <f>HLOOKUP(HLOOKUP(G1073,'THP2'!$B$4:$J$8,5,FALSE),'Fuel &amp; Resister'!$B$3:$G$6,4,FALSE)</f>
        <v>2.7360666666666664</v>
      </c>
      <c r="AJ1073" s="41">
        <f>HLOOKUP(HLOOKUP(G1073,'THP2'!$B$4:$J$8,5,FALSE),'Fuel &amp; Resister'!$B$3:$G$6,3,FALSE)</f>
        <v>13.019</v>
      </c>
      <c r="AO1073" s="1">
        <v>1</v>
      </c>
      <c r="AP1073" s="1">
        <v>1</v>
      </c>
    </row>
    <row r="1074" spans="2:42" x14ac:dyDescent="0.15">
      <c r="B1074" s="82" t="s">
        <v>644</v>
      </c>
      <c r="C1074" s="61">
        <f>VLOOKUP(B1074,[1]SYS!$F$5:$G$359,2,FALSE)</f>
        <v>312</v>
      </c>
      <c r="D1074" s="1" t="s">
        <v>50</v>
      </c>
      <c r="E1074" s="65" t="s">
        <v>537</v>
      </c>
      <c r="F1074" s="63" t="s">
        <v>550</v>
      </c>
      <c r="G1074" s="1">
        <v>7</v>
      </c>
      <c r="H1074" s="1">
        <f t="shared" si="248"/>
        <v>0.26143790849673204</v>
      </c>
      <c r="I1074" s="1">
        <f t="shared" si="247"/>
        <v>0.45900000000000002</v>
      </c>
      <c r="J1074" s="1">
        <f t="shared" si="256"/>
        <v>2.0000000000000018E-2</v>
      </c>
      <c r="K1074" s="1">
        <f t="shared" si="249"/>
        <v>2.56718</v>
      </c>
      <c r="L1074" s="1">
        <f t="shared" si="250"/>
        <v>1.5779799999999999</v>
      </c>
      <c r="M1074" s="49">
        <f t="shared" si="255"/>
        <v>1.1757131351035399</v>
      </c>
      <c r="N1074" s="49">
        <f t="shared" si="257"/>
        <v>1.4257</v>
      </c>
      <c r="O1074" s="1">
        <v>509</v>
      </c>
      <c r="P1074" s="51">
        <v>0.05</v>
      </c>
      <c r="Q1074" s="51">
        <v>11</v>
      </c>
      <c r="R1074" s="51">
        <v>1</v>
      </c>
      <c r="S1074" s="1">
        <v>1</v>
      </c>
      <c r="T1074" s="1">
        <v>0</v>
      </c>
      <c r="U1074" s="47">
        <v>0</v>
      </c>
      <c r="V1074" s="47"/>
      <c r="W1074" s="41">
        <v>120</v>
      </c>
      <c r="X1074">
        <v>459</v>
      </c>
      <c r="Y1074">
        <v>0.98</v>
      </c>
      <c r="Z1074">
        <v>2567.1799999999998</v>
      </c>
      <c r="AA1074">
        <v>1577.98</v>
      </c>
      <c r="AB1074">
        <v>142.57</v>
      </c>
      <c r="AC1074">
        <v>36</v>
      </c>
      <c r="AD1074" s="41">
        <f t="shared" si="241"/>
        <v>0.33499793547783951</v>
      </c>
      <c r="AE1074" s="41">
        <f t="shared" si="242"/>
        <v>0.54500057034943405</v>
      </c>
      <c r="AF1074">
        <f t="shared" si="243"/>
        <v>1.2278207079646015</v>
      </c>
      <c r="AG1074">
        <f t="shared" si="244"/>
        <v>0.16072311504424788</v>
      </c>
      <c r="AH1074">
        <f t="shared" si="245"/>
        <v>1.4257</v>
      </c>
      <c r="AI1074">
        <f>HLOOKUP(HLOOKUP(G1074,'THP2'!$B$4:$J$8,5,FALSE),'Fuel &amp; Resister'!$B$3:$G$6,4,FALSE)</f>
        <v>2.7360666666666664</v>
      </c>
      <c r="AJ1074" s="41">
        <f>HLOOKUP(HLOOKUP(G1074,'THP2'!$B$4:$J$8,5,FALSE),'Fuel &amp; Resister'!$B$3:$G$6,3,FALSE)</f>
        <v>13.019</v>
      </c>
      <c r="AO1074" s="1">
        <v>1</v>
      </c>
      <c r="AP1074" s="1">
        <v>1</v>
      </c>
    </row>
    <row r="1075" spans="2:42" x14ac:dyDescent="0.15">
      <c r="B1075" s="82" t="s">
        <v>617</v>
      </c>
      <c r="C1075" s="61">
        <f>VLOOKUP(B1075,[1]SYS!$F$5:$G$359,2,FALSE)</f>
        <v>324</v>
      </c>
      <c r="D1075" s="1" t="s">
        <v>50</v>
      </c>
      <c r="E1075" s="65" t="s">
        <v>537</v>
      </c>
      <c r="F1075" s="63" t="s">
        <v>550</v>
      </c>
      <c r="G1075" s="1">
        <v>7</v>
      </c>
      <c r="H1075" s="1">
        <f t="shared" si="248"/>
        <v>0.26143790849673204</v>
      </c>
      <c r="I1075" s="1">
        <f t="shared" si="247"/>
        <v>0.45900000000000002</v>
      </c>
      <c r="J1075" s="1">
        <f t="shared" si="256"/>
        <v>2.0000000000000018E-2</v>
      </c>
      <c r="K1075" s="1">
        <f t="shared" si="249"/>
        <v>2.56718</v>
      </c>
      <c r="L1075" s="1">
        <f t="shared" si="250"/>
        <v>1.5779799999999999</v>
      </c>
      <c r="M1075" s="49">
        <f t="shared" si="255"/>
        <v>1.1757131351035399</v>
      </c>
      <c r="N1075" s="49">
        <f t="shared" si="257"/>
        <v>1.4257</v>
      </c>
      <c r="O1075" s="1">
        <v>807</v>
      </c>
      <c r="P1075" s="51">
        <v>0.05</v>
      </c>
      <c r="Q1075" s="51">
        <v>11</v>
      </c>
      <c r="R1075" s="51">
        <v>1</v>
      </c>
      <c r="S1075" s="1">
        <v>1</v>
      </c>
      <c r="T1075" s="1">
        <v>0</v>
      </c>
      <c r="U1075" s="47">
        <v>0</v>
      </c>
      <c r="V1075" s="47"/>
      <c r="W1075" s="41">
        <v>120</v>
      </c>
      <c r="X1075">
        <v>459</v>
      </c>
      <c r="Y1075">
        <v>0.98</v>
      </c>
      <c r="Z1075">
        <v>2567.1799999999998</v>
      </c>
      <c r="AA1075">
        <v>1577.98</v>
      </c>
      <c r="AB1075">
        <v>142.57</v>
      </c>
      <c r="AC1075">
        <v>36</v>
      </c>
      <c r="AD1075" s="41">
        <f t="shared" si="241"/>
        <v>0.33499793547783951</v>
      </c>
      <c r="AE1075" s="41">
        <f t="shared" si="242"/>
        <v>0.54500057034943405</v>
      </c>
      <c r="AF1075">
        <f t="shared" si="243"/>
        <v>1.2278207079646015</v>
      </c>
      <c r="AG1075">
        <f t="shared" si="244"/>
        <v>0.16072311504424788</v>
      </c>
      <c r="AH1075">
        <f t="shared" si="245"/>
        <v>1.4257</v>
      </c>
      <c r="AI1075">
        <f>HLOOKUP(HLOOKUP(G1075,'THP2'!$B$4:$J$8,5,FALSE),'Fuel &amp; Resister'!$B$3:$G$6,4,FALSE)</f>
        <v>2.7360666666666664</v>
      </c>
      <c r="AJ1075" s="41">
        <f>HLOOKUP(HLOOKUP(G1075,'THP2'!$B$4:$J$8,5,FALSE),'Fuel &amp; Resister'!$B$3:$G$6,3,FALSE)</f>
        <v>13.019</v>
      </c>
      <c r="AO1075" s="1">
        <v>1</v>
      </c>
      <c r="AP1075" s="1">
        <v>1</v>
      </c>
    </row>
    <row r="1076" spans="2:42" x14ac:dyDescent="0.15">
      <c r="B1076" s="82" t="s">
        <v>617</v>
      </c>
      <c r="C1076" s="61">
        <f>VLOOKUP(B1076,[1]SYS!$F$5:$G$359,2,FALSE)</f>
        <v>324</v>
      </c>
      <c r="D1076" s="1" t="s">
        <v>50</v>
      </c>
      <c r="E1076" s="65" t="s">
        <v>537</v>
      </c>
      <c r="F1076" s="63" t="s">
        <v>550</v>
      </c>
      <c r="G1076" s="1">
        <v>7</v>
      </c>
      <c r="H1076" s="1">
        <f t="shared" si="248"/>
        <v>0.26143790849673204</v>
      </c>
      <c r="I1076" s="1">
        <f t="shared" si="247"/>
        <v>0.45900000000000002</v>
      </c>
      <c r="J1076" s="1">
        <f t="shared" si="256"/>
        <v>2.0000000000000018E-2</v>
      </c>
      <c r="K1076" s="1">
        <f t="shared" si="249"/>
        <v>2.56718</v>
      </c>
      <c r="L1076" s="1">
        <f t="shared" si="250"/>
        <v>1.5779799999999999</v>
      </c>
      <c r="M1076" s="49">
        <f t="shared" si="255"/>
        <v>1.1757131351035399</v>
      </c>
      <c r="N1076" s="49">
        <f t="shared" si="257"/>
        <v>1.4257</v>
      </c>
      <c r="O1076" s="1">
        <v>912</v>
      </c>
      <c r="P1076" s="51">
        <v>0.05</v>
      </c>
      <c r="Q1076" s="51">
        <v>11</v>
      </c>
      <c r="R1076" s="51">
        <v>1</v>
      </c>
      <c r="S1076" s="1">
        <v>1</v>
      </c>
      <c r="T1076" s="1">
        <v>0</v>
      </c>
      <c r="U1076" s="47">
        <v>0</v>
      </c>
      <c r="V1076" s="47"/>
      <c r="W1076" s="41">
        <v>120</v>
      </c>
      <c r="X1076">
        <v>459</v>
      </c>
      <c r="Y1076">
        <v>0.98</v>
      </c>
      <c r="Z1076">
        <v>2567.1799999999998</v>
      </c>
      <c r="AA1076">
        <v>1577.98</v>
      </c>
      <c r="AB1076">
        <v>142.57</v>
      </c>
      <c r="AC1076">
        <v>36</v>
      </c>
      <c r="AD1076" s="41">
        <f t="shared" si="241"/>
        <v>0.33499793547783951</v>
      </c>
      <c r="AE1076" s="41">
        <f t="shared" si="242"/>
        <v>0.54500057034943405</v>
      </c>
      <c r="AF1076">
        <f t="shared" si="243"/>
        <v>1.2278207079646015</v>
      </c>
      <c r="AG1076">
        <f t="shared" si="244"/>
        <v>0.16072311504424788</v>
      </c>
      <c r="AH1076">
        <f t="shared" si="245"/>
        <v>1.4257</v>
      </c>
      <c r="AI1076">
        <f>HLOOKUP(HLOOKUP(G1076,'THP2'!$B$4:$J$8,5,FALSE),'Fuel &amp; Resister'!$B$3:$G$6,4,FALSE)</f>
        <v>2.7360666666666664</v>
      </c>
      <c r="AJ1076" s="41">
        <f>HLOOKUP(HLOOKUP(G1076,'THP2'!$B$4:$J$8,5,FALSE),'Fuel &amp; Resister'!$B$3:$G$6,3,FALSE)</f>
        <v>13.019</v>
      </c>
      <c r="AO1076" s="1">
        <v>1</v>
      </c>
      <c r="AP1076" s="1">
        <v>1</v>
      </c>
    </row>
    <row r="1077" spans="2:42" x14ac:dyDescent="0.15">
      <c r="B1077" s="82" t="s">
        <v>617</v>
      </c>
      <c r="C1077" s="61">
        <f>VLOOKUP(B1077,[1]SYS!$F$5:$G$359,2,FALSE)</f>
        <v>324</v>
      </c>
      <c r="D1077" s="1" t="s">
        <v>50</v>
      </c>
      <c r="E1077" s="65" t="s">
        <v>537</v>
      </c>
      <c r="F1077" s="63" t="s">
        <v>550</v>
      </c>
      <c r="G1077" s="1">
        <v>7</v>
      </c>
      <c r="H1077" s="1">
        <f t="shared" si="248"/>
        <v>0.26143790849673204</v>
      </c>
      <c r="I1077" s="1">
        <f t="shared" si="247"/>
        <v>0.45900000000000002</v>
      </c>
      <c r="J1077" s="1">
        <f t="shared" si="256"/>
        <v>2.0000000000000018E-2</v>
      </c>
      <c r="K1077" s="1">
        <f t="shared" si="249"/>
        <v>2.56718</v>
      </c>
      <c r="L1077" s="1">
        <f t="shared" si="250"/>
        <v>1.5779799999999999</v>
      </c>
      <c r="M1077" s="49">
        <f t="shared" si="255"/>
        <v>1.1757131351035399</v>
      </c>
      <c r="N1077" s="49">
        <f t="shared" si="257"/>
        <v>1.4257</v>
      </c>
      <c r="O1077" s="1">
        <v>1204</v>
      </c>
      <c r="P1077" s="51">
        <v>0.05</v>
      </c>
      <c r="Q1077" s="51">
        <v>11</v>
      </c>
      <c r="R1077" s="51">
        <v>1</v>
      </c>
      <c r="S1077" s="1">
        <v>1</v>
      </c>
      <c r="T1077" s="1">
        <v>0</v>
      </c>
      <c r="U1077" s="47">
        <v>0</v>
      </c>
      <c r="V1077" s="47"/>
      <c r="W1077" s="41">
        <v>120</v>
      </c>
      <c r="X1077">
        <v>459</v>
      </c>
      <c r="Y1077">
        <v>0.98</v>
      </c>
      <c r="Z1077">
        <v>2567.1799999999998</v>
      </c>
      <c r="AA1077">
        <v>1577.98</v>
      </c>
      <c r="AB1077">
        <v>142.57</v>
      </c>
      <c r="AC1077">
        <v>36</v>
      </c>
      <c r="AD1077" s="41">
        <f t="shared" si="241"/>
        <v>0.33499793547783951</v>
      </c>
      <c r="AE1077" s="41">
        <f t="shared" si="242"/>
        <v>0.54500057034943405</v>
      </c>
      <c r="AF1077">
        <f t="shared" si="243"/>
        <v>1.2278207079646015</v>
      </c>
      <c r="AG1077">
        <f t="shared" si="244"/>
        <v>0.16072311504424788</v>
      </c>
      <c r="AH1077">
        <f t="shared" si="245"/>
        <v>1.4257</v>
      </c>
      <c r="AI1077">
        <f>HLOOKUP(HLOOKUP(G1077,'THP2'!$B$4:$J$8,5,FALSE),'Fuel &amp; Resister'!$B$3:$G$6,4,FALSE)</f>
        <v>2.7360666666666664</v>
      </c>
      <c r="AJ1077" s="41">
        <f>HLOOKUP(HLOOKUP(G1077,'THP2'!$B$4:$J$8,5,FALSE),'Fuel &amp; Resister'!$B$3:$G$6,3,FALSE)</f>
        <v>13.019</v>
      </c>
      <c r="AO1077" s="1">
        <v>1</v>
      </c>
      <c r="AP1077" s="1">
        <v>1</v>
      </c>
    </row>
    <row r="1078" spans="2:42" x14ac:dyDescent="0.15">
      <c r="B1078" s="82" t="s">
        <v>615</v>
      </c>
      <c r="C1078" s="61">
        <f>VLOOKUP(B1078,[1]SYS!$F$5:$G$359,2,FALSE)</f>
        <v>332</v>
      </c>
      <c r="D1078" s="1" t="s">
        <v>50</v>
      </c>
      <c r="E1078" s="65" t="s">
        <v>537</v>
      </c>
      <c r="F1078" s="63" t="s">
        <v>556</v>
      </c>
      <c r="G1078" s="1">
        <v>7</v>
      </c>
      <c r="H1078" s="1">
        <f t="shared" si="248"/>
        <v>0.26143790849673204</v>
      </c>
      <c r="I1078" s="1">
        <f t="shared" si="247"/>
        <v>0.45900000000000002</v>
      </c>
      <c r="J1078" s="1">
        <f t="shared" si="256"/>
        <v>2.0000000000000018E-2</v>
      </c>
      <c r="K1078" s="1">
        <f t="shared" si="249"/>
        <v>2.56718</v>
      </c>
      <c r="L1078" s="1">
        <f t="shared" si="250"/>
        <v>1.5779799999999999</v>
      </c>
      <c r="M1078" s="49">
        <f t="shared" si="255"/>
        <v>1.1757131351035399</v>
      </c>
      <c r="N1078" s="49">
        <f t="shared" si="257"/>
        <v>1.4257</v>
      </c>
      <c r="O1078" s="1">
        <v>109</v>
      </c>
      <c r="P1078" s="51">
        <v>0.05</v>
      </c>
      <c r="Q1078" s="51">
        <v>11</v>
      </c>
      <c r="R1078" s="51">
        <v>1</v>
      </c>
      <c r="S1078" s="1">
        <v>1</v>
      </c>
      <c r="T1078" s="1">
        <v>0</v>
      </c>
      <c r="U1078" s="47">
        <v>0</v>
      </c>
      <c r="V1078" s="47"/>
      <c r="W1078" s="41">
        <v>120</v>
      </c>
      <c r="X1078">
        <v>459</v>
      </c>
      <c r="Y1078">
        <v>0.98</v>
      </c>
      <c r="Z1078">
        <v>2567.1799999999998</v>
      </c>
      <c r="AA1078">
        <v>1577.98</v>
      </c>
      <c r="AB1078">
        <v>142.57</v>
      </c>
      <c r="AC1078">
        <v>36</v>
      </c>
      <c r="AD1078" s="41">
        <f t="shared" si="241"/>
        <v>0.33499793547783951</v>
      </c>
      <c r="AE1078" s="41">
        <f t="shared" si="242"/>
        <v>0.54500057034943405</v>
      </c>
      <c r="AF1078">
        <f t="shared" si="243"/>
        <v>1.2278207079646015</v>
      </c>
      <c r="AG1078">
        <f t="shared" si="244"/>
        <v>0.16072311504424788</v>
      </c>
      <c r="AH1078">
        <f t="shared" si="245"/>
        <v>1.4257</v>
      </c>
      <c r="AI1078">
        <f>HLOOKUP(HLOOKUP(G1078,'THP2'!$B$4:$J$8,5,FALSE),'Fuel &amp; Resister'!$B$3:$G$6,4,FALSE)</f>
        <v>2.7360666666666664</v>
      </c>
      <c r="AJ1078" s="41">
        <f>HLOOKUP(HLOOKUP(G1078,'THP2'!$B$4:$J$8,5,FALSE),'Fuel &amp; Resister'!$B$3:$G$6,3,FALSE)</f>
        <v>13.019</v>
      </c>
      <c r="AO1078" s="1">
        <v>1</v>
      </c>
      <c r="AP1078" s="1">
        <v>1</v>
      </c>
    </row>
    <row r="1079" spans="2:42" x14ac:dyDescent="0.15">
      <c r="B1079" s="82" t="s">
        <v>615</v>
      </c>
      <c r="C1079" s="61">
        <f>VLOOKUP(B1079,[1]SYS!$F$5:$G$359,2,FALSE)</f>
        <v>332</v>
      </c>
      <c r="D1079" s="1" t="s">
        <v>50</v>
      </c>
      <c r="E1079" s="65" t="s">
        <v>537</v>
      </c>
      <c r="F1079" s="63" t="s">
        <v>556</v>
      </c>
      <c r="G1079" s="1">
        <v>7</v>
      </c>
      <c r="H1079" s="1">
        <f t="shared" si="248"/>
        <v>0.26143790849673204</v>
      </c>
      <c r="I1079" s="1">
        <f t="shared" si="247"/>
        <v>0.45900000000000002</v>
      </c>
      <c r="J1079" s="1">
        <f t="shared" si="256"/>
        <v>2.0000000000000018E-2</v>
      </c>
      <c r="K1079" s="1">
        <f t="shared" si="249"/>
        <v>2.56718</v>
      </c>
      <c r="L1079" s="1">
        <f t="shared" si="250"/>
        <v>1.5779799999999999</v>
      </c>
      <c r="M1079" s="49">
        <f t="shared" si="255"/>
        <v>1.1757131351035399</v>
      </c>
      <c r="N1079" s="49">
        <f t="shared" si="257"/>
        <v>1.4257</v>
      </c>
      <c r="O1079" s="1">
        <v>201</v>
      </c>
      <c r="P1079" s="51">
        <v>0.05</v>
      </c>
      <c r="Q1079" s="51">
        <v>11</v>
      </c>
      <c r="R1079" s="51">
        <v>1</v>
      </c>
      <c r="S1079" s="1">
        <v>1</v>
      </c>
      <c r="T1079" s="1">
        <v>0</v>
      </c>
      <c r="U1079" s="47">
        <v>0</v>
      </c>
      <c r="V1079" s="47"/>
      <c r="W1079" s="41">
        <v>120</v>
      </c>
      <c r="X1079">
        <v>459</v>
      </c>
      <c r="Y1079">
        <v>0.98</v>
      </c>
      <c r="Z1079">
        <v>2567.1799999999998</v>
      </c>
      <c r="AA1079">
        <v>1577.98</v>
      </c>
      <c r="AB1079">
        <v>142.57</v>
      </c>
      <c r="AC1079">
        <v>36</v>
      </c>
      <c r="AD1079" s="41">
        <f t="shared" si="241"/>
        <v>0.33499793547783951</v>
      </c>
      <c r="AE1079" s="41">
        <f t="shared" si="242"/>
        <v>0.54500057034943405</v>
      </c>
      <c r="AF1079">
        <f t="shared" si="243"/>
        <v>1.2278207079646015</v>
      </c>
      <c r="AG1079">
        <f t="shared" si="244"/>
        <v>0.16072311504424788</v>
      </c>
      <c r="AH1079">
        <f t="shared" si="245"/>
        <v>1.4257</v>
      </c>
      <c r="AI1079">
        <f>HLOOKUP(HLOOKUP(G1079,'THP2'!$B$4:$J$8,5,FALSE),'Fuel &amp; Resister'!$B$3:$G$6,4,FALSE)</f>
        <v>2.7360666666666664</v>
      </c>
      <c r="AJ1079" s="41">
        <f>HLOOKUP(HLOOKUP(G1079,'THP2'!$B$4:$J$8,5,FALSE),'Fuel &amp; Resister'!$B$3:$G$6,3,FALSE)</f>
        <v>13.019</v>
      </c>
      <c r="AO1079" s="1">
        <v>1</v>
      </c>
      <c r="AP1079" s="1">
        <v>1</v>
      </c>
    </row>
    <row r="1080" spans="2:42" x14ac:dyDescent="0.15">
      <c r="B1080" s="82" t="s">
        <v>616</v>
      </c>
      <c r="C1080" s="61">
        <f>VLOOKUP(B1080,[1]SYS!$F$5:$G$359,2,FALSE)</f>
        <v>341</v>
      </c>
      <c r="D1080" s="1" t="s">
        <v>50</v>
      </c>
      <c r="E1080" s="65" t="s">
        <v>537</v>
      </c>
      <c r="F1080" s="63" t="s">
        <v>555</v>
      </c>
      <c r="G1080" s="1">
        <v>7</v>
      </c>
      <c r="H1080" s="1">
        <f t="shared" si="248"/>
        <v>0.26143790849673204</v>
      </c>
      <c r="I1080" s="1">
        <f t="shared" si="247"/>
        <v>0.45900000000000002</v>
      </c>
      <c r="J1080" s="1">
        <f t="shared" si="256"/>
        <v>2.0000000000000018E-2</v>
      </c>
      <c r="K1080" s="1">
        <f t="shared" si="249"/>
        <v>2.56718</v>
      </c>
      <c r="L1080" s="1">
        <f t="shared" si="250"/>
        <v>1.5779799999999999</v>
      </c>
      <c r="M1080" s="49">
        <f t="shared" si="255"/>
        <v>1.1757131351035399</v>
      </c>
      <c r="N1080" s="49">
        <f t="shared" si="257"/>
        <v>1.4257</v>
      </c>
      <c r="O1080" s="1">
        <v>1007</v>
      </c>
      <c r="P1080" s="51">
        <v>0.05</v>
      </c>
      <c r="Q1080" s="51">
        <v>11</v>
      </c>
      <c r="R1080" s="51">
        <v>1</v>
      </c>
      <c r="S1080" s="1">
        <v>1</v>
      </c>
      <c r="T1080" s="1">
        <v>0</v>
      </c>
      <c r="U1080" s="47">
        <v>0</v>
      </c>
      <c r="V1080" s="47"/>
      <c r="W1080" s="41">
        <v>120</v>
      </c>
      <c r="X1080">
        <v>459</v>
      </c>
      <c r="Y1080">
        <v>0.98</v>
      </c>
      <c r="Z1080">
        <v>2567.1799999999998</v>
      </c>
      <c r="AA1080">
        <v>1577.98</v>
      </c>
      <c r="AB1080">
        <v>142.57</v>
      </c>
      <c r="AC1080">
        <v>36</v>
      </c>
      <c r="AD1080" s="41">
        <f t="shared" ref="AD1080:AD1085" si="258">1/Z1080*860</f>
        <v>0.33499793547783951</v>
      </c>
      <c r="AE1080" s="41">
        <f t="shared" ref="AE1080:AE1085" si="259">1/AA1080*860</f>
        <v>0.54500057034943405</v>
      </c>
      <c r="AF1080">
        <f t="shared" ref="AF1080:AF1085" si="260">(L1080-H1080*K1080)/(1-H1080)</f>
        <v>1.2278207079646015</v>
      </c>
      <c r="AG1080">
        <f t="shared" ref="AG1080:AG1085" si="261">I1080*(L1080-AF1080)</f>
        <v>0.16072311504424788</v>
      </c>
      <c r="AH1080">
        <f t="shared" ref="AH1080:AH1085" si="262">AB1080/100</f>
        <v>1.4257</v>
      </c>
      <c r="AI1080">
        <f>HLOOKUP(HLOOKUP(G1080,'THP2'!$B$4:$J$8,5,FALSE),'Fuel &amp; Resister'!$B$3:$G$6,4,FALSE)</f>
        <v>2.7360666666666664</v>
      </c>
      <c r="AJ1080" s="41">
        <f>HLOOKUP(HLOOKUP(G1080,'THP2'!$B$4:$J$8,5,FALSE),'Fuel &amp; Resister'!$B$3:$G$6,3,FALSE)</f>
        <v>13.019</v>
      </c>
      <c r="AO1080" s="1">
        <v>1</v>
      </c>
      <c r="AP1080" s="1">
        <v>1</v>
      </c>
    </row>
    <row r="1081" spans="2:42" x14ac:dyDescent="0.15">
      <c r="B1081" s="82" t="s">
        <v>616</v>
      </c>
      <c r="C1081" s="61">
        <f>VLOOKUP(B1081,[1]SYS!$F$5:$G$359,2,FALSE)</f>
        <v>341</v>
      </c>
      <c r="D1081" s="1" t="s">
        <v>50</v>
      </c>
      <c r="E1081" s="65" t="s">
        <v>537</v>
      </c>
      <c r="F1081" s="63" t="s">
        <v>555</v>
      </c>
      <c r="G1081" s="1">
        <v>7</v>
      </c>
      <c r="H1081" s="1">
        <f t="shared" si="248"/>
        <v>0.26143790849673204</v>
      </c>
      <c r="I1081" s="1">
        <f t="shared" si="247"/>
        <v>0.45900000000000002</v>
      </c>
      <c r="J1081" s="1">
        <f t="shared" si="256"/>
        <v>2.0000000000000018E-2</v>
      </c>
      <c r="K1081" s="1">
        <f t="shared" si="249"/>
        <v>2.56718</v>
      </c>
      <c r="L1081" s="1">
        <f t="shared" si="250"/>
        <v>1.5779799999999999</v>
      </c>
      <c r="M1081" s="49">
        <f t="shared" si="255"/>
        <v>1.1757131351035399</v>
      </c>
      <c r="N1081" s="49">
        <f t="shared" si="257"/>
        <v>1.4257</v>
      </c>
      <c r="O1081" s="1">
        <v>1112</v>
      </c>
      <c r="P1081" s="51">
        <v>0.05</v>
      </c>
      <c r="Q1081" s="51">
        <v>11</v>
      </c>
      <c r="R1081" s="51">
        <v>1</v>
      </c>
      <c r="S1081" s="1">
        <v>1</v>
      </c>
      <c r="T1081" s="1">
        <v>0</v>
      </c>
      <c r="U1081" s="47">
        <v>0</v>
      </c>
      <c r="V1081" s="47"/>
      <c r="W1081" s="41">
        <v>120</v>
      </c>
      <c r="X1081">
        <v>459</v>
      </c>
      <c r="Y1081">
        <v>0.98</v>
      </c>
      <c r="Z1081">
        <v>2567.1799999999998</v>
      </c>
      <c r="AA1081">
        <v>1577.98</v>
      </c>
      <c r="AB1081">
        <v>142.57</v>
      </c>
      <c r="AC1081">
        <v>36</v>
      </c>
      <c r="AD1081" s="41">
        <f t="shared" si="258"/>
        <v>0.33499793547783951</v>
      </c>
      <c r="AE1081" s="41">
        <f t="shared" si="259"/>
        <v>0.54500057034943405</v>
      </c>
      <c r="AF1081">
        <f t="shared" si="260"/>
        <v>1.2278207079646015</v>
      </c>
      <c r="AG1081">
        <f t="shared" si="261"/>
        <v>0.16072311504424788</v>
      </c>
      <c r="AH1081">
        <f t="shared" si="262"/>
        <v>1.4257</v>
      </c>
      <c r="AI1081">
        <f>HLOOKUP(HLOOKUP(G1081,'THP2'!$B$4:$J$8,5,FALSE),'Fuel &amp; Resister'!$B$3:$G$6,4,FALSE)</f>
        <v>2.7360666666666664</v>
      </c>
      <c r="AJ1081" s="41">
        <f>HLOOKUP(HLOOKUP(G1081,'THP2'!$B$4:$J$8,5,FALSE),'Fuel &amp; Resister'!$B$3:$G$6,3,FALSE)</f>
        <v>13.019</v>
      </c>
      <c r="AO1081" s="1">
        <v>1</v>
      </c>
      <c r="AP1081" s="1">
        <v>1</v>
      </c>
    </row>
    <row r="1082" spans="2:42" x14ac:dyDescent="0.15">
      <c r="B1082" s="81" t="s">
        <v>620</v>
      </c>
      <c r="C1082" s="61">
        <f>VLOOKUP(B1082,[1]SYS!$F$5:$G$359,2,FALSE)</f>
        <v>0</v>
      </c>
      <c r="D1082" s="1" t="s">
        <v>50</v>
      </c>
      <c r="E1082" s="65" t="s">
        <v>422</v>
      </c>
      <c r="F1082" s="63" t="s">
        <v>423</v>
      </c>
      <c r="G1082" s="1">
        <v>8</v>
      </c>
      <c r="H1082" s="1">
        <f t="shared" ref="H1082:H1150" si="263">W1082/X1082</f>
        <v>0.40070298769771528</v>
      </c>
      <c r="I1082" s="1">
        <f t="shared" ref="I1082:I1150" si="264">X1082/1000</f>
        <v>0.56899999999999995</v>
      </c>
      <c r="J1082" s="1">
        <f t="shared" si="256"/>
        <v>2.0000000000000018E-2</v>
      </c>
      <c r="K1082" s="1">
        <f t="shared" ref="K1082:K1150" si="265">Z1082/1000</f>
        <v>2.0585200000000001</v>
      </c>
      <c r="L1082" s="1">
        <f t="shared" ref="L1082:L1150" si="266">AA1082/1000</f>
        <v>1.5779799999999999</v>
      </c>
      <c r="M1082" s="49">
        <v>0</v>
      </c>
      <c r="N1082" s="49">
        <v>1.5436000000000001</v>
      </c>
      <c r="O1082" s="1">
        <v>401</v>
      </c>
      <c r="P1082" s="51">
        <v>0.05</v>
      </c>
      <c r="Q1082" s="51">
        <v>11</v>
      </c>
      <c r="R1082" s="51">
        <v>0</v>
      </c>
      <c r="S1082" s="1">
        <v>1</v>
      </c>
      <c r="T1082" s="1">
        <v>0</v>
      </c>
      <c r="U1082" s="47">
        <v>1</v>
      </c>
      <c r="V1082" s="47">
        <v>134</v>
      </c>
      <c r="W1082" s="41">
        <v>228</v>
      </c>
      <c r="X1082">
        <v>569</v>
      </c>
      <c r="Y1082">
        <v>0.98</v>
      </c>
      <c r="Z1082">
        <v>2058.52</v>
      </c>
      <c r="AA1082">
        <v>1577.98</v>
      </c>
      <c r="AB1082">
        <v>154.36000000000001</v>
      </c>
      <c r="AC1082">
        <v>36</v>
      </c>
      <c r="AD1082" s="41">
        <f t="shared" si="258"/>
        <v>0.41777587781512932</v>
      </c>
      <c r="AE1082" s="41">
        <f t="shared" si="259"/>
        <v>0.54500057034943405</v>
      </c>
      <c r="AF1082">
        <f t="shared" si="260"/>
        <v>1.2566805278592372</v>
      </c>
      <c r="AG1082">
        <f t="shared" si="261"/>
        <v>0.18281939964809396</v>
      </c>
      <c r="AH1082">
        <f t="shared" si="262"/>
        <v>1.5436000000000001</v>
      </c>
      <c r="AI1082">
        <f>HLOOKUP(HLOOKUP(G1082,'THP2'!$B$4:$J$8,5,FALSE),'Fuel &amp; Resister'!$B$3:$G$6,4,FALSE)</f>
        <v>2.7360666666666664</v>
      </c>
      <c r="AJ1082" s="41">
        <f>HLOOKUP(HLOOKUP(G1082,'THP2'!$B$4:$J$8,5,FALSE),'Fuel &amp; Resister'!$B$3:$G$6,3,FALSE)</f>
        <v>13.019</v>
      </c>
      <c r="AO1082" s="1">
        <v>1</v>
      </c>
      <c r="AP1082" s="1">
        <v>1</v>
      </c>
    </row>
    <row r="1083" spans="2:42" x14ac:dyDescent="0.15">
      <c r="B1083" s="81" t="s">
        <v>620</v>
      </c>
      <c r="C1083" s="61">
        <f>VLOOKUP(B1083,[1]SYS!$F$5:$G$359,2,FALSE)</f>
        <v>0</v>
      </c>
      <c r="D1083" s="1" t="s">
        <v>50</v>
      </c>
      <c r="E1083" s="65" t="s">
        <v>424</v>
      </c>
      <c r="F1083" s="63" t="s">
        <v>423</v>
      </c>
      <c r="G1083" s="1">
        <v>8</v>
      </c>
      <c r="H1083" s="1">
        <f t="shared" si="263"/>
        <v>0.40070298769771528</v>
      </c>
      <c r="I1083" s="1">
        <f t="shared" si="264"/>
        <v>0.56899999999999995</v>
      </c>
      <c r="J1083" s="1">
        <f t="shared" si="256"/>
        <v>2.0000000000000018E-2</v>
      </c>
      <c r="K1083" s="1">
        <f t="shared" si="265"/>
        <v>2.0585200000000001</v>
      </c>
      <c r="L1083" s="1">
        <f t="shared" si="266"/>
        <v>1.5779799999999999</v>
      </c>
      <c r="M1083" s="49">
        <v>0</v>
      </c>
      <c r="N1083" s="49">
        <v>1.5436000000000001</v>
      </c>
      <c r="O1083" s="1">
        <v>913</v>
      </c>
      <c r="P1083" s="51">
        <v>0.05</v>
      </c>
      <c r="Q1083" s="51">
        <v>11</v>
      </c>
      <c r="R1083" s="51">
        <v>0</v>
      </c>
      <c r="S1083" s="1">
        <v>1</v>
      </c>
      <c r="T1083" s="1">
        <v>0</v>
      </c>
      <c r="U1083" s="47">
        <v>1</v>
      </c>
      <c r="V1083" s="47">
        <v>135</v>
      </c>
      <c r="W1083" s="41">
        <v>228</v>
      </c>
      <c r="X1083">
        <v>569</v>
      </c>
      <c r="Y1083">
        <v>0.98</v>
      </c>
      <c r="Z1083">
        <v>2058.52</v>
      </c>
      <c r="AA1083">
        <v>1577.98</v>
      </c>
      <c r="AB1083">
        <v>154.36000000000001</v>
      </c>
      <c r="AC1083">
        <v>36</v>
      </c>
      <c r="AD1083" s="41">
        <f t="shared" si="258"/>
        <v>0.41777587781512932</v>
      </c>
      <c r="AE1083" s="41">
        <f t="shared" si="259"/>
        <v>0.54500057034943405</v>
      </c>
      <c r="AF1083">
        <f t="shared" si="260"/>
        <v>1.2566805278592372</v>
      </c>
      <c r="AG1083">
        <f t="shared" si="261"/>
        <v>0.18281939964809396</v>
      </c>
      <c r="AH1083">
        <f t="shared" si="262"/>
        <v>1.5436000000000001</v>
      </c>
      <c r="AI1083">
        <f>HLOOKUP(HLOOKUP(G1083,'THP2'!$B$4:$J$8,5,FALSE),'Fuel &amp; Resister'!$B$3:$G$6,4,FALSE)</f>
        <v>2.7360666666666664</v>
      </c>
      <c r="AJ1083" s="41">
        <f>HLOOKUP(HLOOKUP(G1083,'THP2'!$B$4:$J$8,5,FALSE),'Fuel &amp; Resister'!$B$3:$G$6,3,FALSE)</f>
        <v>13.019</v>
      </c>
      <c r="AO1083" s="62">
        <v>0</v>
      </c>
      <c r="AP1083" s="62">
        <v>0</v>
      </c>
    </row>
    <row r="1084" spans="2:42" x14ac:dyDescent="0.15">
      <c r="B1084" s="81" t="s">
        <v>620</v>
      </c>
      <c r="C1084" s="61">
        <f>VLOOKUP(B1084,[1]SYS!$F$5:$G$359,2,FALSE)</f>
        <v>0</v>
      </c>
      <c r="D1084" s="1" t="s">
        <v>50</v>
      </c>
      <c r="E1084" s="65" t="s">
        <v>425</v>
      </c>
      <c r="F1084" s="63" t="s">
        <v>423</v>
      </c>
      <c r="G1084" s="1">
        <v>8</v>
      </c>
      <c r="H1084" s="1">
        <f t="shared" si="263"/>
        <v>0.40070298769771528</v>
      </c>
      <c r="I1084" s="1">
        <f t="shared" si="264"/>
        <v>0.56899999999999995</v>
      </c>
      <c r="J1084" s="1">
        <f t="shared" si="256"/>
        <v>2.0000000000000018E-2</v>
      </c>
      <c r="K1084" s="1">
        <f t="shared" si="265"/>
        <v>2.0585200000000001</v>
      </c>
      <c r="L1084" s="1">
        <f t="shared" si="266"/>
        <v>1.5779799999999999</v>
      </c>
      <c r="M1084" s="49">
        <v>0</v>
      </c>
      <c r="N1084" s="49">
        <v>1.5436000000000001</v>
      </c>
      <c r="O1084" s="1">
        <v>913</v>
      </c>
      <c r="P1084" s="51">
        <v>0.05</v>
      </c>
      <c r="Q1084" s="51">
        <v>11</v>
      </c>
      <c r="R1084" s="51">
        <v>0</v>
      </c>
      <c r="S1084" s="1">
        <v>1</v>
      </c>
      <c r="T1084" s="1">
        <v>0</v>
      </c>
      <c r="U1084" s="47">
        <v>1</v>
      </c>
      <c r="V1084" s="47">
        <v>136</v>
      </c>
      <c r="W1084" s="41">
        <v>228</v>
      </c>
      <c r="X1084">
        <v>569</v>
      </c>
      <c r="Y1084">
        <v>0.98</v>
      </c>
      <c r="Z1084">
        <v>2058.52</v>
      </c>
      <c r="AA1084">
        <v>1577.98</v>
      </c>
      <c r="AB1084">
        <v>154.36000000000001</v>
      </c>
      <c r="AC1084">
        <v>36</v>
      </c>
      <c r="AD1084" s="41">
        <f t="shared" si="258"/>
        <v>0.41777587781512932</v>
      </c>
      <c r="AE1084" s="41">
        <f t="shared" si="259"/>
        <v>0.54500057034943405</v>
      </c>
      <c r="AF1084">
        <f t="shared" si="260"/>
        <v>1.2566805278592372</v>
      </c>
      <c r="AG1084">
        <f t="shared" si="261"/>
        <v>0.18281939964809396</v>
      </c>
      <c r="AH1084">
        <f t="shared" si="262"/>
        <v>1.5436000000000001</v>
      </c>
      <c r="AI1084">
        <f>HLOOKUP(HLOOKUP(G1084,'THP2'!$B$4:$J$8,5,FALSE),'Fuel &amp; Resister'!$B$3:$G$6,4,FALSE)</f>
        <v>2.7360666666666664</v>
      </c>
      <c r="AJ1084" s="41">
        <f>HLOOKUP(HLOOKUP(G1084,'THP2'!$B$4:$J$8,5,FALSE),'Fuel &amp; Resister'!$B$3:$G$6,3,FALSE)</f>
        <v>13.019</v>
      </c>
      <c r="AO1084" s="62">
        <v>0</v>
      </c>
      <c r="AP1084" s="62">
        <v>0</v>
      </c>
    </row>
    <row r="1085" spans="2:42" x14ac:dyDescent="0.15">
      <c r="B1085" s="81" t="s">
        <v>620</v>
      </c>
      <c r="C1085" s="61">
        <f>VLOOKUP(B1085,[1]SYS!$F$5:$G$359,2,FALSE)</f>
        <v>0</v>
      </c>
      <c r="D1085" s="1" t="s">
        <v>5</v>
      </c>
      <c r="E1085" s="65" t="s">
        <v>426</v>
      </c>
      <c r="F1085" s="63" t="s">
        <v>427</v>
      </c>
      <c r="G1085" s="1">
        <v>8</v>
      </c>
      <c r="H1085" s="1">
        <f t="shared" si="263"/>
        <v>0.4</v>
      </c>
      <c r="I1085" s="1">
        <f t="shared" si="264"/>
        <v>0.125</v>
      </c>
      <c r="J1085" s="1">
        <f t="shared" si="256"/>
        <v>2.0000000000000018E-2</v>
      </c>
      <c r="K1085" s="1">
        <f t="shared" si="265"/>
        <v>3.1163699999999999</v>
      </c>
      <c r="L1085" s="1">
        <f t="shared" si="266"/>
        <v>2.38889</v>
      </c>
      <c r="M1085" s="49">
        <v>0</v>
      </c>
      <c r="N1085" s="49">
        <v>1.0667</v>
      </c>
      <c r="O1085" s="1">
        <v>908</v>
      </c>
      <c r="P1085" s="51">
        <v>0</v>
      </c>
      <c r="Q1085" s="51">
        <v>8</v>
      </c>
      <c r="R1085" s="51">
        <v>0</v>
      </c>
      <c r="S1085" s="1">
        <v>1</v>
      </c>
      <c r="T1085" s="1">
        <v>0</v>
      </c>
      <c r="U1085" s="47">
        <v>1</v>
      </c>
      <c r="V1085" s="47">
        <v>137</v>
      </c>
      <c r="W1085" s="41">
        <v>50</v>
      </c>
      <c r="X1085">
        <v>125</v>
      </c>
      <c r="Y1085">
        <v>0.98</v>
      </c>
      <c r="Z1085">
        <v>3116.37</v>
      </c>
      <c r="AA1085">
        <v>2388.89</v>
      </c>
      <c r="AB1085">
        <v>106.67</v>
      </c>
      <c r="AC1085">
        <v>46</v>
      </c>
      <c r="AD1085" s="41">
        <f t="shared" si="258"/>
        <v>0.27596209692687329</v>
      </c>
      <c r="AE1085" s="41">
        <f t="shared" si="259"/>
        <v>0.35999983255821744</v>
      </c>
      <c r="AF1085">
        <f t="shared" si="260"/>
        <v>1.9039033333333333</v>
      </c>
      <c r="AG1085">
        <f t="shared" si="261"/>
        <v>6.0623333333333335E-2</v>
      </c>
      <c r="AH1085">
        <f t="shared" si="262"/>
        <v>1.0667</v>
      </c>
      <c r="AI1085">
        <f>HLOOKUP(HLOOKUP(G1085,'THP2'!$B$4:$J$8,5,FALSE),'Fuel &amp; Resister'!$B$3:$G$6,4,FALSE)</f>
        <v>2.7360666666666664</v>
      </c>
      <c r="AJ1085" s="41">
        <f>HLOOKUP(HLOOKUP(G1085,'THP2'!$B$4:$J$8,5,FALSE),'Fuel &amp; Resister'!$B$3:$G$6,3,FALSE)</f>
        <v>13.019</v>
      </c>
      <c r="AO1085" s="62">
        <v>0</v>
      </c>
      <c r="AP1085" s="62">
        <v>0</v>
      </c>
    </row>
    <row r="1086" spans="2:42" x14ac:dyDescent="0.15">
      <c r="B1086" s="81" t="s">
        <v>581</v>
      </c>
      <c r="C1086" s="61">
        <f>VLOOKUP(B1086,[1]SYS!$F$5:$G$359,2,FALSE)</f>
        <v>3</v>
      </c>
      <c r="D1086" s="1" t="s">
        <v>50</v>
      </c>
      <c r="E1086" s="65" t="s">
        <v>553</v>
      </c>
      <c r="F1086" s="63" t="s">
        <v>554</v>
      </c>
      <c r="G1086" s="1">
        <v>8</v>
      </c>
      <c r="H1086" s="1">
        <f t="shared" si="263"/>
        <v>0.40070298769771528</v>
      </c>
      <c r="I1086" s="1">
        <f t="shared" si="264"/>
        <v>0.56899999999999995</v>
      </c>
      <c r="J1086" s="1">
        <f t="shared" si="256"/>
        <v>2.0000000000000018E-2</v>
      </c>
      <c r="K1086" s="1">
        <f t="shared" si="265"/>
        <v>2.0585200000000001</v>
      </c>
      <c r="L1086" s="1">
        <f t="shared" si="266"/>
        <v>1.5779799999999999</v>
      </c>
      <c r="M1086" s="49">
        <v>0</v>
      </c>
      <c r="N1086" s="49">
        <f>AB1086/100</f>
        <v>1.5436000000000001</v>
      </c>
      <c r="O1086" s="1">
        <v>903</v>
      </c>
      <c r="P1086" s="51">
        <v>0.05</v>
      </c>
      <c r="Q1086" s="51">
        <v>11</v>
      </c>
      <c r="R1086" s="51">
        <v>0</v>
      </c>
      <c r="S1086" s="1">
        <v>1</v>
      </c>
      <c r="T1086" s="1">
        <v>0</v>
      </c>
      <c r="U1086" s="47">
        <v>0</v>
      </c>
      <c r="V1086" s="47"/>
      <c r="W1086">
        <v>228</v>
      </c>
      <c r="X1086">
        <v>569</v>
      </c>
      <c r="Y1086">
        <v>0.98</v>
      </c>
      <c r="Z1086">
        <v>2058.52</v>
      </c>
      <c r="AA1086">
        <v>1577.98</v>
      </c>
      <c r="AB1086">
        <v>154.36000000000001</v>
      </c>
      <c r="AC1086"/>
      <c r="AD1086" s="41"/>
      <c r="AI1086">
        <f>HLOOKUP(HLOOKUP(G1086,'THP2'!$B$4:$J$8,5,FALSE),'Fuel &amp; Resister'!$B$3:$G$6,4,FALSE)</f>
        <v>2.7360666666666664</v>
      </c>
      <c r="AJ1086" s="41">
        <f>HLOOKUP(HLOOKUP(G1086,'THP2'!$B$4:$J$8,5,FALSE),'Fuel &amp; Resister'!$B$3:$G$6,3,FALSE)</f>
        <v>13.019</v>
      </c>
      <c r="AO1086" s="62">
        <v>0</v>
      </c>
      <c r="AP1086" s="62">
        <v>0</v>
      </c>
    </row>
    <row r="1087" spans="2:42" x14ac:dyDescent="0.15">
      <c r="B1087" s="81" t="s">
        <v>581</v>
      </c>
      <c r="C1087" s="61">
        <f>VLOOKUP(B1087,[1]SYS!$F$5:$G$359,2,FALSE)</f>
        <v>3</v>
      </c>
      <c r="D1087" s="1" t="s">
        <v>50</v>
      </c>
      <c r="E1087" s="65" t="s">
        <v>553</v>
      </c>
      <c r="F1087" s="63" t="s">
        <v>554</v>
      </c>
      <c r="G1087" s="1">
        <v>8</v>
      </c>
      <c r="H1087" s="1">
        <f t="shared" si="263"/>
        <v>0.40070298769771528</v>
      </c>
      <c r="I1087" s="1">
        <f t="shared" si="264"/>
        <v>0.56899999999999995</v>
      </c>
      <c r="J1087" s="1">
        <f t="shared" si="256"/>
        <v>2.0000000000000018E-2</v>
      </c>
      <c r="K1087" s="1">
        <f t="shared" si="265"/>
        <v>2.0585200000000001</v>
      </c>
      <c r="L1087" s="1">
        <f t="shared" si="266"/>
        <v>1.5779799999999999</v>
      </c>
      <c r="M1087" s="49">
        <v>0</v>
      </c>
      <c r="N1087" s="49">
        <f>AB1087/100</f>
        <v>1.5436000000000001</v>
      </c>
      <c r="O1087" s="1">
        <v>1009</v>
      </c>
      <c r="P1087" s="51">
        <v>0.05</v>
      </c>
      <c r="Q1087" s="51">
        <v>11</v>
      </c>
      <c r="R1087" s="51">
        <v>0</v>
      </c>
      <c r="S1087" s="1">
        <v>1</v>
      </c>
      <c r="T1087" s="1">
        <v>0</v>
      </c>
      <c r="U1087" s="47">
        <v>0</v>
      </c>
      <c r="V1087" s="47"/>
      <c r="W1087">
        <v>228</v>
      </c>
      <c r="X1087">
        <v>569</v>
      </c>
      <c r="Y1087">
        <v>0.98</v>
      </c>
      <c r="Z1087">
        <v>2058.52</v>
      </c>
      <c r="AA1087">
        <v>1577.98</v>
      </c>
      <c r="AB1087">
        <v>154.36000000000001</v>
      </c>
      <c r="AC1087"/>
      <c r="AD1087" s="41"/>
      <c r="AI1087">
        <f>HLOOKUP(HLOOKUP(G1087,'THP2'!$B$4:$J$8,5,FALSE),'Fuel &amp; Resister'!$B$3:$G$6,4,FALSE)</f>
        <v>2.7360666666666664</v>
      </c>
      <c r="AJ1087" s="41">
        <f>HLOOKUP(HLOOKUP(G1087,'THP2'!$B$4:$J$8,5,FALSE),'Fuel &amp; Resister'!$B$3:$G$6,3,FALSE)</f>
        <v>13.019</v>
      </c>
      <c r="AO1087" s="62">
        <v>0</v>
      </c>
      <c r="AP1087" s="62">
        <v>0</v>
      </c>
    </row>
    <row r="1088" spans="2:42" x14ac:dyDescent="0.15">
      <c r="B1088" s="81" t="s">
        <v>589</v>
      </c>
      <c r="C1088" s="61">
        <f>VLOOKUP(B1088,[1]SYS!$F$5:$G$359,2,FALSE)</f>
        <v>59</v>
      </c>
      <c r="D1088" s="1" t="s">
        <v>50</v>
      </c>
      <c r="E1088" s="42" t="s">
        <v>428</v>
      </c>
      <c r="F1088" s="63" t="s">
        <v>429</v>
      </c>
      <c r="G1088" s="1">
        <v>8</v>
      </c>
      <c r="H1088" s="1">
        <f t="shared" si="263"/>
        <v>0.40034965034965037</v>
      </c>
      <c r="I1088" s="1">
        <f t="shared" si="264"/>
        <v>0.57199999999999995</v>
      </c>
      <c r="J1088" s="1">
        <f t="shared" si="256"/>
        <v>2.1000000000000019E-2</v>
      </c>
      <c r="K1088" s="1">
        <f t="shared" si="265"/>
        <v>2.0033799999999999</v>
      </c>
      <c r="L1088" s="1">
        <f t="shared" si="266"/>
        <v>1.5357100000000001</v>
      </c>
      <c r="M1088" s="49">
        <v>0</v>
      </c>
      <c r="N1088" s="49">
        <v>1.5468000000000002</v>
      </c>
      <c r="O1088" s="6">
        <v>314</v>
      </c>
      <c r="P1088" s="51">
        <v>0.05</v>
      </c>
      <c r="Q1088" s="51">
        <v>11</v>
      </c>
      <c r="R1088" s="51">
        <v>0</v>
      </c>
      <c r="S1088" s="1">
        <v>1</v>
      </c>
      <c r="T1088" s="1">
        <v>0</v>
      </c>
      <c r="U1088" s="47">
        <v>0</v>
      </c>
      <c r="V1088" s="47">
        <v>138</v>
      </c>
      <c r="W1088" s="41">
        <v>229</v>
      </c>
      <c r="X1088">
        <v>572</v>
      </c>
      <c r="Y1088">
        <v>0.97899999999999998</v>
      </c>
      <c r="Z1088">
        <v>2003.38</v>
      </c>
      <c r="AA1088">
        <v>1535.71</v>
      </c>
      <c r="AB1088">
        <v>154.68</v>
      </c>
      <c r="AC1088">
        <v>36</v>
      </c>
      <c r="AD1088" s="41">
        <f t="shared" ref="AD1088:AD1099" si="267">1/Z1088*860</f>
        <v>0.42927452605097377</v>
      </c>
      <c r="AE1088" s="41">
        <f t="shared" ref="AE1088:AE1099" si="268">1/AA1088*860</f>
        <v>0.56000156279505897</v>
      </c>
      <c r="AF1088">
        <f t="shared" ref="AF1088:AF1099" si="269">(L1088-H1088*K1088)/(1-H1088)</f>
        <v>1.223475510204082</v>
      </c>
      <c r="AG1088">
        <f t="shared" ref="AG1088:AG1099" si="270">I1088*(L1088-AF1088)</f>
        <v>0.17859812816326517</v>
      </c>
      <c r="AH1088">
        <f t="shared" ref="AH1088:AH1099" si="271">AB1088/100</f>
        <v>1.5468000000000002</v>
      </c>
      <c r="AI1088">
        <f>HLOOKUP(HLOOKUP(G1088,'THP2'!$B$4:$J$8,5,FALSE),'Fuel &amp; Resister'!$B$3:$G$6,4,FALSE)</f>
        <v>2.7360666666666664</v>
      </c>
      <c r="AJ1088" s="41">
        <f>HLOOKUP(HLOOKUP(G1088,'THP2'!$B$4:$J$8,5,FALSE),'Fuel &amp; Resister'!$B$3:$G$6,3,FALSE)</f>
        <v>13.019</v>
      </c>
      <c r="AO1088" s="62">
        <v>0</v>
      </c>
      <c r="AP1088" s="62">
        <v>0</v>
      </c>
    </row>
    <row r="1089" spans="2:42" x14ac:dyDescent="0.15">
      <c r="B1089" s="81" t="s">
        <v>589</v>
      </c>
      <c r="C1089" s="61">
        <f>VLOOKUP(B1089,[1]SYS!$F$5:$G$359,2,FALSE)</f>
        <v>59</v>
      </c>
      <c r="D1089" s="1" t="s">
        <v>50</v>
      </c>
      <c r="E1089" s="42" t="s">
        <v>430</v>
      </c>
      <c r="F1089" s="63" t="s">
        <v>429</v>
      </c>
      <c r="G1089" s="1">
        <v>8</v>
      </c>
      <c r="H1089" s="1">
        <f t="shared" si="263"/>
        <v>0.40034965034965037</v>
      </c>
      <c r="I1089" s="1">
        <f t="shared" si="264"/>
        <v>0.57199999999999995</v>
      </c>
      <c r="J1089" s="1">
        <f t="shared" si="256"/>
        <v>2.1000000000000019E-2</v>
      </c>
      <c r="K1089" s="1">
        <f t="shared" si="265"/>
        <v>2.0033799999999999</v>
      </c>
      <c r="L1089" s="1">
        <f t="shared" si="266"/>
        <v>1.5357100000000001</v>
      </c>
      <c r="M1089" s="49">
        <v>0</v>
      </c>
      <c r="N1089" s="49">
        <v>1.5468000000000002</v>
      </c>
      <c r="O1089" s="1">
        <v>211</v>
      </c>
      <c r="P1089" s="51">
        <v>0.05</v>
      </c>
      <c r="Q1089" s="51">
        <v>11</v>
      </c>
      <c r="R1089" s="51">
        <v>0</v>
      </c>
      <c r="S1089" s="1">
        <v>1</v>
      </c>
      <c r="T1089" s="1">
        <v>0</v>
      </c>
      <c r="U1089" s="47">
        <v>0</v>
      </c>
      <c r="V1089" s="47">
        <v>139</v>
      </c>
      <c r="W1089" s="41">
        <v>229</v>
      </c>
      <c r="X1089">
        <v>572</v>
      </c>
      <c r="Y1089">
        <v>0.97899999999999998</v>
      </c>
      <c r="Z1089">
        <v>2003.38</v>
      </c>
      <c r="AA1089">
        <v>1535.71</v>
      </c>
      <c r="AB1089">
        <v>154.68</v>
      </c>
      <c r="AC1089">
        <v>36</v>
      </c>
      <c r="AD1089" s="41">
        <f t="shared" si="267"/>
        <v>0.42927452605097377</v>
      </c>
      <c r="AE1089" s="41">
        <f t="shared" si="268"/>
        <v>0.56000156279505897</v>
      </c>
      <c r="AF1089">
        <f t="shared" si="269"/>
        <v>1.223475510204082</v>
      </c>
      <c r="AG1089">
        <f t="shared" si="270"/>
        <v>0.17859812816326517</v>
      </c>
      <c r="AH1089">
        <f t="shared" si="271"/>
        <v>1.5468000000000002</v>
      </c>
      <c r="AI1089">
        <f>HLOOKUP(HLOOKUP(G1089,'THP2'!$B$4:$J$8,5,FALSE),'Fuel &amp; Resister'!$B$3:$G$6,4,FALSE)</f>
        <v>2.7360666666666664</v>
      </c>
      <c r="AJ1089" s="41">
        <f>HLOOKUP(HLOOKUP(G1089,'THP2'!$B$4:$J$8,5,FALSE),'Fuel &amp; Resister'!$B$3:$G$6,3,FALSE)</f>
        <v>13.019</v>
      </c>
      <c r="AO1089" s="62">
        <v>0</v>
      </c>
      <c r="AP1089" s="62">
        <v>0</v>
      </c>
    </row>
    <row r="1090" spans="2:42" x14ac:dyDescent="0.15">
      <c r="B1090" s="81" t="s">
        <v>589</v>
      </c>
      <c r="C1090" s="61">
        <f>VLOOKUP(B1090,[1]SYS!$F$5:$G$359,2,FALSE)</f>
        <v>59</v>
      </c>
      <c r="D1090" s="1" t="s">
        <v>50</v>
      </c>
      <c r="E1090" s="42" t="s">
        <v>431</v>
      </c>
      <c r="F1090" s="63" t="s">
        <v>429</v>
      </c>
      <c r="G1090" s="1">
        <v>8</v>
      </c>
      <c r="H1090" s="1">
        <f t="shared" si="263"/>
        <v>0.40034965034965037</v>
      </c>
      <c r="I1090" s="1">
        <f t="shared" si="264"/>
        <v>0.57199999999999995</v>
      </c>
      <c r="J1090" s="1">
        <f t="shared" si="256"/>
        <v>2.1000000000000019E-2</v>
      </c>
      <c r="K1090" s="1">
        <f t="shared" si="265"/>
        <v>2.0033799999999999</v>
      </c>
      <c r="L1090" s="1">
        <f t="shared" si="266"/>
        <v>1.5357100000000001</v>
      </c>
      <c r="M1090" s="49">
        <v>0</v>
      </c>
      <c r="N1090" s="49">
        <v>1.5468000000000002</v>
      </c>
      <c r="O1090" s="1">
        <v>1202</v>
      </c>
      <c r="P1090" s="51">
        <v>0.05</v>
      </c>
      <c r="Q1090" s="51">
        <v>11</v>
      </c>
      <c r="R1090" s="51">
        <v>0</v>
      </c>
      <c r="S1090" s="1">
        <v>1</v>
      </c>
      <c r="T1090" s="1">
        <v>0</v>
      </c>
      <c r="U1090" s="47">
        <v>0</v>
      </c>
      <c r="V1090" s="47">
        <v>140</v>
      </c>
      <c r="W1090" s="41">
        <v>229</v>
      </c>
      <c r="X1090">
        <v>572</v>
      </c>
      <c r="Y1090">
        <v>0.97899999999999998</v>
      </c>
      <c r="Z1090">
        <v>2003.38</v>
      </c>
      <c r="AA1090">
        <v>1535.71</v>
      </c>
      <c r="AB1090">
        <v>154.68</v>
      </c>
      <c r="AC1090">
        <v>36</v>
      </c>
      <c r="AD1090" s="41">
        <f t="shared" si="267"/>
        <v>0.42927452605097377</v>
      </c>
      <c r="AE1090" s="41">
        <f t="shared" si="268"/>
        <v>0.56000156279505897</v>
      </c>
      <c r="AF1090">
        <f t="shared" si="269"/>
        <v>1.223475510204082</v>
      </c>
      <c r="AG1090">
        <f t="shared" si="270"/>
        <v>0.17859812816326517</v>
      </c>
      <c r="AH1090">
        <f t="shared" si="271"/>
        <v>1.5468000000000002</v>
      </c>
      <c r="AI1090">
        <f>HLOOKUP(HLOOKUP(G1090,'THP2'!$B$4:$J$8,5,FALSE),'Fuel &amp; Resister'!$B$3:$G$6,4,FALSE)</f>
        <v>2.7360666666666664</v>
      </c>
      <c r="AJ1090" s="41">
        <f>HLOOKUP(HLOOKUP(G1090,'THP2'!$B$4:$J$8,5,FALSE),'Fuel &amp; Resister'!$B$3:$G$6,3,FALSE)</f>
        <v>13.019</v>
      </c>
      <c r="AO1090" s="62">
        <v>0</v>
      </c>
      <c r="AP1090" s="62">
        <v>0</v>
      </c>
    </row>
    <row r="1091" spans="2:42" x14ac:dyDescent="0.15">
      <c r="B1091" s="81" t="s">
        <v>589</v>
      </c>
      <c r="C1091" s="61">
        <f>VLOOKUP(B1091,[1]SYS!$F$5:$G$359,2,FALSE)</f>
        <v>59</v>
      </c>
      <c r="D1091" s="1" t="s">
        <v>50</v>
      </c>
      <c r="E1091" s="42" t="s">
        <v>432</v>
      </c>
      <c r="F1091" s="63" t="s">
        <v>429</v>
      </c>
      <c r="G1091" s="1">
        <v>8</v>
      </c>
      <c r="H1091" s="1">
        <f t="shared" si="263"/>
        <v>0.40034965034965037</v>
      </c>
      <c r="I1091" s="1">
        <f t="shared" si="264"/>
        <v>0.57199999999999995</v>
      </c>
      <c r="J1091" s="1">
        <f t="shared" si="256"/>
        <v>2.1000000000000019E-2</v>
      </c>
      <c r="K1091" s="1">
        <f t="shared" si="265"/>
        <v>2.0033799999999999</v>
      </c>
      <c r="L1091" s="1">
        <f t="shared" si="266"/>
        <v>1.5357100000000001</v>
      </c>
      <c r="M1091" s="49">
        <v>0</v>
      </c>
      <c r="N1091" s="49">
        <v>1.5468000000000002</v>
      </c>
      <c r="O1091" s="1">
        <v>1014</v>
      </c>
      <c r="P1091" s="51">
        <v>0.05</v>
      </c>
      <c r="Q1091" s="51">
        <v>11</v>
      </c>
      <c r="R1091" s="51">
        <v>0</v>
      </c>
      <c r="S1091" s="1">
        <v>1</v>
      </c>
      <c r="T1091" s="1">
        <v>0</v>
      </c>
      <c r="U1091" s="47">
        <v>0</v>
      </c>
      <c r="V1091" s="47">
        <v>141</v>
      </c>
      <c r="W1091" s="41">
        <v>229</v>
      </c>
      <c r="X1091">
        <v>572</v>
      </c>
      <c r="Y1091">
        <v>0.97899999999999998</v>
      </c>
      <c r="Z1091">
        <v>2003.38</v>
      </c>
      <c r="AA1091">
        <v>1535.71</v>
      </c>
      <c r="AB1091">
        <v>154.68</v>
      </c>
      <c r="AC1091">
        <v>36</v>
      </c>
      <c r="AD1091" s="41">
        <f t="shared" si="267"/>
        <v>0.42927452605097377</v>
      </c>
      <c r="AE1091" s="41">
        <f t="shared" si="268"/>
        <v>0.56000156279505897</v>
      </c>
      <c r="AF1091">
        <f t="shared" si="269"/>
        <v>1.223475510204082</v>
      </c>
      <c r="AG1091">
        <f t="shared" si="270"/>
        <v>0.17859812816326517</v>
      </c>
      <c r="AH1091">
        <f t="shared" si="271"/>
        <v>1.5468000000000002</v>
      </c>
      <c r="AI1091">
        <f>HLOOKUP(HLOOKUP(G1091,'THP2'!$B$4:$J$8,5,FALSE),'Fuel &amp; Resister'!$B$3:$G$6,4,FALSE)</f>
        <v>2.7360666666666664</v>
      </c>
      <c r="AJ1091" s="41">
        <f>HLOOKUP(HLOOKUP(G1091,'THP2'!$B$4:$J$8,5,FALSE),'Fuel &amp; Resister'!$B$3:$G$6,3,FALSE)</f>
        <v>13.019</v>
      </c>
      <c r="AO1091" s="62">
        <v>0</v>
      </c>
      <c r="AP1091" s="62">
        <v>0</v>
      </c>
    </row>
    <row r="1092" spans="2:42" x14ac:dyDescent="0.15">
      <c r="B1092" s="81" t="s">
        <v>621</v>
      </c>
      <c r="C1092" s="61">
        <f>VLOOKUP(B1092,[1]SYS!$F$5:$G$359,2,FALSE)</f>
        <v>48</v>
      </c>
      <c r="D1092" s="1" t="s">
        <v>50</v>
      </c>
      <c r="E1092" s="65" t="s">
        <v>148</v>
      </c>
      <c r="F1092" s="63" t="s">
        <v>491</v>
      </c>
      <c r="G1092" s="1">
        <v>8</v>
      </c>
      <c r="H1092" s="1">
        <f t="shared" si="263"/>
        <v>0.46845124282982792</v>
      </c>
      <c r="I1092" s="1">
        <f t="shared" si="264"/>
        <v>0.52300000000000002</v>
      </c>
      <c r="J1092" s="1">
        <f t="shared" si="256"/>
        <v>2.4499999999999966E-2</v>
      </c>
      <c r="K1092" s="1">
        <f t="shared" si="265"/>
        <v>1.9200599999999999</v>
      </c>
      <c r="L1092" s="1">
        <f t="shared" si="266"/>
        <v>1.5690599999999999</v>
      </c>
      <c r="M1092" s="49">
        <v>0</v>
      </c>
      <c r="N1092" s="49">
        <v>1.4944999999999999</v>
      </c>
      <c r="O1092" s="1">
        <v>613</v>
      </c>
      <c r="P1092" s="51">
        <v>0.05</v>
      </c>
      <c r="Q1092" s="51">
        <v>11</v>
      </c>
      <c r="R1092" s="51">
        <v>0</v>
      </c>
      <c r="S1092" s="1">
        <v>1</v>
      </c>
      <c r="T1092" s="1">
        <v>0</v>
      </c>
      <c r="U1092" s="47">
        <v>1</v>
      </c>
      <c r="V1092" s="47">
        <v>142</v>
      </c>
      <c r="W1092" s="41">
        <v>245</v>
      </c>
      <c r="X1092">
        <v>523</v>
      </c>
      <c r="Y1092">
        <v>0.97550000000000003</v>
      </c>
      <c r="Z1092">
        <v>1920.06</v>
      </c>
      <c r="AA1092">
        <v>1569.06</v>
      </c>
      <c r="AB1092">
        <v>149.44999999999999</v>
      </c>
      <c r="AC1092">
        <v>36</v>
      </c>
      <c r="AD1092" s="41">
        <f t="shared" si="267"/>
        <v>0.44790266970823828</v>
      </c>
      <c r="AE1092" s="41">
        <f t="shared" si="268"/>
        <v>0.54809886173887556</v>
      </c>
      <c r="AF1092">
        <f t="shared" si="269"/>
        <v>1.2597254676258993</v>
      </c>
      <c r="AG1092">
        <f t="shared" si="270"/>
        <v>0.1617819604316546</v>
      </c>
      <c r="AH1092">
        <f t="shared" si="271"/>
        <v>1.4944999999999999</v>
      </c>
      <c r="AI1092">
        <f>HLOOKUP(HLOOKUP(G1092,'THP2'!$B$4:$J$8,5,FALSE),'Fuel &amp; Resister'!$B$3:$G$6,4,FALSE)</f>
        <v>2.7360666666666664</v>
      </c>
      <c r="AJ1092" s="41">
        <f>HLOOKUP(HLOOKUP(G1092,'THP2'!$B$4:$J$8,5,FALSE),'Fuel &amp; Resister'!$B$3:$G$6,3,FALSE)</f>
        <v>13.019</v>
      </c>
      <c r="AO1092" s="62">
        <v>0</v>
      </c>
      <c r="AP1092" s="62">
        <v>0</v>
      </c>
    </row>
    <row r="1093" spans="2:42" x14ac:dyDescent="0.15">
      <c r="B1093" s="81" t="s">
        <v>621</v>
      </c>
      <c r="C1093" s="61">
        <f>VLOOKUP(B1093,[1]SYS!$F$5:$G$359,2,FALSE)</f>
        <v>48</v>
      </c>
      <c r="D1093" s="1" t="s">
        <v>50</v>
      </c>
      <c r="E1093" s="65" t="s">
        <v>149</v>
      </c>
      <c r="F1093" s="63" t="s">
        <v>490</v>
      </c>
      <c r="G1093" s="1">
        <v>8</v>
      </c>
      <c r="H1093" s="1">
        <f t="shared" si="263"/>
        <v>0.47649572649572647</v>
      </c>
      <c r="I1093" s="1">
        <f t="shared" si="264"/>
        <v>0.46800000000000003</v>
      </c>
      <c r="J1093" s="1">
        <f t="shared" si="256"/>
        <v>2.0000000000000018E-2</v>
      </c>
      <c r="K1093" s="1">
        <f t="shared" si="265"/>
        <v>1.9446400000000001</v>
      </c>
      <c r="L1093" s="1">
        <f t="shared" si="266"/>
        <v>1.6876</v>
      </c>
      <c r="M1093" s="49">
        <v>0</v>
      </c>
      <c r="N1093" s="49">
        <v>1.4354</v>
      </c>
      <c r="O1093" s="1">
        <v>925</v>
      </c>
      <c r="P1093" s="51">
        <v>0.05</v>
      </c>
      <c r="Q1093" s="51">
        <v>11</v>
      </c>
      <c r="R1093" s="51">
        <v>0</v>
      </c>
      <c r="S1093" s="1">
        <v>1</v>
      </c>
      <c r="T1093" s="1">
        <v>0</v>
      </c>
      <c r="U1093" s="47">
        <v>1</v>
      </c>
      <c r="V1093" s="47">
        <v>143</v>
      </c>
      <c r="W1093" s="41">
        <v>223</v>
      </c>
      <c r="X1093">
        <v>468</v>
      </c>
      <c r="Y1093">
        <v>0.98</v>
      </c>
      <c r="Z1093">
        <v>1944.64</v>
      </c>
      <c r="AA1093">
        <v>1687.6</v>
      </c>
      <c r="AB1093">
        <v>143.54</v>
      </c>
      <c r="AC1093">
        <v>36</v>
      </c>
      <c r="AD1093" s="41">
        <f t="shared" si="267"/>
        <v>0.44224123745269045</v>
      </c>
      <c r="AE1093" s="41">
        <f t="shared" si="268"/>
        <v>0.50959943114482109</v>
      </c>
      <c r="AF1093">
        <f t="shared" si="269"/>
        <v>1.4536411428571427</v>
      </c>
      <c r="AG1093">
        <f t="shared" si="270"/>
        <v>0.1094927451428572</v>
      </c>
      <c r="AH1093">
        <f t="shared" si="271"/>
        <v>1.4354</v>
      </c>
      <c r="AI1093">
        <f>HLOOKUP(HLOOKUP(G1093,'THP2'!$B$4:$J$8,5,FALSE),'Fuel &amp; Resister'!$B$3:$G$6,4,FALSE)</f>
        <v>2.7360666666666664</v>
      </c>
      <c r="AJ1093" s="41">
        <f>HLOOKUP(HLOOKUP(G1093,'THP2'!$B$4:$J$8,5,FALSE),'Fuel &amp; Resister'!$B$3:$G$6,3,FALSE)</f>
        <v>13.019</v>
      </c>
      <c r="AO1093" s="62">
        <v>0</v>
      </c>
      <c r="AP1093" s="62">
        <v>0</v>
      </c>
    </row>
    <row r="1094" spans="2:42" x14ac:dyDescent="0.15">
      <c r="B1094" s="81" t="s">
        <v>621</v>
      </c>
      <c r="C1094" s="61">
        <f>VLOOKUP(B1094,[1]SYS!$F$5:$G$359,2,FALSE)</f>
        <v>48</v>
      </c>
      <c r="D1094" s="1" t="s">
        <v>50</v>
      </c>
      <c r="E1094" s="65" t="s">
        <v>150</v>
      </c>
      <c r="F1094" s="63" t="s">
        <v>491</v>
      </c>
      <c r="G1094" s="1">
        <v>8</v>
      </c>
      <c r="H1094" s="1">
        <f t="shared" si="263"/>
        <v>0.46845124282982792</v>
      </c>
      <c r="I1094" s="1">
        <f t="shared" si="264"/>
        <v>0.52300000000000002</v>
      </c>
      <c r="J1094" s="1">
        <f t="shared" si="256"/>
        <v>2.4499999999999966E-2</v>
      </c>
      <c r="K1094" s="1">
        <f t="shared" si="265"/>
        <v>2.0238199999999997</v>
      </c>
      <c r="L1094" s="1">
        <f t="shared" si="266"/>
        <v>1.6538499999999998</v>
      </c>
      <c r="M1094" s="49">
        <v>0</v>
      </c>
      <c r="N1094" s="49">
        <v>1.4944999999999999</v>
      </c>
      <c r="O1094" s="1">
        <v>1002</v>
      </c>
      <c r="P1094" s="51">
        <v>0.05</v>
      </c>
      <c r="Q1094" s="51">
        <v>11</v>
      </c>
      <c r="R1094" s="51">
        <v>0</v>
      </c>
      <c r="S1094" s="1">
        <v>1</v>
      </c>
      <c r="T1094" s="1">
        <v>0</v>
      </c>
      <c r="U1094" s="47">
        <v>1</v>
      </c>
      <c r="V1094" s="47">
        <v>144</v>
      </c>
      <c r="W1094" s="41">
        <v>245</v>
      </c>
      <c r="X1094">
        <v>523</v>
      </c>
      <c r="Y1094">
        <v>0.97550000000000003</v>
      </c>
      <c r="Z1094">
        <v>2023.82</v>
      </c>
      <c r="AA1094">
        <v>1653.85</v>
      </c>
      <c r="AB1094">
        <v>149.44999999999999</v>
      </c>
      <c r="AC1094">
        <v>36</v>
      </c>
      <c r="AD1094" s="41">
        <f t="shared" si="267"/>
        <v>0.42493897678647308</v>
      </c>
      <c r="AE1094" s="41">
        <f t="shared" si="268"/>
        <v>0.51999879070048671</v>
      </c>
      <c r="AF1094">
        <f t="shared" si="269"/>
        <v>1.3277973021582734</v>
      </c>
      <c r="AG1094">
        <f t="shared" si="270"/>
        <v>0.17052556097122293</v>
      </c>
      <c r="AH1094">
        <f t="shared" si="271"/>
        <v>1.4944999999999999</v>
      </c>
      <c r="AI1094">
        <f>HLOOKUP(HLOOKUP(G1094,'THP2'!$B$4:$J$8,5,FALSE),'Fuel &amp; Resister'!$B$3:$G$6,4,FALSE)</f>
        <v>2.7360666666666664</v>
      </c>
      <c r="AJ1094" s="41">
        <f>HLOOKUP(HLOOKUP(G1094,'THP2'!$B$4:$J$8,5,FALSE),'Fuel &amp; Resister'!$B$3:$G$6,3,FALSE)</f>
        <v>13.019</v>
      </c>
      <c r="AO1094" s="62">
        <v>0</v>
      </c>
      <c r="AP1094" s="62">
        <v>0</v>
      </c>
    </row>
    <row r="1095" spans="2:42" x14ac:dyDescent="0.15">
      <c r="B1095" s="81" t="s">
        <v>621</v>
      </c>
      <c r="C1095" s="61">
        <f>VLOOKUP(B1095,[1]SYS!$F$5:$G$359,2,FALSE)</f>
        <v>48</v>
      </c>
      <c r="D1095" s="1" t="s">
        <v>50</v>
      </c>
      <c r="E1095" s="65" t="s">
        <v>151</v>
      </c>
      <c r="F1095" s="63" t="s">
        <v>489</v>
      </c>
      <c r="G1095" s="1">
        <v>8</v>
      </c>
      <c r="H1095" s="1">
        <f t="shared" si="263"/>
        <v>0.43269230769230771</v>
      </c>
      <c r="I1095" s="1">
        <f t="shared" si="264"/>
        <v>0.41599999999999998</v>
      </c>
      <c r="J1095" s="1">
        <f t="shared" si="256"/>
        <v>2.7900000000000036E-2</v>
      </c>
      <c r="K1095" s="1">
        <f t="shared" si="265"/>
        <v>2.0514299999999999</v>
      </c>
      <c r="L1095" s="1">
        <f t="shared" si="266"/>
        <v>1.6764100000000002</v>
      </c>
      <c r="M1095" s="49">
        <v>0</v>
      </c>
      <c r="N1095" s="49">
        <v>1.3793</v>
      </c>
      <c r="O1095" s="1">
        <v>514</v>
      </c>
      <c r="P1095" s="51">
        <v>0.05</v>
      </c>
      <c r="Q1095" s="51">
        <v>11</v>
      </c>
      <c r="R1095" s="51">
        <v>0</v>
      </c>
      <c r="S1095" s="1">
        <v>1</v>
      </c>
      <c r="T1095" s="1">
        <v>0</v>
      </c>
      <c r="U1095" s="47">
        <v>1</v>
      </c>
      <c r="V1095" s="47">
        <v>145</v>
      </c>
      <c r="W1095" s="41">
        <v>180</v>
      </c>
      <c r="X1095">
        <v>416</v>
      </c>
      <c r="Y1095">
        <v>0.97209999999999996</v>
      </c>
      <c r="Z1095">
        <v>2051.4299999999998</v>
      </c>
      <c r="AA1095">
        <v>1676.41</v>
      </c>
      <c r="AB1095">
        <v>137.93</v>
      </c>
      <c r="AC1095">
        <v>36</v>
      </c>
      <c r="AD1095" s="41">
        <f t="shared" si="267"/>
        <v>0.41921976377453779</v>
      </c>
      <c r="AE1095" s="41">
        <f t="shared" si="268"/>
        <v>0.51300099617635297</v>
      </c>
      <c r="AF1095">
        <f t="shared" si="269"/>
        <v>1.39037779661017</v>
      </c>
      <c r="AG1095">
        <f t="shared" si="270"/>
        <v>0.11898939661016934</v>
      </c>
      <c r="AH1095">
        <f t="shared" si="271"/>
        <v>1.3793</v>
      </c>
      <c r="AI1095">
        <f>HLOOKUP(HLOOKUP(G1095,'THP2'!$B$4:$J$8,5,FALSE),'Fuel &amp; Resister'!$B$3:$G$6,4,FALSE)</f>
        <v>2.7360666666666664</v>
      </c>
      <c r="AJ1095" s="41">
        <f>HLOOKUP(HLOOKUP(G1095,'THP2'!$B$4:$J$8,5,FALSE),'Fuel &amp; Resister'!$B$3:$G$6,3,FALSE)</f>
        <v>13.019</v>
      </c>
      <c r="AO1095" s="62">
        <v>0</v>
      </c>
      <c r="AP1095" s="62">
        <v>0</v>
      </c>
    </row>
    <row r="1096" spans="2:42" x14ac:dyDescent="0.15">
      <c r="B1096" s="81" t="s">
        <v>622</v>
      </c>
      <c r="C1096" s="61">
        <f>VLOOKUP(B1096,[1]SYS!$F$5:$G$359,2,FALSE)</f>
        <v>53</v>
      </c>
      <c r="D1096" s="1" t="s">
        <v>50</v>
      </c>
      <c r="E1096" s="65" t="s">
        <v>152</v>
      </c>
      <c r="F1096" s="63" t="s">
        <v>493</v>
      </c>
      <c r="G1096" s="1">
        <v>8</v>
      </c>
      <c r="H1096" s="1">
        <f t="shared" si="263"/>
        <v>0.74545454545454548</v>
      </c>
      <c r="I1096" s="1">
        <f t="shared" si="264"/>
        <v>5.5E-2</v>
      </c>
      <c r="J1096" s="1">
        <f t="shared" si="256"/>
        <v>2.0000000000000018E-2</v>
      </c>
      <c r="K1096" s="1">
        <f t="shared" si="265"/>
        <v>1.9038599999999999</v>
      </c>
      <c r="L1096" s="1">
        <f t="shared" si="266"/>
        <v>1.84748</v>
      </c>
      <c r="M1096" s="49">
        <v>0</v>
      </c>
      <c r="N1096" s="49">
        <v>0.57200000000000006</v>
      </c>
      <c r="O1096" s="1">
        <v>1214</v>
      </c>
      <c r="P1096" s="51">
        <v>0</v>
      </c>
      <c r="Q1096" s="51">
        <v>11</v>
      </c>
      <c r="R1096" s="51">
        <v>0</v>
      </c>
      <c r="S1096" s="1">
        <v>1</v>
      </c>
      <c r="T1096" s="1">
        <v>0</v>
      </c>
      <c r="U1096" s="47">
        <v>1</v>
      </c>
      <c r="V1096" s="47">
        <v>146</v>
      </c>
      <c r="W1096" s="41">
        <v>41</v>
      </c>
      <c r="X1096">
        <v>55</v>
      </c>
      <c r="Y1096">
        <v>0.98</v>
      </c>
      <c r="Z1096">
        <v>1903.86</v>
      </c>
      <c r="AA1096">
        <v>1847.48</v>
      </c>
      <c r="AB1096">
        <v>57.2</v>
      </c>
      <c r="AC1096">
        <v>36</v>
      </c>
      <c r="AD1096" s="41">
        <f t="shared" si="267"/>
        <v>0.45171388652526978</v>
      </c>
      <c r="AE1096" s="41">
        <f t="shared" si="268"/>
        <v>0.4654989499209734</v>
      </c>
      <c r="AF1096">
        <f t="shared" si="269"/>
        <v>1.6823671428571432</v>
      </c>
      <c r="AG1096">
        <f t="shared" si="270"/>
        <v>9.0812071428571263E-3</v>
      </c>
      <c r="AH1096">
        <f t="shared" si="271"/>
        <v>0.57200000000000006</v>
      </c>
      <c r="AI1096">
        <f>HLOOKUP(HLOOKUP(G1096,'THP2'!$B$4:$J$8,5,FALSE),'Fuel &amp; Resister'!$B$3:$G$6,4,FALSE)</f>
        <v>2.7360666666666664</v>
      </c>
      <c r="AJ1096" s="41">
        <f>HLOOKUP(HLOOKUP(G1096,'THP2'!$B$4:$J$8,5,FALSE),'Fuel &amp; Resister'!$B$3:$G$6,3,FALSE)</f>
        <v>13.019</v>
      </c>
      <c r="AO1096" s="62">
        <v>0</v>
      </c>
      <c r="AP1096" s="62">
        <v>0</v>
      </c>
    </row>
    <row r="1097" spans="2:42" x14ac:dyDescent="0.15">
      <c r="B1097" s="81" t="s">
        <v>622</v>
      </c>
      <c r="C1097" s="61">
        <f>VLOOKUP(B1097,[1]SYS!$F$5:$G$359,2,FALSE)</f>
        <v>53</v>
      </c>
      <c r="D1097" s="1" t="s">
        <v>50</v>
      </c>
      <c r="E1097" s="65" t="s">
        <v>153</v>
      </c>
      <c r="F1097" s="63" t="s">
        <v>493</v>
      </c>
      <c r="G1097" s="1">
        <v>8</v>
      </c>
      <c r="H1097" s="1">
        <f t="shared" si="263"/>
        <v>0.7592592592592593</v>
      </c>
      <c r="I1097" s="1">
        <f t="shared" si="264"/>
        <v>5.3999999999999999E-2</v>
      </c>
      <c r="J1097" s="1">
        <f t="shared" si="256"/>
        <v>2.0000000000000018E-2</v>
      </c>
      <c r="K1097" s="1">
        <f t="shared" si="265"/>
        <v>1.9038599999999999</v>
      </c>
      <c r="L1097" s="1">
        <f t="shared" si="266"/>
        <v>1.84748</v>
      </c>
      <c r="M1097" s="49">
        <v>0</v>
      </c>
      <c r="N1097" s="49">
        <v>0.56159999999999999</v>
      </c>
      <c r="O1097" s="1">
        <v>601</v>
      </c>
      <c r="P1097" s="51">
        <v>0</v>
      </c>
      <c r="Q1097" s="51">
        <v>11</v>
      </c>
      <c r="R1097" s="51">
        <v>0</v>
      </c>
      <c r="S1097" s="1">
        <v>1</v>
      </c>
      <c r="T1097" s="1">
        <v>0</v>
      </c>
      <c r="U1097" s="47">
        <v>1</v>
      </c>
      <c r="V1097" s="47">
        <v>147</v>
      </c>
      <c r="W1097" s="41">
        <v>41</v>
      </c>
      <c r="X1097">
        <v>54</v>
      </c>
      <c r="Y1097">
        <v>0.98</v>
      </c>
      <c r="Z1097">
        <v>1903.86</v>
      </c>
      <c r="AA1097">
        <v>1847.48</v>
      </c>
      <c r="AB1097">
        <v>56.16</v>
      </c>
      <c r="AC1097">
        <v>36</v>
      </c>
      <c r="AD1097" s="41">
        <f t="shared" si="267"/>
        <v>0.45171388652526978</v>
      </c>
      <c r="AE1097" s="41">
        <f t="shared" si="268"/>
        <v>0.4654989499209734</v>
      </c>
      <c r="AF1097">
        <f t="shared" si="269"/>
        <v>1.6696661538461544</v>
      </c>
      <c r="AG1097">
        <f t="shared" si="270"/>
        <v>9.6019476923076656E-3</v>
      </c>
      <c r="AH1097">
        <f t="shared" si="271"/>
        <v>0.56159999999999999</v>
      </c>
      <c r="AI1097">
        <f>HLOOKUP(HLOOKUP(G1097,'THP2'!$B$4:$J$8,5,FALSE),'Fuel &amp; Resister'!$B$3:$G$6,4,FALSE)</f>
        <v>2.7360666666666664</v>
      </c>
      <c r="AJ1097" s="41">
        <f>HLOOKUP(HLOOKUP(G1097,'THP2'!$B$4:$J$8,5,FALSE),'Fuel &amp; Resister'!$B$3:$G$6,3,FALSE)</f>
        <v>13.019</v>
      </c>
      <c r="AO1097" s="62">
        <v>0</v>
      </c>
      <c r="AP1097" s="62">
        <v>0</v>
      </c>
    </row>
    <row r="1098" spans="2:42" x14ac:dyDescent="0.15">
      <c r="B1098" s="81" t="s">
        <v>623</v>
      </c>
      <c r="C1098" s="61">
        <f>VLOOKUP(B1098,[1]SYS!$F$5:$G$359,2,FALSE)</f>
        <v>52</v>
      </c>
      <c r="D1098" s="1" t="s">
        <v>50</v>
      </c>
      <c r="E1098" s="65" t="s">
        <v>154</v>
      </c>
      <c r="F1098" s="63" t="s">
        <v>492</v>
      </c>
      <c r="G1098" s="1">
        <v>8</v>
      </c>
      <c r="H1098" s="1">
        <f t="shared" si="263"/>
        <v>0.2288329519450801</v>
      </c>
      <c r="I1098" s="1">
        <f t="shared" si="264"/>
        <v>0.874</v>
      </c>
      <c r="J1098" s="1">
        <f t="shared" si="256"/>
        <v>1.9599999999999951E-2</v>
      </c>
      <c r="K1098" s="1">
        <f t="shared" si="265"/>
        <v>2.7859699999999998</v>
      </c>
      <c r="L1098" s="1">
        <f t="shared" si="266"/>
        <v>1.7124699999999999</v>
      </c>
      <c r="M1098" s="49">
        <v>0</v>
      </c>
      <c r="N1098" s="49">
        <v>1.8652000000000002</v>
      </c>
      <c r="O1098" s="1">
        <v>913</v>
      </c>
      <c r="P1098" s="51">
        <v>0.05</v>
      </c>
      <c r="Q1098" s="51">
        <v>11</v>
      </c>
      <c r="R1098" s="51">
        <v>0</v>
      </c>
      <c r="S1098" s="1">
        <v>1</v>
      </c>
      <c r="T1098" s="1">
        <v>0</v>
      </c>
      <c r="U1098" s="47">
        <v>1</v>
      </c>
      <c r="V1098" s="47">
        <v>148</v>
      </c>
      <c r="W1098" s="41">
        <v>200</v>
      </c>
      <c r="X1098">
        <v>874</v>
      </c>
      <c r="Y1098">
        <v>0.98040000000000005</v>
      </c>
      <c r="Z1098">
        <v>2785.97</v>
      </c>
      <c r="AA1098">
        <v>1712.47</v>
      </c>
      <c r="AB1098">
        <v>186.52</v>
      </c>
      <c r="AC1098">
        <v>36</v>
      </c>
      <c r="AD1098" s="41">
        <f t="shared" si="267"/>
        <v>0.3086896125945362</v>
      </c>
      <c r="AE1098" s="41">
        <f t="shared" si="268"/>
        <v>0.50219857866123208</v>
      </c>
      <c r="AF1098">
        <f t="shared" si="269"/>
        <v>1.393924005934718</v>
      </c>
      <c r="AG1098">
        <f t="shared" si="270"/>
        <v>0.27840919881305642</v>
      </c>
      <c r="AH1098">
        <f t="shared" si="271"/>
        <v>1.8652000000000002</v>
      </c>
      <c r="AI1098">
        <f>HLOOKUP(HLOOKUP(G1098,'THP2'!$B$4:$J$8,5,FALSE),'Fuel &amp; Resister'!$B$3:$G$6,4,FALSE)</f>
        <v>2.7360666666666664</v>
      </c>
      <c r="AJ1098" s="41">
        <f>HLOOKUP(HLOOKUP(G1098,'THP2'!$B$4:$J$8,5,FALSE),'Fuel &amp; Resister'!$B$3:$G$6,3,FALSE)</f>
        <v>13.019</v>
      </c>
      <c r="AO1098" s="62">
        <v>0</v>
      </c>
      <c r="AP1098" s="62">
        <v>0</v>
      </c>
    </row>
    <row r="1099" spans="2:42" x14ac:dyDescent="0.15">
      <c r="B1099" s="81" t="s">
        <v>623</v>
      </c>
      <c r="C1099" s="61">
        <f>VLOOKUP(B1099,[1]SYS!$F$5:$G$359,2,FALSE)</f>
        <v>52</v>
      </c>
      <c r="D1099" s="1" t="s">
        <v>50</v>
      </c>
      <c r="E1099" s="65" t="s">
        <v>155</v>
      </c>
      <c r="F1099" s="63" t="s">
        <v>492</v>
      </c>
      <c r="G1099" s="1">
        <v>8</v>
      </c>
      <c r="H1099" s="1">
        <f t="shared" si="263"/>
        <v>0.24213075060532688</v>
      </c>
      <c r="I1099" s="1">
        <f t="shared" si="264"/>
        <v>0.82599999999999996</v>
      </c>
      <c r="J1099" s="1">
        <f t="shared" si="256"/>
        <v>1.9599999999999951E-2</v>
      </c>
      <c r="K1099" s="1">
        <f t="shared" si="265"/>
        <v>2.7959899999999998</v>
      </c>
      <c r="L1099" s="1">
        <f t="shared" si="266"/>
        <v>1.7186300000000001</v>
      </c>
      <c r="M1099" s="49">
        <v>0</v>
      </c>
      <c r="N1099" s="49">
        <v>1.8148</v>
      </c>
      <c r="O1099" s="1">
        <v>413</v>
      </c>
      <c r="P1099" s="51">
        <v>0.05</v>
      </c>
      <c r="Q1099" s="51">
        <v>11</v>
      </c>
      <c r="R1099" s="51">
        <v>0</v>
      </c>
      <c r="S1099" s="1">
        <v>1</v>
      </c>
      <c r="T1099" s="1">
        <v>0</v>
      </c>
      <c r="U1099" s="47">
        <v>1</v>
      </c>
      <c r="V1099" s="47">
        <v>149</v>
      </c>
      <c r="W1099" s="41">
        <v>200</v>
      </c>
      <c r="X1099">
        <v>826</v>
      </c>
      <c r="Y1099">
        <v>0.98040000000000005</v>
      </c>
      <c r="Z1099">
        <v>2795.99</v>
      </c>
      <c r="AA1099">
        <v>1718.63</v>
      </c>
      <c r="AB1099">
        <v>181.48</v>
      </c>
      <c r="AC1099">
        <v>36</v>
      </c>
      <c r="AD1099" s="41">
        <f t="shared" si="267"/>
        <v>0.30758336045550955</v>
      </c>
      <c r="AE1099" s="41">
        <f t="shared" si="268"/>
        <v>0.50039857328220727</v>
      </c>
      <c r="AF1099">
        <f t="shared" si="269"/>
        <v>1.3744255271565495</v>
      </c>
      <c r="AG1099">
        <f t="shared" si="270"/>
        <v>0.28431289456869013</v>
      </c>
      <c r="AH1099">
        <f t="shared" si="271"/>
        <v>1.8148</v>
      </c>
      <c r="AI1099">
        <f>HLOOKUP(HLOOKUP(G1099,'THP2'!$B$4:$J$8,5,FALSE),'Fuel &amp; Resister'!$B$3:$G$6,4,FALSE)</f>
        <v>2.7360666666666664</v>
      </c>
      <c r="AJ1099" s="41">
        <f>HLOOKUP(HLOOKUP(G1099,'THP2'!$B$4:$J$8,5,FALSE),'Fuel &amp; Resister'!$B$3:$G$6,3,FALSE)</f>
        <v>13.019</v>
      </c>
      <c r="AO1099" s="62">
        <v>0</v>
      </c>
      <c r="AP1099" s="62">
        <v>0</v>
      </c>
    </row>
    <row r="1100" spans="2:42" x14ac:dyDescent="0.15">
      <c r="B1100" s="81" t="s">
        <v>589</v>
      </c>
      <c r="C1100" s="61">
        <f>VLOOKUP(B1100,[1]SYS!$F$5:$G$359,2,FALSE)</f>
        <v>59</v>
      </c>
      <c r="D1100" s="1" t="s">
        <v>50</v>
      </c>
      <c r="E1100" s="65" t="s">
        <v>551</v>
      </c>
      <c r="F1100" s="63" t="s">
        <v>552</v>
      </c>
      <c r="G1100" s="1">
        <v>8</v>
      </c>
      <c r="H1100" s="1">
        <f t="shared" si="263"/>
        <v>0.46845124282982792</v>
      </c>
      <c r="I1100" s="1">
        <f t="shared" si="264"/>
        <v>0.52300000000000002</v>
      </c>
      <c r="J1100" s="1">
        <f t="shared" si="256"/>
        <v>2.4499999999999966E-2</v>
      </c>
      <c r="K1100" s="1">
        <f t="shared" si="265"/>
        <v>2.0238199999999997</v>
      </c>
      <c r="L1100" s="1">
        <f t="shared" si="266"/>
        <v>1.6538499999999998</v>
      </c>
      <c r="M1100" s="49">
        <v>0</v>
      </c>
      <c r="N1100" s="49">
        <f>AB1100/100</f>
        <v>1.4944999999999999</v>
      </c>
      <c r="O1100" s="1">
        <v>504</v>
      </c>
      <c r="P1100" s="51">
        <v>0.05</v>
      </c>
      <c r="Q1100" s="51">
        <v>11</v>
      </c>
      <c r="R1100" s="51">
        <v>0</v>
      </c>
      <c r="S1100" s="1">
        <v>1</v>
      </c>
      <c r="T1100" s="1">
        <v>0</v>
      </c>
      <c r="U1100" s="47">
        <v>0</v>
      </c>
      <c r="V1100" s="47"/>
      <c r="W1100">
        <v>245</v>
      </c>
      <c r="X1100">
        <v>523</v>
      </c>
      <c r="Y1100">
        <v>0.97550000000000003</v>
      </c>
      <c r="Z1100">
        <v>2023.82</v>
      </c>
      <c r="AA1100">
        <v>1653.85</v>
      </c>
      <c r="AB1100">
        <v>149.44999999999999</v>
      </c>
      <c r="AC1100"/>
      <c r="AD1100" s="41"/>
      <c r="AI1100">
        <f>HLOOKUP(HLOOKUP(G1100,'THP2'!$B$4:$J$8,5,FALSE),'Fuel &amp; Resister'!$B$3:$G$6,4,FALSE)</f>
        <v>2.7360666666666664</v>
      </c>
      <c r="AJ1100" s="41">
        <f>HLOOKUP(HLOOKUP(G1100,'THP2'!$B$4:$J$8,5,FALSE),'Fuel &amp; Resister'!$B$3:$G$6,3,FALSE)</f>
        <v>13.019</v>
      </c>
      <c r="AO1100" s="62">
        <v>0</v>
      </c>
      <c r="AP1100" s="62">
        <v>0</v>
      </c>
    </row>
    <row r="1101" spans="2:42" x14ac:dyDescent="0.15">
      <c r="B1101" s="81" t="s">
        <v>589</v>
      </c>
      <c r="C1101" s="61">
        <f>VLOOKUP(B1101,[1]SYS!$F$5:$G$359,2,FALSE)</f>
        <v>59</v>
      </c>
      <c r="D1101" s="1" t="s">
        <v>50</v>
      </c>
      <c r="E1101" s="65" t="s">
        <v>551</v>
      </c>
      <c r="F1101" s="63" t="s">
        <v>552</v>
      </c>
      <c r="G1101" s="1">
        <v>8</v>
      </c>
      <c r="H1101" s="1">
        <f t="shared" si="263"/>
        <v>0.46845124282982792</v>
      </c>
      <c r="I1101" s="1">
        <f t="shared" si="264"/>
        <v>0.52300000000000002</v>
      </c>
      <c r="J1101" s="1">
        <f t="shared" si="256"/>
        <v>2.4499999999999966E-2</v>
      </c>
      <c r="K1101" s="1">
        <f t="shared" si="265"/>
        <v>2.0238199999999997</v>
      </c>
      <c r="L1101" s="1">
        <f t="shared" si="266"/>
        <v>1.6538499999999998</v>
      </c>
      <c r="M1101" s="49">
        <v>0</v>
      </c>
      <c r="N1101" s="49">
        <f>AB1101/100</f>
        <v>1.4944999999999999</v>
      </c>
      <c r="O1101" s="1">
        <v>609</v>
      </c>
      <c r="P1101" s="51">
        <v>0.05</v>
      </c>
      <c r="Q1101" s="51">
        <v>11</v>
      </c>
      <c r="R1101" s="51">
        <v>0</v>
      </c>
      <c r="S1101" s="1">
        <v>1</v>
      </c>
      <c r="T1101" s="1">
        <v>0</v>
      </c>
      <c r="U1101" s="47">
        <v>0</v>
      </c>
      <c r="V1101" s="47"/>
      <c r="W1101">
        <v>245</v>
      </c>
      <c r="X1101">
        <v>523</v>
      </c>
      <c r="Y1101">
        <v>0.97550000000000003</v>
      </c>
      <c r="Z1101">
        <v>2023.82</v>
      </c>
      <c r="AA1101">
        <v>1653.85</v>
      </c>
      <c r="AB1101">
        <v>149.44999999999999</v>
      </c>
      <c r="AC1101"/>
      <c r="AD1101" s="41"/>
      <c r="AI1101">
        <f>HLOOKUP(HLOOKUP(G1101,'THP2'!$B$4:$J$8,5,FALSE),'Fuel &amp; Resister'!$B$3:$G$6,4,FALSE)</f>
        <v>2.7360666666666664</v>
      </c>
      <c r="AJ1101" s="41">
        <f>HLOOKUP(HLOOKUP(G1101,'THP2'!$B$4:$J$8,5,FALSE),'Fuel &amp; Resister'!$B$3:$G$6,3,FALSE)</f>
        <v>13.019</v>
      </c>
      <c r="AO1101" s="62">
        <v>0</v>
      </c>
      <c r="AP1101" s="62">
        <v>0</v>
      </c>
    </row>
    <row r="1102" spans="2:42" x14ac:dyDescent="0.15">
      <c r="B1102" s="81" t="s">
        <v>624</v>
      </c>
      <c r="C1102" s="61">
        <f>VLOOKUP(B1102,[1]SYS!$F$5:$G$359,2,FALSE)</f>
        <v>74</v>
      </c>
      <c r="D1102" s="1" t="s">
        <v>50</v>
      </c>
      <c r="E1102" s="65" t="s">
        <v>156</v>
      </c>
      <c r="F1102" s="63" t="s">
        <v>442</v>
      </c>
      <c r="G1102" s="1">
        <v>8</v>
      </c>
      <c r="H1102" s="1">
        <f t="shared" si="263"/>
        <v>0.4</v>
      </c>
      <c r="I1102" s="1">
        <f t="shared" si="264"/>
        <v>0.78</v>
      </c>
      <c r="J1102" s="1">
        <f t="shared" si="256"/>
        <v>2.0000000000000018E-2</v>
      </c>
      <c r="K1102" s="1">
        <f t="shared" si="265"/>
        <v>1.9562299999999999</v>
      </c>
      <c r="L1102" s="1">
        <f t="shared" si="266"/>
        <v>1.4995699999999998</v>
      </c>
      <c r="M1102" s="49">
        <v>0</v>
      </c>
      <c r="N1102" s="49">
        <v>1.7665</v>
      </c>
      <c r="O1102" s="1">
        <v>913</v>
      </c>
      <c r="P1102" s="51">
        <v>0.05</v>
      </c>
      <c r="Q1102" s="51">
        <v>11</v>
      </c>
      <c r="R1102" s="51">
        <v>0</v>
      </c>
      <c r="S1102" s="1">
        <v>1</v>
      </c>
      <c r="T1102" s="1">
        <v>0</v>
      </c>
      <c r="U1102" s="47">
        <v>1</v>
      </c>
      <c r="V1102" s="47">
        <v>150</v>
      </c>
      <c r="W1102" s="41">
        <v>312</v>
      </c>
      <c r="X1102">
        <v>780</v>
      </c>
      <c r="Y1102">
        <v>0.98</v>
      </c>
      <c r="Z1102">
        <v>1956.23</v>
      </c>
      <c r="AA1102">
        <v>1499.57</v>
      </c>
      <c r="AB1102">
        <v>176.65</v>
      </c>
      <c r="AC1102">
        <v>36</v>
      </c>
      <c r="AD1102" s="41">
        <f t="shared" ref="AD1102:AD1170" si="272">1/Z1102*860</f>
        <v>0.43962110794742953</v>
      </c>
      <c r="AE1102" s="41">
        <f t="shared" ref="AE1102:AE1170" si="273">1/AA1102*860</f>
        <v>0.57349773601765841</v>
      </c>
      <c r="AF1102">
        <f t="shared" ref="AF1102:AF1170" si="274">(L1102-H1102*K1102)/(1-H1102)</f>
        <v>1.1951299999999998</v>
      </c>
      <c r="AG1102">
        <f t="shared" ref="AG1102:AG1170" si="275">I1102*(L1102-AF1102)</f>
        <v>0.23746320000000004</v>
      </c>
      <c r="AH1102">
        <f t="shared" ref="AH1102:AH1170" si="276">AB1102/100</f>
        <v>1.7665</v>
      </c>
      <c r="AI1102">
        <f>HLOOKUP(HLOOKUP(G1102,'THP2'!$B$4:$J$8,5,FALSE),'Fuel &amp; Resister'!$B$3:$G$6,4,FALSE)</f>
        <v>2.7360666666666664</v>
      </c>
      <c r="AJ1102" s="41">
        <f>HLOOKUP(HLOOKUP(G1102,'THP2'!$B$4:$J$8,5,FALSE),'Fuel &amp; Resister'!$B$3:$G$6,3,FALSE)</f>
        <v>13.019</v>
      </c>
      <c r="AO1102" s="62">
        <v>0</v>
      </c>
      <c r="AP1102" s="62">
        <v>0</v>
      </c>
    </row>
    <row r="1103" spans="2:42" x14ac:dyDescent="0.15">
      <c r="B1103" s="81" t="s">
        <v>624</v>
      </c>
      <c r="C1103" s="61">
        <f>VLOOKUP(B1103,[1]SYS!$F$5:$G$359,2,FALSE)</f>
        <v>74</v>
      </c>
      <c r="D1103" s="1" t="s">
        <v>50</v>
      </c>
      <c r="E1103" s="65" t="s">
        <v>157</v>
      </c>
      <c r="F1103" s="63" t="s">
        <v>442</v>
      </c>
      <c r="G1103" s="1">
        <v>8</v>
      </c>
      <c r="H1103" s="1">
        <f t="shared" si="263"/>
        <v>0.4</v>
      </c>
      <c r="I1103" s="1">
        <f t="shared" si="264"/>
        <v>0.78</v>
      </c>
      <c r="J1103" s="1">
        <f t="shared" si="256"/>
        <v>2.0000000000000018E-2</v>
      </c>
      <c r="K1103" s="1">
        <f t="shared" si="265"/>
        <v>1.9562299999999999</v>
      </c>
      <c r="L1103" s="1">
        <f t="shared" si="266"/>
        <v>1.4995699999999998</v>
      </c>
      <c r="M1103" s="49">
        <v>0</v>
      </c>
      <c r="N1103" s="49">
        <v>1.7665</v>
      </c>
      <c r="O1103" s="1">
        <v>514</v>
      </c>
      <c r="P1103" s="51">
        <v>0.05</v>
      </c>
      <c r="Q1103" s="51">
        <v>11</v>
      </c>
      <c r="R1103" s="51">
        <v>0</v>
      </c>
      <c r="S1103" s="1">
        <v>1</v>
      </c>
      <c r="T1103" s="1">
        <v>0</v>
      </c>
      <c r="U1103" s="47">
        <v>1</v>
      </c>
      <c r="V1103" s="47">
        <v>151</v>
      </c>
      <c r="W1103" s="41">
        <v>312</v>
      </c>
      <c r="X1103">
        <v>780</v>
      </c>
      <c r="Y1103">
        <v>0.98</v>
      </c>
      <c r="Z1103">
        <v>1956.23</v>
      </c>
      <c r="AA1103">
        <v>1499.57</v>
      </c>
      <c r="AB1103">
        <v>176.65</v>
      </c>
      <c r="AC1103">
        <v>36</v>
      </c>
      <c r="AD1103" s="41">
        <f t="shared" si="272"/>
        <v>0.43962110794742953</v>
      </c>
      <c r="AE1103" s="41">
        <f t="shared" si="273"/>
        <v>0.57349773601765841</v>
      </c>
      <c r="AF1103">
        <f t="shared" si="274"/>
        <v>1.1951299999999998</v>
      </c>
      <c r="AG1103">
        <f t="shared" si="275"/>
        <v>0.23746320000000004</v>
      </c>
      <c r="AH1103">
        <f t="shared" si="276"/>
        <v>1.7665</v>
      </c>
      <c r="AI1103">
        <f>HLOOKUP(HLOOKUP(G1103,'THP2'!$B$4:$J$8,5,FALSE),'Fuel &amp; Resister'!$B$3:$G$6,4,FALSE)</f>
        <v>2.7360666666666664</v>
      </c>
      <c r="AJ1103" s="41">
        <f>HLOOKUP(HLOOKUP(G1103,'THP2'!$B$4:$J$8,5,FALSE),'Fuel &amp; Resister'!$B$3:$G$6,3,FALSE)</f>
        <v>13.019</v>
      </c>
      <c r="AO1103" s="1">
        <v>1</v>
      </c>
      <c r="AP1103" s="62">
        <v>0</v>
      </c>
    </row>
    <row r="1104" spans="2:42" x14ac:dyDescent="0.15">
      <c r="B1104" s="81" t="s">
        <v>624</v>
      </c>
      <c r="C1104" s="61">
        <f>VLOOKUP(B1104,[1]SYS!$F$5:$G$359,2,FALSE)</f>
        <v>74</v>
      </c>
      <c r="D1104" s="1" t="s">
        <v>50</v>
      </c>
      <c r="E1104" s="65" t="s">
        <v>158</v>
      </c>
      <c r="F1104" s="63" t="s">
        <v>442</v>
      </c>
      <c r="G1104" s="1">
        <v>8</v>
      </c>
      <c r="H1104" s="1">
        <f t="shared" si="263"/>
        <v>0.4</v>
      </c>
      <c r="I1104" s="1">
        <f t="shared" si="264"/>
        <v>0.78</v>
      </c>
      <c r="J1104" s="1">
        <f t="shared" si="256"/>
        <v>2.0000000000000018E-2</v>
      </c>
      <c r="K1104" s="1">
        <f t="shared" si="265"/>
        <v>1.9562299999999999</v>
      </c>
      <c r="L1104" s="1">
        <f t="shared" si="266"/>
        <v>1.4995699999999998</v>
      </c>
      <c r="M1104" s="49">
        <v>0</v>
      </c>
      <c r="N1104" s="49">
        <v>1.7665</v>
      </c>
      <c r="O1104" s="1">
        <v>613</v>
      </c>
      <c r="P1104" s="51">
        <v>0.05</v>
      </c>
      <c r="Q1104" s="51">
        <v>11</v>
      </c>
      <c r="R1104" s="51">
        <v>0</v>
      </c>
      <c r="S1104" s="1">
        <v>1</v>
      </c>
      <c r="T1104" s="1">
        <v>0</v>
      </c>
      <c r="U1104" s="47">
        <v>1</v>
      </c>
      <c r="V1104" s="47">
        <v>152</v>
      </c>
      <c r="W1104" s="41">
        <v>312</v>
      </c>
      <c r="X1104">
        <v>780</v>
      </c>
      <c r="Y1104">
        <v>0.98</v>
      </c>
      <c r="Z1104">
        <v>1956.23</v>
      </c>
      <c r="AA1104">
        <v>1499.57</v>
      </c>
      <c r="AB1104">
        <v>176.65</v>
      </c>
      <c r="AC1104">
        <v>36</v>
      </c>
      <c r="AD1104" s="41">
        <f t="shared" si="272"/>
        <v>0.43962110794742953</v>
      </c>
      <c r="AE1104" s="41">
        <f t="shared" si="273"/>
        <v>0.57349773601765841</v>
      </c>
      <c r="AF1104">
        <f t="shared" si="274"/>
        <v>1.1951299999999998</v>
      </c>
      <c r="AG1104">
        <f t="shared" si="275"/>
        <v>0.23746320000000004</v>
      </c>
      <c r="AH1104">
        <f t="shared" si="276"/>
        <v>1.7665</v>
      </c>
      <c r="AI1104">
        <f>HLOOKUP(HLOOKUP(G1104,'THP2'!$B$4:$J$8,5,FALSE),'Fuel &amp; Resister'!$B$3:$G$6,4,FALSE)</f>
        <v>2.7360666666666664</v>
      </c>
      <c r="AJ1104" s="41">
        <f>HLOOKUP(HLOOKUP(G1104,'THP2'!$B$4:$J$8,5,FALSE),'Fuel &amp; Resister'!$B$3:$G$6,3,FALSE)</f>
        <v>13.019</v>
      </c>
      <c r="AO1104" s="1">
        <v>1</v>
      </c>
      <c r="AP1104" s="62">
        <v>0</v>
      </c>
    </row>
    <row r="1105" spans="2:42" x14ac:dyDescent="0.15">
      <c r="B1105" s="81" t="s">
        <v>624</v>
      </c>
      <c r="C1105" s="61">
        <f>VLOOKUP(B1105,[1]SYS!$F$5:$G$359,2,FALSE)</f>
        <v>74</v>
      </c>
      <c r="D1105" s="1" t="s">
        <v>50</v>
      </c>
      <c r="E1105" s="65" t="s">
        <v>159</v>
      </c>
      <c r="F1105" s="63" t="s">
        <v>443</v>
      </c>
      <c r="G1105" s="1">
        <v>8</v>
      </c>
      <c r="H1105" s="1">
        <f t="shared" si="263"/>
        <v>0.4</v>
      </c>
      <c r="I1105" s="1">
        <f t="shared" si="264"/>
        <v>0.65</v>
      </c>
      <c r="J1105" s="1">
        <f t="shared" si="256"/>
        <v>2.0000000000000018E-2</v>
      </c>
      <c r="K1105" s="1">
        <f t="shared" si="265"/>
        <v>1.9856500000000001</v>
      </c>
      <c r="L1105" s="1">
        <f t="shared" si="266"/>
        <v>1.5221199999999999</v>
      </c>
      <c r="M1105" s="49">
        <v>0</v>
      </c>
      <c r="N1105" s="49">
        <v>1.63</v>
      </c>
      <c r="O1105" s="1">
        <v>613</v>
      </c>
      <c r="P1105" s="51">
        <v>0.05</v>
      </c>
      <c r="Q1105" s="51">
        <v>11</v>
      </c>
      <c r="R1105" s="51">
        <v>0</v>
      </c>
      <c r="S1105" s="1">
        <v>1</v>
      </c>
      <c r="T1105" s="1">
        <v>0</v>
      </c>
      <c r="U1105" s="47">
        <v>1</v>
      </c>
      <c r="V1105" s="47">
        <v>153</v>
      </c>
      <c r="W1105" s="41">
        <v>260</v>
      </c>
      <c r="X1105">
        <v>650</v>
      </c>
      <c r="Y1105">
        <v>0.98</v>
      </c>
      <c r="Z1105">
        <v>1985.65</v>
      </c>
      <c r="AA1105">
        <v>1522.12</v>
      </c>
      <c r="AB1105">
        <v>163</v>
      </c>
      <c r="AC1105">
        <v>36</v>
      </c>
      <c r="AD1105" s="41">
        <f t="shared" si="272"/>
        <v>0.43310754664719353</v>
      </c>
      <c r="AE1105" s="41">
        <f t="shared" si="273"/>
        <v>0.56500144535253471</v>
      </c>
      <c r="AF1105">
        <f t="shared" si="274"/>
        <v>1.2130999999999998</v>
      </c>
      <c r="AG1105">
        <f t="shared" si="275"/>
        <v>0.20086300000000004</v>
      </c>
      <c r="AH1105">
        <f t="shared" si="276"/>
        <v>1.63</v>
      </c>
      <c r="AI1105">
        <f>HLOOKUP(HLOOKUP(G1105,'THP2'!$B$4:$J$8,5,FALSE),'Fuel &amp; Resister'!$B$3:$G$6,4,FALSE)</f>
        <v>2.7360666666666664</v>
      </c>
      <c r="AJ1105" s="41">
        <f>HLOOKUP(HLOOKUP(G1105,'THP2'!$B$4:$J$8,5,FALSE),'Fuel &amp; Resister'!$B$3:$G$6,3,FALSE)</f>
        <v>13.019</v>
      </c>
      <c r="AO1105" s="1">
        <v>1</v>
      </c>
      <c r="AP1105" s="62">
        <v>0</v>
      </c>
    </row>
    <row r="1106" spans="2:42" x14ac:dyDescent="0.15">
      <c r="B1106" s="81" t="s">
        <v>624</v>
      </c>
      <c r="C1106" s="61">
        <f>VLOOKUP(B1106,[1]SYS!$F$5:$G$359,2,FALSE)</f>
        <v>74</v>
      </c>
      <c r="D1106" s="1" t="s">
        <v>50</v>
      </c>
      <c r="E1106" s="65" t="s">
        <v>160</v>
      </c>
      <c r="F1106" s="63" t="s">
        <v>443</v>
      </c>
      <c r="G1106" s="1">
        <v>8</v>
      </c>
      <c r="H1106" s="1">
        <f t="shared" si="263"/>
        <v>0.4</v>
      </c>
      <c r="I1106" s="1">
        <f t="shared" si="264"/>
        <v>0.65</v>
      </c>
      <c r="J1106" s="1">
        <f t="shared" si="256"/>
        <v>2.0000000000000018E-2</v>
      </c>
      <c r="K1106" s="1">
        <f t="shared" si="265"/>
        <v>1.9856500000000001</v>
      </c>
      <c r="L1106" s="1">
        <f t="shared" si="266"/>
        <v>1.5221199999999999</v>
      </c>
      <c r="M1106" s="49">
        <v>0</v>
      </c>
      <c r="N1106" s="49">
        <v>1.63</v>
      </c>
      <c r="O1106" s="1">
        <v>913</v>
      </c>
      <c r="P1106" s="51">
        <v>0.05</v>
      </c>
      <c r="Q1106" s="51">
        <v>11</v>
      </c>
      <c r="R1106" s="51">
        <v>0</v>
      </c>
      <c r="S1106" s="1">
        <v>1</v>
      </c>
      <c r="T1106" s="1">
        <v>0</v>
      </c>
      <c r="U1106" s="47">
        <v>1</v>
      </c>
      <c r="V1106" s="47">
        <v>154</v>
      </c>
      <c r="W1106" s="41">
        <v>260</v>
      </c>
      <c r="X1106">
        <v>650</v>
      </c>
      <c r="Y1106">
        <v>0.98</v>
      </c>
      <c r="Z1106">
        <v>1985.65</v>
      </c>
      <c r="AA1106">
        <v>1522.12</v>
      </c>
      <c r="AB1106">
        <v>163</v>
      </c>
      <c r="AC1106">
        <v>36</v>
      </c>
      <c r="AD1106" s="41">
        <f t="shared" si="272"/>
        <v>0.43310754664719353</v>
      </c>
      <c r="AE1106" s="41">
        <f t="shared" si="273"/>
        <v>0.56500144535253471</v>
      </c>
      <c r="AF1106">
        <f t="shared" si="274"/>
        <v>1.2130999999999998</v>
      </c>
      <c r="AG1106">
        <f t="shared" si="275"/>
        <v>0.20086300000000004</v>
      </c>
      <c r="AH1106">
        <f t="shared" si="276"/>
        <v>1.63</v>
      </c>
      <c r="AI1106">
        <f>HLOOKUP(HLOOKUP(G1106,'THP2'!$B$4:$J$8,5,FALSE),'Fuel &amp; Resister'!$B$3:$G$6,4,FALSE)</f>
        <v>2.7360666666666664</v>
      </c>
      <c r="AJ1106" s="41">
        <f>HLOOKUP(HLOOKUP(G1106,'THP2'!$B$4:$J$8,5,FALSE),'Fuel &amp; Resister'!$B$3:$G$6,3,FALSE)</f>
        <v>13.019</v>
      </c>
      <c r="AO1106" s="1">
        <v>1</v>
      </c>
      <c r="AP1106" s="62">
        <v>0</v>
      </c>
    </row>
    <row r="1107" spans="2:42" x14ac:dyDescent="0.15">
      <c r="B1107" s="81" t="s">
        <v>624</v>
      </c>
      <c r="C1107" s="61">
        <f>VLOOKUP(B1107,[1]SYS!$F$5:$G$359,2,FALSE)</f>
        <v>74</v>
      </c>
      <c r="D1107" s="1" t="s">
        <v>50</v>
      </c>
      <c r="E1107" s="65" t="s">
        <v>161</v>
      </c>
      <c r="F1107" s="63" t="s">
        <v>443</v>
      </c>
      <c r="G1107" s="1">
        <v>8</v>
      </c>
      <c r="H1107" s="1">
        <f t="shared" si="263"/>
        <v>0.4</v>
      </c>
      <c r="I1107" s="1">
        <f t="shared" si="264"/>
        <v>0.65</v>
      </c>
      <c r="J1107" s="1">
        <f t="shared" si="256"/>
        <v>2.0000000000000018E-2</v>
      </c>
      <c r="K1107" s="1">
        <f t="shared" si="265"/>
        <v>1.9856500000000001</v>
      </c>
      <c r="L1107" s="1">
        <f t="shared" si="266"/>
        <v>1.5221199999999999</v>
      </c>
      <c r="M1107" s="49">
        <v>0</v>
      </c>
      <c r="N1107" s="49">
        <v>1.63</v>
      </c>
      <c r="O1107" s="1">
        <v>413</v>
      </c>
      <c r="P1107" s="51">
        <v>0.05</v>
      </c>
      <c r="Q1107" s="51">
        <v>11</v>
      </c>
      <c r="R1107" s="51">
        <v>0</v>
      </c>
      <c r="S1107" s="1">
        <v>1</v>
      </c>
      <c r="T1107" s="1">
        <v>0</v>
      </c>
      <c r="U1107" s="47">
        <v>1</v>
      </c>
      <c r="V1107" s="47">
        <v>155</v>
      </c>
      <c r="W1107" s="41">
        <v>260</v>
      </c>
      <c r="X1107">
        <v>650</v>
      </c>
      <c r="Y1107">
        <v>0.98</v>
      </c>
      <c r="Z1107">
        <v>1985.65</v>
      </c>
      <c r="AA1107">
        <v>1522.12</v>
      </c>
      <c r="AB1107">
        <v>163</v>
      </c>
      <c r="AC1107">
        <v>36</v>
      </c>
      <c r="AD1107" s="41">
        <f t="shared" si="272"/>
        <v>0.43310754664719353</v>
      </c>
      <c r="AE1107" s="41">
        <f t="shared" si="273"/>
        <v>0.56500144535253471</v>
      </c>
      <c r="AF1107">
        <f t="shared" si="274"/>
        <v>1.2130999999999998</v>
      </c>
      <c r="AG1107">
        <f t="shared" si="275"/>
        <v>0.20086300000000004</v>
      </c>
      <c r="AH1107">
        <f t="shared" si="276"/>
        <v>1.63</v>
      </c>
      <c r="AI1107">
        <f>HLOOKUP(HLOOKUP(G1107,'THP2'!$B$4:$J$8,5,FALSE),'Fuel &amp; Resister'!$B$3:$G$6,4,FALSE)</f>
        <v>2.7360666666666664</v>
      </c>
      <c r="AJ1107" s="41">
        <f>HLOOKUP(HLOOKUP(G1107,'THP2'!$B$4:$J$8,5,FALSE),'Fuel &amp; Resister'!$B$3:$G$6,3,FALSE)</f>
        <v>13.019</v>
      </c>
      <c r="AO1107" s="1">
        <v>1</v>
      </c>
      <c r="AP1107" s="62">
        <v>0</v>
      </c>
    </row>
    <row r="1108" spans="2:42" x14ac:dyDescent="0.15">
      <c r="B1108" s="81" t="s">
        <v>624</v>
      </c>
      <c r="C1108" s="61">
        <f>VLOOKUP(B1108,[1]SYS!$F$5:$G$359,2,FALSE)</f>
        <v>74</v>
      </c>
      <c r="D1108" s="1" t="s">
        <v>50</v>
      </c>
      <c r="E1108" s="65" t="s">
        <v>162</v>
      </c>
      <c r="F1108" s="42" t="s">
        <v>515</v>
      </c>
      <c r="G1108" s="1">
        <v>8</v>
      </c>
      <c r="H1108" s="1">
        <f t="shared" si="263"/>
        <v>0.4</v>
      </c>
      <c r="I1108" s="1">
        <f t="shared" si="264"/>
        <v>1.07</v>
      </c>
      <c r="J1108" s="1">
        <f t="shared" si="256"/>
        <v>2.0000000000000018E-2</v>
      </c>
      <c r="K1108" s="1">
        <f t="shared" si="265"/>
        <v>2.0033799999999999</v>
      </c>
      <c r="L1108" s="1">
        <f t="shared" si="266"/>
        <v>1.5357100000000001</v>
      </c>
      <c r="M1108" s="49">
        <v>0</v>
      </c>
      <c r="N1108" s="49">
        <v>2.0709999999999997</v>
      </c>
      <c r="O1108" s="1">
        <v>514</v>
      </c>
      <c r="P1108" s="51">
        <v>0.05</v>
      </c>
      <c r="Q1108" s="51">
        <v>11</v>
      </c>
      <c r="R1108" s="51">
        <v>0</v>
      </c>
      <c r="S1108" s="1">
        <v>1</v>
      </c>
      <c r="T1108" s="1">
        <v>0</v>
      </c>
      <c r="U1108" s="47">
        <v>1</v>
      </c>
      <c r="V1108" s="47">
        <v>156</v>
      </c>
      <c r="W1108" s="41">
        <v>428</v>
      </c>
      <c r="X1108">
        <v>1070</v>
      </c>
      <c r="Y1108">
        <v>0.98</v>
      </c>
      <c r="Z1108">
        <v>2003.38</v>
      </c>
      <c r="AA1108">
        <v>1535.71</v>
      </c>
      <c r="AB1108">
        <v>207.1</v>
      </c>
      <c r="AC1108">
        <v>36</v>
      </c>
      <c r="AD1108" s="41">
        <f t="shared" si="272"/>
        <v>0.42927452605097377</v>
      </c>
      <c r="AE1108" s="41">
        <f t="shared" si="273"/>
        <v>0.56000156279505897</v>
      </c>
      <c r="AF1108">
        <f t="shared" si="274"/>
        <v>1.2239300000000002</v>
      </c>
      <c r="AG1108">
        <f t="shared" si="275"/>
        <v>0.33360459999999997</v>
      </c>
      <c r="AH1108">
        <f t="shared" si="276"/>
        <v>2.0709999999999997</v>
      </c>
      <c r="AI1108">
        <f>HLOOKUP(HLOOKUP(G1108,'THP2'!$B$4:$J$8,5,FALSE),'Fuel &amp; Resister'!$B$3:$G$6,4,FALSE)</f>
        <v>2.7360666666666664</v>
      </c>
      <c r="AJ1108" s="41">
        <f>HLOOKUP(HLOOKUP(G1108,'THP2'!$B$4:$J$8,5,FALSE),'Fuel &amp; Resister'!$B$3:$G$6,3,FALSE)</f>
        <v>13.019</v>
      </c>
      <c r="AO1108" s="1">
        <v>1</v>
      </c>
      <c r="AP1108" s="62">
        <v>0</v>
      </c>
    </row>
    <row r="1109" spans="2:42" x14ac:dyDescent="0.15">
      <c r="B1109" s="81" t="s">
        <v>625</v>
      </c>
      <c r="C1109" s="61">
        <f>VLOOKUP(B1109,[1]SYS!$F$5:$G$359,2,FALSE)</f>
        <v>106</v>
      </c>
      <c r="D1109" s="1" t="s">
        <v>50</v>
      </c>
      <c r="E1109" s="65" t="s">
        <v>374</v>
      </c>
      <c r="F1109" s="42" t="s">
        <v>375</v>
      </c>
      <c r="G1109" s="1">
        <v>8</v>
      </c>
      <c r="H1109" s="1">
        <f t="shared" si="263"/>
        <v>0.3981042654028436</v>
      </c>
      <c r="I1109" s="1">
        <f t="shared" si="264"/>
        <v>0.21099999999999999</v>
      </c>
      <c r="J1109" s="1">
        <f t="shared" si="256"/>
        <v>2.0000000000000018E-2</v>
      </c>
      <c r="K1109" s="1">
        <f t="shared" si="265"/>
        <v>2.0349300000000001</v>
      </c>
      <c r="L1109" s="1">
        <f t="shared" si="266"/>
        <v>1.5599000000000001</v>
      </c>
      <c r="M1109" s="49">
        <v>0</v>
      </c>
      <c r="N1109" s="49">
        <v>1.1584000000000001</v>
      </c>
      <c r="O1109" s="1">
        <v>608</v>
      </c>
      <c r="P1109" s="51">
        <v>0.05</v>
      </c>
      <c r="Q1109" s="51">
        <v>11</v>
      </c>
      <c r="R1109" s="51">
        <v>0</v>
      </c>
      <c r="S1109" s="1">
        <v>1</v>
      </c>
      <c r="T1109" s="1">
        <v>0</v>
      </c>
      <c r="U1109" s="47">
        <v>1</v>
      </c>
      <c r="V1109" s="47">
        <v>157</v>
      </c>
      <c r="W1109" s="41">
        <v>84</v>
      </c>
      <c r="X1109">
        <v>211</v>
      </c>
      <c r="Y1109">
        <v>0.98</v>
      </c>
      <c r="Z1109">
        <v>2034.93</v>
      </c>
      <c r="AA1109">
        <v>1559.9</v>
      </c>
      <c r="AB1109">
        <v>115.84</v>
      </c>
      <c r="AC1109">
        <v>46</v>
      </c>
      <c r="AD1109" s="41">
        <f t="shared" si="272"/>
        <v>0.42261895986594133</v>
      </c>
      <c r="AE1109" s="41">
        <f t="shared" si="273"/>
        <v>0.55131739214052178</v>
      </c>
      <c r="AF1109">
        <f t="shared" si="274"/>
        <v>1.2457069291338583</v>
      </c>
      <c r="AG1109">
        <f t="shared" si="275"/>
        <v>6.6294737952755908E-2</v>
      </c>
      <c r="AH1109">
        <f t="shared" si="276"/>
        <v>1.1584000000000001</v>
      </c>
      <c r="AI1109">
        <f>HLOOKUP(HLOOKUP(G1109,'THP2'!$B$4:$J$8,5,FALSE),'Fuel &amp; Resister'!$B$3:$G$6,4,FALSE)</f>
        <v>2.7360666666666664</v>
      </c>
      <c r="AJ1109" s="41">
        <f>HLOOKUP(HLOOKUP(G1109,'THP2'!$B$4:$J$8,5,FALSE),'Fuel &amp; Resister'!$B$3:$G$6,3,FALSE)</f>
        <v>13.019</v>
      </c>
      <c r="AO1109" s="1">
        <v>1</v>
      </c>
      <c r="AP1109" s="62">
        <v>0</v>
      </c>
    </row>
    <row r="1110" spans="2:42" x14ac:dyDescent="0.15">
      <c r="B1110" s="81" t="s">
        <v>625</v>
      </c>
      <c r="C1110" s="61">
        <f>VLOOKUP(B1110,[1]SYS!$F$5:$G$359,2,FALSE)</f>
        <v>106</v>
      </c>
      <c r="D1110" s="1" t="s">
        <v>50</v>
      </c>
      <c r="E1110" s="65" t="s">
        <v>376</v>
      </c>
      <c r="F1110" s="42" t="s">
        <v>375</v>
      </c>
      <c r="G1110" s="1">
        <v>8</v>
      </c>
      <c r="H1110" s="1">
        <f t="shared" si="263"/>
        <v>0.3981042654028436</v>
      </c>
      <c r="I1110" s="1">
        <f t="shared" si="264"/>
        <v>0.21099999999999999</v>
      </c>
      <c r="J1110" s="1">
        <f t="shared" si="256"/>
        <v>2.0000000000000018E-2</v>
      </c>
      <c r="K1110" s="1">
        <f t="shared" si="265"/>
        <v>2.0349300000000001</v>
      </c>
      <c r="L1110" s="1">
        <f t="shared" si="266"/>
        <v>1.5599000000000001</v>
      </c>
      <c r="M1110" s="49">
        <v>0</v>
      </c>
      <c r="N1110" s="49">
        <v>1.1584000000000001</v>
      </c>
      <c r="O1110" s="1">
        <v>509</v>
      </c>
      <c r="P1110" s="51">
        <v>0.05</v>
      </c>
      <c r="Q1110" s="51">
        <v>11</v>
      </c>
      <c r="R1110" s="51">
        <v>0</v>
      </c>
      <c r="S1110" s="1">
        <v>1</v>
      </c>
      <c r="T1110" s="1">
        <v>0</v>
      </c>
      <c r="U1110" s="47">
        <v>1</v>
      </c>
      <c r="V1110" s="47">
        <v>158</v>
      </c>
      <c r="W1110" s="41">
        <v>84</v>
      </c>
      <c r="X1110">
        <v>211</v>
      </c>
      <c r="Y1110">
        <v>0.98</v>
      </c>
      <c r="Z1110">
        <v>2034.93</v>
      </c>
      <c r="AA1110">
        <v>1559.9</v>
      </c>
      <c r="AB1110">
        <v>115.84</v>
      </c>
      <c r="AC1110">
        <v>46</v>
      </c>
      <c r="AD1110" s="41">
        <f t="shared" si="272"/>
        <v>0.42261895986594133</v>
      </c>
      <c r="AE1110" s="41">
        <f t="shared" si="273"/>
        <v>0.55131739214052178</v>
      </c>
      <c r="AF1110">
        <f t="shared" si="274"/>
        <v>1.2457069291338583</v>
      </c>
      <c r="AG1110">
        <f t="shared" si="275"/>
        <v>6.6294737952755908E-2</v>
      </c>
      <c r="AH1110">
        <f t="shared" si="276"/>
        <v>1.1584000000000001</v>
      </c>
      <c r="AI1110">
        <f>HLOOKUP(HLOOKUP(G1110,'THP2'!$B$4:$J$8,5,FALSE),'Fuel &amp; Resister'!$B$3:$G$6,4,FALSE)</f>
        <v>2.7360666666666664</v>
      </c>
      <c r="AJ1110" s="41">
        <f>HLOOKUP(HLOOKUP(G1110,'THP2'!$B$4:$J$8,5,FALSE),'Fuel &amp; Resister'!$B$3:$G$6,3,FALSE)</f>
        <v>13.019</v>
      </c>
      <c r="AO1110" s="1">
        <v>1</v>
      </c>
      <c r="AP1110" s="62">
        <v>0</v>
      </c>
    </row>
    <row r="1111" spans="2:42" x14ac:dyDescent="0.15">
      <c r="B1111" s="81" t="s">
        <v>595</v>
      </c>
      <c r="C1111" s="61">
        <f>VLOOKUP(B1111,[1]SYS!$F$5:$G$359,2,FALSE)</f>
        <v>104</v>
      </c>
      <c r="D1111" s="1" t="s">
        <v>50</v>
      </c>
      <c r="E1111" s="65" t="s">
        <v>163</v>
      </c>
      <c r="F1111" s="42"/>
      <c r="G1111" s="1">
        <v>8</v>
      </c>
      <c r="H1111" s="1">
        <f t="shared" si="263"/>
        <v>0.4</v>
      </c>
      <c r="I1111" s="1">
        <f t="shared" si="264"/>
        <v>0.68500000000000005</v>
      </c>
      <c r="J1111" s="1">
        <f t="shared" si="256"/>
        <v>1.8299999999999983E-2</v>
      </c>
      <c r="K1111" s="1">
        <f t="shared" si="265"/>
        <v>2.04352</v>
      </c>
      <c r="L1111" s="1">
        <f t="shared" si="266"/>
        <v>1.5664800000000001</v>
      </c>
      <c r="M1111" s="49">
        <v>0</v>
      </c>
      <c r="N1111" s="49">
        <v>3.2889999999999997</v>
      </c>
      <c r="O1111" s="1">
        <v>613</v>
      </c>
      <c r="P1111" s="51">
        <v>0.05</v>
      </c>
      <c r="Q1111" s="51">
        <v>11</v>
      </c>
      <c r="R1111" s="51">
        <v>0</v>
      </c>
      <c r="S1111" s="1">
        <v>1</v>
      </c>
      <c r="T1111" s="1">
        <v>0</v>
      </c>
      <c r="U1111" s="47">
        <v>1</v>
      </c>
      <c r="V1111" s="47">
        <v>159</v>
      </c>
      <c r="W1111" s="41">
        <v>274</v>
      </c>
      <c r="X1111">
        <v>685</v>
      </c>
      <c r="Y1111">
        <v>0.98170000000000002</v>
      </c>
      <c r="Z1111">
        <v>2043.52</v>
      </c>
      <c r="AA1111">
        <v>1566.48</v>
      </c>
      <c r="AB1111">
        <v>328.9</v>
      </c>
      <c r="AC1111">
        <v>36</v>
      </c>
      <c r="AD1111" s="41">
        <f t="shared" si="272"/>
        <v>0.42084246789852808</v>
      </c>
      <c r="AE1111" s="41">
        <f t="shared" si="273"/>
        <v>0.54900158316735603</v>
      </c>
      <c r="AF1111">
        <f t="shared" si="274"/>
        <v>1.2484533333333334</v>
      </c>
      <c r="AG1111">
        <f t="shared" si="275"/>
        <v>0.21784826666666668</v>
      </c>
      <c r="AH1111">
        <f t="shared" si="276"/>
        <v>3.2889999999999997</v>
      </c>
      <c r="AI1111">
        <f>HLOOKUP(HLOOKUP(G1111,'THP2'!$B$4:$J$8,5,FALSE),'Fuel &amp; Resister'!$B$3:$G$6,4,FALSE)</f>
        <v>2.7360666666666664</v>
      </c>
      <c r="AJ1111" s="41">
        <f>HLOOKUP(HLOOKUP(G1111,'THP2'!$B$4:$J$8,5,FALSE),'Fuel &amp; Resister'!$B$3:$G$6,3,FALSE)</f>
        <v>13.019</v>
      </c>
      <c r="AO1111" s="1">
        <v>1</v>
      </c>
      <c r="AP1111" s="62">
        <v>0</v>
      </c>
    </row>
    <row r="1112" spans="2:42" x14ac:dyDescent="0.15">
      <c r="B1112" s="81" t="s">
        <v>595</v>
      </c>
      <c r="C1112" s="61">
        <f>VLOOKUP(B1112,[1]SYS!$F$5:$G$359,2,FALSE)</f>
        <v>104</v>
      </c>
      <c r="D1112" s="1" t="s">
        <v>50</v>
      </c>
      <c r="E1112" s="65" t="s">
        <v>164</v>
      </c>
      <c r="F1112" s="42"/>
      <c r="G1112" s="1">
        <v>8</v>
      </c>
      <c r="H1112" s="1">
        <f t="shared" si="263"/>
        <v>0.4</v>
      </c>
      <c r="I1112" s="1">
        <f t="shared" si="264"/>
        <v>0.68500000000000005</v>
      </c>
      <c r="J1112" s="1">
        <f t="shared" si="256"/>
        <v>1.8299999999999983E-2</v>
      </c>
      <c r="K1112" s="1">
        <f t="shared" si="265"/>
        <v>2.04352</v>
      </c>
      <c r="L1112" s="1">
        <f t="shared" si="266"/>
        <v>1.5664800000000001</v>
      </c>
      <c r="M1112" s="49">
        <v>0</v>
      </c>
      <c r="N1112" s="49">
        <v>1.6668000000000001</v>
      </c>
      <c r="O1112" s="1">
        <v>913</v>
      </c>
      <c r="P1112" s="51">
        <v>0.05</v>
      </c>
      <c r="Q1112" s="51">
        <v>11</v>
      </c>
      <c r="R1112" s="51">
        <v>0</v>
      </c>
      <c r="S1112" s="1">
        <v>1</v>
      </c>
      <c r="T1112" s="1">
        <v>0</v>
      </c>
      <c r="U1112" s="47">
        <v>1</v>
      </c>
      <c r="V1112" s="47">
        <v>160</v>
      </c>
      <c r="W1112" s="41">
        <v>274</v>
      </c>
      <c r="X1112">
        <v>685</v>
      </c>
      <c r="Y1112">
        <v>0.98170000000000002</v>
      </c>
      <c r="Z1112">
        <v>2043.52</v>
      </c>
      <c r="AA1112">
        <v>1566.48</v>
      </c>
      <c r="AB1112">
        <v>166.68</v>
      </c>
      <c r="AC1112">
        <v>36</v>
      </c>
      <c r="AD1112" s="41">
        <f t="shared" si="272"/>
        <v>0.42084246789852808</v>
      </c>
      <c r="AE1112" s="41">
        <f t="shared" si="273"/>
        <v>0.54900158316735603</v>
      </c>
      <c r="AF1112">
        <f t="shared" si="274"/>
        <v>1.2484533333333334</v>
      </c>
      <c r="AG1112">
        <f t="shared" si="275"/>
        <v>0.21784826666666668</v>
      </c>
      <c r="AH1112">
        <f t="shared" si="276"/>
        <v>1.6668000000000001</v>
      </c>
      <c r="AI1112">
        <f>HLOOKUP(HLOOKUP(G1112,'THP2'!$B$4:$J$8,5,FALSE),'Fuel &amp; Resister'!$B$3:$G$6,4,FALSE)</f>
        <v>2.7360666666666664</v>
      </c>
      <c r="AJ1112" s="41">
        <f>HLOOKUP(HLOOKUP(G1112,'THP2'!$B$4:$J$8,5,FALSE),'Fuel &amp; Resister'!$B$3:$G$6,3,FALSE)</f>
        <v>13.019</v>
      </c>
      <c r="AO1112" s="1">
        <v>1</v>
      </c>
      <c r="AP1112" s="62">
        <v>0</v>
      </c>
    </row>
    <row r="1113" spans="2:42" x14ac:dyDescent="0.15">
      <c r="B1113" s="81" t="s">
        <v>595</v>
      </c>
      <c r="C1113" s="61">
        <f>VLOOKUP(B1113,[1]SYS!$F$5:$G$359,2,FALSE)</f>
        <v>104</v>
      </c>
      <c r="D1113" s="1" t="s">
        <v>50</v>
      </c>
      <c r="E1113" s="65" t="s">
        <v>165</v>
      </c>
      <c r="F1113" s="63" t="s">
        <v>477</v>
      </c>
      <c r="G1113" s="1">
        <v>8</v>
      </c>
      <c r="H1113" s="1">
        <f t="shared" si="263"/>
        <v>0.40064102564102566</v>
      </c>
      <c r="I1113" s="1">
        <f t="shared" si="264"/>
        <v>0.624</v>
      </c>
      <c r="J1113" s="1">
        <f t="shared" si="256"/>
        <v>2.0000000000000018E-2</v>
      </c>
      <c r="K1113" s="1">
        <f t="shared" si="265"/>
        <v>2.0775799999999998</v>
      </c>
      <c r="L1113" s="1">
        <f t="shared" si="266"/>
        <v>1.59259</v>
      </c>
      <c r="M1113" s="49">
        <v>0</v>
      </c>
      <c r="N1113" s="49">
        <v>1.6022999999999998</v>
      </c>
      <c r="O1113" s="1">
        <v>413</v>
      </c>
      <c r="P1113" s="51">
        <v>0.05</v>
      </c>
      <c r="Q1113" s="51">
        <v>11</v>
      </c>
      <c r="R1113" s="51">
        <v>0</v>
      </c>
      <c r="S1113" s="1">
        <v>1</v>
      </c>
      <c r="T1113" s="1">
        <v>0</v>
      </c>
      <c r="U1113" s="47">
        <v>1</v>
      </c>
      <c r="V1113" s="47">
        <v>161</v>
      </c>
      <c r="W1113" s="41">
        <v>250</v>
      </c>
      <c r="X1113">
        <v>624</v>
      </c>
      <c r="Y1113">
        <v>0.98</v>
      </c>
      <c r="Z1113">
        <v>2077.58</v>
      </c>
      <c r="AA1113">
        <v>1592.59</v>
      </c>
      <c r="AB1113">
        <v>160.22999999999999</v>
      </c>
      <c r="AC1113">
        <v>36</v>
      </c>
      <c r="AD1113" s="41">
        <f t="shared" si="272"/>
        <v>0.41394314539030991</v>
      </c>
      <c r="AE1113" s="41">
        <f t="shared" si="273"/>
        <v>0.54000087907119854</v>
      </c>
      <c r="AF1113">
        <f t="shared" si="274"/>
        <v>1.2683988235294117</v>
      </c>
      <c r="AG1113">
        <f t="shared" si="275"/>
        <v>0.20229529411764707</v>
      </c>
      <c r="AH1113">
        <f t="shared" si="276"/>
        <v>1.6022999999999998</v>
      </c>
      <c r="AI1113">
        <f>HLOOKUP(HLOOKUP(G1113,'THP2'!$B$4:$J$8,5,FALSE),'Fuel &amp; Resister'!$B$3:$G$6,4,FALSE)</f>
        <v>2.7360666666666664</v>
      </c>
      <c r="AJ1113" s="41">
        <f>HLOOKUP(HLOOKUP(G1113,'THP2'!$B$4:$J$8,5,FALSE),'Fuel &amp; Resister'!$B$3:$G$6,3,FALSE)</f>
        <v>13.019</v>
      </c>
      <c r="AO1113" s="1">
        <v>1</v>
      </c>
      <c r="AP1113" s="62">
        <v>0</v>
      </c>
    </row>
    <row r="1114" spans="2:42" x14ac:dyDescent="0.15">
      <c r="B1114" s="81" t="s">
        <v>595</v>
      </c>
      <c r="C1114" s="61">
        <f>VLOOKUP(B1114,[1]SYS!$F$5:$G$359,2,FALSE)</f>
        <v>104</v>
      </c>
      <c r="D1114" s="1" t="s">
        <v>50</v>
      </c>
      <c r="E1114" s="65" t="s">
        <v>166</v>
      </c>
      <c r="F1114" s="63" t="s">
        <v>477</v>
      </c>
      <c r="G1114" s="1">
        <v>8</v>
      </c>
      <c r="H1114" s="1">
        <f t="shared" si="263"/>
        <v>0.40064102564102566</v>
      </c>
      <c r="I1114" s="1">
        <f t="shared" si="264"/>
        <v>0.624</v>
      </c>
      <c r="J1114" s="1">
        <f t="shared" si="256"/>
        <v>2.0000000000000018E-2</v>
      </c>
      <c r="K1114" s="1">
        <f t="shared" si="265"/>
        <v>2.0775799999999998</v>
      </c>
      <c r="L1114" s="1">
        <f t="shared" si="266"/>
        <v>1.59259</v>
      </c>
      <c r="M1114" s="49">
        <v>0</v>
      </c>
      <c r="N1114" s="49">
        <v>1.6022999999999998</v>
      </c>
      <c r="O1114" s="1">
        <v>1014</v>
      </c>
      <c r="P1114" s="51">
        <v>0.05</v>
      </c>
      <c r="Q1114" s="51">
        <v>11</v>
      </c>
      <c r="R1114" s="51">
        <v>0</v>
      </c>
      <c r="S1114" s="1">
        <v>1</v>
      </c>
      <c r="T1114" s="1">
        <v>0</v>
      </c>
      <c r="U1114" s="47">
        <v>1</v>
      </c>
      <c r="V1114" s="47">
        <v>162</v>
      </c>
      <c r="W1114" s="41">
        <v>250</v>
      </c>
      <c r="X1114">
        <v>624</v>
      </c>
      <c r="Y1114">
        <v>0.98</v>
      </c>
      <c r="Z1114">
        <v>2077.58</v>
      </c>
      <c r="AA1114">
        <v>1592.59</v>
      </c>
      <c r="AB1114">
        <v>160.22999999999999</v>
      </c>
      <c r="AC1114">
        <v>36</v>
      </c>
      <c r="AD1114" s="41">
        <f t="shared" si="272"/>
        <v>0.41394314539030991</v>
      </c>
      <c r="AE1114" s="41">
        <f t="shared" si="273"/>
        <v>0.54000087907119854</v>
      </c>
      <c r="AF1114">
        <f t="shared" si="274"/>
        <v>1.2683988235294117</v>
      </c>
      <c r="AG1114">
        <f t="shared" si="275"/>
        <v>0.20229529411764707</v>
      </c>
      <c r="AH1114">
        <f t="shared" si="276"/>
        <v>1.6022999999999998</v>
      </c>
      <c r="AI1114">
        <f>HLOOKUP(HLOOKUP(G1114,'THP2'!$B$4:$J$8,5,FALSE),'Fuel &amp; Resister'!$B$3:$G$6,4,FALSE)</f>
        <v>2.7360666666666664</v>
      </c>
      <c r="AJ1114" s="41">
        <f>HLOOKUP(HLOOKUP(G1114,'THP2'!$B$4:$J$8,5,FALSE),'Fuel &amp; Resister'!$B$3:$G$6,3,FALSE)</f>
        <v>13.019</v>
      </c>
      <c r="AO1114" s="1">
        <v>1</v>
      </c>
      <c r="AP1114" s="62">
        <v>0</v>
      </c>
    </row>
    <row r="1115" spans="2:42" x14ac:dyDescent="0.15">
      <c r="B1115" s="81" t="s">
        <v>590</v>
      </c>
      <c r="C1115" s="61">
        <f>VLOOKUP(B1115,[1]SYS!$F$5:$G$359,2,FALSE)</f>
        <v>64</v>
      </c>
      <c r="D1115" s="1" t="s">
        <v>50</v>
      </c>
      <c r="E1115" s="65" t="s">
        <v>167</v>
      </c>
      <c r="F1115" s="63" t="s">
        <v>476</v>
      </c>
      <c r="G1115" s="1">
        <v>8</v>
      </c>
      <c r="H1115" s="1">
        <f t="shared" si="263"/>
        <v>0.4</v>
      </c>
      <c r="I1115" s="1">
        <f t="shared" si="264"/>
        <v>0.59</v>
      </c>
      <c r="J1115" s="1">
        <f t="shared" si="256"/>
        <v>2.0000000000000018E-2</v>
      </c>
      <c r="K1115" s="1">
        <f t="shared" si="265"/>
        <v>2.1167800000000003</v>
      </c>
      <c r="L1115" s="1">
        <f t="shared" si="266"/>
        <v>1.6226400000000001</v>
      </c>
      <c r="M1115" s="49">
        <v>0</v>
      </c>
      <c r="N1115" s="49">
        <v>1.5659999999999998</v>
      </c>
      <c r="O1115" s="1">
        <v>613</v>
      </c>
      <c r="P1115" s="51">
        <v>0.05</v>
      </c>
      <c r="Q1115" s="51">
        <v>11</v>
      </c>
      <c r="R1115" s="51">
        <v>0</v>
      </c>
      <c r="S1115" s="1">
        <v>1</v>
      </c>
      <c r="T1115" s="1">
        <v>0</v>
      </c>
      <c r="U1115" s="47">
        <v>1</v>
      </c>
      <c r="V1115" s="47">
        <v>163</v>
      </c>
      <c r="W1115" s="41">
        <v>236</v>
      </c>
      <c r="X1115">
        <v>590</v>
      </c>
      <c r="Y1115">
        <v>0.98</v>
      </c>
      <c r="Z1115">
        <v>2116.7800000000002</v>
      </c>
      <c r="AA1115">
        <v>1622.64</v>
      </c>
      <c r="AB1115">
        <v>156.6</v>
      </c>
      <c r="AC1115">
        <v>36</v>
      </c>
      <c r="AD1115" s="41">
        <f t="shared" si="272"/>
        <v>0.40627745915966701</v>
      </c>
      <c r="AE1115" s="41">
        <f t="shared" si="273"/>
        <v>0.53000049302371444</v>
      </c>
      <c r="AF1115">
        <f t="shared" si="274"/>
        <v>1.2932133333333333</v>
      </c>
      <c r="AG1115">
        <f t="shared" si="275"/>
        <v>0.19436173333333337</v>
      </c>
      <c r="AH1115">
        <f t="shared" si="276"/>
        <v>1.5659999999999998</v>
      </c>
      <c r="AI1115">
        <f>HLOOKUP(HLOOKUP(G1115,'THP2'!$B$4:$J$8,5,FALSE),'Fuel &amp; Resister'!$B$3:$G$6,4,FALSE)</f>
        <v>2.7360666666666664</v>
      </c>
      <c r="AJ1115" s="41">
        <f>HLOOKUP(HLOOKUP(G1115,'THP2'!$B$4:$J$8,5,FALSE),'Fuel &amp; Resister'!$B$3:$G$6,3,FALSE)</f>
        <v>13.019</v>
      </c>
      <c r="AO1115" s="1">
        <v>1</v>
      </c>
      <c r="AP1115" s="62">
        <v>0</v>
      </c>
    </row>
    <row r="1116" spans="2:42" x14ac:dyDescent="0.15">
      <c r="B1116" s="81" t="s">
        <v>590</v>
      </c>
      <c r="C1116" s="61">
        <f>VLOOKUP(B1116,[1]SYS!$F$5:$G$359,2,FALSE)</f>
        <v>64</v>
      </c>
      <c r="D1116" s="1" t="s">
        <v>50</v>
      </c>
      <c r="E1116" s="65" t="s">
        <v>168</v>
      </c>
      <c r="F1116" s="63" t="s">
        <v>476</v>
      </c>
      <c r="G1116" s="1">
        <v>8</v>
      </c>
      <c r="H1116" s="1">
        <f t="shared" si="263"/>
        <v>0.4</v>
      </c>
      <c r="I1116" s="1">
        <f t="shared" si="264"/>
        <v>0.59</v>
      </c>
      <c r="J1116" s="1">
        <f t="shared" si="256"/>
        <v>2.0000000000000018E-2</v>
      </c>
      <c r="K1116" s="1">
        <f t="shared" si="265"/>
        <v>2.1167800000000003</v>
      </c>
      <c r="L1116" s="1">
        <f t="shared" si="266"/>
        <v>1.6226400000000001</v>
      </c>
      <c r="M1116" s="49">
        <v>0</v>
      </c>
      <c r="N1116" s="49">
        <v>1.5659999999999998</v>
      </c>
      <c r="O1116" s="1">
        <v>913</v>
      </c>
      <c r="P1116" s="51">
        <v>0.05</v>
      </c>
      <c r="Q1116" s="51">
        <v>11</v>
      </c>
      <c r="R1116" s="51">
        <v>0</v>
      </c>
      <c r="S1116" s="1">
        <v>1</v>
      </c>
      <c r="T1116" s="1">
        <v>0</v>
      </c>
      <c r="U1116" s="47">
        <v>1</v>
      </c>
      <c r="V1116" s="47">
        <v>164</v>
      </c>
      <c r="W1116" s="41">
        <v>236</v>
      </c>
      <c r="X1116">
        <v>590</v>
      </c>
      <c r="Y1116">
        <v>0.98</v>
      </c>
      <c r="Z1116">
        <v>2116.7800000000002</v>
      </c>
      <c r="AA1116">
        <v>1622.64</v>
      </c>
      <c r="AB1116">
        <v>156.6</v>
      </c>
      <c r="AC1116">
        <v>36</v>
      </c>
      <c r="AD1116" s="41">
        <f t="shared" si="272"/>
        <v>0.40627745915966701</v>
      </c>
      <c r="AE1116" s="41">
        <f t="shared" si="273"/>
        <v>0.53000049302371444</v>
      </c>
      <c r="AF1116">
        <f t="shared" si="274"/>
        <v>1.2932133333333333</v>
      </c>
      <c r="AG1116">
        <f t="shared" si="275"/>
        <v>0.19436173333333337</v>
      </c>
      <c r="AH1116">
        <f t="shared" si="276"/>
        <v>1.5659999999999998</v>
      </c>
      <c r="AI1116">
        <f>HLOOKUP(HLOOKUP(G1116,'THP2'!$B$4:$J$8,5,FALSE),'Fuel &amp; Resister'!$B$3:$G$6,4,FALSE)</f>
        <v>2.7360666666666664</v>
      </c>
      <c r="AJ1116" s="41">
        <f>HLOOKUP(HLOOKUP(G1116,'THP2'!$B$4:$J$8,5,FALSE),'Fuel &amp; Resister'!$B$3:$G$6,3,FALSE)</f>
        <v>13.019</v>
      </c>
      <c r="AO1116" s="1">
        <v>1</v>
      </c>
      <c r="AP1116" s="62">
        <v>0</v>
      </c>
    </row>
    <row r="1117" spans="2:42" x14ac:dyDescent="0.15">
      <c r="B1117" s="81" t="s">
        <v>626</v>
      </c>
      <c r="C1117" s="61">
        <f>VLOOKUP(B1117,[1]SYS!$F$5:$G$359,2,FALSE)</f>
        <v>73</v>
      </c>
      <c r="D1117" s="1" t="s">
        <v>50</v>
      </c>
      <c r="E1117" s="65" t="s">
        <v>169</v>
      </c>
      <c r="F1117" s="63" t="s">
        <v>440</v>
      </c>
      <c r="G1117" s="1">
        <v>8</v>
      </c>
      <c r="H1117" s="1">
        <f t="shared" si="263"/>
        <v>0.39920948616600793</v>
      </c>
      <c r="I1117" s="1">
        <f t="shared" si="264"/>
        <v>0.50600000000000001</v>
      </c>
      <c r="J1117" s="1">
        <f t="shared" si="256"/>
        <v>2.0000000000000018E-2</v>
      </c>
      <c r="K1117" s="1">
        <f t="shared" si="265"/>
        <v>2.1272099999999998</v>
      </c>
      <c r="L1117" s="1">
        <f t="shared" si="266"/>
        <v>1.6306400000000001</v>
      </c>
      <c r="M1117" s="49">
        <v>0</v>
      </c>
      <c r="N1117" s="49">
        <v>1.4763999999999999</v>
      </c>
      <c r="O1117" s="1">
        <v>413</v>
      </c>
      <c r="P1117" s="51">
        <v>0.05</v>
      </c>
      <c r="Q1117" s="51">
        <v>11</v>
      </c>
      <c r="R1117" s="51">
        <v>0</v>
      </c>
      <c r="S1117" s="1">
        <v>1</v>
      </c>
      <c r="T1117" s="1">
        <v>0</v>
      </c>
      <c r="U1117" s="47">
        <v>1</v>
      </c>
      <c r="V1117" s="47">
        <v>165</v>
      </c>
      <c r="W1117" s="41">
        <v>202</v>
      </c>
      <c r="X1117">
        <v>506</v>
      </c>
      <c r="Y1117">
        <v>0.98</v>
      </c>
      <c r="Z1117">
        <v>2127.21</v>
      </c>
      <c r="AA1117">
        <v>1630.64</v>
      </c>
      <c r="AB1117">
        <v>147.63999999999999</v>
      </c>
      <c r="AC1117">
        <v>36</v>
      </c>
      <c r="AD1117" s="41">
        <f t="shared" si="272"/>
        <v>0.40428542551041036</v>
      </c>
      <c r="AE1117" s="41">
        <f t="shared" si="273"/>
        <v>0.52740028455085119</v>
      </c>
      <c r="AF1117">
        <f t="shared" si="274"/>
        <v>1.3006823026315792</v>
      </c>
      <c r="AG1117">
        <f t="shared" si="275"/>
        <v>0.16695859486842096</v>
      </c>
      <c r="AH1117">
        <f t="shared" si="276"/>
        <v>1.4763999999999999</v>
      </c>
      <c r="AI1117">
        <f>HLOOKUP(HLOOKUP(G1117,'THP2'!$B$4:$J$8,5,FALSE),'Fuel &amp; Resister'!$B$3:$G$6,4,FALSE)</f>
        <v>2.7360666666666664</v>
      </c>
      <c r="AJ1117" s="41">
        <f>HLOOKUP(HLOOKUP(G1117,'THP2'!$B$4:$J$8,5,FALSE),'Fuel &amp; Resister'!$B$3:$G$6,3,FALSE)</f>
        <v>13.019</v>
      </c>
      <c r="AO1117" s="1">
        <v>1</v>
      </c>
      <c r="AP1117" s="62">
        <v>0</v>
      </c>
    </row>
    <row r="1118" spans="2:42" x14ac:dyDescent="0.15">
      <c r="B1118" s="81" t="s">
        <v>627</v>
      </c>
      <c r="C1118" s="61">
        <f>VLOOKUP(B1118,[1]SYS!$F$5:$G$359,2,FALSE)</f>
        <v>123</v>
      </c>
      <c r="D1118" s="1" t="s">
        <v>50</v>
      </c>
      <c r="E1118" s="65" t="s">
        <v>170</v>
      </c>
      <c r="F1118" s="63" t="s">
        <v>441</v>
      </c>
      <c r="G1118" s="1">
        <v>8</v>
      </c>
      <c r="H1118" s="1">
        <f t="shared" si="263"/>
        <v>0.4</v>
      </c>
      <c r="I1118" s="1">
        <f t="shared" si="264"/>
        <v>0.5</v>
      </c>
      <c r="J1118" s="1">
        <f t="shared" si="256"/>
        <v>2.0000000000000018E-2</v>
      </c>
      <c r="K1118" s="1">
        <f t="shared" si="265"/>
        <v>2.1272099999999998</v>
      </c>
      <c r="L1118" s="1">
        <f t="shared" si="266"/>
        <v>1.6306400000000001</v>
      </c>
      <c r="M1118" s="49">
        <v>0</v>
      </c>
      <c r="N1118" s="49">
        <v>1.47</v>
      </c>
      <c r="O1118" s="1">
        <v>913</v>
      </c>
      <c r="P1118" s="51">
        <v>0.05</v>
      </c>
      <c r="Q1118" s="51">
        <v>11</v>
      </c>
      <c r="R1118" s="51">
        <v>0</v>
      </c>
      <c r="S1118" s="1">
        <v>1</v>
      </c>
      <c r="T1118" s="1">
        <v>0</v>
      </c>
      <c r="U1118" s="47">
        <v>1</v>
      </c>
      <c r="V1118" s="47">
        <v>166</v>
      </c>
      <c r="W1118" s="41">
        <v>200</v>
      </c>
      <c r="X1118">
        <v>500</v>
      </c>
      <c r="Y1118">
        <v>0.98</v>
      </c>
      <c r="Z1118">
        <v>2127.21</v>
      </c>
      <c r="AA1118">
        <v>1630.64</v>
      </c>
      <c r="AB1118">
        <v>147</v>
      </c>
      <c r="AC1118">
        <v>36</v>
      </c>
      <c r="AD1118" s="41">
        <f t="shared" si="272"/>
        <v>0.40428542551041036</v>
      </c>
      <c r="AE1118" s="41">
        <f t="shared" si="273"/>
        <v>0.52740028455085119</v>
      </c>
      <c r="AF1118">
        <f t="shared" si="274"/>
        <v>1.2995933333333336</v>
      </c>
      <c r="AG1118">
        <f t="shared" si="275"/>
        <v>0.16552333333333324</v>
      </c>
      <c r="AH1118">
        <f t="shared" si="276"/>
        <v>1.47</v>
      </c>
      <c r="AI1118">
        <f>HLOOKUP(HLOOKUP(G1118,'THP2'!$B$4:$J$8,5,FALSE),'Fuel &amp; Resister'!$B$3:$G$6,4,FALSE)</f>
        <v>2.7360666666666664</v>
      </c>
      <c r="AJ1118" s="41">
        <f>HLOOKUP(HLOOKUP(G1118,'THP2'!$B$4:$J$8,5,FALSE),'Fuel &amp; Resister'!$B$3:$G$6,3,FALSE)</f>
        <v>13.019</v>
      </c>
      <c r="AO1118" s="1">
        <v>1</v>
      </c>
      <c r="AP1118" s="62">
        <v>0</v>
      </c>
    </row>
    <row r="1119" spans="2:42" x14ac:dyDescent="0.15">
      <c r="B1119" s="81" t="s">
        <v>627</v>
      </c>
      <c r="C1119" s="61">
        <f>VLOOKUP(B1119,[1]SYS!$F$5:$G$359,2,FALSE)</f>
        <v>123</v>
      </c>
      <c r="D1119" s="1" t="s">
        <v>50</v>
      </c>
      <c r="E1119" s="65" t="s">
        <v>171</v>
      </c>
      <c r="F1119" s="63" t="s">
        <v>441</v>
      </c>
      <c r="G1119" s="1">
        <v>8</v>
      </c>
      <c r="H1119" s="1">
        <f t="shared" si="263"/>
        <v>0.4</v>
      </c>
      <c r="I1119" s="1">
        <f t="shared" si="264"/>
        <v>0.5</v>
      </c>
      <c r="J1119" s="1">
        <f t="shared" si="256"/>
        <v>2.0000000000000018E-2</v>
      </c>
      <c r="K1119" s="1">
        <f t="shared" si="265"/>
        <v>2.1272099999999998</v>
      </c>
      <c r="L1119" s="1">
        <f t="shared" si="266"/>
        <v>1.6306400000000001</v>
      </c>
      <c r="M1119" s="49">
        <v>0</v>
      </c>
      <c r="N1119" s="49">
        <v>1.47</v>
      </c>
      <c r="O1119" s="1">
        <v>1214</v>
      </c>
      <c r="P1119" s="51">
        <v>0.05</v>
      </c>
      <c r="Q1119" s="51">
        <v>11</v>
      </c>
      <c r="R1119" s="51">
        <v>0</v>
      </c>
      <c r="S1119" s="1">
        <v>1</v>
      </c>
      <c r="T1119" s="1">
        <v>0</v>
      </c>
      <c r="U1119" s="47">
        <v>1</v>
      </c>
      <c r="V1119" s="47">
        <v>167</v>
      </c>
      <c r="W1119" s="41">
        <v>200</v>
      </c>
      <c r="X1119">
        <v>500</v>
      </c>
      <c r="Y1119">
        <v>0.98</v>
      </c>
      <c r="Z1119">
        <v>2127.21</v>
      </c>
      <c r="AA1119">
        <v>1630.64</v>
      </c>
      <c r="AB1119">
        <v>147</v>
      </c>
      <c r="AC1119">
        <v>36</v>
      </c>
      <c r="AD1119" s="41">
        <f t="shared" si="272"/>
        <v>0.40428542551041036</v>
      </c>
      <c r="AE1119" s="41">
        <f t="shared" si="273"/>
        <v>0.52740028455085119</v>
      </c>
      <c r="AF1119">
        <f t="shared" si="274"/>
        <v>1.2995933333333336</v>
      </c>
      <c r="AG1119">
        <f t="shared" si="275"/>
        <v>0.16552333333333324</v>
      </c>
      <c r="AH1119">
        <f t="shared" si="276"/>
        <v>1.47</v>
      </c>
      <c r="AI1119">
        <f>HLOOKUP(HLOOKUP(G1119,'THP2'!$B$4:$J$8,5,FALSE),'Fuel &amp; Resister'!$B$3:$G$6,4,FALSE)</f>
        <v>2.7360666666666664</v>
      </c>
      <c r="AJ1119" s="41">
        <f>HLOOKUP(HLOOKUP(G1119,'THP2'!$B$4:$J$8,5,FALSE),'Fuel &amp; Resister'!$B$3:$G$6,3,FALSE)</f>
        <v>13.019</v>
      </c>
      <c r="AO1119" s="1">
        <v>1</v>
      </c>
      <c r="AP1119" s="62">
        <v>0</v>
      </c>
    </row>
    <row r="1120" spans="2:42" x14ac:dyDescent="0.15">
      <c r="B1120" s="81" t="s">
        <v>627</v>
      </c>
      <c r="C1120" s="61">
        <f>VLOOKUP(B1120,[1]SYS!$F$5:$G$359,2,FALSE)</f>
        <v>123</v>
      </c>
      <c r="D1120" s="1" t="s">
        <v>50</v>
      </c>
      <c r="E1120" s="65" t="s">
        <v>172</v>
      </c>
      <c r="F1120" s="63" t="s">
        <v>441</v>
      </c>
      <c r="G1120" s="1">
        <v>8</v>
      </c>
      <c r="H1120" s="1">
        <f t="shared" si="263"/>
        <v>0.4</v>
      </c>
      <c r="I1120" s="1">
        <f t="shared" si="264"/>
        <v>0.5</v>
      </c>
      <c r="J1120" s="1">
        <f t="shared" si="256"/>
        <v>2.0000000000000018E-2</v>
      </c>
      <c r="K1120" s="1">
        <f t="shared" si="265"/>
        <v>2.1272099999999998</v>
      </c>
      <c r="L1120" s="1">
        <f t="shared" si="266"/>
        <v>1.6306400000000001</v>
      </c>
      <c r="M1120" s="49">
        <v>0</v>
      </c>
      <c r="N1120" s="49">
        <v>1.47</v>
      </c>
      <c r="O1120" s="1">
        <v>1014</v>
      </c>
      <c r="P1120" s="51">
        <v>0.05</v>
      </c>
      <c r="Q1120" s="51">
        <v>11</v>
      </c>
      <c r="R1120" s="51">
        <v>0</v>
      </c>
      <c r="S1120" s="1">
        <v>1</v>
      </c>
      <c r="T1120" s="1">
        <v>0</v>
      </c>
      <c r="U1120" s="47">
        <v>1</v>
      </c>
      <c r="V1120" s="47">
        <v>168</v>
      </c>
      <c r="W1120" s="41">
        <v>200</v>
      </c>
      <c r="X1120">
        <v>500</v>
      </c>
      <c r="Y1120">
        <v>0.98</v>
      </c>
      <c r="Z1120">
        <v>2127.21</v>
      </c>
      <c r="AA1120">
        <v>1630.64</v>
      </c>
      <c r="AB1120">
        <v>147</v>
      </c>
      <c r="AC1120">
        <v>36</v>
      </c>
      <c r="AD1120" s="41">
        <f t="shared" si="272"/>
        <v>0.40428542551041036</v>
      </c>
      <c r="AE1120" s="41">
        <f t="shared" si="273"/>
        <v>0.52740028455085119</v>
      </c>
      <c r="AF1120">
        <f t="shared" si="274"/>
        <v>1.2995933333333336</v>
      </c>
      <c r="AG1120">
        <f t="shared" si="275"/>
        <v>0.16552333333333324</v>
      </c>
      <c r="AH1120">
        <f t="shared" si="276"/>
        <v>1.47</v>
      </c>
      <c r="AI1120">
        <f>HLOOKUP(HLOOKUP(G1120,'THP2'!$B$4:$J$8,5,FALSE),'Fuel &amp; Resister'!$B$3:$G$6,4,FALSE)</f>
        <v>2.7360666666666664</v>
      </c>
      <c r="AJ1120" s="41">
        <f>HLOOKUP(HLOOKUP(G1120,'THP2'!$B$4:$J$8,5,FALSE),'Fuel &amp; Resister'!$B$3:$G$6,3,FALSE)</f>
        <v>13.019</v>
      </c>
      <c r="AO1120" s="1">
        <v>1</v>
      </c>
      <c r="AP1120" s="62">
        <v>0</v>
      </c>
    </row>
    <row r="1121" spans="2:42" x14ac:dyDescent="0.15">
      <c r="B1121" s="81" t="s">
        <v>627</v>
      </c>
      <c r="C1121" s="61">
        <f>VLOOKUP(B1121,[1]SYS!$F$5:$G$359,2,FALSE)</f>
        <v>123</v>
      </c>
      <c r="D1121" s="1" t="s">
        <v>50</v>
      </c>
      <c r="E1121" s="65" t="s">
        <v>173</v>
      </c>
      <c r="F1121" s="63" t="s">
        <v>441</v>
      </c>
      <c r="G1121" s="1">
        <v>8</v>
      </c>
      <c r="H1121" s="1">
        <f t="shared" si="263"/>
        <v>0.4</v>
      </c>
      <c r="I1121" s="1">
        <f t="shared" si="264"/>
        <v>0.5</v>
      </c>
      <c r="J1121" s="1">
        <f t="shared" si="256"/>
        <v>2.0000000000000018E-2</v>
      </c>
      <c r="K1121" s="1">
        <f t="shared" si="265"/>
        <v>2.1272099999999998</v>
      </c>
      <c r="L1121" s="1">
        <f t="shared" si="266"/>
        <v>1.6306400000000001</v>
      </c>
      <c r="M1121" s="49">
        <v>0</v>
      </c>
      <c r="N1121" s="49">
        <v>1.47</v>
      </c>
      <c r="O1121" s="1">
        <v>613</v>
      </c>
      <c r="P1121" s="51">
        <v>0.05</v>
      </c>
      <c r="Q1121" s="51">
        <v>11</v>
      </c>
      <c r="R1121" s="51">
        <v>0</v>
      </c>
      <c r="S1121" s="1">
        <v>1</v>
      </c>
      <c r="T1121" s="1">
        <v>0</v>
      </c>
      <c r="U1121" s="47">
        <v>1</v>
      </c>
      <c r="V1121" s="47">
        <v>169</v>
      </c>
      <c r="W1121" s="41">
        <v>200</v>
      </c>
      <c r="X1121">
        <v>500</v>
      </c>
      <c r="Y1121">
        <v>0.98</v>
      </c>
      <c r="Z1121">
        <v>2127.21</v>
      </c>
      <c r="AA1121">
        <v>1630.64</v>
      </c>
      <c r="AB1121">
        <v>147</v>
      </c>
      <c r="AC1121">
        <v>36</v>
      </c>
      <c r="AD1121" s="41">
        <f t="shared" si="272"/>
        <v>0.40428542551041036</v>
      </c>
      <c r="AE1121" s="41">
        <f t="shared" si="273"/>
        <v>0.52740028455085119</v>
      </c>
      <c r="AF1121">
        <f t="shared" si="274"/>
        <v>1.2995933333333336</v>
      </c>
      <c r="AG1121">
        <f t="shared" si="275"/>
        <v>0.16552333333333324</v>
      </c>
      <c r="AH1121">
        <f t="shared" si="276"/>
        <v>1.47</v>
      </c>
      <c r="AI1121">
        <f>HLOOKUP(HLOOKUP(G1121,'THP2'!$B$4:$J$8,5,FALSE),'Fuel &amp; Resister'!$B$3:$G$6,4,FALSE)</f>
        <v>2.7360666666666664</v>
      </c>
      <c r="AJ1121" s="41">
        <f>HLOOKUP(HLOOKUP(G1121,'THP2'!$B$4:$J$8,5,FALSE),'Fuel &amp; Resister'!$B$3:$G$6,3,FALSE)</f>
        <v>13.019</v>
      </c>
      <c r="AO1121" s="1">
        <v>1</v>
      </c>
      <c r="AP1121" s="62">
        <v>0</v>
      </c>
    </row>
    <row r="1122" spans="2:42" x14ac:dyDescent="0.15">
      <c r="B1122" s="81" t="s">
        <v>626</v>
      </c>
      <c r="C1122" s="61">
        <f>VLOOKUP(B1122,[1]SYS!$F$5:$G$359,2,FALSE)</f>
        <v>73</v>
      </c>
      <c r="D1122" s="1" t="s">
        <v>50</v>
      </c>
      <c r="E1122" s="65" t="s">
        <v>174</v>
      </c>
      <c r="F1122" s="63" t="s">
        <v>440</v>
      </c>
      <c r="G1122" s="1">
        <v>8</v>
      </c>
      <c r="H1122" s="1">
        <f t="shared" si="263"/>
        <v>0.40039447731755423</v>
      </c>
      <c r="I1122" s="1">
        <f t="shared" si="264"/>
        <v>0.50700000000000001</v>
      </c>
      <c r="J1122" s="1">
        <f t="shared" si="256"/>
        <v>2.0000000000000018E-2</v>
      </c>
      <c r="K1122" s="1">
        <f t="shared" si="265"/>
        <v>2.1272099999999998</v>
      </c>
      <c r="L1122" s="1">
        <f t="shared" si="266"/>
        <v>1.6306400000000001</v>
      </c>
      <c r="M1122" s="49">
        <v>0</v>
      </c>
      <c r="N1122" s="49">
        <v>1.4775</v>
      </c>
      <c r="O1122" s="1">
        <v>1214</v>
      </c>
      <c r="P1122" s="51">
        <v>0.05</v>
      </c>
      <c r="Q1122" s="51">
        <v>11</v>
      </c>
      <c r="R1122" s="51">
        <v>0</v>
      </c>
      <c r="S1122" s="1">
        <v>1</v>
      </c>
      <c r="T1122" s="1">
        <v>0</v>
      </c>
      <c r="U1122" s="47">
        <v>1</v>
      </c>
      <c r="V1122" s="47">
        <v>170</v>
      </c>
      <c r="W1122" s="41">
        <v>203</v>
      </c>
      <c r="X1122">
        <v>507</v>
      </c>
      <c r="Y1122">
        <v>0.98</v>
      </c>
      <c r="Z1122">
        <v>2127.21</v>
      </c>
      <c r="AA1122">
        <v>1630.64</v>
      </c>
      <c r="AB1122">
        <v>147.75</v>
      </c>
      <c r="AC1122">
        <v>36</v>
      </c>
      <c r="AD1122" s="41">
        <f t="shared" si="272"/>
        <v>0.40428542551041036</v>
      </c>
      <c r="AE1122" s="41">
        <f t="shared" si="273"/>
        <v>0.52740028455085119</v>
      </c>
      <c r="AF1122">
        <f t="shared" si="274"/>
        <v>1.2990488486842109</v>
      </c>
      <c r="AG1122">
        <f t="shared" si="275"/>
        <v>0.16811671371710513</v>
      </c>
      <c r="AH1122">
        <f t="shared" si="276"/>
        <v>1.4775</v>
      </c>
      <c r="AI1122">
        <f>HLOOKUP(HLOOKUP(G1122,'THP2'!$B$4:$J$8,5,FALSE),'Fuel &amp; Resister'!$B$3:$G$6,4,FALSE)</f>
        <v>2.7360666666666664</v>
      </c>
      <c r="AJ1122" s="41">
        <f>HLOOKUP(HLOOKUP(G1122,'THP2'!$B$4:$J$8,5,FALSE),'Fuel &amp; Resister'!$B$3:$G$6,3,FALSE)</f>
        <v>13.019</v>
      </c>
      <c r="AO1122" s="1">
        <v>1</v>
      </c>
      <c r="AP1122" s="62">
        <v>0</v>
      </c>
    </row>
    <row r="1123" spans="2:42" x14ac:dyDescent="0.15">
      <c r="B1123" s="81" t="s">
        <v>626</v>
      </c>
      <c r="C1123" s="61">
        <f>VLOOKUP(B1123,[1]SYS!$F$5:$G$359,2,FALSE)</f>
        <v>73</v>
      </c>
      <c r="D1123" s="1" t="s">
        <v>50</v>
      </c>
      <c r="E1123" s="65" t="s">
        <v>175</v>
      </c>
      <c r="F1123" s="63" t="s">
        <v>440</v>
      </c>
      <c r="G1123" s="1">
        <v>8</v>
      </c>
      <c r="H1123" s="1">
        <f t="shared" si="263"/>
        <v>0.40039447731755423</v>
      </c>
      <c r="I1123" s="1">
        <f t="shared" si="264"/>
        <v>0.50700000000000001</v>
      </c>
      <c r="J1123" s="1">
        <f t="shared" si="256"/>
        <v>2.0000000000000018E-2</v>
      </c>
      <c r="K1123" s="1">
        <f t="shared" si="265"/>
        <v>2.1272099999999998</v>
      </c>
      <c r="L1123" s="1">
        <f t="shared" si="266"/>
        <v>1.6306400000000001</v>
      </c>
      <c r="M1123" s="49">
        <v>0</v>
      </c>
      <c r="N1123" s="49">
        <v>1.4775</v>
      </c>
      <c r="O1123" s="1">
        <v>1014</v>
      </c>
      <c r="P1123" s="51">
        <v>0.05</v>
      </c>
      <c r="Q1123" s="51">
        <v>11</v>
      </c>
      <c r="R1123" s="51">
        <v>0</v>
      </c>
      <c r="S1123" s="1">
        <v>1</v>
      </c>
      <c r="T1123" s="1">
        <v>0</v>
      </c>
      <c r="U1123" s="47">
        <v>1</v>
      </c>
      <c r="V1123" s="47">
        <v>171</v>
      </c>
      <c r="W1123" s="41">
        <v>203</v>
      </c>
      <c r="X1123">
        <v>507</v>
      </c>
      <c r="Y1123">
        <v>0.98</v>
      </c>
      <c r="Z1123">
        <v>2127.21</v>
      </c>
      <c r="AA1123">
        <v>1630.64</v>
      </c>
      <c r="AB1123">
        <v>147.75</v>
      </c>
      <c r="AC1123">
        <v>36</v>
      </c>
      <c r="AD1123" s="41">
        <f t="shared" si="272"/>
        <v>0.40428542551041036</v>
      </c>
      <c r="AE1123" s="41">
        <f t="shared" si="273"/>
        <v>0.52740028455085119</v>
      </c>
      <c r="AF1123">
        <f t="shared" si="274"/>
        <v>1.2990488486842109</v>
      </c>
      <c r="AG1123">
        <f t="shared" si="275"/>
        <v>0.16811671371710513</v>
      </c>
      <c r="AH1123">
        <f t="shared" si="276"/>
        <v>1.4775</v>
      </c>
      <c r="AI1123">
        <f>HLOOKUP(HLOOKUP(G1123,'THP2'!$B$4:$J$8,5,FALSE),'Fuel &amp; Resister'!$B$3:$G$6,4,FALSE)</f>
        <v>2.7360666666666664</v>
      </c>
      <c r="AJ1123" s="41">
        <f>HLOOKUP(HLOOKUP(G1123,'THP2'!$B$4:$J$8,5,FALSE),'Fuel &amp; Resister'!$B$3:$G$6,3,FALSE)</f>
        <v>13.019</v>
      </c>
      <c r="AO1123" s="1">
        <v>1</v>
      </c>
      <c r="AP1123" s="62">
        <v>0</v>
      </c>
    </row>
    <row r="1124" spans="2:42" x14ac:dyDescent="0.15">
      <c r="B1124" s="81" t="s">
        <v>628</v>
      </c>
      <c r="C1124" s="61">
        <f>VLOOKUP(B1124,[1]SYS!$F$5:$G$359,2,FALSE)</f>
        <v>98</v>
      </c>
      <c r="D1124" s="1" t="s">
        <v>50</v>
      </c>
      <c r="E1124" s="65" t="s">
        <v>377</v>
      </c>
      <c r="F1124" s="63" t="s">
        <v>378</v>
      </c>
      <c r="G1124" s="1">
        <v>8</v>
      </c>
      <c r="H1124" s="1">
        <f t="shared" si="263"/>
        <v>0.40049140049140047</v>
      </c>
      <c r="I1124" s="1">
        <f t="shared" si="264"/>
        <v>0.40699999999999997</v>
      </c>
      <c r="J1124" s="1">
        <f t="shared" si="256"/>
        <v>3.0000000000000027E-2</v>
      </c>
      <c r="K1124" s="1">
        <f t="shared" si="265"/>
        <v>2.1492199999999997</v>
      </c>
      <c r="L1124" s="1">
        <f t="shared" si="266"/>
        <v>1.64751</v>
      </c>
      <c r="M1124" s="49">
        <v>0</v>
      </c>
      <c r="N1124" s="49">
        <v>1.3696000000000002</v>
      </c>
      <c r="O1124" s="1">
        <v>1214</v>
      </c>
      <c r="P1124" s="51">
        <v>0.05</v>
      </c>
      <c r="Q1124" s="51">
        <v>11</v>
      </c>
      <c r="R1124" s="51">
        <v>0</v>
      </c>
      <c r="S1124" s="1">
        <v>1</v>
      </c>
      <c r="T1124" s="1">
        <v>0</v>
      </c>
      <c r="U1124" s="47">
        <v>1</v>
      </c>
      <c r="V1124" s="47">
        <v>172</v>
      </c>
      <c r="W1124" s="41">
        <v>163</v>
      </c>
      <c r="X1124">
        <v>407</v>
      </c>
      <c r="Y1124">
        <v>0.97</v>
      </c>
      <c r="Z1124">
        <v>2149.2199999999998</v>
      </c>
      <c r="AA1124">
        <v>1647.51</v>
      </c>
      <c r="AB1124">
        <v>136.96</v>
      </c>
      <c r="AC1124">
        <v>36</v>
      </c>
      <c r="AD1124" s="41">
        <f t="shared" si="272"/>
        <v>0.40014516894501267</v>
      </c>
      <c r="AE1124" s="41">
        <f t="shared" si="273"/>
        <v>0.52199986646515051</v>
      </c>
      <c r="AF1124">
        <f t="shared" si="274"/>
        <v>1.3123512704918034</v>
      </c>
      <c r="AG1124">
        <f t="shared" si="275"/>
        <v>0.136409602909836</v>
      </c>
      <c r="AH1124">
        <f t="shared" si="276"/>
        <v>1.3696000000000002</v>
      </c>
      <c r="AI1124">
        <f>HLOOKUP(HLOOKUP(G1124,'THP2'!$B$4:$J$8,5,FALSE),'Fuel &amp; Resister'!$B$3:$G$6,4,FALSE)</f>
        <v>2.7360666666666664</v>
      </c>
      <c r="AJ1124" s="41">
        <f>HLOOKUP(HLOOKUP(G1124,'THP2'!$B$4:$J$8,5,FALSE),'Fuel &amp; Resister'!$B$3:$G$6,3,FALSE)</f>
        <v>13.019</v>
      </c>
      <c r="AO1124" s="1">
        <v>1</v>
      </c>
      <c r="AP1124" s="62">
        <v>0</v>
      </c>
    </row>
    <row r="1125" spans="2:42" x14ac:dyDescent="0.15">
      <c r="B1125" s="81" t="s">
        <v>628</v>
      </c>
      <c r="C1125" s="61">
        <f>VLOOKUP(B1125,[1]SYS!$F$5:$G$359,2,FALSE)</f>
        <v>98</v>
      </c>
      <c r="D1125" s="1" t="s">
        <v>50</v>
      </c>
      <c r="E1125" s="65" t="s">
        <v>379</v>
      </c>
      <c r="F1125" s="63" t="s">
        <v>378</v>
      </c>
      <c r="G1125" s="1">
        <v>8</v>
      </c>
      <c r="H1125" s="1">
        <f t="shared" si="263"/>
        <v>0.40049140049140047</v>
      </c>
      <c r="I1125" s="1">
        <f t="shared" si="264"/>
        <v>0.40699999999999997</v>
      </c>
      <c r="J1125" s="1">
        <f t="shared" si="256"/>
        <v>3.0000000000000027E-2</v>
      </c>
      <c r="K1125" s="1">
        <f t="shared" si="265"/>
        <v>2.1492199999999997</v>
      </c>
      <c r="L1125" s="1">
        <f t="shared" si="266"/>
        <v>1.64751</v>
      </c>
      <c r="M1125" s="49">
        <v>0</v>
      </c>
      <c r="N1125" s="49">
        <v>1.3696000000000002</v>
      </c>
      <c r="O1125" s="1">
        <v>913</v>
      </c>
      <c r="P1125" s="51">
        <v>0.05</v>
      </c>
      <c r="Q1125" s="51">
        <v>11</v>
      </c>
      <c r="R1125" s="51">
        <v>0</v>
      </c>
      <c r="S1125" s="1">
        <v>1</v>
      </c>
      <c r="T1125" s="1">
        <v>0</v>
      </c>
      <c r="U1125" s="47">
        <v>1</v>
      </c>
      <c r="V1125" s="47">
        <v>173</v>
      </c>
      <c r="W1125" s="41">
        <v>163</v>
      </c>
      <c r="X1125">
        <v>407</v>
      </c>
      <c r="Y1125">
        <v>0.97</v>
      </c>
      <c r="Z1125">
        <v>2149.2199999999998</v>
      </c>
      <c r="AA1125">
        <v>1647.51</v>
      </c>
      <c r="AB1125">
        <v>136.96</v>
      </c>
      <c r="AC1125">
        <v>36</v>
      </c>
      <c r="AD1125" s="41">
        <f t="shared" si="272"/>
        <v>0.40014516894501267</v>
      </c>
      <c r="AE1125" s="41">
        <f t="shared" si="273"/>
        <v>0.52199986646515051</v>
      </c>
      <c r="AF1125">
        <f t="shared" si="274"/>
        <v>1.3123512704918034</v>
      </c>
      <c r="AG1125">
        <f t="shared" si="275"/>
        <v>0.136409602909836</v>
      </c>
      <c r="AH1125">
        <f t="shared" si="276"/>
        <v>1.3696000000000002</v>
      </c>
      <c r="AI1125">
        <f>HLOOKUP(HLOOKUP(G1125,'THP2'!$B$4:$J$8,5,FALSE),'Fuel &amp; Resister'!$B$3:$G$6,4,FALSE)</f>
        <v>2.7360666666666664</v>
      </c>
      <c r="AJ1125" s="41">
        <f>HLOOKUP(HLOOKUP(G1125,'THP2'!$B$4:$J$8,5,FALSE),'Fuel &amp; Resister'!$B$3:$G$6,3,FALSE)</f>
        <v>13.019</v>
      </c>
      <c r="AO1125" s="1">
        <v>1</v>
      </c>
      <c r="AP1125" s="62">
        <v>0</v>
      </c>
    </row>
    <row r="1126" spans="2:42" x14ac:dyDescent="0.15">
      <c r="B1126" s="81" t="s">
        <v>628</v>
      </c>
      <c r="C1126" s="61">
        <f>VLOOKUP(B1126,[1]SYS!$F$5:$G$359,2,FALSE)</f>
        <v>98</v>
      </c>
      <c r="D1126" s="1" t="s">
        <v>50</v>
      </c>
      <c r="E1126" s="65" t="s">
        <v>380</v>
      </c>
      <c r="F1126" s="63" t="s">
        <v>378</v>
      </c>
      <c r="G1126" s="1">
        <v>8</v>
      </c>
      <c r="H1126" s="1">
        <f t="shared" si="263"/>
        <v>0.40049140049140047</v>
      </c>
      <c r="I1126" s="1">
        <f t="shared" si="264"/>
        <v>0.40699999999999997</v>
      </c>
      <c r="J1126" s="1">
        <f t="shared" si="256"/>
        <v>3.0000000000000027E-2</v>
      </c>
      <c r="K1126" s="1">
        <f t="shared" si="265"/>
        <v>2.1492199999999997</v>
      </c>
      <c r="L1126" s="1">
        <f t="shared" si="266"/>
        <v>1.64751</v>
      </c>
      <c r="M1126" s="49">
        <v>0</v>
      </c>
      <c r="N1126" s="49">
        <v>1.3696000000000002</v>
      </c>
      <c r="O1126" s="1">
        <v>413</v>
      </c>
      <c r="P1126" s="51">
        <v>0.05</v>
      </c>
      <c r="Q1126" s="51">
        <v>11</v>
      </c>
      <c r="R1126" s="51">
        <v>0</v>
      </c>
      <c r="S1126" s="1">
        <v>1</v>
      </c>
      <c r="T1126" s="1">
        <v>0</v>
      </c>
      <c r="U1126" s="47">
        <v>1</v>
      </c>
      <c r="V1126" s="47">
        <v>174</v>
      </c>
      <c r="W1126" s="41">
        <v>163</v>
      </c>
      <c r="X1126">
        <v>407</v>
      </c>
      <c r="Y1126">
        <v>0.97</v>
      </c>
      <c r="Z1126">
        <v>2149.2199999999998</v>
      </c>
      <c r="AA1126">
        <v>1647.51</v>
      </c>
      <c r="AB1126">
        <v>136.96</v>
      </c>
      <c r="AC1126">
        <v>36</v>
      </c>
      <c r="AD1126" s="41">
        <f t="shared" si="272"/>
        <v>0.40014516894501267</v>
      </c>
      <c r="AE1126" s="41">
        <f t="shared" si="273"/>
        <v>0.52199986646515051</v>
      </c>
      <c r="AF1126">
        <f t="shared" si="274"/>
        <v>1.3123512704918034</v>
      </c>
      <c r="AG1126">
        <f t="shared" si="275"/>
        <v>0.136409602909836</v>
      </c>
      <c r="AH1126">
        <f t="shared" si="276"/>
        <v>1.3696000000000002</v>
      </c>
      <c r="AI1126">
        <f>HLOOKUP(HLOOKUP(G1126,'THP2'!$B$4:$J$8,5,FALSE),'Fuel &amp; Resister'!$B$3:$G$6,4,FALSE)</f>
        <v>2.7360666666666664</v>
      </c>
      <c r="AJ1126" s="41">
        <f>HLOOKUP(HLOOKUP(G1126,'THP2'!$B$4:$J$8,5,FALSE),'Fuel &amp; Resister'!$B$3:$G$6,3,FALSE)</f>
        <v>13.019</v>
      </c>
      <c r="AO1126" s="1">
        <v>1</v>
      </c>
      <c r="AP1126" s="62">
        <v>0</v>
      </c>
    </row>
    <row r="1127" spans="2:42" x14ac:dyDescent="0.15">
      <c r="B1127" s="81" t="s">
        <v>624</v>
      </c>
      <c r="C1127" s="61">
        <f>VLOOKUP(B1127,[1]SYS!$F$5:$G$359,2,FALSE)</f>
        <v>74</v>
      </c>
      <c r="D1127" s="1" t="s">
        <v>50</v>
      </c>
      <c r="E1127" s="65" t="s">
        <v>176</v>
      </c>
      <c r="F1127" s="63" t="s">
        <v>472</v>
      </c>
      <c r="G1127" s="1">
        <v>8</v>
      </c>
      <c r="H1127" s="1">
        <f t="shared" si="263"/>
        <v>0.4</v>
      </c>
      <c r="I1127" s="1">
        <f t="shared" si="264"/>
        <v>0.5</v>
      </c>
      <c r="J1127" s="1">
        <f t="shared" ref="J1127:J1195" si="277">1-Y1127</f>
        <v>2.0000000000000018E-2</v>
      </c>
      <c r="K1127" s="1">
        <f t="shared" si="265"/>
        <v>2.16039</v>
      </c>
      <c r="L1127" s="1">
        <f t="shared" si="266"/>
        <v>1.65608</v>
      </c>
      <c r="M1127" s="49">
        <v>0</v>
      </c>
      <c r="N1127" s="49">
        <v>1.47</v>
      </c>
      <c r="O1127" s="1">
        <v>1014</v>
      </c>
      <c r="P1127" s="51">
        <v>0.05</v>
      </c>
      <c r="Q1127" s="51">
        <v>11</v>
      </c>
      <c r="R1127" s="51">
        <v>0</v>
      </c>
      <c r="S1127" s="1">
        <v>1</v>
      </c>
      <c r="T1127" s="1">
        <v>0</v>
      </c>
      <c r="U1127" s="47">
        <v>1</v>
      </c>
      <c r="V1127" s="47">
        <v>175</v>
      </c>
      <c r="W1127" s="41">
        <v>200</v>
      </c>
      <c r="X1127">
        <v>500</v>
      </c>
      <c r="Y1127">
        <v>0.98</v>
      </c>
      <c r="Z1127">
        <v>2160.39</v>
      </c>
      <c r="AA1127">
        <v>1656.08</v>
      </c>
      <c r="AB1127">
        <v>147</v>
      </c>
      <c r="AC1127">
        <v>36</v>
      </c>
      <c r="AD1127" s="41">
        <f t="shared" si="272"/>
        <v>0.39807627326547523</v>
      </c>
      <c r="AE1127" s="41">
        <f t="shared" si="273"/>
        <v>0.51929858460943923</v>
      </c>
      <c r="AF1127">
        <f t="shared" si="274"/>
        <v>1.3198733333333332</v>
      </c>
      <c r="AG1127">
        <f t="shared" si="275"/>
        <v>0.16810333333333338</v>
      </c>
      <c r="AH1127">
        <f t="shared" si="276"/>
        <v>1.47</v>
      </c>
      <c r="AI1127">
        <f>HLOOKUP(HLOOKUP(G1127,'THP2'!$B$4:$J$8,5,FALSE),'Fuel &amp; Resister'!$B$3:$G$6,4,FALSE)</f>
        <v>2.7360666666666664</v>
      </c>
      <c r="AJ1127" s="41">
        <f>HLOOKUP(HLOOKUP(G1127,'THP2'!$B$4:$J$8,5,FALSE),'Fuel &amp; Resister'!$B$3:$G$6,3,FALSE)</f>
        <v>13.019</v>
      </c>
      <c r="AO1127" s="1">
        <v>1</v>
      </c>
      <c r="AP1127" s="62">
        <v>0</v>
      </c>
    </row>
    <row r="1128" spans="2:42" x14ac:dyDescent="0.15">
      <c r="B1128" s="81" t="s">
        <v>595</v>
      </c>
      <c r="C1128" s="61">
        <f>VLOOKUP(B1128,[1]SYS!$F$5:$G$359,2,FALSE)</f>
        <v>104</v>
      </c>
      <c r="D1128" s="1" t="s">
        <v>50</v>
      </c>
      <c r="E1128" s="65" t="s">
        <v>177</v>
      </c>
      <c r="F1128" s="63" t="s">
        <v>478</v>
      </c>
      <c r="G1128" s="1">
        <v>8</v>
      </c>
      <c r="H1128" s="1">
        <f t="shared" si="263"/>
        <v>0.40094339622641512</v>
      </c>
      <c r="I1128" s="1">
        <f t="shared" si="264"/>
        <v>0.42399999999999999</v>
      </c>
      <c r="J1128" s="1">
        <f t="shared" si="277"/>
        <v>3.0000000000000027E-2</v>
      </c>
      <c r="K1128" s="1">
        <f t="shared" si="265"/>
        <v>2.1641399999999997</v>
      </c>
      <c r="L1128" s="1">
        <f t="shared" si="266"/>
        <v>1.6589500000000001</v>
      </c>
      <c r="M1128" s="49">
        <v>0</v>
      </c>
      <c r="N1128" s="49">
        <v>1.8771</v>
      </c>
      <c r="O1128" s="1">
        <v>613</v>
      </c>
      <c r="P1128" s="51">
        <v>0.05</v>
      </c>
      <c r="Q1128" s="51">
        <v>11</v>
      </c>
      <c r="R1128" s="51">
        <v>0</v>
      </c>
      <c r="S1128" s="1">
        <v>1</v>
      </c>
      <c r="T1128" s="1">
        <v>0</v>
      </c>
      <c r="U1128" s="47">
        <v>1</v>
      </c>
      <c r="V1128" s="47">
        <v>176</v>
      </c>
      <c r="W1128" s="41">
        <v>170</v>
      </c>
      <c r="X1128">
        <v>424</v>
      </c>
      <c r="Y1128">
        <v>0.97</v>
      </c>
      <c r="Z1128">
        <v>2164.14</v>
      </c>
      <c r="AA1128">
        <v>1658.95</v>
      </c>
      <c r="AB1128">
        <v>187.71</v>
      </c>
      <c r="AC1128">
        <v>36</v>
      </c>
      <c r="AD1128" s="41">
        <f t="shared" si="272"/>
        <v>0.39738649070762522</v>
      </c>
      <c r="AE1128" s="41">
        <f t="shared" si="273"/>
        <v>0.51840019289309502</v>
      </c>
      <c r="AF1128">
        <f t="shared" si="274"/>
        <v>1.3208307086614177</v>
      </c>
      <c r="AG1128">
        <f t="shared" si="275"/>
        <v>0.14336257952755896</v>
      </c>
      <c r="AH1128">
        <f t="shared" si="276"/>
        <v>1.8771</v>
      </c>
      <c r="AI1128">
        <f>HLOOKUP(HLOOKUP(G1128,'THP2'!$B$4:$J$8,5,FALSE),'Fuel &amp; Resister'!$B$3:$G$6,4,FALSE)</f>
        <v>2.7360666666666664</v>
      </c>
      <c r="AJ1128" s="41">
        <f>HLOOKUP(HLOOKUP(G1128,'THP2'!$B$4:$J$8,5,FALSE),'Fuel &amp; Resister'!$B$3:$G$6,3,FALSE)</f>
        <v>13.019</v>
      </c>
      <c r="AO1128" s="1">
        <v>1</v>
      </c>
      <c r="AP1128" s="62">
        <v>0</v>
      </c>
    </row>
    <row r="1129" spans="2:42" x14ac:dyDescent="0.15">
      <c r="B1129" s="81" t="s">
        <v>595</v>
      </c>
      <c r="C1129" s="61">
        <f>VLOOKUP(B1129,[1]SYS!$F$5:$G$359,2,FALSE)</f>
        <v>104</v>
      </c>
      <c r="D1129" s="1" t="s">
        <v>50</v>
      </c>
      <c r="E1129" s="65" t="s">
        <v>178</v>
      </c>
      <c r="F1129" s="63" t="s">
        <v>478</v>
      </c>
      <c r="G1129" s="1">
        <v>8</v>
      </c>
      <c r="H1129" s="1">
        <f t="shared" si="263"/>
        <v>0.40094339622641512</v>
      </c>
      <c r="I1129" s="1">
        <f t="shared" si="264"/>
        <v>0.42399999999999999</v>
      </c>
      <c r="J1129" s="1">
        <f t="shared" si="277"/>
        <v>3.0000000000000027E-2</v>
      </c>
      <c r="K1129" s="1">
        <f t="shared" si="265"/>
        <v>2.1641399999999997</v>
      </c>
      <c r="L1129" s="1">
        <f t="shared" si="266"/>
        <v>1.6589500000000001</v>
      </c>
      <c r="M1129" s="49">
        <v>0</v>
      </c>
      <c r="N1129" s="49">
        <v>1.8771</v>
      </c>
      <c r="O1129" s="1">
        <v>1002</v>
      </c>
      <c r="P1129" s="51">
        <v>0.05</v>
      </c>
      <c r="Q1129" s="51">
        <v>11</v>
      </c>
      <c r="R1129" s="51">
        <v>0</v>
      </c>
      <c r="S1129" s="1">
        <v>1</v>
      </c>
      <c r="T1129" s="1">
        <v>0</v>
      </c>
      <c r="U1129" s="47">
        <v>1</v>
      </c>
      <c r="V1129" s="47">
        <v>177</v>
      </c>
      <c r="W1129" s="41">
        <v>170</v>
      </c>
      <c r="X1129">
        <v>424</v>
      </c>
      <c r="Y1129">
        <v>0.97</v>
      </c>
      <c r="Z1129">
        <v>2164.14</v>
      </c>
      <c r="AA1129">
        <v>1658.95</v>
      </c>
      <c r="AB1129">
        <v>187.71</v>
      </c>
      <c r="AC1129">
        <v>36</v>
      </c>
      <c r="AD1129" s="41">
        <f t="shared" si="272"/>
        <v>0.39738649070762522</v>
      </c>
      <c r="AE1129" s="41">
        <f t="shared" si="273"/>
        <v>0.51840019289309502</v>
      </c>
      <c r="AF1129">
        <f t="shared" si="274"/>
        <v>1.3208307086614177</v>
      </c>
      <c r="AG1129">
        <f t="shared" si="275"/>
        <v>0.14336257952755896</v>
      </c>
      <c r="AH1129">
        <f t="shared" si="276"/>
        <v>1.8771</v>
      </c>
      <c r="AI1129">
        <f>HLOOKUP(HLOOKUP(G1129,'THP2'!$B$4:$J$8,5,FALSE),'Fuel &amp; Resister'!$B$3:$G$6,4,FALSE)</f>
        <v>2.7360666666666664</v>
      </c>
      <c r="AJ1129" s="41">
        <f>HLOOKUP(HLOOKUP(G1129,'THP2'!$B$4:$J$8,5,FALSE),'Fuel &amp; Resister'!$B$3:$G$6,3,FALSE)</f>
        <v>13.019</v>
      </c>
      <c r="AO1129" s="1">
        <v>1</v>
      </c>
      <c r="AP1129" s="62">
        <v>0</v>
      </c>
    </row>
    <row r="1130" spans="2:42" x14ac:dyDescent="0.15">
      <c r="B1130" s="81" t="s">
        <v>624</v>
      </c>
      <c r="C1130" s="61">
        <f>VLOOKUP(B1130,[1]SYS!$F$5:$G$359,2,FALSE)</f>
        <v>74</v>
      </c>
      <c r="D1130" s="1" t="s">
        <v>50</v>
      </c>
      <c r="E1130" s="65" t="s">
        <v>179</v>
      </c>
      <c r="F1130" s="63" t="s">
        <v>472</v>
      </c>
      <c r="G1130" s="1">
        <v>8</v>
      </c>
      <c r="H1130" s="1">
        <f t="shared" si="263"/>
        <v>0.4</v>
      </c>
      <c r="I1130" s="1">
        <f t="shared" si="264"/>
        <v>0.5</v>
      </c>
      <c r="J1130" s="1">
        <f t="shared" si="277"/>
        <v>2.0000000000000018E-2</v>
      </c>
      <c r="K1130" s="1">
        <f t="shared" si="265"/>
        <v>2.1754699999999998</v>
      </c>
      <c r="L1130" s="1">
        <f t="shared" si="266"/>
        <v>1.66764</v>
      </c>
      <c r="M1130" s="49">
        <v>0</v>
      </c>
      <c r="N1130" s="49">
        <v>1.47</v>
      </c>
      <c r="O1130" s="1">
        <v>613</v>
      </c>
      <c r="P1130" s="51">
        <v>0.05</v>
      </c>
      <c r="Q1130" s="51">
        <v>11</v>
      </c>
      <c r="R1130" s="51">
        <v>0</v>
      </c>
      <c r="S1130" s="1">
        <v>1</v>
      </c>
      <c r="T1130" s="1">
        <v>0</v>
      </c>
      <c r="U1130" s="47">
        <v>1</v>
      </c>
      <c r="V1130" s="47">
        <v>178</v>
      </c>
      <c r="W1130" s="41">
        <v>200</v>
      </c>
      <c r="X1130">
        <v>500</v>
      </c>
      <c r="Y1130">
        <v>0.98</v>
      </c>
      <c r="Z1130">
        <v>2175.4699999999998</v>
      </c>
      <c r="AA1130">
        <v>1667.64</v>
      </c>
      <c r="AB1130">
        <v>147</v>
      </c>
      <c r="AC1130">
        <v>36</v>
      </c>
      <c r="AD1130" s="41">
        <f t="shared" si="272"/>
        <v>0.39531687405480198</v>
      </c>
      <c r="AE1130" s="41">
        <f t="shared" si="273"/>
        <v>0.5156988318821808</v>
      </c>
      <c r="AF1130">
        <f t="shared" si="274"/>
        <v>1.3290866666666667</v>
      </c>
      <c r="AG1130">
        <f t="shared" si="275"/>
        <v>0.16927666666666663</v>
      </c>
      <c r="AH1130">
        <f t="shared" si="276"/>
        <v>1.47</v>
      </c>
      <c r="AI1130">
        <f>HLOOKUP(HLOOKUP(G1130,'THP2'!$B$4:$J$8,5,FALSE),'Fuel &amp; Resister'!$B$3:$G$6,4,FALSE)</f>
        <v>2.7360666666666664</v>
      </c>
      <c r="AJ1130" s="41">
        <f>HLOOKUP(HLOOKUP(G1130,'THP2'!$B$4:$J$8,5,FALSE),'Fuel &amp; Resister'!$B$3:$G$6,3,FALSE)</f>
        <v>13.019</v>
      </c>
      <c r="AO1130" s="1">
        <v>1</v>
      </c>
      <c r="AP1130" s="62">
        <v>0</v>
      </c>
    </row>
    <row r="1131" spans="2:42" x14ac:dyDescent="0.15">
      <c r="B1131" s="81" t="s">
        <v>624</v>
      </c>
      <c r="C1131" s="61">
        <f>VLOOKUP(B1131,[1]SYS!$F$5:$G$359,2,FALSE)</f>
        <v>74</v>
      </c>
      <c r="D1131" s="1" t="s">
        <v>50</v>
      </c>
      <c r="E1131" s="65" t="s">
        <v>180</v>
      </c>
      <c r="F1131" s="63" t="s">
        <v>472</v>
      </c>
      <c r="G1131" s="1">
        <v>8</v>
      </c>
      <c r="H1131" s="1">
        <f t="shared" si="263"/>
        <v>0.4</v>
      </c>
      <c r="I1131" s="1">
        <f t="shared" si="264"/>
        <v>0.5</v>
      </c>
      <c r="J1131" s="1">
        <f t="shared" si="277"/>
        <v>2.0000000000000018E-2</v>
      </c>
      <c r="K1131" s="1">
        <f t="shared" si="265"/>
        <v>2.1754699999999998</v>
      </c>
      <c r="L1131" s="1">
        <f t="shared" si="266"/>
        <v>1.66764</v>
      </c>
      <c r="M1131" s="49">
        <v>0</v>
      </c>
      <c r="N1131" s="49">
        <v>1.47</v>
      </c>
      <c r="O1131" s="1">
        <v>913</v>
      </c>
      <c r="P1131" s="51">
        <v>0.05</v>
      </c>
      <c r="Q1131" s="51">
        <v>11</v>
      </c>
      <c r="R1131" s="51">
        <v>0</v>
      </c>
      <c r="S1131" s="1">
        <v>1</v>
      </c>
      <c r="T1131" s="1">
        <v>0</v>
      </c>
      <c r="U1131" s="47">
        <v>1</v>
      </c>
      <c r="V1131" s="47">
        <v>179</v>
      </c>
      <c r="W1131" s="41">
        <v>200</v>
      </c>
      <c r="X1131">
        <v>500</v>
      </c>
      <c r="Y1131">
        <v>0.98</v>
      </c>
      <c r="Z1131">
        <v>2175.4699999999998</v>
      </c>
      <c r="AA1131">
        <v>1667.64</v>
      </c>
      <c r="AB1131">
        <v>147</v>
      </c>
      <c r="AC1131">
        <v>36</v>
      </c>
      <c r="AD1131" s="41">
        <f t="shared" si="272"/>
        <v>0.39531687405480198</v>
      </c>
      <c r="AE1131" s="41">
        <f t="shared" si="273"/>
        <v>0.5156988318821808</v>
      </c>
      <c r="AF1131">
        <f t="shared" si="274"/>
        <v>1.3290866666666667</v>
      </c>
      <c r="AG1131">
        <f t="shared" si="275"/>
        <v>0.16927666666666663</v>
      </c>
      <c r="AH1131">
        <f t="shared" si="276"/>
        <v>1.47</v>
      </c>
      <c r="AI1131">
        <f>HLOOKUP(HLOOKUP(G1131,'THP2'!$B$4:$J$8,5,FALSE),'Fuel &amp; Resister'!$B$3:$G$6,4,FALSE)</f>
        <v>2.7360666666666664</v>
      </c>
      <c r="AJ1131" s="41">
        <f>HLOOKUP(HLOOKUP(G1131,'THP2'!$B$4:$J$8,5,FALSE),'Fuel &amp; Resister'!$B$3:$G$6,3,FALSE)</f>
        <v>13.019</v>
      </c>
      <c r="AO1131" s="1">
        <v>1</v>
      </c>
      <c r="AP1131" s="62">
        <v>0</v>
      </c>
    </row>
    <row r="1132" spans="2:42" x14ac:dyDescent="0.15">
      <c r="B1132" s="81" t="s">
        <v>592</v>
      </c>
      <c r="C1132" s="61">
        <f>VLOOKUP(B1132,[1]SYS!$F$5:$G$359,2,FALSE)</f>
        <v>77</v>
      </c>
      <c r="D1132" s="1" t="s">
        <v>50</v>
      </c>
      <c r="E1132" s="65" t="s">
        <v>181</v>
      </c>
      <c r="F1132" s="63" t="s">
        <v>468</v>
      </c>
      <c r="G1132" s="1">
        <v>8</v>
      </c>
      <c r="H1132" s="1">
        <f t="shared" si="263"/>
        <v>0.4</v>
      </c>
      <c r="I1132" s="1">
        <f t="shared" si="264"/>
        <v>0.42</v>
      </c>
      <c r="J1132" s="1">
        <f t="shared" si="277"/>
        <v>2.0000000000000018E-2</v>
      </c>
      <c r="K1132" s="1">
        <f t="shared" si="265"/>
        <v>2.1869200000000002</v>
      </c>
      <c r="L1132" s="1">
        <f t="shared" si="266"/>
        <v>1.6764100000000002</v>
      </c>
      <c r="M1132" s="49">
        <v>0</v>
      </c>
      <c r="N1132" s="49">
        <v>1.3836000000000002</v>
      </c>
      <c r="O1132" s="1">
        <v>913</v>
      </c>
      <c r="P1132" s="51">
        <v>0.05</v>
      </c>
      <c r="Q1132" s="51">
        <v>11</v>
      </c>
      <c r="R1132" s="51">
        <v>0</v>
      </c>
      <c r="S1132" s="1">
        <v>1</v>
      </c>
      <c r="T1132" s="1">
        <v>0</v>
      </c>
      <c r="U1132" s="47">
        <v>1</v>
      </c>
      <c r="V1132" s="47">
        <v>180</v>
      </c>
      <c r="W1132" s="41">
        <v>168</v>
      </c>
      <c r="X1132">
        <v>420</v>
      </c>
      <c r="Y1132">
        <v>0.98</v>
      </c>
      <c r="Z1132">
        <v>2186.92</v>
      </c>
      <c r="AA1132">
        <v>1676.41</v>
      </c>
      <c r="AB1132">
        <v>138.36000000000001</v>
      </c>
      <c r="AC1132">
        <v>36</v>
      </c>
      <c r="AD1132" s="41">
        <f t="shared" si="272"/>
        <v>0.39324712380882698</v>
      </c>
      <c r="AE1132" s="41">
        <f t="shared" si="273"/>
        <v>0.51300099617635297</v>
      </c>
      <c r="AF1132">
        <f t="shared" si="274"/>
        <v>1.3360700000000001</v>
      </c>
      <c r="AG1132">
        <f t="shared" si="275"/>
        <v>0.14294280000000004</v>
      </c>
      <c r="AH1132">
        <f t="shared" si="276"/>
        <v>1.3836000000000002</v>
      </c>
      <c r="AI1132">
        <f>HLOOKUP(HLOOKUP(G1132,'THP2'!$B$4:$J$8,5,FALSE),'Fuel &amp; Resister'!$B$3:$G$6,4,FALSE)</f>
        <v>2.7360666666666664</v>
      </c>
      <c r="AJ1132" s="41">
        <f>HLOOKUP(HLOOKUP(G1132,'THP2'!$B$4:$J$8,5,FALSE),'Fuel &amp; Resister'!$B$3:$G$6,3,FALSE)</f>
        <v>13.019</v>
      </c>
      <c r="AO1132" s="1">
        <v>1</v>
      </c>
      <c r="AP1132" s="62">
        <v>0</v>
      </c>
    </row>
    <row r="1133" spans="2:42" x14ac:dyDescent="0.15">
      <c r="B1133" s="81" t="s">
        <v>592</v>
      </c>
      <c r="C1133" s="61">
        <f>VLOOKUP(B1133,[1]SYS!$F$5:$G$359,2,FALSE)</f>
        <v>77</v>
      </c>
      <c r="D1133" s="1" t="s">
        <v>50</v>
      </c>
      <c r="E1133" s="65" t="s">
        <v>182</v>
      </c>
      <c r="F1133" s="63" t="s">
        <v>468</v>
      </c>
      <c r="G1133" s="1">
        <v>8</v>
      </c>
      <c r="H1133" s="1">
        <f t="shared" si="263"/>
        <v>0.4</v>
      </c>
      <c r="I1133" s="1">
        <f t="shared" si="264"/>
        <v>0.42</v>
      </c>
      <c r="J1133" s="1">
        <f t="shared" si="277"/>
        <v>2.0000000000000018E-2</v>
      </c>
      <c r="K1133" s="1">
        <f t="shared" si="265"/>
        <v>2.1869200000000002</v>
      </c>
      <c r="L1133" s="1">
        <f t="shared" si="266"/>
        <v>1.6764100000000002</v>
      </c>
      <c r="M1133" s="49">
        <v>0</v>
      </c>
      <c r="N1133" s="49">
        <v>1.3836000000000002</v>
      </c>
      <c r="O1133" s="1">
        <v>1214</v>
      </c>
      <c r="P1133" s="51">
        <v>0.05</v>
      </c>
      <c r="Q1133" s="51">
        <v>11</v>
      </c>
      <c r="R1133" s="51">
        <v>0</v>
      </c>
      <c r="S1133" s="1">
        <v>1</v>
      </c>
      <c r="T1133" s="1">
        <v>0</v>
      </c>
      <c r="U1133" s="47">
        <v>1</v>
      </c>
      <c r="V1133" s="47">
        <v>181</v>
      </c>
      <c r="W1133" s="41">
        <v>168</v>
      </c>
      <c r="X1133">
        <v>420</v>
      </c>
      <c r="Y1133">
        <v>0.98</v>
      </c>
      <c r="Z1133">
        <v>2186.92</v>
      </c>
      <c r="AA1133">
        <v>1676.41</v>
      </c>
      <c r="AB1133">
        <v>138.36000000000001</v>
      </c>
      <c r="AC1133">
        <v>36</v>
      </c>
      <c r="AD1133" s="41">
        <f t="shared" si="272"/>
        <v>0.39324712380882698</v>
      </c>
      <c r="AE1133" s="41">
        <f t="shared" si="273"/>
        <v>0.51300099617635297</v>
      </c>
      <c r="AF1133">
        <f t="shared" si="274"/>
        <v>1.3360700000000001</v>
      </c>
      <c r="AG1133">
        <f t="shared" si="275"/>
        <v>0.14294280000000004</v>
      </c>
      <c r="AH1133">
        <f t="shared" si="276"/>
        <v>1.3836000000000002</v>
      </c>
      <c r="AI1133">
        <f>HLOOKUP(HLOOKUP(G1133,'THP2'!$B$4:$J$8,5,FALSE),'Fuel &amp; Resister'!$B$3:$G$6,4,FALSE)</f>
        <v>2.7360666666666664</v>
      </c>
      <c r="AJ1133" s="41">
        <f>HLOOKUP(HLOOKUP(G1133,'THP2'!$B$4:$J$8,5,FALSE),'Fuel &amp; Resister'!$B$3:$G$6,3,FALSE)</f>
        <v>13.019</v>
      </c>
      <c r="AO1133" s="1">
        <v>1</v>
      </c>
      <c r="AP1133" s="62">
        <v>0</v>
      </c>
    </row>
    <row r="1134" spans="2:42" x14ac:dyDescent="0.15">
      <c r="B1134" s="81" t="s">
        <v>592</v>
      </c>
      <c r="C1134" s="61">
        <f>VLOOKUP(B1134,[1]SYS!$F$5:$G$359,2,FALSE)</f>
        <v>77</v>
      </c>
      <c r="D1134" s="1" t="s">
        <v>50</v>
      </c>
      <c r="E1134" s="65" t="s">
        <v>183</v>
      </c>
      <c r="F1134" s="63" t="s">
        <v>468</v>
      </c>
      <c r="G1134" s="1">
        <v>8</v>
      </c>
      <c r="H1134" s="1">
        <f t="shared" si="263"/>
        <v>0.4</v>
      </c>
      <c r="I1134" s="1">
        <f t="shared" si="264"/>
        <v>0.42</v>
      </c>
      <c r="J1134" s="1">
        <f t="shared" si="277"/>
        <v>2.0000000000000018E-2</v>
      </c>
      <c r="K1134" s="1">
        <f t="shared" si="265"/>
        <v>2.1869200000000002</v>
      </c>
      <c r="L1134" s="1">
        <f t="shared" si="266"/>
        <v>1.6764100000000002</v>
      </c>
      <c r="M1134" s="49">
        <v>0</v>
      </c>
      <c r="N1134" s="49">
        <v>1.3836000000000002</v>
      </c>
      <c r="O1134" s="1">
        <v>1214</v>
      </c>
      <c r="P1134" s="51">
        <v>0.05</v>
      </c>
      <c r="Q1134" s="51">
        <v>11</v>
      </c>
      <c r="R1134" s="51">
        <v>0</v>
      </c>
      <c r="S1134" s="1">
        <v>1</v>
      </c>
      <c r="T1134" s="1">
        <v>0</v>
      </c>
      <c r="U1134" s="47">
        <v>1</v>
      </c>
      <c r="V1134" s="47">
        <v>182</v>
      </c>
      <c r="W1134" s="41">
        <v>168</v>
      </c>
      <c r="X1134">
        <v>420</v>
      </c>
      <c r="Y1134">
        <v>0.98</v>
      </c>
      <c r="Z1134">
        <v>2186.92</v>
      </c>
      <c r="AA1134">
        <v>1676.41</v>
      </c>
      <c r="AB1134">
        <v>138.36000000000001</v>
      </c>
      <c r="AC1134">
        <v>36</v>
      </c>
      <c r="AD1134" s="41">
        <f t="shared" si="272"/>
        <v>0.39324712380882698</v>
      </c>
      <c r="AE1134" s="41">
        <f t="shared" si="273"/>
        <v>0.51300099617635297</v>
      </c>
      <c r="AF1134">
        <f t="shared" si="274"/>
        <v>1.3360700000000001</v>
      </c>
      <c r="AG1134">
        <f t="shared" si="275"/>
        <v>0.14294280000000004</v>
      </c>
      <c r="AH1134">
        <f t="shared" si="276"/>
        <v>1.3836000000000002</v>
      </c>
      <c r="AI1134">
        <f>HLOOKUP(HLOOKUP(G1134,'THP2'!$B$4:$J$8,5,FALSE),'Fuel &amp; Resister'!$B$3:$G$6,4,FALSE)</f>
        <v>2.7360666666666664</v>
      </c>
      <c r="AJ1134" s="41">
        <f>HLOOKUP(HLOOKUP(G1134,'THP2'!$B$4:$J$8,5,FALSE),'Fuel &amp; Resister'!$B$3:$G$6,3,FALSE)</f>
        <v>13.019</v>
      </c>
      <c r="AO1134" s="1">
        <v>1</v>
      </c>
      <c r="AP1134" s="1">
        <v>1</v>
      </c>
    </row>
    <row r="1135" spans="2:42" x14ac:dyDescent="0.15">
      <c r="B1135" s="81" t="s">
        <v>593</v>
      </c>
      <c r="C1135" s="61">
        <f>VLOOKUP(B1135,[1]SYS!$F$5:$G$359,2,FALSE)</f>
        <v>105</v>
      </c>
      <c r="D1135" s="1" t="s">
        <v>50</v>
      </c>
      <c r="E1135" s="65" t="s">
        <v>184</v>
      </c>
      <c r="F1135" s="42" t="s">
        <v>479</v>
      </c>
      <c r="G1135" s="1">
        <v>8</v>
      </c>
      <c r="H1135" s="1">
        <f t="shared" si="263"/>
        <v>0.4</v>
      </c>
      <c r="I1135" s="1">
        <f t="shared" si="264"/>
        <v>0.25</v>
      </c>
      <c r="J1135" s="1">
        <f t="shared" si="277"/>
        <v>2.0000000000000018E-2</v>
      </c>
      <c r="K1135" s="1">
        <f t="shared" si="265"/>
        <v>2.1989099999999997</v>
      </c>
      <c r="L1135" s="1">
        <f t="shared" si="266"/>
        <v>1.6856</v>
      </c>
      <c r="M1135" s="49">
        <v>0</v>
      </c>
      <c r="N1135" s="49">
        <v>1.2</v>
      </c>
      <c r="O1135" s="1">
        <v>1014</v>
      </c>
      <c r="P1135" s="51">
        <v>0.05</v>
      </c>
      <c r="Q1135" s="51">
        <v>11</v>
      </c>
      <c r="R1135" s="51">
        <v>0</v>
      </c>
      <c r="S1135" s="1">
        <v>1</v>
      </c>
      <c r="T1135" s="1">
        <v>0</v>
      </c>
      <c r="U1135" s="47">
        <v>1</v>
      </c>
      <c r="V1135" s="47">
        <v>183</v>
      </c>
      <c r="W1135" s="41">
        <v>100</v>
      </c>
      <c r="X1135">
        <v>250</v>
      </c>
      <c r="Y1135">
        <v>0.98</v>
      </c>
      <c r="Z1135">
        <v>2198.91</v>
      </c>
      <c r="AA1135">
        <v>1685.6</v>
      </c>
      <c r="AB1135">
        <v>120</v>
      </c>
      <c r="AC1135">
        <v>36</v>
      </c>
      <c r="AD1135" s="41">
        <f t="shared" si="272"/>
        <v>0.39110286460109783</v>
      </c>
      <c r="AE1135" s="41">
        <f t="shared" si="273"/>
        <v>0.51020408163265307</v>
      </c>
      <c r="AF1135">
        <f t="shared" si="274"/>
        <v>1.3433933333333334</v>
      </c>
      <c r="AG1135">
        <f t="shared" si="275"/>
        <v>8.5551666666666637E-2</v>
      </c>
      <c r="AH1135">
        <f t="shared" si="276"/>
        <v>1.2</v>
      </c>
      <c r="AI1135">
        <f>HLOOKUP(HLOOKUP(G1135,'THP2'!$B$4:$J$8,5,FALSE),'Fuel &amp; Resister'!$B$3:$G$6,4,FALSE)</f>
        <v>2.7360666666666664</v>
      </c>
      <c r="AJ1135" s="41">
        <f>HLOOKUP(HLOOKUP(G1135,'THP2'!$B$4:$J$8,5,FALSE),'Fuel &amp; Resister'!$B$3:$G$6,3,FALSE)</f>
        <v>13.019</v>
      </c>
      <c r="AO1135" s="1">
        <v>1</v>
      </c>
      <c r="AP1135" s="1">
        <v>1</v>
      </c>
    </row>
    <row r="1136" spans="2:42" x14ac:dyDescent="0.15">
      <c r="B1136" s="81" t="s">
        <v>625</v>
      </c>
      <c r="C1136" s="61">
        <f>VLOOKUP(B1136,[1]SYS!$F$5:$G$359,2,FALSE)</f>
        <v>106</v>
      </c>
      <c r="D1136" s="1" t="s">
        <v>50</v>
      </c>
      <c r="E1136" s="65" t="s">
        <v>185</v>
      </c>
      <c r="F1136" s="42" t="s">
        <v>375</v>
      </c>
      <c r="G1136" s="1">
        <v>8</v>
      </c>
      <c r="H1136" s="1">
        <f t="shared" si="263"/>
        <v>0.3981042654028436</v>
      </c>
      <c r="I1136" s="1">
        <f t="shared" si="264"/>
        <v>0.21099999999999999</v>
      </c>
      <c r="J1136" s="1">
        <f t="shared" si="277"/>
        <v>2.0000000000000018E-2</v>
      </c>
      <c r="K1136" s="1">
        <f t="shared" si="265"/>
        <v>2.2315500000000004</v>
      </c>
      <c r="L1136" s="1">
        <f t="shared" si="266"/>
        <v>1.7106300000000001</v>
      </c>
      <c r="M1136" s="49">
        <v>0</v>
      </c>
      <c r="N1136" s="49">
        <v>1.1584000000000001</v>
      </c>
      <c r="O1136" s="6">
        <v>309</v>
      </c>
      <c r="P1136" s="51">
        <v>0.05</v>
      </c>
      <c r="Q1136" s="51">
        <v>11</v>
      </c>
      <c r="R1136" s="51">
        <v>0</v>
      </c>
      <c r="S1136" s="1">
        <v>1</v>
      </c>
      <c r="T1136" s="1">
        <v>0</v>
      </c>
      <c r="U1136" s="47">
        <v>1</v>
      </c>
      <c r="V1136" s="47">
        <v>184</v>
      </c>
      <c r="W1136" s="41">
        <v>84</v>
      </c>
      <c r="X1136">
        <v>211</v>
      </c>
      <c r="Y1136">
        <v>0.98</v>
      </c>
      <c r="Z1136">
        <v>2231.5500000000002</v>
      </c>
      <c r="AA1136">
        <v>1710.63</v>
      </c>
      <c r="AB1136">
        <v>115.84</v>
      </c>
      <c r="AC1136">
        <v>46</v>
      </c>
      <c r="AD1136" s="41">
        <f t="shared" si="272"/>
        <v>0.38538235755416633</v>
      </c>
      <c r="AE1136" s="41">
        <f t="shared" si="273"/>
        <v>0.50273875706611015</v>
      </c>
      <c r="AF1136">
        <f t="shared" si="274"/>
        <v>1.3660844881889762</v>
      </c>
      <c r="AG1136">
        <f t="shared" si="275"/>
        <v>7.2699102992126036E-2</v>
      </c>
      <c r="AH1136">
        <f t="shared" si="276"/>
        <v>1.1584000000000001</v>
      </c>
      <c r="AI1136">
        <f>HLOOKUP(HLOOKUP(G1136,'THP2'!$B$4:$J$8,5,FALSE),'Fuel &amp; Resister'!$B$3:$G$6,4,FALSE)</f>
        <v>2.7360666666666664</v>
      </c>
      <c r="AJ1136" s="41">
        <f>HLOOKUP(HLOOKUP(G1136,'THP2'!$B$4:$J$8,5,FALSE),'Fuel &amp; Resister'!$B$3:$G$6,3,FALSE)</f>
        <v>13.019</v>
      </c>
      <c r="AO1136" s="1">
        <v>1</v>
      </c>
      <c r="AP1136" s="1">
        <v>1</v>
      </c>
    </row>
    <row r="1137" spans="2:42" x14ac:dyDescent="0.15">
      <c r="B1137" s="81" t="s">
        <v>595</v>
      </c>
      <c r="C1137" s="61">
        <f>VLOOKUP(B1137,[1]SYS!$F$5:$G$359,2,FALSE)</f>
        <v>104</v>
      </c>
      <c r="D1137" s="1" t="s">
        <v>50</v>
      </c>
      <c r="E1137" s="65" t="s">
        <v>186</v>
      </c>
      <c r="F1137" s="63" t="s">
        <v>473</v>
      </c>
      <c r="G1137" s="1">
        <v>8</v>
      </c>
      <c r="H1137" s="1">
        <f t="shared" si="263"/>
        <v>0.39892183288409705</v>
      </c>
      <c r="I1137" s="1">
        <f t="shared" si="264"/>
        <v>0.371</v>
      </c>
      <c r="J1137" s="1">
        <f t="shared" si="277"/>
        <v>2.1599999999999953E-2</v>
      </c>
      <c r="K1137" s="1">
        <f t="shared" si="265"/>
        <v>2.2339499999999997</v>
      </c>
      <c r="L1137" s="1">
        <f t="shared" si="266"/>
        <v>1.7124699999999999</v>
      </c>
      <c r="M1137" s="49">
        <v>0</v>
      </c>
      <c r="N1137" s="49">
        <v>1.5891</v>
      </c>
      <c r="O1137" s="6">
        <v>314</v>
      </c>
      <c r="P1137" s="51">
        <v>0.05</v>
      </c>
      <c r="Q1137" s="51">
        <v>11</v>
      </c>
      <c r="R1137" s="51">
        <v>0</v>
      </c>
      <c r="S1137" s="1">
        <v>1</v>
      </c>
      <c r="T1137" s="1">
        <v>0</v>
      </c>
      <c r="U1137" s="47">
        <v>1</v>
      </c>
      <c r="V1137" s="47">
        <v>185</v>
      </c>
      <c r="W1137" s="41">
        <v>148</v>
      </c>
      <c r="X1137">
        <v>371</v>
      </c>
      <c r="Y1137">
        <v>0.97840000000000005</v>
      </c>
      <c r="Z1137">
        <v>2233.9499999999998</v>
      </c>
      <c r="AA1137">
        <v>1712.47</v>
      </c>
      <c r="AB1137">
        <v>158.91</v>
      </c>
      <c r="AC1137">
        <v>36</v>
      </c>
      <c r="AD1137" s="41">
        <f t="shared" si="272"/>
        <v>0.38496832964032324</v>
      </c>
      <c r="AE1137" s="41">
        <f t="shared" si="273"/>
        <v>0.50219857866123208</v>
      </c>
      <c r="AF1137">
        <f t="shared" si="274"/>
        <v>1.3663756502242155</v>
      </c>
      <c r="AG1137">
        <f t="shared" si="275"/>
        <v>0.12840100376681604</v>
      </c>
      <c r="AH1137">
        <f t="shared" si="276"/>
        <v>1.5891</v>
      </c>
      <c r="AI1137">
        <f>HLOOKUP(HLOOKUP(G1137,'THP2'!$B$4:$J$8,5,FALSE),'Fuel &amp; Resister'!$B$3:$G$6,4,FALSE)</f>
        <v>2.7360666666666664</v>
      </c>
      <c r="AJ1137" s="41">
        <f>HLOOKUP(HLOOKUP(G1137,'THP2'!$B$4:$J$8,5,FALSE),'Fuel &amp; Resister'!$B$3:$G$6,3,FALSE)</f>
        <v>13.019</v>
      </c>
      <c r="AO1137" s="1">
        <v>1</v>
      </c>
      <c r="AP1137" s="1">
        <v>1</v>
      </c>
    </row>
    <row r="1138" spans="2:42" x14ac:dyDescent="0.15">
      <c r="B1138" s="81" t="s">
        <v>595</v>
      </c>
      <c r="C1138" s="61">
        <f>VLOOKUP(B1138,[1]SYS!$F$5:$G$359,2,FALSE)</f>
        <v>104</v>
      </c>
      <c r="D1138" s="1" t="s">
        <v>50</v>
      </c>
      <c r="E1138" s="65" t="s">
        <v>187</v>
      </c>
      <c r="F1138" s="63" t="s">
        <v>473</v>
      </c>
      <c r="G1138" s="1">
        <v>8</v>
      </c>
      <c r="H1138" s="1">
        <f t="shared" si="263"/>
        <v>0.39944903581267216</v>
      </c>
      <c r="I1138" s="1">
        <f t="shared" si="264"/>
        <v>0.36299999999999999</v>
      </c>
      <c r="J1138" s="1">
        <f t="shared" si="277"/>
        <v>2.1599999999999953E-2</v>
      </c>
      <c r="K1138" s="1">
        <f t="shared" si="265"/>
        <v>2.2339499999999997</v>
      </c>
      <c r="L1138" s="1">
        <f t="shared" si="266"/>
        <v>1.7124699999999999</v>
      </c>
      <c r="M1138" s="49">
        <v>0</v>
      </c>
      <c r="N1138" s="49">
        <v>1.5456000000000001</v>
      </c>
      <c r="O1138" s="6">
        <v>314</v>
      </c>
      <c r="P1138" s="51">
        <v>0.05</v>
      </c>
      <c r="Q1138" s="51">
        <v>11</v>
      </c>
      <c r="R1138" s="51">
        <v>0</v>
      </c>
      <c r="S1138" s="1">
        <v>1</v>
      </c>
      <c r="T1138" s="1">
        <v>0</v>
      </c>
      <c r="U1138" s="47">
        <v>1</v>
      </c>
      <c r="V1138" s="47">
        <v>186</v>
      </c>
      <c r="W1138" s="41">
        <v>145</v>
      </c>
      <c r="X1138">
        <v>363</v>
      </c>
      <c r="Y1138">
        <v>0.97840000000000005</v>
      </c>
      <c r="Z1138">
        <v>2233.9499999999998</v>
      </c>
      <c r="AA1138">
        <v>1712.47</v>
      </c>
      <c r="AB1138">
        <v>154.56</v>
      </c>
      <c r="AC1138">
        <v>36</v>
      </c>
      <c r="AD1138" s="41">
        <f t="shared" si="272"/>
        <v>0.38496832964032324</v>
      </c>
      <c r="AE1138" s="41">
        <f t="shared" si="273"/>
        <v>0.50219857866123208</v>
      </c>
      <c r="AF1138">
        <f t="shared" si="274"/>
        <v>1.3656140366972478</v>
      </c>
      <c r="AG1138">
        <f t="shared" si="275"/>
        <v>0.12590871467889903</v>
      </c>
      <c r="AH1138">
        <f t="shared" si="276"/>
        <v>1.5456000000000001</v>
      </c>
      <c r="AI1138">
        <f>HLOOKUP(HLOOKUP(G1138,'THP2'!$B$4:$J$8,5,FALSE),'Fuel &amp; Resister'!$B$3:$G$6,4,FALSE)</f>
        <v>2.7360666666666664</v>
      </c>
      <c r="AJ1138" s="41">
        <f>HLOOKUP(HLOOKUP(G1138,'THP2'!$B$4:$J$8,5,FALSE),'Fuel &amp; Resister'!$B$3:$G$6,3,FALSE)</f>
        <v>13.019</v>
      </c>
      <c r="AO1138" s="1">
        <v>1</v>
      </c>
      <c r="AP1138" s="1">
        <v>1</v>
      </c>
    </row>
    <row r="1139" spans="2:42" x14ac:dyDescent="0.15">
      <c r="B1139" s="81" t="s">
        <v>595</v>
      </c>
      <c r="C1139" s="61">
        <f>VLOOKUP(B1139,[1]SYS!$F$5:$G$359,2,FALSE)</f>
        <v>104</v>
      </c>
      <c r="D1139" s="1" t="s">
        <v>50</v>
      </c>
      <c r="E1139" s="65" t="s">
        <v>188</v>
      </c>
      <c r="F1139" s="63" t="s">
        <v>473</v>
      </c>
      <c r="G1139" s="1">
        <v>8</v>
      </c>
      <c r="H1139" s="1">
        <f t="shared" si="263"/>
        <v>0.4</v>
      </c>
      <c r="I1139" s="1">
        <f t="shared" si="264"/>
        <v>0.37</v>
      </c>
      <c r="J1139" s="1">
        <f t="shared" si="277"/>
        <v>2.0599999999999952E-2</v>
      </c>
      <c r="K1139" s="1">
        <f t="shared" si="265"/>
        <v>2.2339499999999997</v>
      </c>
      <c r="L1139" s="1">
        <f t="shared" si="266"/>
        <v>1.7124699999999999</v>
      </c>
      <c r="M1139" s="49">
        <v>0</v>
      </c>
      <c r="N1139" s="49">
        <v>1.5837000000000001</v>
      </c>
      <c r="O1139" s="6">
        <v>314</v>
      </c>
      <c r="P1139" s="51">
        <v>0.05</v>
      </c>
      <c r="Q1139" s="51">
        <v>11</v>
      </c>
      <c r="R1139" s="51">
        <v>0</v>
      </c>
      <c r="S1139" s="1">
        <v>1</v>
      </c>
      <c r="T1139" s="1">
        <v>0</v>
      </c>
      <c r="U1139" s="47">
        <v>1</v>
      </c>
      <c r="V1139" s="47">
        <v>187</v>
      </c>
      <c r="W1139" s="41">
        <v>148</v>
      </c>
      <c r="X1139">
        <v>370</v>
      </c>
      <c r="Y1139">
        <v>0.97940000000000005</v>
      </c>
      <c r="Z1139">
        <v>2233.9499999999998</v>
      </c>
      <c r="AA1139">
        <v>1712.47</v>
      </c>
      <c r="AB1139">
        <v>158.37</v>
      </c>
      <c r="AC1139">
        <v>36</v>
      </c>
      <c r="AD1139" s="41">
        <f t="shared" si="272"/>
        <v>0.38496832964032324</v>
      </c>
      <c r="AE1139" s="41">
        <f t="shared" si="273"/>
        <v>0.50219857866123208</v>
      </c>
      <c r="AF1139">
        <f t="shared" si="274"/>
        <v>1.3648166666666668</v>
      </c>
      <c r="AG1139">
        <f t="shared" si="275"/>
        <v>0.12863173333333328</v>
      </c>
      <c r="AH1139">
        <f t="shared" si="276"/>
        <v>1.5837000000000001</v>
      </c>
      <c r="AI1139">
        <f>HLOOKUP(HLOOKUP(G1139,'THP2'!$B$4:$J$8,5,FALSE),'Fuel &amp; Resister'!$B$3:$G$6,4,FALSE)</f>
        <v>2.7360666666666664</v>
      </c>
      <c r="AJ1139" s="41">
        <f>HLOOKUP(HLOOKUP(G1139,'THP2'!$B$4:$J$8,5,FALSE),'Fuel &amp; Resister'!$B$3:$G$6,3,FALSE)</f>
        <v>13.019</v>
      </c>
      <c r="AO1139" s="1">
        <v>1</v>
      </c>
      <c r="AP1139" s="1">
        <v>1</v>
      </c>
    </row>
    <row r="1140" spans="2:42" x14ac:dyDescent="0.15">
      <c r="B1140" s="81" t="s">
        <v>595</v>
      </c>
      <c r="C1140" s="61">
        <f>VLOOKUP(B1140,[1]SYS!$F$5:$G$359,2,FALSE)</f>
        <v>104</v>
      </c>
      <c r="D1140" s="1" t="s">
        <v>50</v>
      </c>
      <c r="E1140" s="65" t="s">
        <v>189</v>
      </c>
      <c r="F1140" s="63" t="s">
        <v>473</v>
      </c>
      <c r="G1140" s="1">
        <v>8</v>
      </c>
      <c r="H1140" s="1">
        <f t="shared" si="263"/>
        <v>0.4</v>
      </c>
      <c r="I1140" s="1">
        <f t="shared" si="264"/>
        <v>0.37</v>
      </c>
      <c r="J1140" s="1">
        <f t="shared" si="277"/>
        <v>2.0599999999999952E-2</v>
      </c>
      <c r="K1140" s="1">
        <f t="shared" si="265"/>
        <v>2.2339499999999997</v>
      </c>
      <c r="L1140" s="1">
        <f t="shared" si="266"/>
        <v>1.7124699999999999</v>
      </c>
      <c r="M1140" s="49">
        <v>0</v>
      </c>
      <c r="N1140" s="49">
        <v>1.3296000000000001</v>
      </c>
      <c r="O1140" s="6">
        <v>314</v>
      </c>
      <c r="P1140" s="51">
        <v>0.05</v>
      </c>
      <c r="Q1140" s="51">
        <v>11</v>
      </c>
      <c r="R1140" s="51">
        <v>0</v>
      </c>
      <c r="S1140" s="1">
        <v>1</v>
      </c>
      <c r="T1140" s="1">
        <v>0</v>
      </c>
      <c r="U1140" s="47">
        <v>1</v>
      </c>
      <c r="V1140" s="47">
        <v>188</v>
      </c>
      <c r="W1140" s="41">
        <v>148</v>
      </c>
      <c r="X1140">
        <v>370</v>
      </c>
      <c r="Y1140">
        <v>0.97940000000000005</v>
      </c>
      <c r="Z1140">
        <v>2233.9499999999998</v>
      </c>
      <c r="AA1140">
        <v>1712.47</v>
      </c>
      <c r="AB1140">
        <v>132.96</v>
      </c>
      <c r="AC1140">
        <v>36</v>
      </c>
      <c r="AD1140" s="41">
        <f t="shared" si="272"/>
        <v>0.38496832964032324</v>
      </c>
      <c r="AE1140" s="41">
        <f t="shared" si="273"/>
        <v>0.50219857866123208</v>
      </c>
      <c r="AF1140">
        <f t="shared" si="274"/>
        <v>1.3648166666666668</v>
      </c>
      <c r="AG1140">
        <f t="shared" si="275"/>
        <v>0.12863173333333328</v>
      </c>
      <c r="AH1140">
        <f t="shared" si="276"/>
        <v>1.3296000000000001</v>
      </c>
      <c r="AI1140">
        <f>HLOOKUP(HLOOKUP(G1140,'THP2'!$B$4:$J$8,5,FALSE),'Fuel &amp; Resister'!$B$3:$G$6,4,FALSE)</f>
        <v>2.7360666666666664</v>
      </c>
      <c r="AJ1140" s="41">
        <f>HLOOKUP(HLOOKUP(G1140,'THP2'!$B$4:$J$8,5,FALSE),'Fuel &amp; Resister'!$B$3:$G$6,3,FALSE)</f>
        <v>13.019</v>
      </c>
      <c r="AO1140" s="1">
        <v>1</v>
      </c>
      <c r="AP1140" s="1">
        <v>1</v>
      </c>
    </row>
    <row r="1141" spans="2:42" x14ac:dyDescent="0.15">
      <c r="B1141" s="81" t="s">
        <v>595</v>
      </c>
      <c r="C1141" s="61">
        <f>VLOOKUP(B1141,[1]SYS!$F$5:$G$359,2,FALSE)</f>
        <v>104</v>
      </c>
      <c r="D1141" s="1" t="s">
        <v>50</v>
      </c>
      <c r="E1141" s="65" t="s">
        <v>190</v>
      </c>
      <c r="F1141" s="63" t="s">
        <v>473</v>
      </c>
      <c r="G1141" s="1">
        <v>8</v>
      </c>
      <c r="H1141" s="1">
        <f t="shared" si="263"/>
        <v>0.4</v>
      </c>
      <c r="I1141" s="1">
        <f t="shared" si="264"/>
        <v>0.37</v>
      </c>
      <c r="J1141" s="1">
        <f t="shared" si="277"/>
        <v>2.1100000000000008E-2</v>
      </c>
      <c r="K1141" s="1">
        <f t="shared" si="265"/>
        <v>2.2339499999999997</v>
      </c>
      <c r="L1141" s="1">
        <f t="shared" si="266"/>
        <v>1.7124699999999999</v>
      </c>
      <c r="M1141" s="49">
        <v>0</v>
      </c>
      <c r="N1141" s="49">
        <v>1.5837000000000001</v>
      </c>
      <c r="O1141" s="6">
        <v>314</v>
      </c>
      <c r="P1141" s="51">
        <v>0.05</v>
      </c>
      <c r="Q1141" s="51">
        <v>11</v>
      </c>
      <c r="R1141" s="51">
        <v>0</v>
      </c>
      <c r="S1141" s="1">
        <v>1</v>
      </c>
      <c r="T1141" s="1">
        <v>0</v>
      </c>
      <c r="U1141" s="47">
        <v>1</v>
      </c>
      <c r="V1141" s="47">
        <v>189</v>
      </c>
      <c r="W1141" s="41">
        <v>148</v>
      </c>
      <c r="X1141">
        <v>370</v>
      </c>
      <c r="Y1141">
        <v>0.97889999999999999</v>
      </c>
      <c r="Z1141">
        <v>2233.9499999999998</v>
      </c>
      <c r="AA1141">
        <v>1712.47</v>
      </c>
      <c r="AB1141">
        <v>158.37</v>
      </c>
      <c r="AC1141">
        <v>36</v>
      </c>
      <c r="AD1141" s="41">
        <f t="shared" si="272"/>
        <v>0.38496832964032324</v>
      </c>
      <c r="AE1141" s="41">
        <f t="shared" si="273"/>
        <v>0.50219857866123208</v>
      </c>
      <c r="AF1141">
        <f t="shared" si="274"/>
        <v>1.3648166666666668</v>
      </c>
      <c r="AG1141">
        <f t="shared" si="275"/>
        <v>0.12863173333333328</v>
      </c>
      <c r="AH1141">
        <f t="shared" si="276"/>
        <v>1.5837000000000001</v>
      </c>
      <c r="AI1141">
        <f>HLOOKUP(HLOOKUP(G1141,'THP2'!$B$4:$J$8,5,FALSE),'Fuel &amp; Resister'!$B$3:$G$6,4,FALSE)</f>
        <v>2.7360666666666664</v>
      </c>
      <c r="AJ1141" s="41">
        <f>HLOOKUP(HLOOKUP(G1141,'THP2'!$B$4:$J$8,5,FALSE),'Fuel &amp; Resister'!$B$3:$G$6,3,FALSE)</f>
        <v>13.019</v>
      </c>
      <c r="AO1141" s="1">
        <v>1</v>
      </c>
      <c r="AP1141" s="1">
        <v>1</v>
      </c>
    </row>
    <row r="1142" spans="2:42" x14ac:dyDescent="0.15">
      <c r="B1142" s="81" t="s">
        <v>595</v>
      </c>
      <c r="C1142" s="61">
        <f>VLOOKUP(B1142,[1]SYS!$F$5:$G$359,2,FALSE)</f>
        <v>104</v>
      </c>
      <c r="D1142" s="1" t="s">
        <v>50</v>
      </c>
      <c r="E1142" s="65" t="s">
        <v>191</v>
      </c>
      <c r="F1142" s="63" t="s">
        <v>473</v>
      </c>
      <c r="G1142" s="1">
        <v>8</v>
      </c>
      <c r="H1142" s="1">
        <f t="shared" si="263"/>
        <v>0.40109890109890112</v>
      </c>
      <c r="I1142" s="1">
        <f t="shared" si="264"/>
        <v>0.36399999999999999</v>
      </c>
      <c r="J1142" s="1">
        <f t="shared" si="277"/>
        <v>2.0599999999999952E-2</v>
      </c>
      <c r="K1142" s="1">
        <f t="shared" si="265"/>
        <v>2.2339499999999997</v>
      </c>
      <c r="L1142" s="1">
        <f t="shared" si="266"/>
        <v>1.7124699999999999</v>
      </c>
      <c r="M1142" s="49">
        <v>0</v>
      </c>
      <c r="N1142" s="49">
        <v>1.5511000000000001</v>
      </c>
      <c r="O1142" s="6">
        <v>314</v>
      </c>
      <c r="P1142" s="51">
        <v>0.05</v>
      </c>
      <c r="Q1142" s="51">
        <v>11</v>
      </c>
      <c r="R1142" s="51">
        <v>0</v>
      </c>
      <c r="S1142" s="1">
        <v>1</v>
      </c>
      <c r="T1142" s="1">
        <v>0</v>
      </c>
      <c r="U1142" s="47">
        <v>1</v>
      </c>
      <c r="V1142" s="47">
        <v>190</v>
      </c>
      <c r="W1142" s="41">
        <v>146</v>
      </c>
      <c r="X1142">
        <v>364</v>
      </c>
      <c r="Y1142">
        <v>0.97940000000000005</v>
      </c>
      <c r="Z1142">
        <v>2233.9499999999998</v>
      </c>
      <c r="AA1142">
        <v>1712.47</v>
      </c>
      <c r="AB1142">
        <v>155.11000000000001</v>
      </c>
      <c r="AC1142">
        <v>36</v>
      </c>
      <c r="AD1142" s="41">
        <f t="shared" si="272"/>
        <v>0.38496832964032324</v>
      </c>
      <c r="AE1142" s="41">
        <f t="shared" si="273"/>
        <v>0.50219857866123208</v>
      </c>
      <c r="AF1142">
        <f t="shared" si="274"/>
        <v>1.3632219266055048</v>
      </c>
      <c r="AG1142">
        <f t="shared" si="275"/>
        <v>0.12712629871559622</v>
      </c>
      <c r="AH1142">
        <f t="shared" si="276"/>
        <v>1.5511000000000001</v>
      </c>
      <c r="AI1142">
        <f>HLOOKUP(HLOOKUP(G1142,'THP2'!$B$4:$J$8,5,FALSE),'Fuel &amp; Resister'!$B$3:$G$6,4,FALSE)</f>
        <v>2.7360666666666664</v>
      </c>
      <c r="AJ1142" s="41">
        <f>HLOOKUP(HLOOKUP(G1142,'THP2'!$B$4:$J$8,5,FALSE),'Fuel &amp; Resister'!$B$3:$G$6,3,FALSE)</f>
        <v>13.019</v>
      </c>
      <c r="AO1142" s="1">
        <v>1</v>
      </c>
      <c r="AP1142" s="1">
        <v>1</v>
      </c>
    </row>
    <row r="1143" spans="2:42" x14ac:dyDescent="0.15">
      <c r="B1143" s="81" t="s">
        <v>595</v>
      </c>
      <c r="C1143" s="61">
        <f>VLOOKUP(B1143,[1]SYS!$F$5:$G$359,2,FALSE)</f>
        <v>104</v>
      </c>
      <c r="D1143" s="1" t="s">
        <v>50</v>
      </c>
      <c r="E1143" s="65" t="s">
        <v>192</v>
      </c>
      <c r="F1143" s="63" t="s">
        <v>473</v>
      </c>
      <c r="G1143" s="1">
        <v>8</v>
      </c>
      <c r="H1143" s="1">
        <f t="shared" si="263"/>
        <v>0.40109890109890112</v>
      </c>
      <c r="I1143" s="1">
        <f t="shared" si="264"/>
        <v>0.36399999999999999</v>
      </c>
      <c r="J1143" s="1">
        <f t="shared" si="277"/>
        <v>2.0599999999999952E-2</v>
      </c>
      <c r="K1143" s="1">
        <f t="shared" si="265"/>
        <v>2.2339499999999997</v>
      </c>
      <c r="L1143" s="1">
        <f t="shared" si="266"/>
        <v>1.7124699999999999</v>
      </c>
      <c r="M1143" s="49">
        <v>0</v>
      </c>
      <c r="N1143" s="49">
        <v>1.5511000000000001</v>
      </c>
      <c r="O1143" s="6">
        <v>314</v>
      </c>
      <c r="P1143" s="51">
        <v>0.05</v>
      </c>
      <c r="Q1143" s="51">
        <v>11</v>
      </c>
      <c r="R1143" s="51">
        <v>0</v>
      </c>
      <c r="S1143" s="1">
        <v>1</v>
      </c>
      <c r="T1143" s="1">
        <v>0</v>
      </c>
      <c r="U1143" s="47">
        <v>1</v>
      </c>
      <c r="V1143" s="47">
        <v>191</v>
      </c>
      <c r="W1143" s="41">
        <v>146</v>
      </c>
      <c r="X1143">
        <v>364</v>
      </c>
      <c r="Y1143">
        <v>0.97940000000000005</v>
      </c>
      <c r="Z1143">
        <v>2233.9499999999998</v>
      </c>
      <c r="AA1143">
        <v>1712.47</v>
      </c>
      <c r="AB1143">
        <v>155.11000000000001</v>
      </c>
      <c r="AC1143">
        <v>36</v>
      </c>
      <c r="AD1143" s="41">
        <f t="shared" si="272"/>
        <v>0.38496832964032324</v>
      </c>
      <c r="AE1143" s="41">
        <f t="shared" si="273"/>
        <v>0.50219857866123208</v>
      </c>
      <c r="AF1143">
        <f t="shared" si="274"/>
        <v>1.3632219266055048</v>
      </c>
      <c r="AG1143">
        <f t="shared" si="275"/>
        <v>0.12712629871559622</v>
      </c>
      <c r="AH1143">
        <f t="shared" si="276"/>
        <v>1.5511000000000001</v>
      </c>
      <c r="AI1143">
        <f>HLOOKUP(HLOOKUP(G1143,'THP2'!$B$4:$J$8,5,FALSE),'Fuel &amp; Resister'!$B$3:$G$6,4,FALSE)</f>
        <v>2.7360666666666664</v>
      </c>
      <c r="AJ1143" s="41">
        <f>HLOOKUP(HLOOKUP(G1143,'THP2'!$B$4:$J$8,5,FALSE),'Fuel &amp; Resister'!$B$3:$G$6,3,FALSE)</f>
        <v>13.019</v>
      </c>
      <c r="AO1143" s="1">
        <v>1</v>
      </c>
      <c r="AP1143" s="1">
        <v>1</v>
      </c>
    </row>
    <row r="1144" spans="2:42" x14ac:dyDescent="0.15">
      <c r="B1144" s="81" t="s">
        <v>628</v>
      </c>
      <c r="C1144" s="61">
        <f>VLOOKUP(B1144,[1]SYS!$F$5:$G$359,2,FALSE)</f>
        <v>98</v>
      </c>
      <c r="D1144" s="1" t="s">
        <v>50</v>
      </c>
      <c r="E1144" s="65" t="s">
        <v>193</v>
      </c>
      <c r="F1144" s="63" t="s">
        <v>474</v>
      </c>
      <c r="G1144" s="1">
        <v>8</v>
      </c>
      <c r="H1144" s="1">
        <f t="shared" si="263"/>
        <v>0.4</v>
      </c>
      <c r="I1144" s="1">
        <f t="shared" si="264"/>
        <v>0.38</v>
      </c>
      <c r="J1144" s="1">
        <f t="shared" si="277"/>
        <v>2.3599999999999954E-2</v>
      </c>
      <c r="K1144" s="1">
        <f t="shared" si="265"/>
        <v>2.2541500000000001</v>
      </c>
      <c r="L1144" s="1">
        <f t="shared" si="266"/>
        <v>1.7279500000000001</v>
      </c>
      <c r="M1144" s="49">
        <v>0</v>
      </c>
      <c r="N1144" s="49">
        <v>1.3403999999999998</v>
      </c>
      <c r="O1144" s="1">
        <v>413</v>
      </c>
      <c r="P1144" s="51">
        <v>0.05</v>
      </c>
      <c r="Q1144" s="51">
        <v>11</v>
      </c>
      <c r="R1144" s="51">
        <v>0</v>
      </c>
      <c r="S1144" s="1">
        <v>1</v>
      </c>
      <c r="T1144" s="1">
        <v>0</v>
      </c>
      <c r="U1144" s="47">
        <v>1</v>
      </c>
      <c r="V1144" s="47">
        <v>192</v>
      </c>
      <c r="W1144" s="41">
        <v>152</v>
      </c>
      <c r="X1144">
        <v>380</v>
      </c>
      <c r="Y1144">
        <v>0.97640000000000005</v>
      </c>
      <c r="Z1144">
        <v>2254.15</v>
      </c>
      <c r="AA1144">
        <v>1727.95</v>
      </c>
      <c r="AB1144">
        <v>134.04</v>
      </c>
      <c r="AC1144">
        <v>36</v>
      </c>
      <c r="AD1144" s="41">
        <f t="shared" si="272"/>
        <v>0.38151853248452855</v>
      </c>
      <c r="AE1144" s="41">
        <f t="shared" si="273"/>
        <v>0.49769958621487886</v>
      </c>
      <c r="AF1144">
        <f t="shared" si="274"/>
        <v>1.3771500000000001</v>
      </c>
      <c r="AG1144">
        <f t="shared" si="275"/>
        <v>0.13330400000000001</v>
      </c>
      <c r="AH1144">
        <f t="shared" si="276"/>
        <v>1.3403999999999998</v>
      </c>
      <c r="AI1144">
        <f>HLOOKUP(HLOOKUP(G1144,'THP2'!$B$4:$J$8,5,FALSE),'Fuel &amp; Resister'!$B$3:$G$6,4,FALSE)</f>
        <v>2.7360666666666664</v>
      </c>
      <c r="AJ1144" s="41">
        <f>HLOOKUP(HLOOKUP(G1144,'THP2'!$B$4:$J$8,5,FALSE),'Fuel &amp; Resister'!$B$3:$G$6,3,FALSE)</f>
        <v>13.019</v>
      </c>
      <c r="AO1144" s="1">
        <v>1</v>
      </c>
      <c r="AP1144" s="1">
        <v>1</v>
      </c>
    </row>
    <row r="1145" spans="2:42" x14ac:dyDescent="0.15">
      <c r="B1145" s="81" t="s">
        <v>628</v>
      </c>
      <c r="C1145" s="61">
        <f>VLOOKUP(B1145,[1]SYS!$F$5:$G$359,2,FALSE)</f>
        <v>98</v>
      </c>
      <c r="D1145" s="1" t="s">
        <v>50</v>
      </c>
      <c r="E1145" s="65" t="s">
        <v>194</v>
      </c>
      <c r="F1145" s="63" t="s">
        <v>474</v>
      </c>
      <c r="G1145" s="1">
        <v>8</v>
      </c>
      <c r="H1145" s="1">
        <f t="shared" si="263"/>
        <v>0.4</v>
      </c>
      <c r="I1145" s="1">
        <f t="shared" si="264"/>
        <v>0.38</v>
      </c>
      <c r="J1145" s="1">
        <f t="shared" si="277"/>
        <v>2.3199999999999998E-2</v>
      </c>
      <c r="K1145" s="1">
        <f t="shared" si="265"/>
        <v>2.2541500000000001</v>
      </c>
      <c r="L1145" s="1">
        <f t="shared" si="266"/>
        <v>1.7279500000000001</v>
      </c>
      <c r="M1145" s="49">
        <v>0</v>
      </c>
      <c r="N1145" s="49">
        <v>1.3403999999999998</v>
      </c>
      <c r="O1145" s="6">
        <v>302</v>
      </c>
      <c r="P1145" s="51">
        <v>0.05</v>
      </c>
      <c r="Q1145" s="51">
        <v>11</v>
      </c>
      <c r="R1145" s="51">
        <v>0</v>
      </c>
      <c r="S1145" s="1">
        <v>1</v>
      </c>
      <c r="T1145" s="1">
        <v>0</v>
      </c>
      <c r="U1145" s="47">
        <v>1</v>
      </c>
      <c r="V1145" s="47">
        <v>193</v>
      </c>
      <c r="W1145" s="41">
        <v>152</v>
      </c>
      <c r="X1145">
        <v>380</v>
      </c>
      <c r="Y1145">
        <v>0.9768</v>
      </c>
      <c r="Z1145">
        <v>2254.15</v>
      </c>
      <c r="AA1145">
        <v>1727.95</v>
      </c>
      <c r="AB1145">
        <v>134.04</v>
      </c>
      <c r="AC1145">
        <v>36</v>
      </c>
      <c r="AD1145" s="41">
        <f t="shared" si="272"/>
        <v>0.38151853248452855</v>
      </c>
      <c r="AE1145" s="41">
        <f t="shared" si="273"/>
        <v>0.49769958621487886</v>
      </c>
      <c r="AF1145">
        <f t="shared" si="274"/>
        <v>1.3771500000000001</v>
      </c>
      <c r="AG1145">
        <f t="shared" si="275"/>
        <v>0.13330400000000001</v>
      </c>
      <c r="AH1145">
        <f t="shared" si="276"/>
        <v>1.3403999999999998</v>
      </c>
      <c r="AI1145">
        <f>HLOOKUP(HLOOKUP(G1145,'THP2'!$B$4:$J$8,5,FALSE),'Fuel &amp; Resister'!$B$3:$G$6,4,FALSE)</f>
        <v>2.7360666666666664</v>
      </c>
      <c r="AJ1145" s="41">
        <f>HLOOKUP(HLOOKUP(G1145,'THP2'!$B$4:$J$8,5,FALSE),'Fuel &amp; Resister'!$B$3:$G$6,3,FALSE)</f>
        <v>13.019</v>
      </c>
      <c r="AO1145" s="1">
        <v>1</v>
      </c>
      <c r="AP1145" s="1">
        <v>1</v>
      </c>
    </row>
    <row r="1146" spans="2:42" x14ac:dyDescent="0.15">
      <c r="B1146" s="81" t="s">
        <v>628</v>
      </c>
      <c r="C1146" s="61">
        <f>VLOOKUP(B1146,[1]SYS!$F$5:$G$359,2,FALSE)</f>
        <v>98</v>
      </c>
      <c r="D1146" s="1" t="s">
        <v>50</v>
      </c>
      <c r="E1146" s="65" t="s">
        <v>195</v>
      </c>
      <c r="F1146" s="63" t="s">
        <v>474</v>
      </c>
      <c r="G1146" s="1">
        <v>8</v>
      </c>
      <c r="H1146" s="1">
        <f t="shared" si="263"/>
        <v>0.4</v>
      </c>
      <c r="I1146" s="1">
        <f t="shared" si="264"/>
        <v>0.38</v>
      </c>
      <c r="J1146" s="1">
        <f t="shared" si="277"/>
        <v>2.2199999999999998E-2</v>
      </c>
      <c r="K1146" s="1">
        <f t="shared" si="265"/>
        <v>2.2541500000000001</v>
      </c>
      <c r="L1146" s="1">
        <f t="shared" si="266"/>
        <v>1.7279500000000001</v>
      </c>
      <c r="M1146" s="49">
        <v>0</v>
      </c>
      <c r="N1146" s="49">
        <v>1.3403999999999998</v>
      </c>
      <c r="O1146" s="1">
        <v>613</v>
      </c>
      <c r="P1146" s="51">
        <v>0.05</v>
      </c>
      <c r="Q1146" s="51">
        <v>11</v>
      </c>
      <c r="R1146" s="51">
        <v>0</v>
      </c>
      <c r="S1146" s="1">
        <v>1</v>
      </c>
      <c r="T1146" s="1">
        <v>0</v>
      </c>
      <c r="U1146" s="47">
        <v>1</v>
      </c>
      <c r="V1146" s="47">
        <v>194</v>
      </c>
      <c r="W1146" s="41">
        <v>152</v>
      </c>
      <c r="X1146">
        <v>380</v>
      </c>
      <c r="Y1146">
        <v>0.9778</v>
      </c>
      <c r="Z1146">
        <v>2254.15</v>
      </c>
      <c r="AA1146">
        <v>1727.95</v>
      </c>
      <c r="AB1146">
        <v>134.04</v>
      </c>
      <c r="AC1146">
        <v>36</v>
      </c>
      <c r="AD1146" s="41">
        <f t="shared" si="272"/>
        <v>0.38151853248452855</v>
      </c>
      <c r="AE1146" s="41">
        <f t="shared" si="273"/>
        <v>0.49769958621487886</v>
      </c>
      <c r="AF1146">
        <f t="shared" si="274"/>
        <v>1.3771500000000001</v>
      </c>
      <c r="AG1146">
        <f t="shared" si="275"/>
        <v>0.13330400000000001</v>
      </c>
      <c r="AH1146">
        <f t="shared" si="276"/>
        <v>1.3403999999999998</v>
      </c>
      <c r="AI1146">
        <f>HLOOKUP(HLOOKUP(G1146,'THP2'!$B$4:$J$8,5,FALSE),'Fuel &amp; Resister'!$B$3:$G$6,4,FALSE)</f>
        <v>2.7360666666666664</v>
      </c>
      <c r="AJ1146" s="41">
        <f>HLOOKUP(HLOOKUP(G1146,'THP2'!$B$4:$J$8,5,FALSE),'Fuel &amp; Resister'!$B$3:$G$6,3,FALSE)</f>
        <v>13.019</v>
      </c>
      <c r="AO1146" s="1">
        <v>1</v>
      </c>
      <c r="AP1146" s="1">
        <v>1</v>
      </c>
    </row>
    <row r="1147" spans="2:42" x14ac:dyDescent="0.15">
      <c r="B1147" s="81" t="s">
        <v>626</v>
      </c>
      <c r="C1147" s="61">
        <f>VLOOKUP(B1147,[1]SYS!$F$5:$G$359,2,FALSE)</f>
        <v>73</v>
      </c>
      <c r="D1147" s="1" t="s">
        <v>50</v>
      </c>
      <c r="E1147" s="65" t="s">
        <v>196</v>
      </c>
      <c r="F1147" s="63" t="s">
        <v>440</v>
      </c>
      <c r="G1147" s="1">
        <v>8</v>
      </c>
      <c r="H1147" s="1">
        <f t="shared" si="263"/>
        <v>0.4</v>
      </c>
      <c r="I1147" s="1">
        <f t="shared" si="264"/>
        <v>0.38</v>
      </c>
      <c r="J1147" s="1">
        <f t="shared" si="277"/>
        <v>1.5399999999999969E-2</v>
      </c>
      <c r="K1147" s="1">
        <f t="shared" si="265"/>
        <v>2.2541500000000001</v>
      </c>
      <c r="L1147" s="1">
        <f t="shared" si="266"/>
        <v>1.7279500000000001</v>
      </c>
      <c r="M1147" s="49">
        <v>0</v>
      </c>
      <c r="N1147" s="49">
        <v>1.3403999999999998</v>
      </c>
      <c r="O1147" s="1">
        <v>814</v>
      </c>
      <c r="P1147" s="51">
        <v>0.05</v>
      </c>
      <c r="Q1147" s="51">
        <v>11</v>
      </c>
      <c r="R1147" s="51">
        <v>0</v>
      </c>
      <c r="S1147" s="1">
        <v>1</v>
      </c>
      <c r="T1147" s="1">
        <v>0</v>
      </c>
      <c r="U1147" s="47">
        <v>1</v>
      </c>
      <c r="V1147" s="47">
        <v>195</v>
      </c>
      <c r="W1147" s="41">
        <v>152</v>
      </c>
      <c r="X1147">
        <v>380</v>
      </c>
      <c r="Y1147">
        <v>0.98460000000000003</v>
      </c>
      <c r="Z1147">
        <v>2254.15</v>
      </c>
      <c r="AA1147">
        <v>1727.95</v>
      </c>
      <c r="AB1147">
        <v>134.04</v>
      </c>
      <c r="AC1147">
        <v>36</v>
      </c>
      <c r="AD1147" s="41">
        <f t="shared" si="272"/>
        <v>0.38151853248452855</v>
      </c>
      <c r="AE1147" s="41">
        <f t="shared" si="273"/>
        <v>0.49769958621487886</v>
      </c>
      <c r="AF1147">
        <f t="shared" si="274"/>
        <v>1.3771500000000001</v>
      </c>
      <c r="AG1147">
        <f t="shared" si="275"/>
        <v>0.13330400000000001</v>
      </c>
      <c r="AH1147">
        <f t="shared" si="276"/>
        <v>1.3403999999999998</v>
      </c>
      <c r="AI1147">
        <f>HLOOKUP(HLOOKUP(G1147,'THP2'!$B$4:$J$8,5,FALSE),'Fuel &amp; Resister'!$B$3:$G$6,4,FALSE)</f>
        <v>2.7360666666666664</v>
      </c>
      <c r="AJ1147" s="41">
        <f>HLOOKUP(HLOOKUP(G1147,'THP2'!$B$4:$J$8,5,FALSE),'Fuel &amp; Resister'!$B$3:$G$6,3,FALSE)</f>
        <v>13.019</v>
      </c>
      <c r="AO1147" s="1">
        <v>1</v>
      </c>
      <c r="AP1147" s="1">
        <v>1</v>
      </c>
    </row>
    <row r="1148" spans="2:42" x14ac:dyDescent="0.15">
      <c r="B1148" s="81" t="s">
        <v>626</v>
      </c>
      <c r="C1148" s="61">
        <f>VLOOKUP(B1148,[1]SYS!$F$5:$G$359,2,FALSE)</f>
        <v>73</v>
      </c>
      <c r="D1148" s="1" t="s">
        <v>50</v>
      </c>
      <c r="E1148" s="65" t="s">
        <v>197</v>
      </c>
      <c r="F1148" s="63" t="s">
        <v>440</v>
      </c>
      <c r="G1148" s="1">
        <v>8</v>
      </c>
      <c r="H1148" s="1">
        <f t="shared" si="263"/>
        <v>0.4</v>
      </c>
      <c r="I1148" s="1">
        <f t="shared" si="264"/>
        <v>0.38</v>
      </c>
      <c r="J1148" s="1">
        <f t="shared" si="277"/>
        <v>1.5399999999999969E-2</v>
      </c>
      <c r="K1148" s="1">
        <f t="shared" si="265"/>
        <v>2.2541500000000001</v>
      </c>
      <c r="L1148" s="1">
        <f t="shared" si="266"/>
        <v>1.7279500000000001</v>
      </c>
      <c r="M1148" s="49">
        <v>0</v>
      </c>
      <c r="N1148" s="49">
        <v>1.3403999999999998</v>
      </c>
      <c r="O1148" s="1">
        <v>413</v>
      </c>
      <c r="P1148" s="51">
        <v>0.05</v>
      </c>
      <c r="Q1148" s="51">
        <v>11</v>
      </c>
      <c r="R1148" s="51">
        <v>0</v>
      </c>
      <c r="S1148" s="1">
        <v>1</v>
      </c>
      <c r="T1148" s="1">
        <v>0</v>
      </c>
      <c r="U1148" s="47">
        <v>1</v>
      </c>
      <c r="V1148" s="47">
        <v>196</v>
      </c>
      <c r="W1148" s="41">
        <v>152</v>
      </c>
      <c r="X1148">
        <v>380</v>
      </c>
      <c r="Y1148">
        <v>0.98460000000000003</v>
      </c>
      <c r="Z1148">
        <v>2254.15</v>
      </c>
      <c r="AA1148">
        <v>1727.95</v>
      </c>
      <c r="AB1148">
        <v>134.04</v>
      </c>
      <c r="AC1148">
        <v>36</v>
      </c>
      <c r="AD1148" s="41">
        <f t="shared" si="272"/>
        <v>0.38151853248452855</v>
      </c>
      <c r="AE1148" s="41">
        <f t="shared" si="273"/>
        <v>0.49769958621487886</v>
      </c>
      <c r="AF1148">
        <f t="shared" si="274"/>
        <v>1.3771500000000001</v>
      </c>
      <c r="AG1148">
        <f t="shared" si="275"/>
        <v>0.13330400000000001</v>
      </c>
      <c r="AH1148">
        <f t="shared" si="276"/>
        <v>1.3403999999999998</v>
      </c>
      <c r="AI1148">
        <f>HLOOKUP(HLOOKUP(G1148,'THP2'!$B$4:$J$8,5,FALSE),'Fuel &amp; Resister'!$B$3:$G$6,4,FALSE)</f>
        <v>2.7360666666666664</v>
      </c>
      <c r="AJ1148" s="41">
        <f>HLOOKUP(HLOOKUP(G1148,'THP2'!$B$4:$J$8,5,FALSE),'Fuel &amp; Resister'!$B$3:$G$6,3,FALSE)</f>
        <v>13.019</v>
      </c>
      <c r="AO1148" s="1">
        <v>1</v>
      </c>
      <c r="AP1148" s="1">
        <v>1</v>
      </c>
    </row>
    <row r="1149" spans="2:42" x14ac:dyDescent="0.15">
      <c r="B1149" s="81" t="s">
        <v>626</v>
      </c>
      <c r="C1149" s="61">
        <f>VLOOKUP(B1149,[1]SYS!$F$5:$G$359,2,FALSE)</f>
        <v>73</v>
      </c>
      <c r="D1149" s="1" t="s">
        <v>50</v>
      </c>
      <c r="E1149" s="65" t="s">
        <v>198</v>
      </c>
      <c r="F1149" s="63" t="s">
        <v>440</v>
      </c>
      <c r="G1149" s="1">
        <v>8</v>
      </c>
      <c r="H1149" s="1">
        <f t="shared" si="263"/>
        <v>0.4</v>
      </c>
      <c r="I1149" s="1">
        <f t="shared" si="264"/>
        <v>0.38</v>
      </c>
      <c r="J1149" s="1">
        <f t="shared" si="277"/>
        <v>1.5399999999999969E-2</v>
      </c>
      <c r="K1149" s="1">
        <f t="shared" si="265"/>
        <v>2.2541500000000001</v>
      </c>
      <c r="L1149" s="1">
        <f t="shared" si="266"/>
        <v>1.7279500000000001</v>
      </c>
      <c r="M1149" s="49">
        <v>0</v>
      </c>
      <c r="N1149" s="49">
        <v>1.3403999999999998</v>
      </c>
      <c r="O1149" s="1">
        <v>1002</v>
      </c>
      <c r="P1149" s="51">
        <v>0.05</v>
      </c>
      <c r="Q1149" s="51">
        <v>11</v>
      </c>
      <c r="R1149" s="51">
        <v>0</v>
      </c>
      <c r="S1149" s="1">
        <v>1</v>
      </c>
      <c r="T1149" s="1">
        <v>0</v>
      </c>
      <c r="U1149" s="47">
        <v>1</v>
      </c>
      <c r="V1149" s="47">
        <v>197</v>
      </c>
      <c r="W1149" s="41">
        <v>152</v>
      </c>
      <c r="X1149">
        <v>380</v>
      </c>
      <c r="Y1149">
        <v>0.98460000000000003</v>
      </c>
      <c r="Z1149">
        <v>2254.15</v>
      </c>
      <c r="AA1149">
        <v>1727.95</v>
      </c>
      <c r="AB1149">
        <v>134.04</v>
      </c>
      <c r="AC1149">
        <v>36</v>
      </c>
      <c r="AD1149" s="41">
        <f t="shared" si="272"/>
        <v>0.38151853248452855</v>
      </c>
      <c r="AE1149" s="41">
        <f t="shared" si="273"/>
        <v>0.49769958621487886</v>
      </c>
      <c r="AF1149">
        <f t="shared" si="274"/>
        <v>1.3771500000000001</v>
      </c>
      <c r="AG1149">
        <f t="shared" si="275"/>
        <v>0.13330400000000001</v>
      </c>
      <c r="AH1149">
        <f t="shared" si="276"/>
        <v>1.3403999999999998</v>
      </c>
      <c r="AI1149">
        <f>HLOOKUP(HLOOKUP(G1149,'THP2'!$B$4:$J$8,5,FALSE),'Fuel &amp; Resister'!$B$3:$G$6,4,FALSE)</f>
        <v>2.7360666666666664</v>
      </c>
      <c r="AJ1149" s="41">
        <f>HLOOKUP(HLOOKUP(G1149,'THP2'!$B$4:$J$8,5,FALSE),'Fuel &amp; Resister'!$B$3:$G$6,3,FALSE)</f>
        <v>13.019</v>
      </c>
      <c r="AO1149" s="1">
        <v>1</v>
      </c>
      <c r="AP1149" s="1">
        <v>1</v>
      </c>
    </row>
    <row r="1150" spans="2:42" x14ac:dyDescent="0.15">
      <c r="B1150" s="81" t="s">
        <v>626</v>
      </c>
      <c r="C1150" s="61">
        <f>VLOOKUP(B1150,[1]SYS!$F$5:$G$359,2,FALSE)</f>
        <v>73</v>
      </c>
      <c r="D1150" s="1" t="s">
        <v>50</v>
      </c>
      <c r="E1150" s="65" t="s">
        <v>199</v>
      </c>
      <c r="F1150" s="63" t="s">
        <v>440</v>
      </c>
      <c r="G1150" s="1">
        <v>8</v>
      </c>
      <c r="H1150" s="1">
        <f t="shared" si="263"/>
        <v>0.4</v>
      </c>
      <c r="I1150" s="1">
        <f t="shared" si="264"/>
        <v>0.38</v>
      </c>
      <c r="J1150" s="1">
        <f t="shared" si="277"/>
        <v>1.5399999999999969E-2</v>
      </c>
      <c r="K1150" s="1">
        <f t="shared" si="265"/>
        <v>2.2541500000000001</v>
      </c>
      <c r="L1150" s="1">
        <f t="shared" si="266"/>
        <v>1.7279500000000001</v>
      </c>
      <c r="M1150" s="49">
        <v>0</v>
      </c>
      <c r="N1150" s="49">
        <v>1.3403999999999998</v>
      </c>
      <c r="O1150" s="1">
        <v>1214</v>
      </c>
      <c r="P1150" s="51">
        <v>0.05</v>
      </c>
      <c r="Q1150" s="51">
        <v>11</v>
      </c>
      <c r="R1150" s="51">
        <v>0</v>
      </c>
      <c r="S1150" s="1">
        <v>1</v>
      </c>
      <c r="T1150" s="1">
        <v>0</v>
      </c>
      <c r="U1150" s="47">
        <v>1</v>
      </c>
      <c r="V1150" s="47">
        <v>198</v>
      </c>
      <c r="W1150" s="41">
        <v>152</v>
      </c>
      <c r="X1150">
        <v>380</v>
      </c>
      <c r="Y1150">
        <v>0.98460000000000003</v>
      </c>
      <c r="Z1150">
        <v>2254.15</v>
      </c>
      <c r="AA1150">
        <v>1727.95</v>
      </c>
      <c r="AB1150">
        <v>134.04</v>
      </c>
      <c r="AC1150">
        <v>36</v>
      </c>
      <c r="AD1150" s="41">
        <f t="shared" si="272"/>
        <v>0.38151853248452855</v>
      </c>
      <c r="AE1150" s="41">
        <f t="shared" si="273"/>
        <v>0.49769958621487886</v>
      </c>
      <c r="AF1150">
        <f t="shared" si="274"/>
        <v>1.3771500000000001</v>
      </c>
      <c r="AG1150">
        <f t="shared" si="275"/>
        <v>0.13330400000000001</v>
      </c>
      <c r="AH1150">
        <f t="shared" si="276"/>
        <v>1.3403999999999998</v>
      </c>
      <c r="AI1150">
        <f>HLOOKUP(HLOOKUP(G1150,'THP2'!$B$4:$J$8,5,FALSE),'Fuel &amp; Resister'!$B$3:$G$6,4,FALSE)</f>
        <v>2.7360666666666664</v>
      </c>
      <c r="AJ1150" s="41">
        <f>HLOOKUP(HLOOKUP(G1150,'THP2'!$B$4:$J$8,5,FALSE),'Fuel &amp; Resister'!$B$3:$G$6,3,FALSE)</f>
        <v>13.019</v>
      </c>
      <c r="AO1150" s="1">
        <v>1</v>
      </c>
      <c r="AP1150" s="1">
        <v>1</v>
      </c>
    </row>
    <row r="1151" spans="2:42" x14ac:dyDescent="0.15">
      <c r="B1151" s="81" t="s">
        <v>626</v>
      </c>
      <c r="C1151" s="61">
        <f>VLOOKUP(B1151,[1]SYS!$F$5:$G$359,2,FALSE)</f>
        <v>73</v>
      </c>
      <c r="D1151" s="1" t="s">
        <v>50</v>
      </c>
      <c r="E1151" s="65" t="s">
        <v>200</v>
      </c>
      <c r="F1151" s="42" t="s">
        <v>516</v>
      </c>
      <c r="G1151" s="1">
        <v>8</v>
      </c>
      <c r="H1151" s="1">
        <f t="shared" ref="H1151:H1238" si="278">W1151/X1151</f>
        <v>0.39759036144578314</v>
      </c>
      <c r="I1151" s="1">
        <f t="shared" ref="I1151:I1180" si="279">X1151/1000</f>
        <v>0.16600000000000001</v>
      </c>
      <c r="J1151" s="1">
        <f t="shared" si="277"/>
        <v>2.0000000000000018E-2</v>
      </c>
      <c r="K1151" s="1">
        <f t="shared" ref="K1151:K1238" si="280">Z1151/1000</f>
        <v>2.2895799999999999</v>
      </c>
      <c r="L1151" s="1">
        <f t="shared" ref="L1151:L1238" si="281">AA1151/1000</f>
        <v>1.7550999999999999</v>
      </c>
      <c r="M1151" s="49">
        <v>0</v>
      </c>
      <c r="N1151" s="49">
        <v>1.1104000000000001</v>
      </c>
      <c r="O1151" s="6">
        <v>309</v>
      </c>
      <c r="P1151" s="51">
        <v>0</v>
      </c>
      <c r="Q1151" s="51">
        <v>11</v>
      </c>
      <c r="R1151" s="51">
        <v>0</v>
      </c>
      <c r="S1151" s="1">
        <v>1</v>
      </c>
      <c r="T1151" s="1">
        <v>0</v>
      </c>
      <c r="U1151" s="47">
        <v>1</v>
      </c>
      <c r="V1151" s="47">
        <v>199</v>
      </c>
      <c r="W1151" s="41">
        <v>66</v>
      </c>
      <c r="X1151">
        <v>166</v>
      </c>
      <c r="Y1151">
        <v>0.98</v>
      </c>
      <c r="Z1151">
        <v>2289.58</v>
      </c>
      <c r="AA1151">
        <v>1755.1</v>
      </c>
      <c r="AB1151">
        <v>111.04</v>
      </c>
      <c r="AC1151">
        <v>46</v>
      </c>
      <c r="AD1151" s="41">
        <f t="shared" si="272"/>
        <v>0.37561474156832259</v>
      </c>
      <c r="AE1151" s="41">
        <f t="shared" si="273"/>
        <v>0.49000056976810441</v>
      </c>
      <c r="AF1151">
        <f t="shared" si="274"/>
        <v>1.4023432</v>
      </c>
      <c r="AG1151">
        <f t="shared" si="275"/>
        <v>5.8557628799999983E-2</v>
      </c>
      <c r="AH1151">
        <f t="shared" si="276"/>
        <v>1.1104000000000001</v>
      </c>
      <c r="AI1151">
        <f>HLOOKUP(HLOOKUP(G1151,'THP2'!$B$4:$J$8,5,FALSE),'Fuel &amp; Resister'!$B$3:$G$6,4,FALSE)</f>
        <v>2.7360666666666664</v>
      </c>
      <c r="AJ1151" s="41">
        <f>HLOOKUP(HLOOKUP(G1151,'THP2'!$B$4:$J$8,5,FALSE),'Fuel &amp; Resister'!$B$3:$G$6,3,FALSE)</f>
        <v>13.019</v>
      </c>
      <c r="AO1151" s="1">
        <v>1</v>
      </c>
      <c r="AP1151" s="1">
        <v>1</v>
      </c>
    </row>
    <row r="1152" spans="2:42" x14ac:dyDescent="0.15">
      <c r="B1152" s="81" t="s">
        <v>626</v>
      </c>
      <c r="C1152" s="61">
        <f>VLOOKUP(B1152,[1]SYS!$F$5:$G$359,2,FALSE)</f>
        <v>73</v>
      </c>
      <c r="D1152" s="1" t="s">
        <v>50</v>
      </c>
      <c r="E1152" s="65" t="s">
        <v>201</v>
      </c>
      <c r="F1152" s="63" t="s">
        <v>440</v>
      </c>
      <c r="G1152" s="1">
        <v>8</v>
      </c>
      <c r="H1152" s="1">
        <f t="shared" si="278"/>
        <v>0.4</v>
      </c>
      <c r="I1152" s="1">
        <f t="shared" si="279"/>
        <v>0.16</v>
      </c>
      <c r="J1152" s="1">
        <f t="shared" si="277"/>
        <v>2.3299999999999987E-2</v>
      </c>
      <c r="K1152" s="1">
        <f t="shared" si="280"/>
        <v>2.2956699999999999</v>
      </c>
      <c r="L1152" s="1">
        <f t="shared" si="281"/>
        <v>1.7597700000000001</v>
      </c>
      <c r="M1152" s="49">
        <v>0</v>
      </c>
      <c r="N1152" s="49">
        <v>0.52800000000000002</v>
      </c>
      <c r="O1152" s="1">
        <v>613</v>
      </c>
      <c r="P1152" s="51">
        <v>0.05</v>
      </c>
      <c r="Q1152" s="51">
        <v>11</v>
      </c>
      <c r="R1152" s="51">
        <v>0</v>
      </c>
      <c r="S1152" s="1">
        <v>1</v>
      </c>
      <c r="T1152" s="1">
        <v>0</v>
      </c>
      <c r="U1152" s="47">
        <v>1</v>
      </c>
      <c r="V1152" s="47">
        <v>200</v>
      </c>
      <c r="W1152" s="41">
        <v>64</v>
      </c>
      <c r="X1152">
        <v>160</v>
      </c>
      <c r="Y1152">
        <v>0.97670000000000001</v>
      </c>
      <c r="Z1152">
        <v>2295.67</v>
      </c>
      <c r="AA1152">
        <v>1759.77</v>
      </c>
      <c r="AB1152">
        <v>52.8</v>
      </c>
      <c r="AC1152">
        <v>36</v>
      </c>
      <c r="AD1152" s="41">
        <f t="shared" si="272"/>
        <v>0.37461830315332778</v>
      </c>
      <c r="AE1152" s="41">
        <f t="shared" si="273"/>
        <v>0.48870022787068768</v>
      </c>
      <c r="AF1152">
        <f t="shared" si="274"/>
        <v>1.4025033333333334</v>
      </c>
      <c r="AG1152">
        <f t="shared" si="275"/>
        <v>5.716266666666666E-2</v>
      </c>
      <c r="AH1152">
        <f t="shared" si="276"/>
        <v>0.52800000000000002</v>
      </c>
      <c r="AI1152">
        <f>HLOOKUP(HLOOKUP(G1152,'THP2'!$B$4:$J$8,5,FALSE),'Fuel &amp; Resister'!$B$3:$G$6,4,FALSE)</f>
        <v>2.7360666666666664</v>
      </c>
      <c r="AJ1152" s="41">
        <f>HLOOKUP(HLOOKUP(G1152,'THP2'!$B$4:$J$8,5,FALSE),'Fuel &amp; Resister'!$B$3:$G$6,3,FALSE)</f>
        <v>13.019</v>
      </c>
      <c r="AO1152" s="1">
        <v>1</v>
      </c>
      <c r="AP1152" s="1">
        <v>1</v>
      </c>
    </row>
    <row r="1153" spans="2:42" x14ac:dyDescent="0.15">
      <c r="B1153" s="81" t="s">
        <v>626</v>
      </c>
      <c r="C1153" s="61">
        <f>VLOOKUP(B1153,[1]SYS!$F$5:$G$359,2,FALSE)</f>
        <v>73</v>
      </c>
      <c r="D1153" s="1" t="s">
        <v>50</v>
      </c>
      <c r="E1153" s="65" t="s">
        <v>202</v>
      </c>
      <c r="F1153" s="63" t="s">
        <v>440</v>
      </c>
      <c r="G1153" s="1">
        <v>8</v>
      </c>
      <c r="H1153" s="1">
        <f t="shared" si="278"/>
        <v>0.4</v>
      </c>
      <c r="I1153" s="1">
        <f t="shared" si="279"/>
        <v>0.16</v>
      </c>
      <c r="J1153" s="1">
        <f t="shared" si="277"/>
        <v>2.3299999999999987E-2</v>
      </c>
      <c r="K1153" s="1">
        <f t="shared" si="280"/>
        <v>2.2956699999999999</v>
      </c>
      <c r="L1153" s="1">
        <f t="shared" si="281"/>
        <v>1.7597700000000001</v>
      </c>
      <c r="M1153" s="49">
        <v>0</v>
      </c>
      <c r="N1153" s="49">
        <v>0.52800000000000002</v>
      </c>
      <c r="O1153" s="1">
        <v>613</v>
      </c>
      <c r="P1153" s="51">
        <v>0.05</v>
      </c>
      <c r="Q1153" s="51">
        <v>11</v>
      </c>
      <c r="R1153" s="51">
        <v>0</v>
      </c>
      <c r="S1153" s="1">
        <v>1</v>
      </c>
      <c r="T1153" s="1">
        <v>0</v>
      </c>
      <c r="U1153" s="47">
        <v>1</v>
      </c>
      <c r="V1153" s="47">
        <v>201</v>
      </c>
      <c r="W1153" s="41">
        <v>64</v>
      </c>
      <c r="X1153">
        <v>160</v>
      </c>
      <c r="Y1153">
        <v>0.97670000000000001</v>
      </c>
      <c r="Z1153">
        <v>2295.67</v>
      </c>
      <c r="AA1153">
        <v>1759.77</v>
      </c>
      <c r="AB1153">
        <v>52.8</v>
      </c>
      <c r="AC1153">
        <v>36</v>
      </c>
      <c r="AD1153" s="41">
        <f t="shared" si="272"/>
        <v>0.37461830315332778</v>
      </c>
      <c r="AE1153" s="41">
        <f t="shared" si="273"/>
        <v>0.48870022787068768</v>
      </c>
      <c r="AF1153">
        <f t="shared" si="274"/>
        <v>1.4025033333333334</v>
      </c>
      <c r="AG1153">
        <f t="shared" si="275"/>
        <v>5.716266666666666E-2</v>
      </c>
      <c r="AH1153">
        <f t="shared" si="276"/>
        <v>0.52800000000000002</v>
      </c>
      <c r="AI1153">
        <f>HLOOKUP(HLOOKUP(G1153,'THP2'!$B$4:$J$8,5,FALSE),'Fuel &amp; Resister'!$B$3:$G$6,4,FALSE)</f>
        <v>2.7360666666666664</v>
      </c>
      <c r="AJ1153" s="41">
        <f>HLOOKUP(HLOOKUP(G1153,'THP2'!$B$4:$J$8,5,FALSE),'Fuel &amp; Resister'!$B$3:$G$6,3,FALSE)</f>
        <v>13.019</v>
      </c>
      <c r="AO1153" s="1">
        <v>1</v>
      </c>
      <c r="AP1153" s="1">
        <v>1</v>
      </c>
    </row>
    <row r="1154" spans="2:42" x14ac:dyDescent="0.15">
      <c r="B1154" s="81" t="s">
        <v>626</v>
      </c>
      <c r="C1154" s="61">
        <f>VLOOKUP(B1154,[1]SYS!$F$5:$G$359,2,FALSE)</f>
        <v>73</v>
      </c>
      <c r="D1154" s="1" t="s">
        <v>50</v>
      </c>
      <c r="E1154" s="65" t="s">
        <v>203</v>
      </c>
      <c r="F1154" s="63" t="s">
        <v>440</v>
      </c>
      <c r="G1154" s="1">
        <v>8</v>
      </c>
      <c r="H1154" s="1">
        <f t="shared" si="278"/>
        <v>0.4</v>
      </c>
      <c r="I1154" s="1">
        <f t="shared" si="279"/>
        <v>0.16</v>
      </c>
      <c r="J1154" s="1">
        <f t="shared" si="277"/>
        <v>2.3299999999999987E-2</v>
      </c>
      <c r="K1154" s="1">
        <f t="shared" si="280"/>
        <v>2.2956699999999999</v>
      </c>
      <c r="L1154" s="1">
        <f t="shared" si="281"/>
        <v>1.7597700000000001</v>
      </c>
      <c r="M1154" s="49">
        <v>0</v>
      </c>
      <c r="N1154" s="49">
        <v>0.52800000000000002</v>
      </c>
      <c r="O1154" s="1">
        <v>514</v>
      </c>
      <c r="P1154" s="51">
        <v>0.05</v>
      </c>
      <c r="Q1154" s="51">
        <v>11</v>
      </c>
      <c r="R1154" s="51">
        <v>0</v>
      </c>
      <c r="S1154" s="1">
        <v>1</v>
      </c>
      <c r="T1154" s="1">
        <v>0</v>
      </c>
      <c r="U1154" s="47">
        <v>1</v>
      </c>
      <c r="V1154" s="47">
        <v>202</v>
      </c>
      <c r="W1154" s="41">
        <v>64</v>
      </c>
      <c r="X1154">
        <v>160</v>
      </c>
      <c r="Y1154">
        <v>0.97670000000000001</v>
      </c>
      <c r="Z1154">
        <v>2295.67</v>
      </c>
      <c r="AA1154">
        <v>1759.77</v>
      </c>
      <c r="AB1154">
        <v>52.8</v>
      </c>
      <c r="AC1154">
        <v>36</v>
      </c>
      <c r="AD1154" s="41">
        <f t="shared" si="272"/>
        <v>0.37461830315332778</v>
      </c>
      <c r="AE1154" s="41">
        <f t="shared" si="273"/>
        <v>0.48870022787068768</v>
      </c>
      <c r="AF1154">
        <f t="shared" si="274"/>
        <v>1.4025033333333334</v>
      </c>
      <c r="AG1154">
        <f t="shared" si="275"/>
        <v>5.716266666666666E-2</v>
      </c>
      <c r="AH1154">
        <f t="shared" si="276"/>
        <v>0.52800000000000002</v>
      </c>
      <c r="AI1154">
        <f>HLOOKUP(HLOOKUP(G1154,'THP2'!$B$4:$J$8,5,FALSE),'Fuel &amp; Resister'!$B$3:$G$6,4,FALSE)</f>
        <v>2.7360666666666664</v>
      </c>
      <c r="AJ1154" s="41">
        <f>HLOOKUP(HLOOKUP(G1154,'THP2'!$B$4:$J$8,5,FALSE),'Fuel &amp; Resister'!$B$3:$G$6,3,FALSE)</f>
        <v>13.019</v>
      </c>
      <c r="AO1154" s="1">
        <v>1</v>
      </c>
      <c r="AP1154" s="1">
        <v>1</v>
      </c>
    </row>
    <row r="1155" spans="2:42" x14ac:dyDescent="0.15">
      <c r="B1155" s="81" t="s">
        <v>626</v>
      </c>
      <c r="C1155" s="61">
        <f>VLOOKUP(B1155,[1]SYS!$F$5:$G$359,2,FALSE)</f>
        <v>73</v>
      </c>
      <c r="D1155" s="1" t="s">
        <v>50</v>
      </c>
      <c r="E1155" s="65" t="s">
        <v>204</v>
      </c>
      <c r="F1155" s="63" t="s">
        <v>440</v>
      </c>
      <c r="G1155" s="1">
        <v>8</v>
      </c>
      <c r="H1155" s="1">
        <f t="shared" si="278"/>
        <v>0.4</v>
      </c>
      <c r="I1155" s="1">
        <f t="shared" si="279"/>
        <v>0.16</v>
      </c>
      <c r="J1155" s="1">
        <f t="shared" si="277"/>
        <v>2.3299999999999987E-2</v>
      </c>
      <c r="K1155" s="1">
        <f t="shared" si="280"/>
        <v>2.2956699999999999</v>
      </c>
      <c r="L1155" s="1">
        <f t="shared" si="281"/>
        <v>1.7597700000000001</v>
      </c>
      <c r="M1155" s="49">
        <v>0</v>
      </c>
      <c r="N1155" s="49">
        <v>0.52800000000000002</v>
      </c>
      <c r="O1155" s="1">
        <v>514</v>
      </c>
      <c r="P1155" s="51">
        <v>0.05</v>
      </c>
      <c r="Q1155" s="51">
        <v>11</v>
      </c>
      <c r="R1155" s="51">
        <v>0</v>
      </c>
      <c r="S1155" s="1">
        <v>1</v>
      </c>
      <c r="T1155" s="1">
        <v>0</v>
      </c>
      <c r="U1155" s="47">
        <v>1</v>
      </c>
      <c r="V1155" s="47">
        <v>203</v>
      </c>
      <c r="W1155" s="41">
        <v>64</v>
      </c>
      <c r="X1155">
        <v>160</v>
      </c>
      <c r="Y1155">
        <v>0.97670000000000001</v>
      </c>
      <c r="Z1155">
        <v>2295.67</v>
      </c>
      <c r="AA1155">
        <v>1759.77</v>
      </c>
      <c r="AB1155">
        <v>52.8</v>
      </c>
      <c r="AC1155">
        <v>36</v>
      </c>
      <c r="AD1155" s="41">
        <f t="shared" si="272"/>
        <v>0.37461830315332778</v>
      </c>
      <c r="AE1155" s="41">
        <f t="shared" si="273"/>
        <v>0.48870022787068768</v>
      </c>
      <c r="AF1155">
        <f t="shared" si="274"/>
        <v>1.4025033333333334</v>
      </c>
      <c r="AG1155">
        <f t="shared" si="275"/>
        <v>5.716266666666666E-2</v>
      </c>
      <c r="AH1155">
        <f t="shared" si="276"/>
        <v>0.52800000000000002</v>
      </c>
      <c r="AI1155">
        <f>HLOOKUP(HLOOKUP(G1155,'THP2'!$B$4:$J$8,5,FALSE),'Fuel &amp; Resister'!$B$3:$G$6,4,FALSE)</f>
        <v>2.7360666666666664</v>
      </c>
      <c r="AJ1155" s="41">
        <f>HLOOKUP(HLOOKUP(G1155,'THP2'!$B$4:$J$8,5,FALSE),'Fuel &amp; Resister'!$B$3:$G$6,3,FALSE)</f>
        <v>13.019</v>
      </c>
      <c r="AO1155" s="62">
        <v>0</v>
      </c>
      <c r="AP1155" s="62">
        <v>0</v>
      </c>
    </row>
    <row r="1156" spans="2:42" x14ac:dyDescent="0.15">
      <c r="B1156" s="81" t="s">
        <v>626</v>
      </c>
      <c r="C1156" s="61">
        <f>VLOOKUP(B1156,[1]SYS!$F$5:$G$359,2,FALSE)</f>
        <v>73</v>
      </c>
      <c r="D1156" s="1" t="s">
        <v>50</v>
      </c>
      <c r="E1156" s="65" t="s">
        <v>205</v>
      </c>
      <c r="F1156" s="63" t="s">
        <v>440</v>
      </c>
      <c r="G1156" s="1">
        <v>8</v>
      </c>
      <c r="H1156" s="1">
        <f t="shared" si="278"/>
        <v>0.4</v>
      </c>
      <c r="I1156" s="1">
        <f t="shared" si="279"/>
        <v>0.16</v>
      </c>
      <c r="J1156" s="1">
        <f t="shared" si="277"/>
        <v>2.2900000000000031E-2</v>
      </c>
      <c r="K1156" s="1">
        <f t="shared" si="280"/>
        <v>2.2956699999999999</v>
      </c>
      <c r="L1156" s="1">
        <f t="shared" si="281"/>
        <v>1.7597700000000001</v>
      </c>
      <c r="M1156" s="49">
        <v>0</v>
      </c>
      <c r="N1156" s="49">
        <v>0.52800000000000002</v>
      </c>
      <c r="O1156" s="1">
        <v>1214</v>
      </c>
      <c r="P1156" s="51">
        <v>0.05</v>
      </c>
      <c r="Q1156" s="51">
        <v>11</v>
      </c>
      <c r="R1156" s="51">
        <v>0</v>
      </c>
      <c r="S1156" s="1">
        <v>1</v>
      </c>
      <c r="T1156" s="1">
        <v>0</v>
      </c>
      <c r="U1156" s="47">
        <v>1</v>
      </c>
      <c r="V1156" s="47">
        <v>204</v>
      </c>
      <c r="W1156" s="41">
        <v>64</v>
      </c>
      <c r="X1156">
        <v>160</v>
      </c>
      <c r="Y1156">
        <v>0.97709999999999997</v>
      </c>
      <c r="Z1156">
        <v>2295.67</v>
      </c>
      <c r="AA1156">
        <v>1759.77</v>
      </c>
      <c r="AB1156">
        <v>52.8</v>
      </c>
      <c r="AC1156">
        <v>36</v>
      </c>
      <c r="AD1156" s="41">
        <f t="shared" si="272"/>
        <v>0.37461830315332778</v>
      </c>
      <c r="AE1156" s="41">
        <f t="shared" si="273"/>
        <v>0.48870022787068768</v>
      </c>
      <c r="AF1156">
        <f t="shared" si="274"/>
        <v>1.4025033333333334</v>
      </c>
      <c r="AG1156">
        <f t="shared" si="275"/>
        <v>5.716266666666666E-2</v>
      </c>
      <c r="AH1156">
        <f t="shared" si="276"/>
        <v>0.52800000000000002</v>
      </c>
      <c r="AI1156">
        <f>HLOOKUP(HLOOKUP(G1156,'THP2'!$B$4:$J$8,5,FALSE),'Fuel &amp; Resister'!$B$3:$G$6,4,FALSE)</f>
        <v>2.7360666666666664</v>
      </c>
      <c r="AJ1156" s="41">
        <f>HLOOKUP(HLOOKUP(G1156,'THP2'!$B$4:$J$8,5,FALSE),'Fuel &amp; Resister'!$B$3:$G$6,3,FALSE)</f>
        <v>13.019</v>
      </c>
      <c r="AO1156" s="62">
        <v>0</v>
      </c>
      <c r="AP1156" s="62">
        <v>0</v>
      </c>
    </row>
    <row r="1157" spans="2:42" x14ac:dyDescent="0.15">
      <c r="B1157" s="81" t="s">
        <v>626</v>
      </c>
      <c r="C1157" s="61">
        <f>VLOOKUP(B1157,[1]SYS!$F$5:$G$359,2,FALSE)</f>
        <v>73</v>
      </c>
      <c r="D1157" s="1" t="s">
        <v>50</v>
      </c>
      <c r="E1157" s="65" t="s">
        <v>206</v>
      </c>
      <c r="F1157" s="63" t="s">
        <v>440</v>
      </c>
      <c r="G1157" s="1">
        <v>8</v>
      </c>
      <c r="H1157" s="1">
        <f t="shared" si="278"/>
        <v>0.4</v>
      </c>
      <c r="I1157" s="1">
        <f t="shared" si="279"/>
        <v>0.16</v>
      </c>
      <c r="J1157" s="1">
        <f t="shared" si="277"/>
        <v>2.2900000000000031E-2</v>
      </c>
      <c r="K1157" s="1">
        <f t="shared" si="280"/>
        <v>2.2956699999999999</v>
      </c>
      <c r="L1157" s="1">
        <f t="shared" si="281"/>
        <v>1.7597700000000001</v>
      </c>
      <c r="M1157" s="49">
        <v>0</v>
      </c>
      <c r="N1157" s="49">
        <v>0.52800000000000002</v>
      </c>
      <c r="O1157" s="6">
        <v>314</v>
      </c>
      <c r="P1157" s="51">
        <v>0.05</v>
      </c>
      <c r="Q1157" s="51">
        <v>11</v>
      </c>
      <c r="R1157" s="51">
        <v>0</v>
      </c>
      <c r="S1157" s="1">
        <v>1</v>
      </c>
      <c r="T1157" s="1">
        <v>0</v>
      </c>
      <c r="U1157" s="47">
        <v>1</v>
      </c>
      <c r="V1157" s="47">
        <v>205</v>
      </c>
      <c r="W1157" s="41">
        <v>64</v>
      </c>
      <c r="X1157">
        <v>160</v>
      </c>
      <c r="Y1157">
        <v>0.97709999999999997</v>
      </c>
      <c r="Z1157">
        <v>2295.67</v>
      </c>
      <c r="AA1157">
        <v>1759.77</v>
      </c>
      <c r="AB1157">
        <v>52.8</v>
      </c>
      <c r="AC1157">
        <v>36</v>
      </c>
      <c r="AD1157" s="41">
        <f t="shared" si="272"/>
        <v>0.37461830315332778</v>
      </c>
      <c r="AE1157" s="41">
        <f t="shared" si="273"/>
        <v>0.48870022787068768</v>
      </c>
      <c r="AF1157">
        <f t="shared" si="274"/>
        <v>1.4025033333333334</v>
      </c>
      <c r="AG1157">
        <f t="shared" si="275"/>
        <v>5.716266666666666E-2</v>
      </c>
      <c r="AH1157">
        <f t="shared" si="276"/>
        <v>0.52800000000000002</v>
      </c>
      <c r="AI1157">
        <f>HLOOKUP(HLOOKUP(G1157,'THP2'!$B$4:$J$8,5,FALSE),'Fuel &amp; Resister'!$B$3:$G$6,4,FALSE)</f>
        <v>2.7360666666666664</v>
      </c>
      <c r="AJ1157" s="41">
        <f>HLOOKUP(HLOOKUP(G1157,'THP2'!$B$4:$J$8,5,FALSE),'Fuel &amp; Resister'!$B$3:$G$6,3,FALSE)</f>
        <v>13.019</v>
      </c>
      <c r="AO1157" s="62">
        <v>0</v>
      </c>
      <c r="AP1157" s="62">
        <v>0</v>
      </c>
    </row>
    <row r="1158" spans="2:42" x14ac:dyDescent="0.15">
      <c r="B1158" s="81" t="s">
        <v>626</v>
      </c>
      <c r="C1158" s="61">
        <f>VLOOKUP(B1158,[1]SYS!$F$5:$G$359,2,FALSE)</f>
        <v>73</v>
      </c>
      <c r="D1158" s="1" t="s">
        <v>50</v>
      </c>
      <c r="E1158" s="65" t="s">
        <v>207</v>
      </c>
      <c r="F1158" s="63" t="s">
        <v>440</v>
      </c>
      <c r="G1158" s="1">
        <v>8</v>
      </c>
      <c r="H1158" s="1">
        <f t="shared" si="278"/>
        <v>0.4</v>
      </c>
      <c r="I1158" s="1">
        <f t="shared" si="279"/>
        <v>0.16</v>
      </c>
      <c r="J1158" s="1">
        <f t="shared" si="277"/>
        <v>2.2900000000000031E-2</v>
      </c>
      <c r="K1158" s="1">
        <f t="shared" si="280"/>
        <v>2.2956699999999999</v>
      </c>
      <c r="L1158" s="1">
        <f t="shared" si="281"/>
        <v>1.7597700000000001</v>
      </c>
      <c r="M1158" s="49">
        <v>0</v>
      </c>
      <c r="N1158" s="49">
        <v>0.52800000000000002</v>
      </c>
      <c r="O1158" s="1">
        <v>925</v>
      </c>
      <c r="P1158" s="51">
        <v>0.05</v>
      </c>
      <c r="Q1158" s="51">
        <v>11</v>
      </c>
      <c r="R1158" s="51">
        <v>0</v>
      </c>
      <c r="S1158" s="1">
        <v>1</v>
      </c>
      <c r="T1158" s="1">
        <v>0</v>
      </c>
      <c r="U1158" s="47">
        <v>1</v>
      </c>
      <c r="V1158" s="47">
        <v>206</v>
      </c>
      <c r="W1158" s="41">
        <v>64</v>
      </c>
      <c r="X1158">
        <v>160</v>
      </c>
      <c r="Y1158">
        <v>0.97709999999999997</v>
      </c>
      <c r="Z1158">
        <v>2295.67</v>
      </c>
      <c r="AA1158">
        <v>1759.77</v>
      </c>
      <c r="AB1158">
        <v>52.8</v>
      </c>
      <c r="AC1158">
        <v>36</v>
      </c>
      <c r="AD1158" s="41">
        <f t="shared" si="272"/>
        <v>0.37461830315332778</v>
      </c>
      <c r="AE1158" s="41">
        <f t="shared" si="273"/>
        <v>0.48870022787068768</v>
      </c>
      <c r="AF1158">
        <f t="shared" si="274"/>
        <v>1.4025033333333334</v>
      </c>
      <c r="AG1158">
        <f t="shared" si="275"/>
        <v>5.716266666666666E-2</v>
      </c>
      <c r="AH1158">
        <f t="shared" si="276"/>
        <v>0.52800000000000002</v>
      </c>
      <c r="AI1158">
        <f>HLOOKUP(HLOOKUP(G1158,'THP2'!$B$4:$J$8,5,FALSE),'Fuel &amp; Resister'!$B$3:$G$6,4,FALSE)</f>
        <v>2.7360666666666664</v>
      </c>
      <c r="AJ1158" s="41">
        <f>HLOOKUP(HLOOKUP(G1158,'THP2'!$B$4:$J$8,5,FALSE),'Fuel &amp; Resister'!$B$3:$G$6,3,FALSE)</f>
        <v>13.019</v>
      </c>
      <c r="AO1158" s="62">
        <v>0</v>
      </c>
      <c r="AP1158" s="62">
        <v>0</v>
      </c>
    </row>
    <row r="1159" spans="2:42" x14ac:dyDescent="0.15">
      <c r="B1159" s="81" t="s">
        <v>624</v>
      </c>
      <c r="C1159" s="61">
        <f>VLOOKUP(B1159,[1]SYS!$F$5:$G$359,2,FALSE)</f>
        <v>74</v>
      </c>
      <c r="D1159" s="1" t="s">
        <v>50</v>
      </c>
      <c r="E1159" s="42" t="s">
        <v>208</v>
      </c>
      <c r="F1159" s="63" t="s">
        <v>472</v>
      </c>
      <c r="G1159" s="1">
        <v>8</v>
      </c>
      <c r="H1159" s="1">
        <f t="shared" si="278"/>
        <v>0.4</v>
      </c>
      <c r="I1159" s="1">
        <f t="shared" si="279"/>
        <v>0.36</v>
      </c>
      <c r="J1159" s="1">
        <f t="shared" si="277"/>
        <v>1.7800000000000038E-2</v>
      </c>
      <c r="K1159" s="1">
        <f t="shared" si="280"/>
        <v>2.2999000000000001</v>
      </c>
      <c r="L1159" s="1">
        <f t="shared" si="281"/>
        <v>1.76302</v>
      </c>
      <c r="M1159" s="49">
        <v>0</v>
      </c>
      <c r="N1159" s="49">
        <v>1.3188</v>
      </c>
      <c r="O1159" s="1">
        <v>1002</v>
      </c>
      <c r="P1159" s="51">
        <v>0.05</v>
      </c>
      <c r="Q1159" s="51">
        <v>11</v>
      </c>
      <c r="R1159" s="51">
        <v>0</v>
      </c>
      <c r="S1159" s="1">
        <v>1</v>
      </c>
      <c r="T1159" s="1">
        <v>0</v>
      </c>
      <c r="U1159" s="47">
        <v>0</v>
      </c>
      <c r="V1159" s="47">
        <v>207</v>
      </c>
      <c r="W1159" s="41">
        <v>144</v>
      </c>
      <c r="X1159">
        <v>360</v>
      </c>
      <c r="Y1159">
        <v>0.98219999999999996</v>
      </c>
      <c r="Z1159">
        <v>2299.9</v>
      </c>
      <c r="AA1159">
        <v>1763.02</v>
      </c>
      <c r="AB1159">
        <v>131.88</v>
      </c>
      <c r="AC1159">
        <v>36</v>
      </c>
      <c r="AD1159" s="41">
        <f t="shared" si="272"/>
        <v>0.3739293012739684</v>
      </c>
      <c r="AE1159" s="41">
        <f t="shared" si="273"/>
        <v>0.4877993443069279</v>
      </c>
      <c r="AF1159">
        <f t="shared" si="274"/>
        <v>1.4051</v>
      </c>
      <c r="AG1159">
        <f t="shared" si="275"/>
        <v>0.1288512</v>
      </c>
      <c r="AH1159">
        <f t="shared" si="276"/>
        <v>1.3188</v>
      </c>
      <c r="AI1159">
        <f>HLOOKUP(HLOOKUP(G1159,'THP2'!$B$4:$J$8,5,FALSE),'Fuel &amp; Resister'!$B$3:$G$6,4,FALSE)</f>
        <v>2.7360666666666664</v>
      </c>
      <c r="AJ1159" s="41">
        <f>HLOOKUP(HLOOKUP(G1159,'THP2'!$B$4:$J$8,5,FALSE),'Fuel &amp; Resister'!$B$3:$G$6,3,FALSE)</f>
        <v>13.019</v>
      </c>
      <c r="AO1159" s="62">
        <v>0</v>
      </c>
      <c r="AP1159" s="62">
        <v>0</v>
      </c>
    </row>
    <row r="1160" spans="2:42" x14ac:dyDescent="0.15">
      <c r="B1160" s="81" t="s">
        <v>624</v>
      </c>
      <c r="C1160" s="61">
        <f>VLOOKUP(B1160,[1]SYS!$F$5:$G$359,2,FALSE)</f>
        <v>74</v>
      </c>
      <c r="D1160" s="1" t="s">
        <v>50</v>
      </c>
      <c r="E1160" s="42" t="s">
        <v>209</v>
      </c>
      <c r="F1160" s="63" t="s">
        <v>472</v>
      </c>
      <c r="G1160" s="1">
        <v>8</v>
      </c>
      <c r="H1160" s="1">
        <f t="shared" si="278"/>
        <v>0.4</v>
      </c>
      <c r="I1160" s="1">
        <f t="shared" si="279"/>
        <v>0.36</v>
      </c>
      <c r="J1160" s="1">
        <f t="shared" si="277"/>
        <v>1.7800000000000038E-2</v>
      </c>
      <c r="K1160" s="1">
        <f t="shared" si="280"/>
        <v>2.2999000000000001</v>
      </c>
      <c r="L1160" s="1">
        <f t="shared" si="281"/>
        <v>1.76302</v>
      </c>
      <c r="M1160" s="49">
        <v>0</v>
      </c>
      <c r="N1160" s="49">
        <v>1.3188</v>
      </c>
      <c r="O1160" s="6">
        <v>314</v>
      </c>
      <c r="P1160" s="51">
        <v>0.05</v>
      </c>
      <c r="Q1160" s="51">
        <v>11</v>
      </c>
      <c r="R1160" s="51">
        <v>0</v>
      </c>
      <c r="S1160" s="1">
        <v>1</v>
      </c>
      <c r="T1160" s="1">
        <v>0</v>
      </c>
      <c r="U1160" s="47">
        <v>0</v>
      </c>
      <c r="V1160" s="47">
        <v>208</v>
      </c>
      <c r="W1160" s="41">
        <v>144</v>
      </c>
      <c r="X1160">
        <v>360</v>
      </c>
      <c r="Y1160">
        <v>0.98219999999999996</v>
      </c>
      <c r="Z1160">
        <v>2299.9</v>
      </c>
      <c r="AA1160">
        <v>1763.02</v>
      </c>
      <c r="AB1160">
        <v>131.88</v>
      </c>
      <c r="AC1160">
        <v>36</v>
      </c>
      <c r="AD1160" s="41">
        <f t="shared" si="272"/>
        <v>0.3739293012739684</v>
      </c>
      <c r="AE1160" s="41">
        <f t="shared" si="273"/>
        <v>0.4877993443069279</v>
      </c>
      <c r="AF1160">
        <f t="shared" si="274"/>
        <v>1.4051</v>
      </c>
      <c r="AG1160">
        <f t="shared" si="275"/>
        <v>0.1288512</v>
      </c>
      <c r="AH1160">
        <f t="shared" si="276"/>
        <v>1.3188</v>
      </c>
      <c r="AI1160">
        <f>HLOOKUP(HLOOKUP(G1160,'THP2'!$B$4:$J$8,5,FALSE),'Fuel &amp; Resister'!$B$3:$G$6,4,FALSE)</f>
        <v>2.7360666666666664</v>
      </c>
      <c r="AJ1160" s="41">
        <f>HLOOKUP(HLOOKUP(G1160,'THP2'!$B$4:$J$8,5,FALSE),'Fuel &amp; Resister'!$B$3:$G$6,3,FALSE)</f>
        <v>13.019</v>
      </c>
      <c r="AO1160" s="62">
        <v>0</v>
      </c>
      <c r="AP1160" s="62">
        <v>0</v>
      </c>
    </row>
    <row r="1161" spans="2:42" x14ac:dyDescent="0.15">
      <c r="B1161" s="81" t="s">
        <v>624</v>
      </c>
      <c r="C1161" s="61">
        <f>VLOOKUP(B1161,[1]SYS!$F$5:$G$359,2,FALSE)</f>
        <v>74</v>
      </c>
      <c r="D1161" s="1" t="s">
        <v>50</v>
      </c>
      <c r="E1161" s="42" t="s">
        <v>210</v>
      </c>
      <c r="F1161" s="63" t="s">
        <v>472</v>
      </c>
      <c r="G1161" s="1">
        <v>8</v>
      </c>
      <c r="H1161" s="1">
        <f t="shared" si="278"/>
        <v>0.4</v>
      </c>
      <c r="I1161" s="1">
        <f t="shared" si="279"/>
        <v>0.36</v>
      </c>
      <c r="J1161" s="1">
        <f t="shared" si="277"/>
        <v>1.8000000000000016E-2</v>
      </c>
      <c r="K1161" s="1">
        <f t="shared" si="280"/>
        <v>2.2999000000000001</v>
      </c>
      <c r="L1161" s="1">
        <f t="shared" si="281"/>
        <v>1.76302</v>
      </c>
      <c r="M1161" s="49">
        <v>0</v>
      </c>
      <c r="N1161" s="49">
        <v>1.3188</v>
      </c>
      <c r="O1161" s="1">
        <v>925</v>
      </c>
      <c r="P1161" s="51">
        <v>0.05</v>
      </c>
      <c r="Q1161" s="51">
        <v>11</v>
      </c>
      <c r="R1161" s="51">
        <v>0</v>
      </c>
      <c r="S1161" s="1">
        <v>1</v>
      </c>
      <c r="T1161" s="1">
        <v>0</v>
      </c>
      <c r="U1161" s="47">
        <v>0</v>
      </c>
      <c r="V1161" s="47">
        <v>209</v>
      </c>
      <c r="W1161" s="41">
        <v>144</v>
      </c>
      <c r="X1161">
        <v>360</v>
      </c>
      <c r="Y1161">
        <v>0.98199999999999998</v>
      </c>
      <c r="Z1161">
        <v>2299.9</v>
      </c>
      <c r="AA1161">
        <v>1763.02</v>
      </c>
      <c r="AB1161">
        <v>131.88</v>
      </c>
      <c r="AC1161">
        <v>36</v>
      </c>
      <c r="AD1161" s="41">
        <f t="shared" si="272"/>
        <v>0.3739293012739684</v>
      </c>
      <c r="AE1161" s="41">
        <f t="shared" si="273"/>
        <v>0.4877993443069279</v>
      </c>
      <c r="AF1161">
        <f t="shared" si="274"/>
        <v>1.4051</v>
      </c>
      <c r="AG1161">
        <f t="shared" si="275"/>
        <v>0.1288512</v>
      </c>
      <c r="AH1161">
        <f t="shared" si="276"/>
        <v>1.3188</v>
      </c>
      <c r="AI1161">
        <f>HLOOKUP(HLOOKUP(G1161,'THP2'!$B$4:$J$8,5,FALSE),'Fuel &amp; Resister'!$B$3:$G$6,4,FALSE)</f>
        <v>2.7360666666666664</v>
      </c>
      <c r="AJ1161" s="41">
        <f>HLOOKUP(HLOOKUP(G1161,'THP2'!$B$4:$J$8,5,FALSE),'Fuel &amp; Resister'!$B$3:$G$6,3,FALSE)</f>
        <v>13.019</v>
      </c>
      <c r="AO1161" s="62">
        <v>0</v>
      </c>
      <c r="AP1161" s="62">
        <v>0</v>
      </c>
    </row>
    <row r="1162" spans="2:42" x14ac:dyDescent="0.15">
      <c r="B1162" s="81" t="s">
        <v>624</v>
      </c>
      <c r="C1162" s="61">
        <f>VLOOKUP(B1162,[1]SYS!$F$5:$G$359,2,FALSE)</f>
        <v>74</v>
      </c>
      <c r="D1162" s="1" t="s">
        <v>50</v>
      </c>
      <c r="E1162" s="42" t="s">
        <v>211</v>
      </c>
      <c r="F1162" s="63" t="s">
        <v>472</v>
      </c>
      <c r="G1162" s="1">
        <v>8</v>
      </c>
      <c r="H1162" s="1">
        <f t="shared" si="278"/>
        <v>0.4</v>
      </c>
      <c r="I1162" s="1">
        <f t="shared" si="279"/>
        <v>0.36</v>
      </c>
      <c r="J1162" s="1">
        <f t="shared" si="277"/>
        <v>1.7800000000000038E-2</v>
      </c>
      <c r="K1162" s="1">
        <f t="shared" si="280"/>
        <v>2.2999000000000001</v>
      </c>
      <c r="L1162" s="1">
        <f t="shared" si="281"/>
        <v>1.76302</v>
      </c>
      <c r="M1162" s="49">
        <v>0</v>
      </c>
      <c r="N1162" s="49">
        <v>1.3188</v>
      </c>
      <c r="O1162" s="1">
        <v>1214</v>
      </c>
      <c r="P1162" s="51">
        <v>0.05</v>
      </c>
      <c r="Q1162" s="51">
        <v>11</v>
      </c>
      <c r="R1162" s="51">
        <v>0</v>
      </c>
      <c r="S1162" s="1">
        <v>1</v>
      </c>
      <c r="T1162" s="1">
        <v>0</v>
      </c>
      <c r="U1162" s="47">
        <v>0</v>
      </c>
      <c r="V1162" s="47">
        <v>210</v>
      </c>
      <c r="W1162" s="41">
        <v>144</v>
      </c>
      <c r="X1162">
        <v>360</v>
      </c>
      <c r="Y1162">
        <v>0.98219999999999996</v>
      </c>
      <c r="Z1162">
        <v>2299.9</v>
      </c>
      <c r="AA1162">
        <v>1763.02</v>
      </c>
      <c r="AB1162">
        <v>131.88</v>
      </c>
      <c r="AC1162">
        <v>36</v>
      </c>
      <c r="AD1162" s="41">
        <f t="shared" si="272"/>
        <v>0.3739293012739684</v>
      </c>
      <c r="AE1162" s="41">
        <f t="shared" si="273"/>
        <v>0.4877993443069279</v>
      </c>
      <c r="AF1162">
        <f t="shared" si="274"/>
        <v>1.4051</v>
      </c>
      <c r="AG1162">
        <f t="shared" si="275"/>
        <v>0.1288512</v>
      </c>
      <c r="AH1162">
        <f t="shared" si="276"/>
        <v>1.3188</v>
      </c>
      <c r="AI1162">
        <f>HLOOKUP(HLOOKUP(G1162,'THP2'!$B$4:$J$8,5,FALSE),'Fuel &amp; Resister'!$B$3:$G$6,4,FALSE)</f>
        <v>2.7360666666666664</v>
      </c>
      <c r="AJ1162" s="41">
        <f>HLOOKUP(HLOOKUP(G1162,'THP2'!$B$4:$J$8,5,FALSE),'Fuel &amp; Resister'!$B$3:$G$6,3,FALSE)</f>
        <v>13.019</v>
      </c>
      <c r="AO1162" s="1">
        <v>1</v>
      </c>
      <c r="AP1162" s="1">
        <v>1</v>
      </c>
    </row>
    <row r="1163" spans="2:42" x14ac:dyDescent="0.15">
      <c r="B1163" s="81" t="s">
        <v>624</v>
      </c>
      <c r="C1163" s="61">
        <f>VLOOKUP(B1163,[1]SYS!$F$5:$G$359,2,FALSE)</f>
        <v>74</v>
      </c>
      <c r="D1163" s="1" t="s">
        <v>50</v>
      </c>
      <c r="E1163" s="42" t="s">
        <v>212</v>
      </c>
      <c r="F1163" s="63" t="s">
        <v>472</v>
      </c>
      <c r="G1163" s="1">
        <v>8</v>
      </c>
      <c r="H1163" s="1">
        <f t="shared" si="278"/>
        <v>0.4</v>
      </c>
      <c r="I1163" s="1">
        <f t="shared" si="279"/>
        <v>0.36</v>
      </c>
      <c r="J1163" s="1">
        <f t="shared" si="277"/>
        <v>1.8199999999999994E-2</v>
      </c>
      <c r="K1163" s="1">
        <f t="shared" si="280"/>
        <v>2.2999000000000001</v>
      </c>
      <c r="L1163" s="1">
        <f t="shared" si="281"/>
        <v>1.76302</v>
      </c>
      <c r="M1163" s="49">
        <v>0</v>
      </c>
      <c r="N1163" s="49">
        <v>1.3188</v>
      </c>
      <c r="O1163" s="1">
        <v>925</v>
      </c>
      <c r="P1163" s="51">
        <v>0.05</v>
      </c>
      <c r="Q1163" s="51">
        <v>11</v>
      </c>
      <c r="R1163" s="51">
        <v>0</v>
      </c>
      <c r="S1163" s="1">
        <v>1</v>
      </c>
      <c r="T1163" s="1">
        <v>0</v>
      </c>
      <c r="U1163" s="47">
        <v>0</v>
      </c>
      <c r="V1163" s="47">
        <v>211</v>
      </c>
      <c r="W1163" s="41">
        <v>144</v>
      </c>
      <c r="X1163">
        <v>360</v>
      </c>
      <c r="Y1163">
        <v>0.98180000000000001</v>
      </c>
      <c r="Z1163">
        <v>2299.9</v>
      </c>
      <c r="AA1163">
        <v>1763.02</v>
      </c>
      <c r="AB1163">
        <v>131.88</v>
      </c>
      <c r="AC1163">
        <v>36</v>
      </c>
      <c r="AD1163" s="41">
        <f t="shared" si="272"/>
        <v>0.3739293012739684</v>
      </c>
      <c r="AE1163" s="41">
        <f t="shared" si="273"/>
        <v>0.4877993443069279</v>
      </c>
      <c r="AF1163">
        <f t="shared" si="274"/>
        <v>1.4051</v>
      </c>
      <c r="AG1163">
        <f t="shared" si="275"/>
        <v>0.1288512</v>
      </c>
      <c r="AH1163">
        <f t="shared" si="276"/>
        <v>1.3188</v>
      </c>
      <c r="AI1163">
        <f>HLOOKUP(HLOOKUP(G1163,'THP2'!$B$4:$J$8,5,FALSE),'Fuel &amp; Resister'!$B$3:$G$6,4,FALSE)</f>
        <v>2.7360666666666664</v>
      </c>
      <c r="AJ1163" s="41">
        <f>HLOOKUP(HLOOKUP(G1163,'THP2'!$B$4:$J$8,5,FALSE),'Fuel &amp; Resister'!$B$3:$G$6,3,FALSE)</f>
        <v>13.019</v>
      </c>
      <c r="AO1163" s="1">
        <v>1</v>
      </c>
      <c r="AP1163" s="1">
        <v>1</v>
      </c>
    </row>
    <row r="1164" spans="2:42" x14ac:dyDescent="0.15">
      <c r="B1164" s="81" t="s">
        <v>624</v>
      </c>
      <c r="C1164" s="61">
        <f>VLOOKUP(B1164,[1]SYS!$F$5:$G$359,2,FALSE)</f>
        <v>74</v>
      </c>
      <c r="D1164" s="1" t="s">
        <v>50</v>
      </c>
      <c r="E1164" s="42" t="s">
        <v>213</v>
      </c>
      <c r="F1164" s="63" t="s">
        <v>472</v>
      </c>
      <c r="G1164" s="1">
        <v>8</v>
      </c>
      <c r="H1164" s="1">
        <f t="shared" si="278"/>
        <v>0.4</v>
      </c>
      <c r="I1164" s="1">
        <f t="shared" si="279"/>
        <v>0.36</v>
      </c>
      <c r="J1164" s="1">
        <f t="shared" si="277"/>
        <v>1.8199999999999994E-2</v>
      </c>
      <c r="K1164" s="1">
        <f t="shared" si="280"/>
        <v>2.2999000000000001</v>
      </c>
      <c r="L1164" s="1">
        <f t="shared" si="281"/>
        <v>1.76302</v>
      </c>
      <c r="M1164" s="49">
        <v>0</v>
      </c>
      <c r="N1164" s="49">
        <v>1.3188</v>
      </c>
      <c r="O1164" s="1">
        <v>1214</v>
      </c>
      <c r="P1164" s="51">
        <v>0.05</v>
      </c>
      <c r="Q1164" s="51">
        <v>11</v>
      </c>
      <c r="R1164" s="51">
        <v>0</v>
      </c>
      <c r="S1164" s="1">
        <v>1</v>
      </c>
      <c r="T1164" s="1">
        <v>0</v>
      </c>
      <c r="U1164" s="47">
        <v>0</v>
      </c>
      <c r="V1164" s="47">
        <v>212</v>
      </c>
      <c r="W1164" s="41">
        <v>144</v>
      </c>
      <c r="X1164">
        <v>360</v>
      </c>
      <c r="Y1164">
        <v>0.98180000000000001</v>
      </c>
      <c r="Z1164">
        <v>2299.9</v>
      </c>
      <c r="AA1164">
        <v>1763.02</v>
      </c>
      <c r="AB1164">
        <v>131.88</v>
      </c>
      <c r="AC1164">
        <v>36</v>
      </c>
      <c r="AD1164" s="41">
        <f t="shared" si="272"/>
        <v>0.3739293012739684</v>
      </c>
      <c r="AE1164" s="41">
        <f t="shared" si="273"/>
        <v>0.4877993443069279</v>
      </c>
      <c r="AF1164">
        <f t="shared" si="274"/>
        <v>1.4051</v>
      </c>
      <c r="AG1164">
        <f t="shared" si="275"/>
        <v>0.1288512</v>
      </c>
      <c r="AH1164">
        <f t="shared" si="276"/>
        <v>1.3188</v>
      </c>
      <c r="AI1164">
        <f>HLOOKUP(HLOOKUP(G1164,'THP2'!$B$4:$J$8,5,FALSE),'Fuel &amp; Resister'!$B$3:$G$6,4,FALSE)</f>
        <v>2.7360666666666664</v>
      </c>
      <c r="AJ1164" s="41">
        <f>HLOOKUP(HLOOKUP(G1164,'THP2'!$B$4:$J$8,5,FALSE),'Fuel &amp; Resister'!$B$3:$G$6,3,FALSE)</f>
        <v>13.019</v>
      </c>
      <c r="AO1164" s="1">
        <v>1</v>
      </c>
      <c r="AP1164" s="1">
        <v>1</v>
      </c>
    </row>
    <row r="1165" spans="2:42" x14ac:dyDescent="0.15">
      <c r="B1165" s="81" t="s">
        <v>624</v>
      </c>
      <c r="C1165" s="61">
        <f>VLOOKUP(B1165,[1]SYS!$F$5:$G$359,2,FALSE)</f>
        <v>74</v>
      </c>
      <c r="D1165" s="1" t="s">
        <v>50</v>
      </c>
      <c r="E1165" s="42" t="s">
        <v>214</v>
      </c>
      <c r="F1165" s="63" t="s">
        <v>472</v>
      </c>
      <c r="G1165" s="1">
        <v>8</v>
      </c>
      <c r="H1165" s="1">
        <f t="shared" si="278"/>
        <v>0.4</v>
      </c>
      <c r="I1165" s="1">
        <f t="shared" si="279"/>
        <v>0.36</v>
      </c>
      <c r="J1165" s="1">
        <f t="shared" si="277"/>
        <v>1.8199999999999994E-2</v>
      </c>
      <c r="K1165" s="1">
        <f t="shared" si="280"/>
        <v>2.2999000000000001</v>
      </c>
      <c r="L1165" s="1">
        <f t="shared" si="281"/>
        <v>1.76302</v>
      </c>
      <c r="M1165" s="49">
        <v>0</v>
      </c>
      <c r="N1165" s="49">
        <v>1.3188</v>
      </c>
      <c r="O1165" s="1">
        <v>613</v>
      </c>
      <c r="P1165" s="51">
        <v>0.05</v>
      </c>
      <c r="Q1165" s="51">
        <v>11</v>
      </c>
      <c r="R1165" s="51">
        <v>0</v>
      </c>
      <c r="S1165" s="1">
        <v>1</v>
      </c>
      <c r="T1165" s="1">
        <v>0</v>
      </c>
      <c r="U1165" s="47">
        <v>0</v>
      </c>
      <c r="V1165" s="47">
        <v>213</v>
      </c>
      <c r="W1165" s="41">
        <v>144</v>
      </c>
      <c r="X1165">
        <v>360</v>
      </c>
      <c r="Y1165">
        <v>0.98180000000000001</v>
      </c>
      <c r="Z1165">
        <v>2299.9</v>
      </c>
      <c r="AA1165">
        <v>1763.02</v>
      </c>
      <c r="AB1165">
        <v>131.88</v>
      </c>
      <c r="AC1165">
        <v>36</v>
      </c>
      <c r="AD1165" s="41">
        <f t="shared" si="272"/>
        <v>0.3739293012739684</v>
      </c>
      <c r="AE1165" s="41">
        <f t="shared" si="273"/>
        <v>0.4877993443069279</v>
      </c>
      <c r="AF1165">
        <f t="shared" si="274"/>
        <v>1.4051</v>
      </c>
      <c r="AG1165">
        <f t="shared" si="275"/>
        <v>0.1288512</v>
      </c>
      <c r="AH1165">
        <f t="shared" si="276"/>
        <v>1.3188</v>
      </c>
      <c r="AI1165">
        <f>HLOOKUP(HLOOKUP(G1165,'THP2'!$B$4:$J$8,5,FALSE),'Fuel &amp; Resister'!$B$3:$G$6,4,FALSE)</f>
        <v>2.7360666666666664</v>
      </c>
      <c r="AJ1165" s="41">
        <f>HLOOKUP(HLOOKUP(G1165,'THP2'!$B$4:$J$8,5,FALSE),'Fuel &amp; Resister'!$B$3:$G$6,3,FALSE)</f>
        <v>13.019</v>
      </c>
      <c r="AO1165" s="62">
        <v>0</v>
      </c>
      <c r="AP1165" s="62">
        <v>0</v>
      </c>
    </row>
    <row r="1166" spans="2:42" x14ac:dyDescent="0.15">
      <c r="B1166" s="81" t="s">
        <v>624</v>
      </c>
      <c r="C1166" s="61">
        <f>VLOOKUP(B1166,[1]SYS!$F$5:$G$359,2,FALSE)</f>
        <v>74</v>
      </c>
      <c r="D1166" s="1" t="s">
        <v>50</v>
      </c>
      <c r="E1166" s="42" t="s">
        <v>215</v>
      </c>
      <c r="F1166" s="63" t="s">
        <v>472</v>
      </c>
      <c r="G1166" s="1">
        <v>8</v>
      </c>
      <c r="H1166" s="1">
        <f t="shared" si="278"/>
        <v>0.4</v>
      </c>
      <c r="I1166" s="1">
        <f t="shared" si="279"/>
        <v>0.36</v>
      </c>
      <c r="J1166" s="1">
        <f t="shared" si="277"/>
        <v>1.8199999999999994E-2</v>
      </c>
      <c r="K1166" s="1">
        <f t="shared" si="280"/>
        <v>2.2999000000000001</v>
      </c>
      <c r="L1166" s="1">
        <f t="shared" si="281"/>
        <v>1.76302</v>
      </c>
      <c r="M1166" s="49">
        <v>0</v>
      </c>
      <c r="N1166" s="49">
        <v>1.3188</v>
      </c>
      <c r="O1166" s="6">
        <v>314</v>
      </c>
      <c r="P1166" s="51">
        <v>0.05</v>
      </c>
      <c r="Q1166" s="51">
        <v>11</v>
      </c>
      <c r="R1166" s="51">
        <v>0</v>
      </c>
      <c r="S1166" s="1">
        <v>1</v>
      </c>
      <c r="T1166" s="1">
        <v>0</v>
      </c>
      <c r="U1166" s="47">
        <v>0</v>
      </c>
      <c r="V1166" s="47">
        <v>214</v>
      </c>
      <c r="W1166" s="41">
        <v>144</v>
      </c>
      <c r="X1166">
        <v>360</v>
      </c>
      <c r="Y1166">
        <v>0.98180000000000001</v>
      </c>
      <c r="Z1166">
        <v>2299.9</v>
      </c>
      <c r="AA1166">
        <v>1763.02</v>
      </c>
      <c r="AB1166">
        <v>131.88</v>
      </c>
      <c r="AC1166">
        <v>36</v>
      </c>
      <c r="AD1166" s="41">
        <f t="shared" si="272"/>
        <v>0.3739293012739684</v>
      </c>
      <c r="AE1166" s="41">
        <f t="shared" si="273"/>
        <v>0.4877993443069279</v>
      </c>
      <c r="AF1166">
        <f t="shared" si="274"/>
        <v>1.4051</v>
      </c>
      <c r="AG1166">
        <f t="shared" si="275"/>
        <v>0.1288512</v>
      </c>
      <c r="AH1166">
        <f t="shared" si="276"/>
        <v>1.3188</v>
      </c>
      <c r="AI1166">
        <f>HLOOKUP(HLOOKUP(G1166,'THP2'!$B$4:$J$8,5,FALSE),'Fuel &amp; Resister'!$B$3:$G$6,4,FALSE)</f>
        <v>2.7360666666666664</v>
      </c>
      <c r="AJ1166" s="41">
        <f>HLOOKUP(HLOOKUP(G1166,'THP2'!$B$4:$J$8,5,FALSE),'Fuel &amp; Resister'!$B$3:$G$6,3,FALSE)</f>
        <v>13.019</v>
      </c>
      <c r="AO1166" s="1">
        <v>1</v>
      </c>
      <c r="AP1166" s="1">
        <v>1</v>
      </c>
    </row>
    <row r="1167" spans="2:42" x14ac:dyDescent="0.15">
      <c r="B1167" s="81" t="s">
        <v>628</v>
      </c>
      <c r="C1167" s="61">
        <f>VLOOKUP(B1167,[1]SYS!$F$5:$G$359,2,FALSE)</f>
        <v>98</v>
      </c>
      <c r="D1167" s="1" t="s">
        <v>50</v>
      </c>
      <c r="E1167" s="65" t="s">
        <v>216</v>
      </c>
      <c r="F1167" s="63" t="s">
        <v>473</v>
      </c>
      <c r="G1167" s="1">
        <v>8</v>
      </c>
      <c r="H1167" s="1">
        <f t="shared" si="278"/>
        <v>0.39944903581267216</v>
      </c>
      <c r="I1167" s="1">
        <f t="shared" si="279"/>
        <v>0.36299999999999999</v>
      </c>
      <c r="J1167" s="1">
        <f t="shared" si="277"/>
        <v>2.1100000000000008E-2</v>
      </c>
      <c r="K1167" s="1">
        <f t="shared" si="280"/>
        <v>2.3041499999999999</v>
      </c>
      <c r="L1167" s="1">
        <f t="shared" si="281"/>
        <v>1.7662800000000001</v>
      </c>
      <c r="M1167" s="49">
        <v>0</v>
      </c>
      <c r="N1167" s="49">
        <v>1.5456000000000001</v>
      </c>
      <c r="O1167" s="6">
        <v>314</v>
      </c>
      <c r="P1167" s="51">
        <v>0.05</v>
      </c>
      <c r="Q1167" s="51">
        <v>11</v>
      </c>
      <c r="R1167" s="51">
        <v>0</v>
      </c>
      <c r="S1167" s="1">
        <v>1</v>
      </c>
      <c r="T1167" s="1">
        <v>0</v>
      </c>
      <c r="U1167" s="47">
        <v>1</v>
      </c>
      <c r="V1167" s="47">
        <v>215</v>
      </c>
      <c r="W1167" s="41">
        <v>145</v>
      </c>
      <c r="X1167">
        <v>363</v>
      </c>
      <c r="Y1167">
        <v>0.97889999999999999</v>
      </c>
      <c r="Z1167">
        <v>2304.15</v>
      </c>
      <c r="AA1167">
        <v>1766.28</v>
      </c>
      <c r="AB1167">
        <v>154.56</v>
      </c>
      <c r="AC1167">
        <v>36</v>
      </c>
      <c r="AD1167" s="41">
        <f t="shared" si="272"/>
        <v>0.37323958943645158</v>
      </c>
      <c r="AE1167" s="41">
        <f t="shared" si="273"/>
        <v>0.48689901940802133</v>
      </c>
      <c r="AF1167">
        <f t="shared" si="274"/>
        <v>1.4085224311926605</v>
      </c>
      <c r="AG1167">
        <f t="shared" si="275"/>
        <v>0.12986599747706426</v>
      </c>
      <c r="AH1167">
        <f t="shared" si="276"/>
        <v>1.5456000000000001</v>
      </c>
      <c r="AI1167">
        <f>HLOOKUP(HLOOKUP(G1167,'THP2'!$B$4:$J$8,5,FALSE),'Fuel &amp; Resister'!$B$3:$G$6,4,FALSE)</f>
        <v>2.7360666666666664</v>
      </c>
      <c r="AJ1167" s="41">
        <f>HLOOKUP(HLOOKUP(G1167,'THP2'!$B$4:$J$8,5,FALSE),'Fuel &amp; Resister'!$B$3:$G$6,3,FALSE)</f>
        <v>13.019</v>
      </c>
      <c r="AO1167" s="1">
        <v>1</v>
      </c>
      <c r="AP1167" s="1">
        <v>1</v>
      </c>
    </row>
    <row r="1168" spans="2:42" x14ac:dyDescent="0.15">
      <c r="B1168" s="81" t="s">
        <v>595</v>
      </c>
      <c r="C1168" s="61">
        <f>VLOOKUP(B1168,[1]SYS!$F$5:$G$359,2,FALSE)</f>
        <v>104</v>
      </c>
      <c r="D1168" s="1" t="s">
        <v>50</v>
      </c>
      <c r="E1168" s="65" t="s">
        <v>217</v>
      </c>
      <c r="F1168" s="63" t="s">
        <v>527</v>
      </c>
      <c r="G1168" s="1">
        <v>8</v>
      </c>
      <c r="H1168" s="1">
        <f t="shared" si="278"/>
        <v>0.4</v>
      </c>
      <c r="I1168" s="1">
        <f t="shared" si="279"/>
        <v>0.2</v>
      </c>
      <c r="J1168" s="1">
        <f t="shared" si="277"/>
        <v>0</v>
      </c>
      <c r="K1168" s="1">
        <f t="shared" si="280"/>
        <v>2.31318</v>
      </c>
      <c r="L1168" s="1">
        <f t="shared" si="281"/>
        <v>1.7732000000000001</v>
      </c>
      <c r="M1168" s="49">
        <v>0</v>
      </c>
      <c r="N1168" s="49">
        <v>0.66</v>
      </c>
      <c r="O1168" s="1">
        <v>1209</v>
      </c>
      <c r="P1168" s="51">
        <v>0.05</v>
      </c>
      <c r="Q1168" s="51">
        <v>11</v>
      </c>
      <c r="R1168" s="51">
        <v>0</v>
      </c>
      <c r="S1168" s="1">
        <v>1</v>
      </c>
      <c r="T1168" s="1">
        <v>0</v>
      </c>
      <c r="U1168" s="47">
        <v>1</v>
      </c>
      <c r="V1168" s="47">
        <v>216</v>
      </c>
      <c r="W1168" s="41">
        <v>80</v>
      </c>
      <c r="X1168">
        <v>200</v>
      </c>
      <c r="Y1168">
        <v>1</v>
      </c>
      <c r="Z1168">
        <v>2313.1799999999998</v>
      </c>
      <c r="AA1168">
        <v>1773.2</v>
      </c>
      <c r="AB1168">
        <v>66</v>
      </c>
      <c r="AC1168">
        <v>46</v>
      </c>
      <c r="AD1168" s="41">
        <f t="shared" si="272"/>
        <v>0.37178256772062701</v>
      </c>
      <c r="AE1168" s="41">
        <f t="shared" si="273"/>
        <v>0.48499887209564629</v>
      </c>
      <c r="AF1168">
        <f t="shared" si="274"/>
        <v>1.4132133333333334</v>
      </c>
      <c r="AG1168">
        <f t="shared" si="275"/>
        <v>7.1997333333333344E-2</v>
      </c>
      <c r="AH1168">
        <f t="shared" si="276"/>
        <v>0.66</v>
      </c>
      <c r="AI1168">
        <f>HLOOKUP(HLOOKUP(G1168,'THP2'!$B$4:$J$8,5,FALSE),'Fuel &amp; Resister'!$B$3:$G$6,4,FALSE)</f>
        <v>2.7360666666666664</v>
      </c>
      <c r="AJ1168" s="41">
        <f>HLOOKUP(HLOOKUP(G1168,'THP2'!$B$4:$J$8,5,FALSE),'Fuel &amp; Resister'!$B$3:$G$6,3,FALSE)</f>
        <v>13.019</v>
      </c>
      <c r="AO1168" s="1">
        <v>1</v>
      </c>
      <c r="AP1168" s="62">
        <v>0</v>
      </c>
    </row>
    <row r="1169" spans="2:42" x14ac:dyDescent="0.15">
      <c r="B1169" s="81" t="s">
        <v>628</v>
      </c>
      <c r="C1169" s="61">
        <f>VLOOKUP(B1169,[1]SYS!$F$5:$G$359,2,FALSE)</f>
        <v>98</v>
      </c>
      <c r="D1169" s="1" t="s">
        <v>50</v>
      </c>
      <c r="E1169" s="65" t="s">
        <v>218</v>
      </c>
      <c r="F1169" s="42"/>
      <c r="G1169" s="1">
        <v>8</v>
      </c>
      <c r="H1169" s="1">
        <f t="shared" si="278"/>
        <v>0.40051020408163263</v>
      </c>
      <c r="I1169" s="1">
        <f t="shared" si="279"/>
        <v>0.39200000000000002</v>
      </c>
      <c r="J1169" s="1">
        <f t="shared" si="277"/>
        <v>0</v>
      </c>
      <c r="K1169" s="1">
        <f t="shared" si="280"/>
        <v>2.31318</v>
      </c>
      <c r="L1169" s="1">
        <f t="shared" si="281"/>
        <v>1.7732000000000001</v>
      </c>
      <c r="M1169" s="49">
        <v>0</v>
      </c>
      <c r="N1169" s="49">
        <v>1.7031999999999998</v>
      </c>
      <c r="O1169" s="1">
        <v>1014</v>
      </c>
      <c r="P1169" s="51">
        <v>0.05</v>
      </c>
      <c r="Q1169" s="51">
        <v>11</v>
      </c>
      <c r="R1169" s="51">
        <v>0</v>
      </c>
      <c r="S1169" s="1">
        <v>1</v>
      </c>
      <c r="T1169" s="1">
        <v>0</v>
      </c>
      <c r="U1169" s="47">
        <v>1</v>
      </c>
      <c r="V1169" s="47">
        <v>217</v>
      </c>
      <c r="W1169" s="41">
        <v>157</v>
      </c>
      <c r="X1169">
        <v>392</v>
      </c>
      <c r="Y1169">
        <v>1</v>
      </c>
      <c r="Z1169">
        <v>2313.1799999999998</v>
      </c>
      <c r="AA1169">
        <v>1773.2</v>
      </c>
      <c r="AB1169">
        <v>170.32</v>
      </c>
      <c r="AC1169">
        <v>36</v>
      </c>
      <c r="AD1169" s="41">
        <f t="shared" si="272"/>
        <v>0.37178256772062701</v>
      </c>
      <c r="AE1169" s="41">
        <f t="shared" si="273"/>
        <v>0.48499887209564629</v>
      </c>
      <c r="AF1169">
        <f t="shared" si="274"/>
        <v>1.4124474042553194</v>
      </c>
      <c r="AG1169">
        <f t="shared" si="275"/>
        <v>0.14141501753191482</v>
      </c>
      <c r="AH1169">
        <f t="shared" si="276"/>
        <v>1.7031999999999998</v>
      </c>
      <c r="AI1169">
        <f>HLOOKUP(HLOOKUP(G1169,'THP2'!$B$4:$J$8,5,FALSE),'Fuel &amp; Resister'!$B$3:$G$6,4,FALSE)</f>
        <v>2.7360666666666664</v>
      </c>
      <c r="AJ1169" s="41">
        <f>HLOOKUP(HLOOKUP(G1169,'THP2'!$B$4:$J$8,5,FALSE),'Fuel &amp; Resister'!$B$3:$G$6,3,FALSE)</f>
        <v>13.019</v>
      </c>
      <c r="AO1169" s="1">
        <v>1</v>
      </c>
      <c r="AP1169" s="62">
        <v>0</v>
      </c>
    </row>
    <row r="1170" spans="2:42" x14ac:dyDescent="0.15">
      <c r="B1170" s="81" t="s">
        <v>626</v>
      </c>
      <c r="C1170" s="61">
        <f>VLOOKUP(B1170,[1]SYS!$F$5:$G$359,2,FALSE)</f>
        <v>73</v>
      </c>
      <c r="D1170" s="1" t="s">
        <v>50</v>
      </c>
      <c r="E1170" s="65" t="s">
        <v>219</v>
      </c>
      <c r="F1170" s="63" t="s">
        <v>480</v>
      </c>
      <c r="G1170" s="1">
        <v>8</v>
      </c>
      <c r="H1170" s="1">
        <f t="shared" si="278"/>
        <v>0.39869281045751637</v>
      </c>
      <c r="I1170" s="1">
        <f t="shared" si="279"/>
        <v>0.153</v>
      </c>
      <c r="J1170" s="1">
        <f t="shared" si="277"/>
        <v>2.0000000000000018E-2</v>
      </c>
      <c r="K1170" s="1">
        <f t="shared" si="280"/>
        <v>2.3372700000000002</v>
      </c>
      <c r="L1170" s="1">
        <f t="shared" si="281"/>
        <v>1.7916700000000001</v>
      </c>
      <c r="M1170" s="49">
        <v>0</v>
      </c>
      <c r="N1170" s="49">
        <v>1.0965</v>
      </c>
      <c r="O1170" s="1">
        <v>908</v>
      </c>
      <c r="P1170" s="51">
        <v>0</v>
      </c>
      <c r="Q1170" s="51">
        <v>11</v>
      </c>
      <c r="R1170" s="51">
        <v>0</v>
      </c>
      <c r="S1170" s="1">
        <v>1</v>
      </c>
      <c r="T1170" s="1">
        <v>0</v>
      </c>
      <c r="U1170" s="47">
        <v>1</v>
      </c>
      <c r="V1170" s="47">
        <v>218</v>
      </c>
      <c r="W1170" s="41">
        <v>61</v>
      </c>
      <c r="X1170">
        <v>153</v>
      </c>
      <c r="Y1170">
        <v>0.98</v>
      </c>
      <c r="Z1170">
        <v>2337.27</v>
      </c>
      <c r="AA1170">
        <v>1791.67</v>
      </c>
      <c r="AB1170">
        <v>109.65</v>
      </c>
      <c r="AC1170">
        <v>46</v>
      </c>
      <c r="AD1170" s="41">
        <f t="shared" si="272"/>
        <v>0.36795064327185134</v>
      </c>
      <c r="AE1170" s="41">
        <f t="shared" si="273"/>
        <v>0.47999910697840559</v>
      </c>
      <c r="AF1170">
        <f t="shared" si="274"/>
        <v>1.4299134782608696</v>
      </c>
      <c r="AG1170">
        <f t="shared" si="275"/>
        <v>5.5348747826086973E-2</v>
      </c>
      <c r="AH1170">
        <f t="shared" si="276"/>
        <v>1.0965</v>
      </c>
      <c r="AI1170">
        <f>HLOOKUP(HLOOKUP(G1170,'THP2'!$B$4:$J$8,5,FALSE),'Fuel &amp; Resister'!$B$3:$G$6,4,FALSE)</f>
        <v>2.7360666666666664</v>
      </c>
      <c r="AJ1170" s="41">
        <f>HLOOKUP(HLOOKUP(G1170,'THP2'!$B$4:$J$8,5,FALSE),'Fuel &amp; Resister'!$B$3:$G$6,3,FALSE)</f>
        <v>13.019</v>
      </c>
      <c r="AO1170" s="1">
        <v>1</v>
      </c>
      <c r="AP1170" s="62">
        <v>0</v>
      </c>
    </row>
    <row r="1171" spans="2:42" x14ac:dyDescent="0.15">
      <c r="B1171" s="81" t="s">
        <v>626</v>
      </c>
      <c r="C1171" s="61">
        <f>VLOOKUP(B1171,[1]SYS!$F$5:$G$359,2,FALSE)</f>
        <v>73</v>
      </c>
      <c r="D1171" s="1" t="s">
        <v>50</v>
      </c>
      <c r="E1171" s="65" t="s">
        <v>220</v>
      </c>
      <c r="F1171" s="63" t="s">
        <v>480</v>
      </c>
      <c r="G1171" s="1">
        <v>8</v>
      </c>
      <c r="H1171" s="1">
        <f t="shared" si="278"/>
        <v>0.4</v>
      </c>
      <c r="I1171" s="1">
        <f t="shared" si="279"/>
        <v>0.3</v>
      </c>
      <c r="J1171" s="1">
        <f t="shared" si="277"/>
        <v>4.3599999999999972E-2</v>
      </c>
      <c r="K1171" s="1">
        <f t="shared" si="280"/>
        <v>2.3618800000000002</v>
      </c>
      <c r="L1171" s="1">
        <f t="shared" si="281"/>
        <v>1.81053</v>
      </c>
      <c r="M1171" s="49">
        <v>0</v>
      </c>
      <c r="N1171" s="49">
        <v>1.2033</v>
      </c>
      <c r="O1171" s="6">
        <v>302</v>
      </c>
      <c r="P1171" s="51">
        <v>0.05</v>
      </c>
      <c r="Q1171" s="51">
        <v>11</v>
      </c>
      <c r="R1171" s="51">
        <v>0</v>
      </c>
      <c r="S1171" s="1">
        <v>1</v>
      </c>
      <c r="T1171" s="1">
        <v>0</v>
      </c>
      <c r="U1171" s="47">
        <v>1</v>
      </c>
      <c r="V1171" s="47">
        <v>219</v>
      </c>
      <c r="W1171" s="41">
        <v>120</v>
      </c>
      <c r="X1171">
        <v>300</v>
      </c>
      <c r="Y1171">
        <v>0.95640000000000003</v>
      </c>
      <c r="Z1171">
        <v>2361.88</v>
      </c>
      <c r="AA1171">
        <v>1810.53</v>
      </c>
      <c r="AB1171">
        <v>120.33</v>
      </c>
      <c r="AC1171">
        <v>46</v>
      </c>
      <c r="AD1171" s="41">
        <f t="shared" ref="AD1171:AD1234" si="282">1/Z1171*860</f>
        <v>0.36411672057852218</v>
      </c>
      <c r="AE1171" s="41">
        <f t="shared" ref="AE1171:AE1234" si="283">1/AA1171*860</f>
        <v>0.4749990334321994</v>
      </c>
      <c r="AF1171">
        <f t="shared" ref="AF1171:AF1234" si="284">(L1171-H1171*K1171)/(1-H1171)</f>
        <v>1.4429633333333332</v>
      </c>
      <c r="AG1171">
        <f t="shared" ref="AG1171:AG1234" si="285">I1171*(L1171-AF1171)</f>
        <v>0.11027000000000005</v>
      </c>
      <c r="AH1171">
        <f t="shared" ref="AH1171:AH1234" si="286">AB1171/100</f>
        <v>1.2033</v>
      </c>
      <c r="AI1171">
        <f>HLOOKUP(HLOOKUP(G1171,'THP2'!$B$4:$J$8,5,FALSE),'Fuel &amp; Resister'!$B$3:$G$6,4,FALSE)</f>
        <v>2.7360666666666664</v>
      </c>
      <c r="AJ1171" s="41">
        <f>HLOOKUP(HLOOKUP(G1171,'THP2'!$B$4:$J$8,5,FALSE),'Fuel &amp; Resister'!$B$3:$G$6,3,FALSE)</f>
        <v>13.019</v>
      </c>
      <c r="AO1171" s="1">
        <v>1</v>
      </c>
      <c r="AP1171" s="62">
        <v>0</v>
      </c>
    </row>
    <row r="1172" spans="2:42" x14ac:dyDescent="0.15">
      <c r="B1172" s="81" t="s">
        <v>594</v>
      </c>
      <c r="C1172" s="61">
        <f>VLOOKUP(B1172,[1]SYS!$F$5:$G$359,2,FALSE)</f>
        <v>70</v>
      </c>
      <c r="D1172" s="1" t="s">
        <v>50</v>
      </c>
      <c r="E1172" s="65" t="s">
        <v>221</v>
      </c>
      <c r="F1172" s="42"/>
      <c r="G1172" s="1">
        <v>8</v>
      </c>
      <c r="H1172" s="1">
        <f t="shared" si="278"/>
        <v>0.4</v>
      </c>
      <c r="I1172" s="1">
        <f t="shared" si="279"/>
        <v>0.05</v>
      </c>
      <c r="J1172" s="1">
        <f t="shared" si="277"/>
        <v>3.0000000000000027E-2</v>
      </c>
      <c r="K1172" s="1">
        <f t="shared" si="280"/>
        <v>2.49309</v>
      </c>
      <c r="L1172" s="1">
        <f t="shared" si="281"/>
        <v>1.9111099999999999</v>
      </c>
      <c r="M1172" s="49">
        <v>0</v>
      </c>
      <c r="N1172" s="49">
        <v>0.16500000000000001</v>
      </c>
      <c r="O1172" s="1">
        <v>514</v>
      </c>
      <c r="P1172" s="51">
        <v>0</v>
      </c>
      <c r="Q1172" s="51">
        <v>11</v>
      </c>
      <c r="R1172" s="51">
        <v>0</v>
      </c>
      <c r="S1172" s="1">
        <v>1</v>
      </c>
      <c r="T1172" s="1">
        <v>0</v>
      </c>
      <c r="U1172" s="47">
        <v>1</v>
      </c>
      <c r="V1172" s="47">
        <v>220</v>
      </c>
      <c r="W1172" s="41">
        <v>20</v>
      </c>
      <c r="X1172">
        <v>50</v>
      </c>
      <c r="Y1172">
        <v>0.97</v>
      </c>
      <c r="Z1172">
        <v>2493.09</v>
      </c>
      <c r="AA1172">
        <v>1911.11</v>
      </c>
      <c r="AB1172">
        <v>16.5</v>
      </c>
      <c r="AC1172">
        <v>36</v>
      </c>
      <c r="AD1172" s="41">
        <f t="shared" si="282"/>
        <v>0.34495345133950234</v>
      </c>
      <c r="AE1172" s="41">
        <f t="shared" si="283"/>
        <v>0.45000026162805912</v>
      </c>
      <c r="AF1172">
        <f t="shared" si="284"/>
        <v>1.5231233333333332</v>
      </c>
      <c r="AG1172">
        <f t="shared" si="285"/>
        <v>1.9399333333333338E-2</v>
      </c>
      <c r="AH1172">
        <f t="shared" si="286"/>
        <v>0.16500000000000001</v>
      </c>
      <c r="AI1172">
        <f>HLOOKUP(HLOOKUP(G1172,'THP2'!$B$4:$J$8,5,FALSE),'Fuel &amp; Resister'!$B$3:$G$6,4,FALSE)</f>
        <v>2.7360666666666664</v>
      </c>
      <c r="AJ1172" s="41">
        <f>HLOOKUP(HLOOKUP(G1172,'THP2'!$B$4:$J$8,5,FALSE),'Fuel &amp; Resister'!$B$3:$G$6,3,FALSE)</f>
        <v>13.019</v>
      </c>
      <c r="AO1172" s="1">
        <v>1</v>
      </c>
      <c r="AP1172" s="62">
        <v>0</v>
      </c>
    </row>
    <row r="1173" spans="2:42" x14ac:dyDescent="0.15">
      <c r="B1173" s="81" t="s">
        <v>594</v>
      </c>
      <c r="C1173" s="61">
        <f>VLOOKUP(B1173,[1]SYS!$F$5:$G$359,2,FALSE)</f>
        <v>70</v>
      </c>
      <c r="D1173" s="1" t="s">
        <v>50</v>
      </c>
      <c r="E1173" s="65" t="s">
        <v>222</v>
      </c>
      <c r="F1173" s="42"/>
      <c r="G1173" s="1">
        <v>8</v>
      </c>
      <c r="H1173" s="1">
        <f t="shared" si="278"/>
        <v>0.40816326530612246</v>
      </c>
      <c r="I1173" s="1">
        <f t="shared" si="279"/>
        <v>4.9000000000000002E-2</v>
      </c>
      <c r="J1173" s="1">
        <f t="shared" si="277"/>
        <v>3.0000000000000027E-2</v>
      </c>
      <c r="K1173" s="1">
        <f t="shared" si="280"/>
        <v>2.49309</v>
      </c>
      <c r="L1173" s="1">
        <f t="shared" si="281"/>
        <v>1.9111099999999999</v>
      </c>
      <c r="M1173" s="49">
        <v>0</v>
      </c>
      <c r="N1173" s="49">
        <v>0.16170000000000001</v>
      </c>
      <c r="O1173" s="6">
        <v>314</v>
      </c>
      <c r="P1173" s="51">
        <v>0</v>
      </c>
      <c r="Q1173" s="51">
        <v>11</v>
      </c>
      <c r="R1173" s="51">
        <v>0</v>
      </c>
      <c r="S1173" s="1">
        <v>1</v>
      </c>
      <c r="T1173" s="1">
        <v>0</v>
      </c>
      <c r="U1173" s="47">
        <v>1</v>
      </c>
      <c r="V1173" s="47">
        <v>221</v>
      </c>
      <c r="W1173" s="41">
        <v>20</v>
      </c>
      <c r="X1173">
        <v>49</v>
      </c>
      <c r="Y1173">
        <v>0.97</v>
      </c>
      <c r="Z1173">
        <v>2493.09</v>
      </c>
      <c r="AA1173">
        <v>1911.11</v>
      </c>
      <c r="AB1173">
        <v>16.170000000000002</v>
      </c>
      <c r="AC1173">
        <v>36</v>
      </c>
      <c r="AD1173" s="41">
        <f t="shared" si="282"/>
        <v>0.34495345133950234</v>
      </c>
      <c r="AE1173" s="41">
        <f t="shared" si="283"/>
        <v>0.45000026162805912</v>
      </c>
      <c r="AF1173">
        <f t="shared" si="284"/>
        <v>1.5097444827586204</v>
      </c>
      <c r="AG1173">
        <f t="shared" si="285"/>
        <v>1.9666910344827596E-2</v>
      </c>
      <c r="AH1173">
        <f t="shared" si="286"/>
        <v>0.16170000000000001</v>
      </c>
      <c r="AI1173">
        <f>HLOOKUP(HLOOKUP(G1173,'THP2'!$B$4:$J$8,5,FALSE),'Fuel &amp; Resister'!$B$3:$G$6,4,FALSE)</f>
        <v>2.7360666666666664</v>
      </c>
      <c r="AJ1173" s="41">
        <f>HLOOKUP(HLOOKUP(G1173,'THP2'!$B$4:$J$8,5,FALSE),'Fuel &amp; Resister'!$B$3:$G$6,3,FALSE)</f>
        <v>13.019</v>
      </c>
      <c r="AO1173" s="1">
        <v>1</v>
      </c>
      <c r="AP1173" s="62">
        <v>0</v>
      </c>
    </row>
    <row r="1174" spans="2:42" x14ac:dyDescent="0.15">
      <c r="B1174" s="81" t="s">
        <v>592</v>
      </c>
      <c r="C1174" s="61">
        <f>VLOOKUP(B1174,[1]SYS!$F$5:$G$359,2,FALSE)</f>
        <v>77</v>
      </c>
      <c r="D1174" s="1" t="s">
        <v>50</v>
      </c>
      <c r="E1174" s="65" t="s">
        <v>372</v>
      </c>
      <c r="F1174" s="63" t="s">
        <v>373</v>
      </c>
      <c r="G1174" s="1">
        <v>8</v>
      </c>
      <c r="H1174" s="1">
        <f t="shared" si="278"/>
        <v>0.4</v>
      </c>
      <c r="I1174" s="1">
        <f t="shared" si="279"/>
        <v>0.3</v>
      </c>
      <c r="J1174" s="1">
        <f t="shared" si="277"/>
        <v>2.0000000000000018E-2</v>
      </c>
      <c r="K1174" s="1">
        <f t="shared" si="280"/>
        <v>2.49309</v>
      </c>
      <c r="L1174" s="1">
        <f t="shared" si="281"/>
        <v>1.9111099999999999</v>
      </c>
      <c r="M1174" s="49">
        <v>0</v>
      </c>
      <c r="N1174" s="49">
        <v>1.254</v>
      </c>
      <c r="O1174" s="1">
        <v>608</v>
      </c>
      <c r="P1174" s="51">
        <v>0.05</v>
      </c>
      <c r="Q1174" s="51">
        <v>11</v>
      </c>
      <c r="R1174" s="51">
        <v>0</v>
      </c>
      <c r="S1174" s="1">
        <v>1</v>
      </c>
      <c r="T1174" s="1">
        <v>0</v>
      </c>
      <c r="U1174" s="47">
        <v>1</v>
      </c>
      <c r="V1174" s="47">
        <v>222</v>
      </c>
      <c r="W1174" s="41">
        <v>120</v>
      </c>
      <c r="X1174">
        <v>300</v>
      </c>
      <c r="Y1174">
        <v>0.98</v>
      </c>
      <c r="Z1174">
        <v>2493.09</v>
      </c>
      <c r="AA1174">
        <v>1911.11</v>
      </c>
      <c r="AB1174">
        <v>125.4</v>
      </c>
      <c r="AC1174">
        <v>46</v>
      </c>
      <c r="AD1174" s="41">
        <f t="shared" si="282"/>
        <v>0.34495345133950234</v>
      </c>
      <c r="AE1174" s="41">
        <f t="shared" si="283"/>
        <v>0.45000026162805912</v>
      </c>
      <c r="AF1174">
        <f t="shared" si="284"/>
        <v>1.5231233333333332</v>
      </c>
      <c r="AG1174">
        <f t="shared" si="285"/>
        <v>0.116396</v>
      </c>
      <c r="AH1174">
        <f t="shared" si="286"/>
        <v>1.254</v>
      </c>
      <c r="AI1174">
        <f>HLOOKUP(HLOOKUP(G1174,'THP2'!$B$4:$J$8,5,FALSE),'Fuel &amp; Resister'!$B$3:$G$6,4,FALSE)</f>
        <v>2.7360666666666664</v>
      </c>
      <c r="AJ1174" s="41">
        <f>HLOOKUP(HLOOKUP(G1174,'THP2'!$B$4:$J$8,5,FALSE),'Fuel &amp; Resister'!$B$3:$G$6,3,FALSE)</f>
        <v>13.019</v>
      </c>
      <c r="AO1174" s="1">
        <v>1</v>
      </c>
      <c r="AP1174" s="62">
        <v>0</v>
      </c>
    </row>
    <row r="1175" spans="2:42" x14ac:dyDescent="0.15">
      <c r="B1175" s="81" t="s">
        <v>626</v>
      </c>
      <c r="C1175" s="61">
        <f>VLOOKUP(B1175,[1]SYS!$F$5:$G$359,2,FALSE)</f>
        <v>73</v>
      </c>
      <c r="D1175" s="1" t="s">
        <v>50</v>
      </c>
      <c r="E1175" s="65" t="s">
        <v>370</v>
      </c>
      <c r="F1175" s="63" t="s">
        <v>371</v>
      </c>
      <c r="G1175" s="1">
        <v>8</v>
      </c>
      <c r="H1175" s="1">
        <f t="shared" si="278"/>
        <v>0.4</v>
      </c>
      <c r="I1175" s="1">
        <f t="shared" si="279"/>
        <v>0.1</v>
      </c>
      <c r="J1175" s="1">
        <f t="shared" si="277"/>
        <v>3.0000000000000027E-2</v>
      </c>
      <c r="K1175" s="1">
        <f t="shared" si="280"/>
        <v>2.49309</v>
      </c>
      <c r="L1175" s="1">
        <f t="shared" si="281"/>
        <v>1.9111099999999999</v>
      </c>
      <c r="M1175" s="49">
        <v>0</v>
      </c>
      <c r="N1175" s="49">
        <v>0.33</v>
      </c>
      <c r="O1175" s="1">
        <v>1014</v>
      </c>
      <c r="P1175" s="51">
        <v>0</v>
      </c>
      <c r="Q1175" s="51">
        <v>11</v>
      </c>
      <c r="R1175" s="51">
        <v>0</v>
      </c>
      <c r="S1175" s="1">
        <v>1</v>
      </c>
      <c r="T1175" s="1">
        <v>0</v>
      </c>
      <c r="U1175" s="47">
        <v>1</v>
      </c>
      <c r="V1175" s="47">
        <v>223</v>
      </c>
      <c r="W1175" s="41">
        <v>40</v>
      </c>
      <c r="X1175">
        <v>100</v>
      </c>
      <c r="Y1175">
        <v>0.97</v>
      </c>
      <c r="Z1175">
        <v>2493.09</v>
      </c>
      <c r="AA1175">
        <v>1911.11</v>
      </c>
      <c r="AB1175">
        <v>33</v>
      </c>
      <c r="AC1175">
        <v>36</v>
      </c>
      <c r="AD1175" s="41">
        <f t="shared" si="282"/>
        <v>0.34495345133950234</v>
      </c>
      <c r="AE1175" s="41">
        <f t="shared" si="283"/>
        <v>0.45000026162805912</v>
      </c>
      <c r="AF1175">
        <f t="shared" si="284"/>
        <v>1.5231233333333332</v>
      </c>
      <c r="AG1175">
        <f t="shared" si="285"/>
        <v>3.8798666666666676E-2</v>
      </c>
      <c r="AH1175">
        <f t="shared" si="286"/>
        <v>0.33</v>
      </c>
      <c r="AI1175">
        <f>HLOOKUP(HLOOKUP(G1175,'THP2'!$B$4:$J$8,5,FALSE),'Fuel &amp; Resister'!$B$3:$G$6,4,FALSE)</f>
        <v>2.7360666666666664</v>
      </c>
      <c r="AJ1175" s="41">
        <f>HLOOKUP(HLOOKUP(G1175,'THP2'!$B$4:$J$8,5,FALSE),'Fuel &amp; Resister'!$B$3:$G$6,3,FALSE)</f>
        <v>13.019</v>
      </c>
      <c r="AO1175" s="1">
        <v>1</v>
      </c>
      <c r="AP1175" s="62">
        <v>0</v>
      </c>
    </row>
    <row r="1176" spans="2:42" x14ac:dyDescent="0.15">
      <c r="B1176" s="81" t="s">
        <v>626</v>
      </c>
      <c r="C1176" s="61">
        <f>VLOOKUP(B1176,[1]SYS!$F$5:$G$359,2,FALSE)</f>
        <v>73</v>
      </c>
      <c r="D1176" s="1" t="s">
        <v>50</v>
      </c>
      <c r="E1176" s="65" t="s">
        <v>368</v>
      </c>
      <c r="F1176" s="63" t="s">
        <v>369</v>
      </c>
      <c r="G1176" s="1">
        <v>8</v>
      </c>
      <c r="H1176" s="1">
        <f t="shared" si="278"/>
        <v>0.4</v>
      </c>
      <c r="I1176" s="1">
        <f t="shared" si="279"/>
        <v>0.1</v>
      </c>
      <c r="J1176" s="1">
        <f t="shared" si="277"/>
        <v>3.0000000000000027E-2</v>
      </c>
      <c r="K1176" s="1">
        <f t="shared" si="280"/>
        <v>2.49309</v>
      </c>
      <c r="L1176" s="1">
        <f t="shared" si="281"/>
        <v>1.9111099999999999</v>
      </c>
      <c r="M1176" s="49">
        <v>0</v>
      </c>
      <c r="N1176" s="49">
        <v>0.33</v>
      </c>
      <c r="O1176" s="6">
        <v>302</v>
      </c>
      <c r="P1176" s="51">
        <v>0</v>
      </c>
      <c r="Q1176" s="51">
        <v>11</v>
      </c>
      <c r="R1176" s="51">
        <v>0</v>
      </c>
      <c r="S1176" s="1">
        <v>1</v>
      </c>
      <c r="T1176" s="1">
        <v>0</v>
      </c>
      <c r="U1176" s="47">
        <v>1</v>
      </c>
      <c r="V1176" s="47">
        <v>224</v>
      </c>
      <c r="W1176" s="41">
        <v>40</v>
      </c>
      <c r="X1176">
        <v>100</v>
      </c>
      <c r="Y1176">
        <v>0.97</v>
      </c>
      <c r="Z1176">
        <v>2493.09</v>
      </c>
      <c r="AA1176">
        <v>1911.11</v>
      </c>
      <c r="AB1176">
        <v>33</v>
      </c>
      <c r="AC1176">
        <v>36</v>
      </c>
      <c r="AD1176" s="41">
        <f t="shared" si="282"/>
        <v>0.34495345133950234</v>
      </c>
      <c r="AE1176" s="41">
        <f t="shared" si="283"/>
        <v>0.45000026162805912</v>
      </c>
      <c r="AF1176">
        <f t="shared" si="284"/>
        <v>1.5231233333333332</v>
      </c>
      <c r="AG1176">
        <f t="shared" si="285"/>
        <v>3.8798666666666676E-2</v>
      </c>
      <c r="AH1176">
        <f t="shared" si="286"/>
        <v>0.33</v>
      </c>
      <c r="AI1176">
        <f>HLOOKUP(HLOOKUP(G1176,'THP2'!$B$4:$J$8,5,FALSE),'Fuel &amp; Resister'!$B$3:$G$6,4,FALSE)</f>
        <v>2.7360666666666664</v>
      </c>
      <c r="AJ1176" s="41">
        <f>HLOOKUP(HLOOKUP(G1176,'THP2'!$B$4:$J$8,5,FALSE),'Fuel &amp; Resister'!$B$3:$G$6,3,FALSE)</f>
        <v>13.019</v>
      </c>
      <c r="AO1176" s="1">
        <v>1</v>
      </c>
      <c r="AP1176" s="62">
        <v>0</v>
      </c>
    </row>
    <row r="1177" spans="2:42" x14ac:dyDescent="0.15">
      <c r="B1177" s="81" t="s">
        <v>626</v>
      </c>
      <c r="C1177" s="61">
        <f>VLOOKUP(B1177,[1]SYS!$F$5:$G$359,2,FALSE)</f>
        <v>73</v>
      </c>
      <c r="D1177" s="1" t="s">
        <v>50</v>
      </c>
      <c r="E1177" s="65" t="s">
        <v>366</v>
      </c>
      <c r="F1177" s="63" t="s">
        <v>367</v>
      </c>
      <c r="G1177" s="1">
        <v>8</v>
      </c>
      <c r="H1177" s="1">
        <f t="shared" si="278"/>
        <v>0.4</v>
      </c>
      <c r="I1177" s="1">
        <f t="shared" si="279"/>
        <v>0.1</v>
      </c>
      <c r="J1177" s="1">
        <f t="shared" si="277"/>
        <v>3.0000000000000027E-2</v>
      </c>
      <c r="K1177" s="1">
        <f t="shared" si="280"/>
        <v>2.49309</v>
      </c>
      <c r="L1177" s="1">
        <f t="shared" si="281"/>
        <v>1.9111099999999999</v>
      </c>
      <c r="M1177" s="49">
        <v>0</v>
      </c>
      <c r="N1177" s="49">
        <v>0.33</v>
      </c>
      <c r="O1177" s="6">
        <v>314</v>
      </c>
      <c r="P1177" s="51">
        <v>0</v>
      </c>
      <c r="Q1177" s="51">
        <v>11</v>
      </c>
      <c r="R1177" s="51">
        <v>0</v>
      </c>
      <c r="S1177" s="1">
        <v>1</v>
      </c>
      <c r="T1177" s="1">
        <v>0</v>
      </c>
      <c r="U1177" s="47">
        <v>1</v>
      </c>
      <c r="V1177" s="47">
        <v>225</v>
      </c>
      <c r="W1177" s="41">
        <v>40</v>
      </c>
      <c r="X1177">
        <v>100</v>
      </c>
      <c r="Y1177">
        <v>0.97</v>
      </c>
      <c r="Z1177">
        <v>2493.09</v>
      </c>
      <c r="AA1177">
        <v>1911.11</v>
      </c>
      <c r="AB1177">
        <v>33</v>
      </c>
      <c r="AC1177">
        <v>36</v>
      </c>
      <c r="AD1177" s="41">
        <f t="shared" si="282"/>
        <v>0.34495345133950234</v>
      </c>
      <c r="AE1177" s="41">
        <f t="shared" si="283"/>
        <v>0.45000026162805912</v>
      </c>
      <c r="AF1177">
        <f t="shared" si="284"/>
        <v>1.5231233333333332</v>
      </c>
      <c r="AG1177">
        <f t="shared" si="285"/>
        <v>3.8798666666666676E-2</v>
      </c>
      <c r="AH1177">
        <f t="shared" si="286"/>
        <v>0.33</v>
      </c>
      <c r="AI1177">
        <f>HLOOKUP(HLOOKUP(G1177,'THP2'!$B$4:$J$8,5,FALSE),'Fuel &amp; Resister'!$B$3:$G$6,4,FALSE)</f>
        <v>2.7360666666666664</v>
      </c>
      <c r="AJ1177" s="41">
        <f>HLOOKUP(HLOOKUP(G1177,'THP2'!$B$4:$J$8,5,FALSE),'Fuel &amp; Resister'!$B$3:$G$6,3,FALSE)</f>
        <v>13.019</v>
      </c>
      <c r="AO1177" s="1">
        <v>1</v>
      </c>
      <c r="AP1177" s="62">
        <v>0</v>
      </c>
    </row>
    <row r="1178" spans="2:42" x14ac:dyDescent="0.15">
      <c r="B1178" s="81" t="s">
        <v>626</v>
      </c>
      <c r="C1178" s="61">
        <f>VLOOKUP(B1178,[1]SYS!$F$5:$G$359,2,FALSE)</f>
        <v>73</v>
      </c>
      <c r="D1178" s="1" t="s">
        <v>50</v>
      </c>
      <c r="E1178" s="65" t="s">
        <v>364</v>
      </c>
      <c r="F1178" s="63" t="s">
        <v>365</v>
      </c>
      <c r="G1178" s="1">
        <v>8</v>
      </c>
      <c r="H1178" s="1">
        <f t="shared" si="278"/>
        <v>0.4</v>
      </c>
      <c r="I1178" s="1">
        <f t="shared" si="279"/>
        <v>0.1</v>
      </c>
      <c r="J1178" s="1">
        <f t="shared" si="277"/>
        <v>3.0000000000000027E-2</v>
      </c>
      <c r="K1178" s="1">
        <f t="shared" si="280"/>
        <v>2.49309</v>
      </c>
      <c r="L1178" s="1">
        <f t="shared" si="281"/>
        <v>1.9111099999999999</v>
      </c>
      <c r="M1178" s="49">
        <v>0</v>
      </c>
      <c r="N1178" s="49">
        <v>0.33</v>
      </c>
      <c r="O1178" s="1">
        <v>613</v>
      </c>
      <c r="P1178" s="51">
        <v>0</v>
      </c>
      <c r="Q1178" s="51">
        <v>11</v>
      </c>
      <c r="R1178" s="51">
        <v>0</v>
      </c>
      <c r="S1178" s="1">
        <v>1</v>
      </c>
      <c r="T1178" s="1">
        <v>0</v>
      </c>
      <c r="U1178" s="47">
        <v>1</v>
      </c>
      <c r="V1178" s="47">
        <v>226</v>
      </c>
      <c r="W1178" s="41">
        <v>40</v>
      </c>
      <c r="X1178">
        <v>100</v>
      </c>
      <c r="Y1178">
        <v>0.97</v>
      </c>
      <c r="Z1178">
        <v>2493.09</v>
      </c>
      <c r="AA1178">
        <v>1911.11</v>
      </c>
      <c r="AB1178">
        <v>33</v>
      </c>
      <c r="AC1178">
        <v>36</v>
      </c>
      <c r="AD1178" s="41">
        <f t="shared" si="282"/>
        <v>0.34495345133950234</v>
      </c>
      <c r="AE1178" s="41">
        <f t="shared" si="283"/>
        <v>0.45000026162805912</v>
      </c>
      <c r="AF1178">
        <f t="shared" si="284"/>
        <v>1.5231233333333332</v>
      </c>
      <c r="AG1178">
        <f t="shared" si="285"/>
        <v>3.8798666666666676E-2</v>
      </c>
      <c r="AH1178">
        <f t="shared" si="286"/>
        <v>0.33</v>
      </c>
      <c r="AI1178">
        <f>HLOOKUP(HLOOKUP(G1178,'THP2'!$B$4:$J$8,5,FALSE),'Fuel &amp; Resister'!$B$3:$G$6,4,FALSE)</f>
        <v>2.7360666666666664</v>
      </c>
      <c r="AJ1178" s="41">
        <f>HLOOKUP(HLOOKUP(G1178,'THP2'!$B$4:$J$8,5,FALSE),'Fuel &amp; Resister'!$B$3:$G$6,3,FALSE)</f>
        <v>13.019</v>
      </c>
      <c r="AO1178" s="1">
        <v>1</v>
      </c>
      <c r="AP1178" s="62">
        <v>0</v>
      </c>
    </row>
    <row r="1179" spans="2:42" x14ac:dyDescent="0.15">
      <c r="B1179" s="81" t="s">
        <v>626</v>
      </c>
      <c r="C1179" s="61">
        <f>VLOOKUP(B1179,[1]SYS!$F$5:$G$359,2,FALSE)</f>
        <v>73</v>
      </c>
      <c r="D1179" s="1" t="s">
        <v>50</v>
      </c>
      <c r="E1179" s="42" t="s">
        <v>223</v>
      </c>
      <c r="F1179" s="42"/>
      <c r="G1179" s="1">
        <v>8</v>
      </c>
      <c r="H1179" s="1">
        <f t="shared" si="278"/>
        <v>0.40625</v>
      </c>
      <c r="I1179" s="1">
        <f t="shared" si="279"/>
        <v>6.4000000000000001E-2</v>
      </c>
      <c r="J1179" s="1">
        <f t="shared" si="277"/>
        <v>0</v>
      </c>
      <c r="K1179" s="1">
        <f t="shared" si="280"/>
        <v>2.5701999999999998</v>
      </c>
      <c r="L1179" s="1">
        <f t="shared" si="281"/>
        <v>1.9702200000000001</v>
      </c>
      <c r="M1179" s="49">
        <v>0</v>
      </c>
      <c r="N1179" s="49">
        <v>0.2112</v>
      </c>
      <c r="O1179" s="1">
        <v>913</v>
      </c>
      <c r="P1179" s="51">
        <v>0</v>
      </c>
      <c r="Q1179" s="51">
        <v>11</v>
      </c>
      <c r="R1179" s="51">
        <v>0</v>
      </c>
      <c r="S1179" s="1">
        <v>1</v>
      </c>
      <c r="T1179" s="1">
        <v>0</v>
      </c>
      <c r="U1179" s="47">
        <v>0</v>
      </c>
      <c r="V1179" s="47">
        <v>227</v>
      </c>
      <c r="W1179" s="41">
        <v>26</v>
      </c>
      <c r="X1179">
        <v>64</v>
      </c>
      <c r="Y1179">
        <v>1</v>
      </c>
      <c r="Z1179">
        <v>2570.1999999999998</v>
      </c>
      <c r="AA1179">
        <v>1970.22</v>
      </c>
      <c r="AB1179">
        <v>21.12</v>
      </c>
      <c r="AC1179">
        <v>36</v>
      </c>
      <c r="AD1179" s="41">
        <f t="shared" si="282"/>
        <v>0.3346043109485643</v>
      </c>
      <c r="AE1179" s="41">
        <f t="shared" si="283"/>
        <v>0.43649947721574245</v>
      </c>
      <c r="AF1179">
        <f t="shared" si="284"/>
        <v>1.559707368421053</v>
      </c>
      <c r="AG1179">
        <f t="shared" si="285"/>
        <v>2.6272808421052618E-2</v>
      </c>
      <c r="AH1179">
        <f t="shared" si="286"/>
        <v>0.2112</v>
      </c>
      <c r="AI1179">
        <f>HLOOKUP(HLOOKUP(G1179,'THP2'!$B$4:$J$8,5,FALSE),'Fuel &amp; Resister'!$B$3:$G$6,4,FALSE)</f>
        <v>2.7360666666666664</v>
      </c>
      <c r="AJ1179" s="41">
        <f>HLOOKUP(HLOOKUP(G1179,'THP2'!$B$4:$J$8,5,FALSE),'Fuel &amp; Resister'!$B$3:$G$6,3,FALSE)</f>
        <v>13.019</v>
      </c>
      <c r="AO1179" s="1">
        <v>1</v>
      </c>
      <c r="AP1179" s="62">
        <v>0</v>
      </c>
    </row>
    <row r="1180" spans="2:42" x14ac:dyDescent="0.15">
      <c r="B1180" s="81" t="s">
        <v>592</v>
      </c>
      <c r="C1180" s="61">
        <f>VLOOKUP(B1180,[1]SYS!$F$5:$G$359,2,FALSE)</f>
        <v>77</v>
      </c>
      <c r="D1180" s="1" t="s">
        <v>50</v>
      </c>
      <c r="E1180" s="42" t="s">
        <v>224</v>
      </c>
      <c r="F1180" s="63" t="s">
        <v>504</v>
      </c>
      <c r="G1180" s="1">
        <v>8</v>
      </c>
      <c r="H1180" s="1">
        <f t="shared" si="278"/>
        <v>0.2982456140350877</v>
      </c>
      <c r="I1180" s="1">
        <f t="shared" si="279"/>
        <v>0.114</v>
      </c>
      <c r="J1180" s="1">
        <f t="shared" si="277"/>
        <v>0</v>
      </c>
      <c r="K1180" s="1">
        <f t="shared" si="280"/>
        <v>2.59138</v>
      </c>
      <c r="L1180" s="1">
        <f t="shared" si="281"/>
        <v>2.1621799999999998</v>
      </c>
      <c r="M1180" s="49">
        <v>0</v>
      </c>
      <c r="N1180" s="49">
        <v>0.37619999999999998</v>
      </c>
      <c r="O1180" s="6">
        <v>302</v>
      </c>
      <c r="P1180" s="51">
        <v>0</v>
      </c>
      <c r="Q1180" s="51">
        <v>11</v>
      </c>
      <c r="R1180" s="51">
        <v>0</v>
      </c>
      <c r="S1180" s="1">
        <v>1</v>
      </c>
      <c r="T1180" s="1">
        <v>0</v>
      </c>
      <c r="U1180" s="47">
        <v>0</v>
      </c>
      <c r="V1180" s="47">
        <v>228</v>
      </c>
      <c r="W1180" s="41">
        <v>34</v>
      </c>
      <c r="X1180">
        <v>114</v>
      </c>
      <c r="Y1180">
        <v>1</v>
      </c>
      <c r="Z1180">
        <v>2591.38</v>
      </c>
      <c r="AA1180">
        <v>2162.1799999999998</v>
      </c>
      <c r="AB1180">
        <v>37.619999999999997</v>
      </c>
      <c r="AC1180">
        <v>46</v>
      </c>
      <c r="AD1180" s="41">
        <f t="shared" si="282"/>
        <v>0.33186950582315211</v>
      </c>
      <c r="AE1180" s="41">
        <f t="shared" si="283"/>
        <v>0.39774671858957167</v>
      </c>
      <c r="AF1180">
        <f t="shared" si="284"/>
        <v>1.9797699999999998</v>
      </c>
      <c r="AG1180">
        <f t="shared" si="285"/>
        <v>2.0794739999999996E-2</v>
      </c>
      <c r="AH1180">
        <f t="shared" si="286"/>
        <v>0.37619999999999998</v>
      </c>
      <c r="AI1180">
        <f>HLOOKUP(HLOOKUP(G1180,'THP2'!$B$4:$J$8,5,FALSE),'Fuel &amp; Resister'!$B$3:$G$6,4,FALSE)</f>
        <v>2.7360666666666664</v>
      </c>
      <c r="AJ1180" s="41">
        <f>HLOOKUP(HLOOKUP(G1180,'THP2'!$B$4:$J$8,5,FALSE),'Fuel &amp; Resister'!$B$3:$G$6,3,FALSE)</f>
        <v>13.019</v>
      </c>
      <c r="AO1180" s="1">
        <v>1</v>
      </c>
      <c r="AP1180" s="62">
        <v>0</v>
      </c>
    </row>
    <row r="1181" spans="2:42" x14ac:dyDescent="0.15">
      <c r="B1181" s="81" t="s">
        <v>629</v>
      </c>
      <c r="C1181" s="61">
        <f>VLOOKUP(B1181,[1]SYS!$F$5:$G$359,2,FALSE)</f>
        <v>83</v>
      </c>
      <c r="D1181" s="1" t="s">
        <v>50</v>
      </c>
      <c r="E1181" s="65" t="s">
        <v>542</v>
      </c>
      <c r="F1181" s="63" t="s">
        <v>560</v>
      </c>
      <c r="G1181" s="1">
        <v>8</v>
      </c>
      <c r="H1181" s="1">
        <f t="shared" si="278"/>
        <v>0.4</v>
      </c>
      <c r="I1181" s="1">
        <v>10</v>
      </c>
      <c r="J1181" s="1">
        <f t="shared" si="277"/>
        <v>1.8299999999999983E-2</v>
      </c>
      <c r="K1181" s="1">
        <f t="shared" si="280"/>
        <v>2.04352</v>
      </c>
      <c r="L1181" s="1">
        <f t="shared" si="281"/>
        <v>1.5664800000000001</v>
      </c>
      <c r="M1181" s="49">
        <v>0</v>
      </c>
      <c r="N1181" s="49">
        <f>AB1181/100</f>
        <v>1.6668000000000001</v>
      </c>
      <c r="O1181" s="6">
        <v>504</v>
      </c>
      <c r="P1181" s="51">
        <v>0.05</v>
      </c>
      <c r="Q1181" s="51">
        <v>11</v>
      </c>
      <c r="R1181" s="51">
        <v>0</v>
      </c>
      <c r="S1181" s="1">
        <v>1</v>
      </c>
      <c r="T1181" s="1">
        <v>0</v>
      </c>
      <c r="U1181" s="47">
        <v>0</v>
      </c>
      <c r="V1181" s="47"/>
      <c r="W1181" s="41">
        <v>274</v>
      </c>
      <c r="X1181">
        <v>685</v>
      </c>
      <c r="Y1181">
        <v>0.98170000000000002</v>
      </c>
      <c r="Z1181">
        <v>2043.52</v>
      </c>
      <c r="AA1181">
        <v>1566.48</v>
      </c>
      <c r="AB1181">
        <v>166.68</v>
      </c>
      <c r="AC1181">
        <v>36</v>
      </c>
      <c r="AD1181" s="41">
        <f t="shared" si="282"/>
        <v>0.42084246789852808</v>
      </c>
      <c r="AE1181" s="41">
        <f t="shared" si="283"/>
        <v>0.54900158316735603</v>
      </c>
      <c r="AF1181">
        <f t="shared" si="284"/>
        <v>1.2484533333333334</v>
      </c>
      <c r="AG1181">
        <f t="shared" si="285"/>
        <v>3.1802666666666668</v>
      </c>
      <c r="AH1181">
        <f t="shared" si="286"/>
        <v>1.6668000000000001</v>
      </c>
      <c r="AI1181">
        <f>HLOOKUP(HLOOKUP(G1181,'THP2'!$B$4:$J$8,5,FALSE),'Fuel &amp; Resister'!$B$3:$G$6,4,FALSE)</f>
        <v>2.7360666666666664</v>
      </c>
      <c r="AJ1181" s="41">
        <f>HLOOKUP(HLOOKUP(G1181,'THP2'!$B$4:$J$8,5,FALSE),'Fuel &amp; Resister'!$B$3:$G$6,3,FALSE)</f>
        <v>13.019</v>
      </c>
      <c r="AO1181" s="1">
        <v>1</v>
      </c>
      <c r="AP1181" s="62">
        <v>0</v>
      </c>
    </row>
    <row r="1182" spans="2:42" x14ac:dyDescent="0.15">
      <c r="B1182" s="81" t="s">
        <v>629</v>
      </c>
      <c r="C1182" s="61">
        <f>VLOOKUP(B1182,[1]SYS!$F$5:$G$359,2,FALSE)</f>
        <v>83</v>
      </c>
      <c r="D1182" s="1" t="s">
        <v>50</v>
      </c>
      <c r="E1182" s="65" t="s">
        <v>542</v>
      </c>
      <c r="F1182" s="63" t="s">
        <v>561</v>
      </c>
      <c r="G1182" s="1">
        <v>8</v>
      </c>
      <c r="H1182" s="1">
        <f t="shared" si="278"/>
        <v>0.4</v>
      </c>
      <c r="I1182" s="1">
        <f t="shared" ref="I1182:I1269" si="287">X1182/1000</f>
        <v>0.68500000000000005</v>
      </c>
      <c r="J1182" s="1">
        <f t="shared" si="277"/>
        <v>1.8299999999999983E-2</v>
      </c>
      <c r="K1182" s="1">
        <f t="shared" si="280"/>
        <v>2.04352</v>
      </c>
      <c r="L1182" s="1">
        <f t="shared" si="281"/>
        <v>1.5664800000000001</v>
      </c>
      <c r="M1182" s="49">
        <v>0</v>
      </c>
      <c r="N1182" s="49">
        <f t="shared" ref="N1182:N1204" si="288">AB1182/100</f>
        <v>1.6668000000000001</v>
      </c>
      <c r="O1182" s="6">
        <v>609</v>
      </c>
      <c r="P1182" s="51">
        <v>0.05</v>
      </c>
      <c r="Q1182" s="51">
        <v>11</v>
      </c>
      <c r="R1182" s="51">
        <v>0</v>
      </c>
      <c r="S1182" s="1">
        <v>1</v>
      </c>
      <c r="T1182" s="1">
        <v>0</v>
      </c>
      <c r="U1182" s="47">
        <v>0</v>
      </c>
      <c r="V1182" s="47"/>
      <c r="W1182" s="41">
        <v>274</v>
      </c>
      <c r="X1182">
        <v>685</v>
      </c>
      <c r="Y1182">
        <v>0.98170000000000002</v>
      </c>
      <c r="Z1182">
        <v>2043.52</v>
      </c>
      <c r="AA1182">
        <v>1566.48</v>
      </c>
      <c r="AB1182">
        <v>166.68</v>
      </c>
      <c r="AC1182">
        <v>36</v>
      </c>
      <c r="AD1182" s="41">
        <f t="shared" si="282"/>
        <v>0.42084246789852808</v>
      </c>
      <c r="AE1182" s="41">
        <f t="shared" si="283"/>
        <v>0.54900158316735603</v>
      </c>
      <c r="AF1182">
        <f t="shared" si="284"/>
        <v>1.2484533333333334</v>
      </c>
      <c r="AG1182">
        <f t="shared" si="285"/>
        <v>0.21784826666666668</v>
      </c>
      <c r="AH1182">
        <f t="shared" si="286"/>
        <v>1.6668000000000001</v>
      </c>
      <c r="AI1182">
        <f>HLOOKUP(HLOOKUP(G1182,'THP2'!$B$4:$J$8,5,FALSE),'Fuel &amp; Resister'!$B$3:$G$6,4,FALSE)</f>
        <v>2.7360666666666664</v>
      </c>
      <c r="AJ1182" s="41">
        <f>HLOOKUP(HLOOKUP(G1182,'THP2'!$B$4:$J$8,5,FALSE),'Fuel &amp; Resister'!$B$3:$G$6,3,FALSE)</f>
        <v>13.019</v>
      </c>
      <c r="AO1182" s="1">
        <v>1</v>
      </c>
      <c r="AP1182" s="62">
        <v>0</v>
      </c>
    </row>
    <row r="1183" spans="2:42" x14ac:dyDescent="0.15">
      <c r="B1183" s="81" t="s">
        <v>629</v>
      </c>
      <c r="C1183" s="61">
        <f>VLOOKUP(B1183,[1]SYS!$F$5:$G$359,2,FALSE)</f>
        <v>83</v>
      </c>
      <c r="D1183" s="1" t="s">
        <v>50</v>
      </c>
      <c r="E1183" s="65" t="s">
        <v>542</v>
      </c>
      <c r="F1183" s="63" t="s">
        <v>561</v>
      </c>
      <c r="G1183" s="1">
        <v>8</v>
      </c>
      <c r="H1183" s="1">
        <f t="shared" si="278"/>
        <v>0.4</v>
      </c>
      <c r="I1183" s="1">
        <f t="shared" si="287"/>
        <v>0.68500000000000005</v>
      </c>
      <c r="J1183" s="1">
        <f t="shared" si="277"/>
        <v>1.8299999999999983E-2</v>
      </c>
      <c r="K1183" s="1">
        <f t="shared" si="280"/>
        <v>2.04352</v>
      </c>
      <c r="L1183" s="1">
        <f t="shared" si="281"/>
        <v>1.5664800000000001</v>
      </c>
      <c r="M1183" s="49">
        <v>0</v>
      </c>
      <c r="N1183" s="49">
        <f t="shared" si="288"/>
        <v>1.6668000000000001</v>
      </c>
      <c r="O1183" s="6">
        <v>403</v>
      </c>
      <c r="P1183" s="51">
        <v>0.05</v>
      </c>
      <c r="Q1183" s="51">
        <v>11</v>
      </c>
      <c r="R1183" s="51">
        <v>0</v>
      </c>
      <c r="S1183" s="1">
        <v>1</v>
      </c>
      <c r="T1183" s="1">
        <v>0</v>
      </c>
      <c r="U1183" s="47">
        <v>0</v>
      </c>
      <c r="V1183" s="47"/>
      <c r="W1183" s="41">
        <v>274</v>
      </c>
      <c r="X1183">
        <v>685</v>
      </c>
      <c r="Y1183">
        <v>0.98170000000000002</v>
      </c>
      <c r="Z1183">
        <v>2043.52</v>
      </c>
      <c r="AA1183">
        <v>1566.48</v>
      </c>
      <c r="AB1183">
        <v>166.68</v>
      </c>
      <c r="AC1183">
        <v>36</v>
      </c>
      <c r="AD1183" s="41">
        <f t="shared" si="282"/>
        <v>0.42084246789852808</v>
      </c>
      <c r="AE1183" s="41">
        <f t="shared" si="283"/>
        <v>0.54900158316735603</v>
      </c>
      <c r="AF1183">
        <f t="shared" si="284"/>
        <v>1.2484533333333334</v>
      </c>
      <c r="AG1183">
        <f t="shared" si="285"/>
        <v>0.21784826666666668</v>
      </c>
      <c r="AH1183">
        <f t="shared" si="286"/>
        <v>1.6668000000000001</v>
      </c>
      <c r="AI1183">
        <f>HLOOKUP(HLOOKUP(G1183,'THP2'!$B$4:$J$8,5,FALSE),'Fuel &amp; Resister'!$B$3:$G$6,4,FALSE)</f>
        <v>2.7360666666666664</v>
      </c>
      <c r="AJ1183" s="41">
        <f>HLOOKUP(HLOOKUP(G1183,'THP2'!$B$4:$J$8,5,FALSE),'Fuel &amp; Resister'!$B$3:$G$6,3,FALSE)</f>
        <v>13.019</v>
      </c>
      <c r="AO1183" s="1">
        <v>1</v>
      </c>
      <c r="AP1183" s="62">
        <v>0</v>
      </c>
    </row>
    <row r="1184" spans="2:42" x14ac:dyDescent="0.15">
      <c r="B1184" s="81" t="s">
        <v>629</v>
      </c>
      <c r="C1184" s="61">
        <f>VLOOKUP(B1184,[1]SYS!$F$5:$G$359,2,FALSE)</f>
        <v>83</v>
      </c>
      <c r="D1184" s="1" t="s">
        <v>50</v>
      </c>
      <c r="E1184" s="65" t="s">
        <v>542</v>
      </c>
      <c r="F1184" s="63" t="s">
        <v>561</v>
      </c>
      <c r="G1184" s="1">
        <v>8</v>
      </c>
      <c r="H1184" s="1">
        <f t="shared" si="278"/>
        <v>0.4</v>
      </c>
      <c r="I1184" s="1">
        <f t="shared" si="287"/>
        <v>0.68500000000000005</v>
      </c>
      <c r="J1184" s="1">
        <f t="shared" si="277"/>
        <v>1.8299999999999983E-2</v>
      </c>
      <c r="K1184" s="1">
        <f t="shared" si="280"/>
        <v>2.04352</v>
      </c>
      <c r="L1184" s="1">
        <f t="shared" si="281"/>
        <v>1.5664800000000001</v>
      </c>
      <c r="M1184" s="49">
        <v>0</v>
      </c>
      <c r="N1184" s="49">
        <f t="shared" si="288"/>
        <v>1.6668000000000001</v>
      </c>
      <c r="O1184" s="6">
        <v>509</v>
      </c>
      <c r="P1184" s="51">
        <v>0.05</v>
      </c>
      <c r="Q1184" s="51">
        <v>11</v>
      </c>
      <c r="R1184" s="51">
        <v>0</v>
      </c>
      <c r="S1184" s="1">
        <v>1</v>
      </c>
      <c r="T1184" s="1">
        <v>0</v>
      </c>
      <c r="U1184" s="47">
        <v>0</v>
      </c>
      <c r="V1184" s="47"/>
      <c r="W1184" s="41">
        <v>274</v>
      </c>
      <c r="X1184">
        <v>685</v>
      </c>
      <c r="Y1184">
        <v>0.98170000000000002</v>
      </c>
      <c r="Z1184">
        <v>2043.52</v>
      </c>
      <c r="AA1184">
        <v>1566.48</v>
      </c>
      <c r="AB1184">
        <v>166.68</v>
      </c>
      <c r="AC1184">
        <v>36</v>
      </c>
      <c r="AD1184" s="41">
        <f t="shared" si="282"/>
        <v>0.42084246789852808</v>
      </c>
      <c r="AE1184" s="41">
        <f t="shared" si="283"/>
        <v>0.54900158316735603</v>
      </c>
      <c r="AF1184">
        <f t="shared" si="284"/>
        <v>1.2484533333333334</v>
      </c>
      <c r="AG1184">
        <f t="shared" si="285"/>
        <v>0.21784826666666668</v>
      </c>
      <c r="AH1184">
        <f t="shared" si="286"/>
        <v>1.6668000000000001</v>
      </c>
      <c r="AI1184">
        <f>HLOOKUP(HLOOKUP(G1184,'THP2'!$B$4:$J$8,5,FALSE),'Fuel &amp; Resister'!$B$3:$G$6,4,FALSE)</f>
        <v>2.7360666666666664</v>
      </c>
      <c r="AJ1184" s="41">
        <f>HLOOKUP(HLOOKUP(G1184,'THP2'!$B$4:$J$8,5,FALSE),'Fuel &amp; Resister'!$B$3:$G$6,3,FALSE)</f>
        <v>13.019</v>
      </c>
      <c r="AO1184" s="1">
        <v>1</v>
      </c>
      <c r="AP1184" s="62">
        <v>0</v>
      </c>
    </row>
    <row r="1185" spans="2:42" x14ac:dyDescent="0.15">
      <c r="B1185" s="81" t="s">
        <v>629</v>
      </c>
      <c r="C1185" s="61">
        <f>VLOOKUP(B1185,[1]SYS!$F$5:$G$359,2,FALSE)</f>
        <v>83</v>
      </c>
      <c r="D1185" s="1" t="s">
        <v>50</v>
      </c>
      <c r="E1185" s="65" t="s">
        <v>542</v>
      </c>
      <c r="F1185" s="63" t="s">
        <v>561</v>
      </c>
      <c r="G1185" s="1">
        <v>8</v>
      </c>
      <c r="H1185" s="1">
        <f t="shared" si="278"/>
        <v>0.4</v>
      </c>
      <c r="I1185" s="1">
        <f t="shared" si="287"/>
        <v>0.68500000000000005</v>
      </c>
      <c r="J1185" s="1">
        <f t="shared" si="277"/>
        <v>1.8299999999999983E-2</v>
      </c>
      <c r="K1185" s="1">
        <f t="shared" si="280"/>
        <v>2.04352</v>
      </c>
      <c r="L1185" s="1">
        <f t="shared" si="281"/>
        <v>1.5664800000000001</v>
      </c>
      <c r="M1185" s="49">
        <v>0</v>
      </c>
      <c r="N1185" s="49">
        <f t="shared" si="288"/>
        <v>1.6668000000000001</v>
      </c>
      <c r="O1185" s="6">
        <v>504</v>
      </c>
      <c r="P1185" s="51">
        <v>0.05</v>
      </c>
      <c r="Q1185" s="51">
        <v>11</v>
      </c>
      <c r="R1185" s="51">
        <v>0</v>
      </c>
      <c r="S1185" s="1">
        <v>1</v>
      </c>
      <c r="T1185" s="1">
        <v>0</v>
      </c>
      <c r="U1185" s="47">
        <v>0</v>
      </c>
      <c r="V1185" s="47"/>
      <c r="W1185" s="41">
        <v>274</v>
      </c>
      <c r="X1185">
        <v>685</v>
      </c>
      <c r="Y1185">
        <v>0.98170000000000002</v>
      </c>
      <c r="Z1185">
        <v>2043.52</v>
      </c>
      <c r="AA1185">
        <v>1566.48</v>
      </c>
      <c r="AB1185">
        <v>166.68</v>
      </c>
      <c r="AC1185">
        <v>36</v>
      </c>
      <c r="AD1185" s="41">
        <f t="shared" si="282"/>
        <v>0.42084246789852808</v>
      </c>
      <c r="AE1185" s="41">
        <f t="shared" si="283"/>
        <v>0.54900158316735603</v>
      </c>
      <c r="AF1185">
        <f t="shared" si="284"/>
        <v>1.2484533333333334</v>
      </c>
      <c r="AG1185">
        <f t="shared" si="285"/>
        <v>0.21784826666666668</v>
      </c>
      <c r="AH1185">
        <f t="shared" si="286"/>
        <v>1.6668000000000001</v>
      </c>
      <c r="AI1185">
        <f>HLOOKUP(HLOOKUP(G1185,'THP2'!$B$4:$J$8,5,FALSE),'Fuel &amp; Resister'!$B$3:$G$6,4,FALSE)</f>
        <v>2.7360666666666664</v>
      </c>
      <c r="AJ1185" s="41">
        <f>HLOOKUP(HLOOKUP(G1185,'THP2'!$B$4:$J$8,5,FALSE),'Fuel &amp; Resister'!$B$3:$G$6,3,FALSE)</f>
        <v>13.019</v>
      </c>
      <c r="AO1185" s="1">
        <v>1</v>
      </c>
      <c r="AP1185" s="62">
        <v>0</v>
      </c>
    </row>
    <row r="1186" spans="2:42" x14ac:dyDescent="0.15">
      <c r="B1186" s="81" t="s">
        <v>629</v>
      </c>
      <c r="C1186" s="61">
        <f>VLOOKUP(B1186,[1]SYS!$F$5:$G$359,2,FALSE)</f>
        <v>83</v>
      </c>
      <c r="D1186" s="1" t="s">
        <v>50</v>
      </c>
      <c r="E1186" s="65" t="s">
        <v>542</v>
      </c>
      <c r="F1186" s="63" t="s">
        <v>561</v>
      </c>
      <c r="G1186" s="1">
        <v>8</v>
      </c>
      <c r="H1186" s="1">
        <f t="shared" si="278"/>
        <v>0.4</v>
      </c>
      <c r="I1186" s="1">
        <f t="shared" si="287"/>
        <v>0.68500000000000005</v>
      </c>
      <c r="J1186" s="1">
        <f t="shared" si="277"/>
        <v>1.8299999999999983E-2</v>
      </c>
      <c r="K1186" s="1">
        <f t="shared" si="280"/>
        <v>2.04352</v>
      </c>
      <c r="L1186" s="1">
        <f t="shared" si="281"/>
        <v>1.5664800000000001</v>
      </c>
      <c r="M1186" s="49">
        <v>0</v>
      </c>
      <c r="N1186" s="49">
        <f t="shared" si="288"/>
        <v>1.6668000000000001</v>
      </c>
      <c r="O1186" s="6">
        <v>609</v>
      </c>
      <c r="P1186" s="51">
        <v>0.05</v>
      </c>
      <c r="Q1186" s="51">
        <v>11</v>
      </c>
      <c r="R1186" s="51">
        <v>0</v>
      </c>
      <c r="S1186" s="1">
        <v>1</v>
      </c>
      <c r="T1186" s="1">
        <v>0</v>
      </c>
      <c r="U1186" s="47">
        <v>0</v>
      </c>
      <c r="V1186" s="47"/>
      <c r="W1186" s="41">
        <v>274</v>
      </c>
      <c r="X1186">
        <v>685</v>
      </c>
      <c r="Y1186">
        <v>0.98170000000000002</v>
      </c>
      <c r="Z1186">
        <v>2043.52</v>
      </c>
      <c r="AA1186">
        <v>1566.48</v>
      </c>
      <c r="AB1186">
        <v>166.68</v>
      </c>
      <c r="AC1186">
        <v>36</v>
      </c>
      <c r="AD1186" s="41">
        <f t="shared" si="282"/>
        <v>0.42084246789852808</v>
      </c>
      <c r="AE1186" s="41">
        <f t="shared" si="283"/>
        <v>0.54900158316735603</v>
      </c>
      <c r="AF1186">
        <f t="shared" si="284"/>
        <v>1.2484533333333334</v>
      </c>
      <c r="AG1186">
        <f t="shared" si="285"/>
        <v>0.21784826666666668</v>
      </c>
      <c r="AH1186">
        <f t="shared" si="286"/>
        <v>1.6668000000000001</v>
      </c>
      <c r="AI1186">
        <f>HLOOKUP(HLOOKUP(G1186,'THP2'!$B$4:$J$8,5,FALSE),'Fuel &amp; Resister'!$B$3:$G$6,4,FALSE)</f>
        <v>2.7360666666666664</v>
      </c>
      <c r="AJ1186" s="41">
        <f>HLOOKUP(HLOOKUP(G1186,'THP2'!$B$4:$J$8,5,FALSE),'Fuel &amp; Resister'!$B$3:$G$6,3,FALSE)</f>
        <v>13.019</v>
      </c>
      <c r="AO1186" s="1">
        <v>1</v>
      </c>
      <c r="AP1186" s="62">
        <v>0</v>
      </c>
    </row>
    <row r="1187" spans="2:42" x14ac:dyDescent="0.15">
      <c r="B1187" s="81" t="s">
        <v>629</v>
      </c>
      <c r="C1187" s="61">
        <f>VLOOKUP(B1187,[1]SYS!$F$5:$G$359,2,FALSE)</f>
        <v>83</v>
      </c>
      <c r="D1187" s="1" t="s">
        <v>50</v>
      </c>
      <c r="E1187" s="65" t="s">
        <v>542</v>
      </c>
      <c r="F1187" s="63" t="s">
        <v>561</v>
      </c>
      <c r="G1187" s="1">
        <v>8</v>
      </c>
      <c r="H1187" s="1">
        <f t="shared" si="278"/>
        <v>0.4</v>
      </c>
      <c r="I1187" s="1">
        <f t="shared" si="287"/>
        <v>0.68500000000000005</v>
      </c>
      <c r="J1187" s="1">
        <f t="shared" si="277"/>
        <v>1.8299999999999983E-2</v>
      </c>
      <c r="K1187" s="1">
        <f t="shared" si="280"/>
        <v>2.04352</v>
      </c>
      <c r="L1187" s="1">
        <f t="shared" si="281"/>
        <v>1.5664800000000001</v>
      </c>
      <c r="M1187" s="49">
        <v>0</v>
      </c>
      <c r="N1187" s="49">
        <f t="shared" si="288"/>
        <v>1.6668000000000001</v>
      </c>
      <c r="O1187" s="6">
        <v>403</v>
      </c>
      <c r="P1187" s="51">
        <v>0.05</v>
      </c>
      <c r="Q1187" s="51">
        <v>11</v>
      </c>
      <c r="R1187" s="51">
        <v>0</v>
      </c>
      <c r="S1187" s="1">
        <v>1</v>
      </c>
      <c r="T1187" s="1">
        <v>0</v>
      </c>
      <c r="U1187" s="47">
        <v>0</v>
      </c>
      <c r="V1187" s="47"/>
      <c r="W1187" s="41">
        <v>274</v>
      </c>
      <c r="X1187">
        <v>685</v>
      </c>
      <c r="Y1187">
        <v>0.98170000000000002</v>
      </c>
      <c r="Z1187">
        <v>2043.52</v>
      </c>
      <c r="AA1187">
        <v>1566.48</v>
      </c>
      <c r="AB1187">
        <v>166.68</v>
      </c>
      <c r="AC1187">
        <v>36</v>
      </c>
      <c r="AD1187" s="41">
        <f t="shared" si="282"/>
        <v>0.42084246789852808</v>
      </c>
      <c r="AE1187" s="41">
        <f t="shared" si="283"/>
        <v>0.54900158316735603</v>
      </c>
      <c r="AF1187">
        <f t="shared" si="284"/>
        <v>1.2484533333333334</v>
      </c>
      <c r="AG1187">
        <f t="shared" si="285"/>
        <v>0.21784826666666668</v>
      </c>
      <c r="AH1187">
        <f t="shared" si="286"/>
        <v>1.6668000000000001</v>
      </c>
      <c r="AI1187">
        <f>HLOOKUP(HLOOKUP(G1187,'THP2'!$B$4:$J$8,5,FALSE),'Fuel &amp; Resister'!$B$3:$G$6,4,FALSE)</f>
        <v>2.7360666666666664</v>
      </c>
      <c r="AJ1187" s="41">
        <f>HLOOKUP(HLOOKUP(G1187,'THP2'!$B$4:$J$8,5,FALSE),'Fuel &amp; Resister'!$B$3:$G$6,3,FALSE)</f>
        <v>13.019</v>
      </c>
      <c r="AO1187" s="1">
        <v>1</v>
      </c>
      <c r="AP1187" s="62">
        <v>0</v>
      </c>
    </row>
    <row r="1188" spans="2:42" x14ac:dyDescent="0.15">
      <c r="B1188" s="81" t="s">
        <v>629</v>
      </c>
      <c r="C1188" s="61">
        <f>VLOOKUP(B1188,[1]SYS!$F$5:$G$359,2,FALSE)</f>
        <v>83</v>
      </c>
      <c r="D1188" s="1" t="s">
        <v>50</v>
      </c>
      <c r="E1188" s="65" t="s">
        <v>542</v>
      </c>
      <c r="F1188" s="63" t="s">
        <v>561</v>
      </c>
      <c r="G1188" s="1">
        <v>8</v>
      </c>
      <c r="H1188" s="1">
        <f t="shared" si="278"/>
        <v>0.4</v>
      </c>
      <c r="I1188" s="1">
        <f t="shared" si="287"/>
        <v>0.68500000000000005</v>
      </c>
      <c r="J1188" s="1">
        <f t="shared" si="277"/>
        <v>1.8299999999999983E-2</v>
      </c>
      <c r="K1188" s="1">
        <f t="shared" si="280"/>
        <v>2.04352</v>
      </c>
      <c r="L1188" s="1">
        <f t="shared" si="281"/>
        <v>1.5664800000000001</v>
      </c>
      <c r="M1188" s="49">
        <v>0</v>
      </c>
      <c r="N1188" s="49">
        <f t="shared" si="288"/>
        <v>1.6668000000000001</v>
      </c>
      <c r="O1188" s="6">
        <v>509</v>
      </c>
      <c r="P1188" s="51">
        <v>0.05</v>
      </c>
      <c r="Q1188" s="51">
        <v>11</v>
      </c>
      <c r="R1188" s="51">
        <v>0</v>
      </c>
      <c r="S1188" s="1">
        <v>1</v>
      </c>
      <c r="T1188" s="1">
        <v>0</v>
      </c>
      <c r="U1188" s="47">
        <v>0</v>
      </c>
      <c r="V1188" s="47"/>
      <c r="W1188" s="41">
        <v>274</v>
      </c>
      <c r="X1188">
        <v>685</v>
      </c>
      <c r="Y1188">
        <v>0.98170000000000002</v>
      </c>
      <c r="Z1188">
        <v>2043.52</v>
      </c>
      <c r="AA1188">
        <v>1566.48</v>
      </c>
      <c r="AB1188">
        <v>166.68</v>
      </c>
      <c r="AC1188">
        <v>36</v>
      </c>
      <c r="AD1188" s="41">
        <f t="shared" si="282"/>
        <v>0.42084246789852808</v>
      </c>
      <c r="AE1188" s="41">
        <f t="shared" si="283"/>
        <v>0.54900158316735603</v>
      </c>
      <c r="AF1188">
        <f t="shared" si="284"/>
        <v>1.2484533333333334</v>
      </c>
      <c r="AG1188">
        <f t="shared" si="285"/>
        <v>0.21784826666666668</v>
      </c>
      <c r="AH1188">
        <f t="shared" si="286"/>
        <v>1.6668000000000001</v>
      </c>
      <c r="AI1188">
        <f>HLOOKUP(HLOOKUP(G1188,'THP2'!$B$4:$J$8,5,FALSE),'Fuel &amp; Resister'!$B$3:$G$6,4,FALSE)</f>
        <v>2.7360666666666664</v>
      </c>
      <c r="AJ1188" s="41">
        <f>HLOOKUP(HLOOKUP(G1188,'THP2'!$B$4:$J$8,5,FALSE),'Fuel &amp; Resister'!$B$3:$G$6,3,FALSE)</f>
        <v>13.019</v>
      </c>
      <c r="AO1188" s="1">
        <v>1</v>
      </c>
      <c r="AP1188" s="62">
        <v>0</v>
      </c>
    </row>
    <row r="1189" spans="2:42" x14ac:dyDescent="0.15">
      <c r="B1189" s="81" t="s">
        <v>629</v>
      </c>
      <c r="C1189" s="61">
        <f>VLOOKUP(B1189,[1]SYS!$F$5:$G$359,2,FALSE)</f>
        <v>83</v>
      </c>
      <c r="D1189" s="1" t="s">
        <v>50</v>
      </c>
      <c r="E1189" s="65" t="s">
        <v>542</v>
      </c>
      <c r="F1189" s="63" t="s">
        <v>561</v>
      </c>
      <c r="G1189" s="1">
        <v>8</v>
      </c>
      <c r="H1189" s="1">
        <f t="shared" si="278"/>
        <v>0.4</v>
      </c>
      <c r="I1189" s="1">
        <f t="shared" si="287"/>
        <v>0.68500000000000005</v>
      </c>
      <c r="J1189" s="1">
        <f t="shared" si="277"/>
        <v>1.8299999999999983E-2</v>
      </c>
      <c r="K1189" s="1">
        <f t="shared" si="280"/>
        <v>2.04352</v>
      </c>
      <c r="L1189" s="1">
        <f t="shared" si="281"/>
        <v>1.5664800000000001</v>
      </c>
      <c r="M1189" s="49">
        <v>0</v>
      </c>
      <c r="N1189" s="49">
        <f t="shared" si="288"/>
        <v>1.6668000000000001</v>
      </c>
      <c r="O1189" s="6">
        <v>504</v>
      </c>
      <c r="P1189" s="51">
        <v>0.05</v>
      </c>
      <c r="Q1189" s="51">
        <v>11</v>
      </c>
      <c r="R1189" s="51">
        <v>0</v>
      </c>
      <c r="S1189" s="1">
        <v>1</v>
      </c>
      <c r="T1189" s="1">
        <v>0</v>
      </c>
      <c r="U1189" s="47">
        <v>0</v>
      </c>
      <c r="V1189" s="47"/>
      <c r="W1189" s="41">
        <v>274</v>
      </c>
      <c r="X1189">
        <v>685</v>
      </c>
      <c r="Y1189">
        <v>0.98170000000000002</v>
      </c>
      <c r="Z1189">
        <v>2043.52</v>
      </c>
      <c r="AA1189">
        <v>1566.48</v>
      </c>
      <c r="AB1189">
        <v>166.68</v>
      </c>
      <c r="AC1189">
        <v>36</v>
      </c>
      <c r="AD1189" s="41">
        <f t="shared" si="282"/>
        <v>0.42084246789852808</v>
      </c>
      <c r="AE1189" s="41">
        <f t="shared" si="283"/>
        <v>0.54900158316735603</v>
      </c>
      <c r="AF1189">
        <f t="shared" si="284"/>
        <v>1.2484533333333334</v>
      </c>
      <c r="AG1189">
        <f t="shared" si="285"/>
        <v>0.21784826666666668</v>
      </c>
      <c r="AH1189">
        <f t="shared" si="286"/>
        <v>1.6668000000000001</v>
      </c>
      <c r="AI1189">
        <f>HLOOKUP(HLOOKUP(G1189,'THP2'!$B$4:$J$8,5,FALSE),'Fuel &amp; Resister'!$B$3:$G$6,4,FALSE)</f>
        <v>2.7360666666666664</v>
      </c>
      <c r="AJ1189" s="41">
        <f>HLOOKUP(HLOOKUP(G1189,'THP2'!$B$4:$J$8,5,FALSE),'Fuel &amp; Resister'!$B$3:$G$6,3,FALSE)</f>
        <v>13.019</v>
      </c>
      <c r="AO1189" s="1">
        <v>1</v>
      </c>
      <c r="AP1189" s="62">
        <v>0</v>
      </c>
    </row>
    <row r="1190" spans="2:42" x14ac:dyDescent="0.15">
      <c r="B1190" s="81" t="s">
        <v>629</v>
      </c>
      <c r="C1190" s="61">
        <f>VLOOKUP(B1190,[1]SYS!$F$5:$G$359,2,FALSE)</f>
        <v>83</v>
      </c>
      <c r="D1190" s="1" t="s">
        <v>50</v>
      </c>
      <c r="E1190" s="65" t="s">
        <v>542</v>
      </c>
      <c r="F1190" s="63" t="s">
        <v>561</v>
      </c>
      <c r="G1190" s="1">
        <v>8</v>
      </c>
      <c r="H1190" s="1">
        <f t="shared" si="278"/>
        <v>0.4</v>
      </c>
      <c r="I1190" s="1">
        <f t="shared" si="287"/>
        <v>0.68500000000000005</v>
      </c>
      <c r="J1190" s="1">
        <f t="shared" si="277"/>
        <v>1.8299999999999983E-2</v>
      </c>
      <c r="K1190" s="1">
        <f t="shared" si="280"/>
        <v>2.04352</v>
      </c>
      <c r="L1190" s="1">
        <f t="shared" si="281"/>
        <v>1.5664800000000001</v>
      </c>
      <c r="M1190" s="49">
        <v>0</v>
      </c>
      <c r="N1190" s="49">
        <f t="shared" si="288"/>
        <v>1.6668000000000001</v>
      </c>
      <c r="O1190" s="6">
        <v>609</v>
      </c>
      <c r="P1190" s="51">
        <v>0.05</v>
      </c>
      <c r="Q1190" s="51">
        <v>11</v>
      </c>
      <c r="R1190" s="51">
        <v>0</v>
      </c>
      <c r="S1190" s="1">
        <v>1</v>
      </c>
      <c r="T1190" s="1">
        <v>0</v>
      </c>
      <c r="U1190" s="47">
        <v>0</v>
      </c>
      <c r="V1190" s="47"/>
      <c r="W1190" s="41">
        <v>274</v>
      </c>
      <c r="X1190">
        <v>685</v>
      </c>
      <c r="Y1190">
        <v>0.98170000000000002</v>
      </c>
      <c r="Z1190">
        <v>2043.52</v>
      </c>
      <c r="AA1190">
        <v>1566.48</v>
      </c>
      <c r="AB1190">
        <v>166.68</v>
      </c>
      <c r="AC1190">
        <v>36</v>
      </c>
      <c r="AD1190" s="41">
        <f t="shared" si="282"/>
        <v>0.42084246789852808</v>
      </c>
      <c r="AE1190" s="41">
        <f t="shared" si="283"/>
        <v>0.54900158316735603</v>
      </c>
      <c r="AF1190">
        <f t="shared" si="284"/>
        <v>1.2484533333333334</v>
      </c>
      <c r="AG1190">
        <f t="shared" si="285"/>
        <v>0.21784826666666668</v>
      </c>
      <c r="AH1190">
        <f t="shared" si="286"/>
        <v>1.6668000000000001</v>
      </c>
      <c r="AI1190">
        <f>HLOOKUP(HLOOKUP(G1190,'THP2'!$B$4:$J$8,5,FALSE),'Fuel &amp; Resister'!$B$3:$G$6,4,FALSE)</f>
        <v>2.7360666666666664</v>
      </c>
      <c r="AJ1190" s="41">
        <f>HLOOKUP(HLOOKUP(G1190,'THP2'!$B$4:$J$8,5,FALSE),'Fuel &amp; Resister'!$B$3:$G$6,3,FALSE)</f>
        <v>13.019</v>
      </c>
      <c r="AO1190" s="1">
        <v>1</v>
      </c>
      <c r="AP1190" s="62">
        <v>0</v>
      </c>
    </row>
    <row r="1191" spans="2:42" x14ac:dyDescent="0.15">
      <c r="B1191" s="81" t="s">
        <v>629</v>
      </c>
      <c r="C1191" s="61">
        <f>VLOOKUP(B1191,[1]SYS!$F$5:$G$359,2,FALSE)</f>
        <v>83</v>
      </c>
      <c r="D1191" s="1" t="s">
        <v>50</v>
      </c>
      <c r="E1191" s="65" t="s">
        <v>542</v>
      </c>
      <c r="F1191" s="63" t="s">
        <v>561</v>
      </c>
      <c r="G1191" s="1">
        <v>8</v>
      </c>
      <c r="H1191" s="1">
        <f t="shared" si="278"/>
        <v>0.4</v>
      </c>
      <c r="I1191" s="1">
        <f t="shared" si="287"/>
        <v>0.68500000000000005</v>
      </c>
      <c r="J1191" s="1">
        <f t="shared" si="277"/>
        <v>1.8299999999999983E-2</v>
      </c>
      <c r="K1191" s="1">
        <f t="shared" si="280"/>
        <v>2.04352</v>
      </c>
      <c r="L1191" s="1">
        <f t="shared" si="281"/>
        <v>1.5664800000000001</v>
      </c>
      <c r="M1191" s="49">
        <v>0</v>
      </c>
      <c r="N1191" s="49">
        <f t="shared" si="288"/>
        <v>1.6668000000000001</v>
      </c>
      <c r="O1191" s="6">
        <v>403</v>
      </c>
      <c r="P1191" s="51">
        <v>0.05</v>
      </c>
      <c r="Q1191" s="51">
        <v>11</v>
      </c>
      <c r="R1191" s="51">
        <v>0</v>
      </c>
      <c r="S1191" s="1">
        <v>1</v>
      </c>
      <c r="T1191" s="1">
        <v>0</v>
      </c>
      <c r="U1191" s="47">
        <v>0</v>
      </c>
      <c r="V1191" s="47"/>
      <c r="W1191" s="41">
        <v>274</v>
      </c>
      <c r="X1191">
        <v>685</v>
      </c>
      <c r="Y1191">
        <v>0.98170000000000002</v>
      </c>
      <c r="Z1191">
        <v>2043.52</v>
      </c>
      <c r="AA1191">
        <v>1566.48</v>
      </c>
      <c r="AB1191">
        <v>166.68</v>
      </c>
      <c r="AC1191">
        <v>36</v>
      </c>
      <c r="AD1191" s="41">
        <f t="shared" si="282"/>
        <v>0.42084246789852808</v>
      </c>
      <c r="AE1191" s="41">
        <f t="shared" si="283"/>
        <v>0.54900158316735603</v>
      </c>
      <c r="AF1191">
        <f t="shared" si="284"/>
        <v>1.2484533333333334</v>
      </c>
      <c r="AG1191">
        <f t="shared" si="285"/>
        <v>0.21784826666666668</v>
      </c>
      <c r="AH1191">
        <f t="shared" si="286"/>
        <v>1.6668000000000001</v>
      </c>
      <c r="AI1191">
        <f>HLOOKUP(HLOOKUP(G1191,'THP2'!$B$4:$J$8,5,FALSE),'Fuel &amp; Resister'!$B$3:$G$6,4,FALSE)</f>
        <v>2.7360666666666664</v>
      </c>
      <c r="AJ1191" s="41">
        <f>HLOOKUP(HLOOKUP(G1191,'THP2'!$B$4:$J$8,5,FALSE),'Fuel &amp; Resister'!$B$3:$G$6,3,FALSE)</f>
        <v>13.019</v>
      </c>
      <c r="AO1191" s="1">
        <v>1</v>
      </c>
      <c r="AP1191" s="62">
        <v>0</v>
      </c>
    </row>
    <row r="1192" spans="2:42" x14ac:dyDescent="0.15">
      <c r="B1192" s="81" t="s">
        <v>629</v>
      </c>
      <c r="C1192" s="61">
        <f>VLOOKUP(B1192,[1]SYS!$F$5:$G$359,2,FALSE)</f>
        <v>83</v>
      </c>
      <c r="D1192" s="1" t="s">
        <v>50</v>
      </c>
      <c r="E1192" s="65" t="s">
        <v>542</v>
      </c>
      <c r="F1192" s="63" t="s">
        <v>561</v>
      </c>
      <c r="G1192" s="1">
        <v>8</v>
      </c>
      <c r="H1192" s="1">
        <f t="shared" si="278"/>
        <v>0.4</v>
      </c>
      <c r="I1192" s="1">
        <f t="shared" si="287"/>
        <v>0.68500000000000005</v>
      </c>
      <c r="J1192" s="1">
        <f t="shared" si="277"/>
        <v>1.8299999999999983E-2</v>
      </c>
      <c r="K1192" s="1">
        <f t="shared" si="280"/>
        <v>2.04352</v>
      </c>
      <c r="L1192" s="1">
        <f t="shared" si="281"/>
        <v>1.5664800000000001</v>
      </c>
      <c r="M1192" s="49">
        <v>0</v>
      </c>
      <c r="N1192" s="49">
        <f t="shared" si="288"/>
        <v>1.6668000000000001</v>
      </c>
      <c r="O1192" s="6">
        <v>509</v>
      </c>
      <c r="P1192" s="51">
        <v>0.05</v>
      </c>
      <c r="Q1192" s="51">
        <v>11</v>
      </c>
      <c r="R1192" s="51">
        <v>0</v>
      </c>
      <c r="S1192" s="1">
        <v>1</v>
      </c>
      <c r="T1192" s="1">
        <v>0</v>
      </c>
      <c r="U1192" s="47">
        <v>0</v>
      </c>
      <c r="V1192" s="47"/>
      <c r="W1192" s="41">
        <v>274</v>
      </c>
      <c r="X1192">
        <v>685</v>
      </c>
      <c r="Y1192">
        <v>0.98170000000000002</v>
      </c>
      <c r="Z1192">
        <v>2043.52</v>
      </c>
      <c r="AA1192">
        <v>1566.48</v>
      </c>
      <c r="AB1192">
        <v>166.68</v>
      </c>
      <c r="AC1192">
        <v>36</v>
      </c>
      <c r="AD1192" s="41">
        <f t="shared" si="282"/>
        <v>0.42084246789852808</v>
      </c>
      <c r="AE1192" s="41">
        <f t="shared" si="283"/>
        <v>0.54900158316735603</v>
      </c>
      <c r="AF1192">
        <f t="shared" si="284"/>
        <v>1.2484533333333334</v>
      </c>
      <c r="AG1192">
        <f t="shared" si="285"/>
        <v>0.21784826666666668</v>
      </c>
      <c r="AH1192">
        <f t="shared" si="286"/>
        <v>1.6668000000000001</v>
      </c>
      <c r="AI1192">
        <f>HLOOKUP(HLOOKUP(G1192,'THP2'!$B$4:$J$8,5,FALSE),'Fuel &amp; Resister'!$B$3:$G$6,4,FALSE)</f>
        <v>2.7360666666666664</v>
      </c>
      <c r="AJ1192" s="41">
        <f>HLOOKUP(HLOOKUP(G1192,'THP2'!$B$4:$J$8,5,FALSE),'Fuel &amp; Resister'!$B$3:$G$6,3,FALSE)</f>
        <v>13.019</v>
      </c>
      <c r="AO1192" s="1">
        <v>1</v>
      </c>
      <c r="AP1192" s="62">
        <v>0</v>
      </c>
    </row>
    <row r="1193" spans="2:42" x14ac:dyDescent="0.15">
      <c r="B1193" s="81" t="s">
        <v>629</v>
      </c>
      <c r="C1193" s="61">
        <f>VLOOKUP(B1193,[1]SYS!$F$5:$G$359,2,FALSE)</f>
        <v>83</v>
      </c>
      <c r="D1193" s="1" t="s">
        <v>50</v>
      </c>
      <c r="E1193" s="65" t="s">
        <v>542</v>
      </c>
      <c r="F1193" s="63" t="s">
        <v>561</v>
      </c>
      <c r="G1193" s="1">
        <v>8</v>
      </c>
      <c r="H1193" s="1">
        <f t="shared" si="278"/>
        <v>0.4</v>
      </c>
      <c r="I1193" s="1">
        <f t="shared" si="287"/>
        <v>0.68500000000000005</v>
      </c>
      <c r="J1193" s="1">
        <f t="shared" si="277"/>
        <v>1.8299999999999983E-2</v>
      </c>
      <c r="K1193" s="1">
        <f t="shared" si="280"/>
        <v>2.04352</v>
      </c>
      <c r="L1193" s="1">
        <f t="shared" si="281"/>
        <v>1.5664800000000001</v>
      </c>
      <c r="M1193" s="49">
        <v>0</v>
      </c>
      <c r="N1193" s="49">
        <f t="shared" si="288"/>
        <v>1.6668000000000001</v>
      </c>
      <c r="O1193" s="6">
        <v>504</v>
      </c>
      <c r="P1193" s="51">
        <v>0.05</v>
      </c>
      <c r="Q1193" s="51">
        <v>11</v>
      </c>
      <c r="R1193" s="51">
        <v>0</v>
      </c>
      <c r="S1193" s="1">
        <v>1</v>
      </c>
      <c r="T1193" s="1">
        <v>0</v>
      </c>
      <c r="U1193" s="47">
        <v>0</v>
      </c>
      <c r="V1193" s="47"/>
      <c r="W1193" s="41">
        <v>274</v>
      </c>
      <c r="X1193">
        <v>685</v>
      </c>
      <c r="Y1193">
        <v>0.98170000000000002</v>
      </c>
      <c r="Z1193">
        <v>2043.52</v>
      </c>
      <c r="AA1193">
        <v>1566.48</v>
      </c>
      <c r="AB1193">
        <v>166.68</v>
      </c>
      <c r="AC1193">
        <v>36</v>
      </c>
      <c r="AD1193" s="41">
        <f t="shared" si="282"/>
        <v>0.42084246789852808</v>
      </c>
      <c r="AE1193" s="41">
        <f t="shared" si="283"/>
        <v>0.54900158316735603</v>
      </c>
      <c r="AF1193">
        <f t="shared" si="284"/>
        <v>1.2484533333333334</v>
      </c>
      <c r="AG1193">
        <f t="shared" si="285"/>
        <v>0.21784826666666668</v>
      </c>
      <c r="AH1193">
        <f t="shared" si="286"/>
        <v>1.6668000000000001</v>
      </c>
      <c r="AI1193">
        <f>HLOOKUP(HLOOKUP(G1193,'THP2'!$B$4:$J$8,5,FALSE),'Fuel &amp; Resister'!$B$3:$G$6,4,FALSE)</f>
        <v>2.7360666666666664</v>
      </c>
      <c r="AJ1193" s="41">
        <f>HLOOKUP(HLOOKUP(G1193,'THP2'!$B$4:$J$8,5,FALSE),'Fuel &amp; Resister'!$B$3:$G$6,3,FALSE)</f>
        <v>13.019</v>
      </c>
      <c r="AO1193" s="1">
        <v>1</v>
      </c>
      <c r="AP1193" s="1">
        <v>1</v>
      </c>
    </row>
    <row r="1194" spans="2:42" x14ac:dyDescent="0.15">
      <c r="B1194" s="81" t="s">
        <v>629</v>
      </c>
      <c r="C1194" s="61">
        <f>VLOOKUP(B1194,[1]SYS!$F$5:$G$359,2,FALSE)</f>
        <v>83</v>
      </c>
      <c r="D1194" s="1" t="s">
        <v>50</v>
      </c>
      <c r="E1194" s="65" t="s">
        <v>542</v>
      </c>
      <c r="F1194" s="63" t="s">
        <v>543</v>
      </c>
      <c r="G1194" s="1">
        <v>8</v>
      </c>
      <c r="H1194" s="1">
        <f t="shared" si="278"/>
        <v>0.4</v>
      </c>
      <c r="I1194" s="1">
        <f t="shared" si="287"/>
        <v>0.68500000000000005</v>
      </c>
      <c r="J1194" s="1">
        <f t="shared" si="277"/>
        <v>1.8299999999999983E-2</v>
      </c>
      <c r="K1194" s="1">
        <f t="shared" si="280"/>
        <v>2.04352</v>
      </c>
      <c r="L1194" s="1">
        <f t="shared" si="281"/>
        <v>1.5664800000000001</v>
      </c>
      <c r="M1194" s="49">
        <v>0</v>
      </c>
      <c r="N1194" s="49">
        <f t="shared" si="288"/>
        <v>1.6668000000000001</v>
      </c>
      <c r="O1194" s="6">
        <v>609</v>
      </c>
      <c r="P1194" s="51">
        <v>0.05</v>
      </c>
      <c r="Q1194" s="51">
        <v>11</v>
      </c>
      <c r="R1194" s="51">
        <v>0</v>
      </c>
      <c r="S1194" s="1">
        <v>1</v>
      </c>
      <c r="T1194" s="1">
        <v>0</v>
      </c>
      <c r="U1194" s="47">
        <v>0</v>
      </c>
      <c r="V1194" s="47"/>
      <c r="W1194" s="41">
        <v>274</v>
      </c>
      <c r="X1194">
        <v>685</v>
      </c>
      <c r="Y1194">
        <v>0.98170000000000002</v>
      </c>
      <c r="Z1194">
        <v>2043.52</v>
      </c>
      <c r="AA1194">
        <v>1566.48</v>
      </c>
      <c r="AB1194">
        <v>166.68</v>
      </c>
      <c r="AC1194">
        <v>36</v>
      </c>
      <c r="AD1194" s="41">
        <f t="shared" si="282"/>
        <v>0.42084246789852808</v>
      </c>
      <c r="AE1194" s="41">
        <f t="shared" si="283"/>
        <v>0.54900158316735603</v>
      </c>
      <c r="AF1194">
        <f t="shared" si="284"/>
        <v>1.2484533333333334</v>
      </c>
      <c r="AG1194">
        <f t="shared" si="285"/>
        <v>0.21784826666666668</v>
      </c>
      <c r="AH1194">
        <f t="shared" si="286"/>
        <v>1.6668000000000001</v>
      </c>
      <c r="AI1194">
        <f>HLOOKUP(HLOOKUP(G1194,'THP2'!$B$4:$J$8,5,FALSE),'Fuel &amp; Resister'!$B$3:$G$6,4,FALSE)</f>
        <v>2.7360666666666664</v>
      </c>
      <c r="AJ1194" s="41">
        <f>HLOOKUP(HLOOKUP(G1194,'THP2'!$B$4:$J$8,5,FALSE),'Fuel &amp; Resister'!$B$3:$G$6,3,FALSE)</f>
        <v>13.019</v>
      </c>
      <c r="AO1194" s="1">
        <v>1</v>
      </c>
      <c r="AP1194" s="1">
        <v>1</v>
      </c>
    </row>
    <row r="1195" spans="2:42" x14ac:dyDescent="0.15">
      <c r="B1195" s="81" t="s">
        <v>629</v>
      </c>
      <c r="C1195" s="61">
        <f>VLOOKUP(B1195,[1]SYS!$F$5:$G$359,2,FALSE)</f>
        <v>83</v>
      </c>
      <c r="D1195" s="1" t="s">
        <v>50</v>
      </c>
      <c r="E1195" s="65" t="s">
        <v>542</v>
      </c>
      <c r="F1195" s="63" t="s">
        <v>543</v>
      </c>
      <c r="G1195" s="1">
        <v>8</v>
      </c>
      <c r="H1195" s="1">
        <f t="shared" si="278"/>
        <v>0.4</v>
      </c>
      <c r="I1195" s="1">
        <f t="shared" si="287"/>
        <v>0.68500000000000005</v>
      </c>
      <c r="J1195" s="1">
        <f t="shared" si="277"/>
        <v>1.8299999999999983E-2</v>
      </c>
      <c r="K1195" s="1">
        <f t="shared" si="280"/>
        <v>2.04352</v>
      </c>
      <c r="L1195" s="1">
        <f t="shared" si="281"/>
        <v>1.5664800000000001</v>
      </c>
      <c r="M1195" s="49">
        <v>0</v>
      </c>
      <c r="N1195" s="49">
        <f t="shared" si="288"/>
        <v>1.6668000000000001</v>
      </c>
      <c r="O1195" s="6">
        <v>403</v>
      </c>
      <c r="P1195" s="51">
        <v>0.05</v>
      </c>
      <c r="Q1195" s="51">
        <v>11</v>
      </c>
      <c r="R1195" s="51">
        <v>0</v>
      </c>
      <c r="S1195" s="1">
        <v>1</v>
      </c>
      <c r="T1195" s="1">
        <v>0</v>
      </c>
      <c r="U1195" s="47">
        <v>0</v>
      </c>
      <c r="V1195" s="47"/>
      <c r="W1195" s="41">
        <v>274</v>
      </c>
      <c r="X1195">
        <v>685</v>
      </c>
      <c r="Y1195">
        <v>0.98170000000000002</v>
      </c>
      <c r="Z1195">
        <v>2043.52</v>
      </c>
      <c r="AA1195">
        <v>1566.48</v>
      </c>
      <c r="AB1195">
        <v>166.68</v>
      </c>
      <c r="AC1195">
        <v>36</v>
      </c>
      <c r="AD1195" s="41">
        <f t="shared" si="282"/>
        <v>0.42084246789852808</v>
      </c>
      <c r="AE1195" s="41">
        <f t="shared" si="283"/>
        <v>0.54900158316735603</v>
      </c>
      <c r="AF1195">
        <f t="shared" si="284"/>
        <v>1.2484533333333334</v>
      </c>
      <c r="AG1195">
        <f t="shared" si="285"/>
        <v>0.21784826666666668</v>
      </c>
      <c r="AH1195">
        <f t="shared" si="286"/>
        <v>1.6668000000000001</v>
      </c>
      <c r="AI1195">
        <f>HLOOKUP(HLOOKUP(G1195,'THP2'!$B$4:$J$8,5,FALSE),'Fuel &amp; Resister'!$B$3:$G$6,4,FALSE)</f>
        <v>2.7360666666666664</v>
      </c>
      <c r="AJ1195" s="41">
        <f>HLOOKUP(HLOOKUP(G1195,'THP2'!$B$4:$J$8,5,FALSE),'Fuel &amp; Resister'!$B$3:$G$6,3,FALSE)</f>
        <v>13.019</v>
      </c>
      <c r="AO1195" s="1">
        <v>1</v>
      </c>
      <c r="AP1195" s="1">
        <v>1</v>
      </c>
    </row>
    <row r="1196" spans="2:42" x14ac:dyDescent="0.15">
      <c r="B1196" s="81" t="s">
        <v>629</v>
      </c>
      <c r="C1196" s="61">
        <f>VLOOKUP(B1196,[1]SYS!$F$5:$G$359,2,FALSE)</f>
        <v>83</v>
      </c>
      <c r="D1196" s="1" t="s">
        <v>50</v>
      </c>
      <c r="E1196" s="65" t="s">
        <v>542</v>
      </c>
      <c r="F1196" s="63" t="s">
        <v>543</v>
      </c>
      <c r="G1196" s="1">
        <v>8</v>
      </c>
      <c r="H1196" s="1">
        <f t="shared" si="278"/>
        <v>0.4</v>
      </c>
      <c r="I1196" s="1">
        <f t="shared" si="287"/>
        <v>0.68500000000000005</v>
      </c>
      <c r="J1196" s="1">
        <f t="shared" ref="J1196:J1283" si="289">1-Y1196</f>
        <v>1.8299999999999983E-2</v>
      </c>
      <c r="K1196" s="1">
        <f t="shared" si="280"/>
        <v>2.04352</v>
      </c>
      <c r="L1196" s="1">
        <f t="shared" si="281"/>
        <v>1.5664800000000001</v>
      </c>
      <c r="M1196" s="49">
        <v>0</v>
      </c>
      <c r="N1196" s="49">
        <f t="shared" si="288"/>
        <v>1.6668000000000001</v>
      </c>
      <c r="O1196" s="6">
        <v>509</v>
      </c>
      <c r="P1196" s="51">
        <v>0.05</v>
      </c>
      <c r="Q1196" s="51">
        <v>11</v>
      </c>
      <c r="R1196" s="51">
        <v>0</v>
      </c>
      <c r="S1196" s="1">
        <v>1</v>
      </c>
      <c r="T1196" s="1">
        <v>0</v>
      </c>
      <c r="U1196" s="47">
        <v>0</v>
      </c>
      <c r="V1196" s="47"/>
      <c r="W1196" s="41">
        <v>274</v>
      </c>
      <c r="X1196">
        <v>685</v>
      </c>
      <c r="Y1196">
        <v>0.98170000000000002</v>
      </c>
      <c r="Z1196">
        <v>2043.52</v>
      </c>
      <c r="AA1196">
        <v>1566.48</v>
      </c>
      <c r="AB1196">
        <v>166.68</v>
      </c>
      <c r="AC1196">
        <v>36</v>
      </c>
      <c r="AD1196" s="41">
        <f t="shared" si="282"/>
        <v>0.42084246789852808</v>
      </c>
      <c r="AE1196" s="41">
        <f t="shared" si="283"/>
        <v>0.54900158316735603</v>
      </c>
      <c r="AF1196">
        <f t="shared" si="284"/>
        <v>1.2484533333333334</v>
      </c>
      <c r="AG1196">
        <f t="shared" si="285"/>
        <v>0.21784826666666668</v>
      </c>
      <c r="AH1196">
        <f t="shared" si="286"/>
        <v>1.6668000000000001</v>
      </c>
      <c r="AI1196">
        <f>HLOOKUP(HLOOKUP(G1196,'THP2'!$B$4:$J$8,5,FALSE),'Fuel &amp; Resister'!$B$3:$G$6,4,FALSE)</f>
        <v>2.7360666666666664</v>
      </c>
      <c r="AJ1196" s="41">
        <f>HLOOKUP(HLOOKUP(G1196,'THP2'!$B$4:$J$8,5,FALSE),'Fuel &amp; Resister'!$B$3:$G$6,3,FALSE)</f>
        <v>13.019</v>
      </c>
      <c r="AO1196" s="1">
        <v>1</v>
      </c>
      <c r="AP1196" s="62">
        <v>0</v>
      </c>
    </row>
    <row r="1197" spans="2:42" x14ac:dyDescent="0.15">
      <c r="B1197" s="81" t="s">
        <v>629</v>
      </c>
      <c r="C1197" s="61">
        <f>VLOOKUP(B1197,[1]SYS!$F$5:$G$359,2,FALSE)</f>
        <v>83</v>
      </c>
      <c r="D1197" s="1" t="s">
        <v>50</v>
      </c>
      <c r="E1197" s="65" t="s">
        <v>542</v>
      </c>
      <c r="F1197" s="63" t="s">
        <v>543</v>
      </c>
      <c r="G1197" s="1">
        <v>8</v>
      </c>
      <c r="H1197" s="1">
        <f t="shared" si="278"/>
        <v>0.4</v>
      </c>
      <c r="I1197" s="1">
        <f t="shared" si="287"/>
        <v>0.68500000000000005</v>
      </c>
      <c r="J1197" s="1">
        <f t="shared" si="289"/>
        <v>1.8299999999999983E-2</v>
      </c>
      <c r="K1197" s="1">
        <f t="shared" si="280"/>
        <v>2.04352</v>
      </c>
      <c r="L1197" s="1">
        <f t="shared" si="281"/>
        <v>1.5664800000000001</v>
      </c>
      <c r="M1197" s="49">
        <v>0</v>
      </c>
      <c r="N1197" s="49">
        <f t="shared" si="288"/>
        <v>1.6668000000000001</v>
      </c>
      <c r="O1197" s="6">
        <v>504</v>
      </c>
      <c r="P1197" s="51">
        <v>0.05</v>
      </c>
      <c r="Q1197" s="51">
        <v>11</v>
      </c>
      <c r="R1197" s="51">
        <v>0</v>
      </c>
      <c r="S1197" s="1">
        <v>1</v>
      </c>
      <c r="T1197" s="1">
        <v>0</v>
      </c>
      <c r="U1197" s="47">
        <v>0</v>
      </c>
      <c r="V1197" s="47"/>
      <c r="W1197" s="41">
        <v>274</v>
      </c>
      <c r="X1197">
        <v>685</v>
      </c>
      <c r="Y1197">
        <v>0.98170000000000002</v>
      </c>
      <c r="Z1197">
        <v>2043.52</v>
      </c>
      <c r="AA1197">
        <v>1566.48</v>
      </c>
      <c r="AB1197">
        <v>166.68</v>
      </c>
      <c r="AC1197">
        <v>36</v>
      </c>
      <c r="AD1197" s="41">
        <f t="shared" si="282"/>
        <v>0.42084246789852808</v>
      </c>
      <c r="AE1197" s="41">
        <f t="shared" si="283"/>
        <v>0.54900158316735603</v>
      </c>
      <c r="AF1197">
        <f t="shared" si="284"/>
        <v>1.2484533333333334</v>
      </c>
      <c r="AG1197">
        <f t="shared" si="285"/>
        <v>0.21784826666666668</v>
      </c>
      <c r="AH1197">
        <f t="shared" si="286"/>
        <v>1.6668000000000001</v>
      </c>
      <c r="AI1197">
        <f>HLOOKUP(HLOOKUP(G1197,'THP2'!$B$4:$J$8,5,FALSE),'Fuel &amp; Resister'!$B$3:$G$6,4,FALSE)</f>
        <v>2.7360666666666664</v>
      </c>
      <c r="AJ1197" s="41">
        <f>HLOOKUP(HLOOKUP(G1197,'THP2'!$B$4:$J$8,5,FALSE),'Fuel &amp; Resister'!$B$3:$G$6,3,FALSE)</f>
        <v>13.019</v>
      </c>
      <c r="AO1197" s="1">
        <v>1</v>
      </c>
      <c r="AP1197" s="62">
        <v>0</v>
      </c>
    </row>
    <row r="1198" spans="2:42" x14ac:dyDescent="0.15">
      <c r="B1198" s="81" t="s">
        <v>629</v>
      </c>
      <c r="C1198" s="61">
        <f>VLOOKUP(B1198,[1]SYS!$F$5:$G$359,2,FALSE)</f>
        <v>83</v>
      </c>
      <c r="D1198" s="1" t="s">
        <v>50</v>
      </c>
      <c r="E1198" s="65" t="s">
        <v>542</v>
      </c>
      <c r="F1198" s="63" t="s">
        <v>543</v>
      </c>
      <c r="G1198" s="1">
        <v>8</v>
      </c>
      <c r="H1198" s="1">
        <f t="shared" si="278"/>
        <v>0.4</v>
      </c>
      <c r="I1198" s="1">
        <f t="shared" si="287"/>
        <v>0.68500000000000005</v>
      </c>
      <c r="J1198" s="1">
        <f t="shared" si="289"/>
        <v>1.8299999999999983E-2</v>
      </c>
      <c r="K1198" s="1">
        <f t="shared" si="280"/>
        <v>2.04352</v>
      </c>
      <c r="L1198" s="1">
        <f t="shared" si="281"/>
        <v>1.5664800000000001</v>
      </c>
      <c r="M1198" s="49">
        <v>0</v>
      </c>
      <c r="N1198" s="49">
        <f t="shared" si="288"/>
        <v>1.6668000000000001</v>
      </c>
      <c r="O1198" s="6">
        <v>609</v>
      </c>
      <c r="P1198" s="51">
        <v>0.05</v>
      </c>
      <c r="Q1198" s="51">
        <v>11</v>
      </c>
      <c r="R1198" s="51">
        <v>0</v>
      </c>
      <c r="S1198" s="1">
        <v>1</v>
      </c>
      <c r="T1198" s="1">
        <v>0</v>
      </c>
      <c r="U1198" s="47">
        <v>0</v>
      </c>
      <c r="V1198" s="47"/>
      <c r="W1198" s="41">
        <v>274</v>
      </c>
      <c r="X1198">
        <v>685</v>
      </c>
      <c r="Y1198">
        <v>0.98170000000000002</v>
      </c>
      <c r="Z1198">
        <v>2043.52</v>
      </c>
      <c r="AA1198">
        <v>1566.48</v>
      </c>
      <c r="AB1198">
        <v>166.68</v>
      </c>
      <c r="AC1198">
        <v>36</v>
      </c>
      <c r="AD1198" s="41">
        <f t="shared" si="282"/>
        <v>0.42084246789852808</v>
      </c>
      <c r="AE1198" s="41">
        <f t="shared" si="283"/>
        <v>0.54900158316735603</v>
      </c>
      <c r="AF1198">
        <f t="shared" si="284"/>
        <v>1.2484533333333334</v>
      </c>
      <c r="AG1198">
        <f t="shared" si="285"/>
        <v>0.21784826666666668</v>
      </c>
      <c r="AH1198">
        <f t="shared" si="286"/>
        <v>1.6668000000000001</v>
      </c>
      <c r="AI1198">
        <f>HLOOKUP(HLOOKUP(G1198,'THP2'!$B$4:$J$8,5,FALSE),'Fuel &amp; Resister'!$B$3:$G$6,4,FALSE)</f>
        <v>2.7360666666666664</v>
      </c>
      <c r="AJ1198" s="41">
        <f>HLOOKUP(HLOOKUP(G1198,'THP2'!$B$4:$J$8,5,FALSE),'Fuel &amp; Resister'!$B$3:$G$6,3,FALSE)</f>
        <v>13.019</v>
      </c>
      <c r="AO1198" s="1">
        <v>1</v>
      </c>
      <c r="AP1198" s="62">
        <v>0</v>
      </c>
    </row>
    <row r="1199" spans="2:42" x14ac:dyDescent="0.15">
      <c r="B1199" s="81" t="s">
        <v>629</v>
      </c>
      <c r="C1199" s="61">
        <f>VLOOKUP(B1199,[1]SYS!$F$5:$G$359,2,FALSE)</f>
        <v>83</v>
      </c>
      <c r="D1199" s="1" t="s">
        <v>50</v>
      </c>
      <c r="E1199" s="65" t="s">
        <v>542</v>
      </c>
      <c r="F1199" s="63" t="s">
        <v>543</v>
      </c>
      <c r="G1199" s="1">
        <v>8</v>
      </c>
      <c r="H1199" s="1">
        <f t="shared" si="278"/>
        <v>0.4</v>
      </c>
      <c r="I1199" s="1">
        <f t="shared" si="287"/>
        <v>0.68500000000000005</v>
      </c>
      <c r="J1199" s="1">
        <f t="shared" si="289"/>
        <v>1.8299999999999983E-2</v>
      </c>
      <c r="K1199" s="1">
        <f t="shared" si="280"/>
        <v>2.04352</v>
      </c>
      <c r="L1199" s="1">
        <f t="shared" si="281"/>
        <v>1.5664800000000001</v>
      </c>
      <c r="M1199" s="49">
        <v>0</v>
      </c>
      <c r="N1199" s="49">
        <f t="shared" si="288"/>
        <v>1.6668000000000001</v>
      </c>
      <c r="O1199" s="6">
        <v>403</v>
      </c>
      <c r="P1199" s="51">
        <v>0.05</v>
      </c>
      <c r="Q1199" s="51">
        <v>11</v>
      </c>
      <c r="R1199" s="51">
        <v>0</v>
      </c>
      <c r="S1199" s="1">
        <v>1</v>
      </c>
      <c r="T1199" s="1">
        <v>0</v>
      </c>
      <c r="U1199" s="47">
        <v>0</v>
      </c>
      <c r="V1199" s="47"/>
      <c r="W1199" s="41">
        <v>274</v>
      </c>
      <c r="X1199">
        <v>685</v>
      </c>
      <c r="Y1199">
        <v>0.98170000000000002</v>
      </c>
      <c r="Z1199">
        <v>2043.52</v>
      </c>
      <c r="AA1199">
        <v>1566.48</v>
      </c>
      <c r="AB1199">
        <v>166.68</v>
      </c>
      <c r="AC1199">
        <v>36</v>
      </c>
      <c r="AD1199" s="41">
        <f t="shared" si="282"/>
        <v>0.42084246789852808</v>
      </c>
      <c r="AE1199" s="41">
        <f t="shared" si="283"/>
        <v>0.54900158316735603</v>
      </c>
      <c r="AF1199">
        <f t="shared" si="284"/>
        <v>1.2484533333333334</v>
      </c>
      <c r="AG1199">
        <f t="shared" si="285"/>
        <v>0.21784826666666668</v>
      </c>
      <c r="AH1199">
        <f t="shared" si="286"/>
        <v>1.6668000000000001</v>
      </c>
      <c r="AI1199">
        <f>HLOOKUP(HLOOKUP(G1199,'THP2'!$B$4:$J$8,5,FALSE),'Fuel &amp; Resister'!$B$3:$G$6,4,FALSE)</f>
        <v>2.7360666666666664</v>
      </c>
      <c r="AJ1199" s="41">
        <f>HLOOKUP(HLOOKUP(G1199,'THP2'!$B$4:$J$8,5,FALSE),'Fuel &amp; Resister'!$B$3:$G$6,3,FALSE)</f>
        <v>13.019</v>
      </c>
      <c r="AO1199" s="1">
        <v>1</v>
      </c>
      <c r="AP1199" s="62">
        <v>0</v>
      </c>
    </row>
    <row r="1200" spans="2:42" x14ac:dyDescent="0.15">
      <c r="B1200" s="81" t="s">
        <v>629</v>
      </c>
      <c r="C1200" s="61">
        <f>VLOOKUP(B1200,[1]SYS!$F$5:$G$359,2,FALSE)</f>
        <v>83</v>
      </c>
      <c r="D1200" s="1" t="s">
        <v>50</v>
      </c>
      <c r="E1200" s="65" t="s">
        <v>542</v>
      </c>
      <c r="F1200" s="63" t="s">
        <v>543</v>
      </c>
      <c r="G1200" s="1">
        <v>8</v>
      </c>
      <c r="H1200" s="1">
        <f t="shared" si="278"/>
        <v>0.4</v>
      </c>
      <c r="I1200" s="1">
        <f t="shared" si="287"/>
        <v>0.68500000000000005</v>
      </c>
      <c r="J1200" s="1">
        <f t="shared" si="289"/>
        <v>1.8299999999999983E-2</v>
      </c>
      <c r="K1200" s="1">
        <f t="shared" si="280"/>
        <v>2.04352</v>
      </c>
      <c r="L1200" s="1">
        <f t="shared" si="281"/>
        <v>1.5664800000000001</v>
      </c>
      <c r="M1200" s="49">
        <v>0</v>
      </c>
      <c r="N1200" s="49">
        <f t="shared" si="288"/>
        <v>1.6668000000000001</v>
      </c>
      <c r="O1200" s="6">
        <v>509</v>
      </c>
      <c r="P1200" s="51">
        <v>0.05</v>
      </c>
      <c r="Q1200" s="51">
        <v>11</v>
      </c>
      <c r="R1200" s="51">
        <v>0</v>
      </c>
      <c r="S1200" s="1">
        <v>1</v>
      </c>
      <c r="T1200" s="1">
        <v>0</v>
      </c>
      <c r="U1200" s="47">
        <v>0</v>
      </c>
      <c r="V1200" s="47"/>
      <c r="W1200" s="41">
        <v>274</v>
      </c>
      <c r="X1200">
        <v>685</v>
      </c>
      <c r="Y1200">
        <v>0.98170000000000002</v>
      </c>
      <c r="Z1200">
        <v>2043.52</v>
      </c>
      <c r="AA1200">
        <v>1566.48</v>
      </c>
      <c r="AB1200">
        <v>166.68</v>
      </c>
      <c r="AC1200">
        <v>36</v>
      </c>
      <c r="AD1200" s="41">
        <f t="shared" si="282"/>
        <v>0.42084246789852808</v>
      </c>
      <c r="AE1200" s="41">
        <f t="shared" si="283"/>
        <v>0.54900158316735603</v>
      </c>
      <c r="AF1200">
        <f t="shared" si="284"/>
        <v>1.2484533333333334</v>
      </c>
      <c r="AG1200">
        <f t="shared" si="285"/>
        <v>0.21784826666666668</v>
      </c>
      <c r="AH1200">
        <f t="shared" si="286"/>
        <v>1.6668000000000001</v>
      </c>
      <c r="AI1200">
        <f>HLOOKUP(HLOOKUP(G1200,'THP2'!$B$4:$J$8,5,FALSE),'Fuel &amp; Resister'!$B$3:$G$6,4,FALSE)</f>
        <v>2.7360666666666664</v>
      </c>
      <c r="AJ1200" s="41">
        <f>HLOOKUP(HLOOKUP(G1200,'THP2'!$B$4:$J$8,5,FALSE),'Fuel &amp; Resister'!$B$3:$G$6,3,FALSE)</f>
        <v>13.019</v>
      </c>
      <c r="AO1200" s="1">
        <v>1</v>
      </c>
      <c r="AP1200" s="62">
        <v>0</v>
      </c>
    </row>
    <row r="1201" spans="2:42" x14ac:dyDescent="0.15">
      <c r="B1201" s="81" t="s">
        <v>629</v>
      </c>
      <c r="C1201" s="61">
        <f>VLOOKUP(B1201,[1]SYS!$F$5:$G$359,2,FALSE)</f>
        <v>83</v>
      </c>
      <c r="D1201" s="1" t="s">
        <v>50</v>
      </c>
      <c r="E1201" s="65" t="s">
        <v>542</v>
      </c>
      <c r="F1201" s="63" t="s">
        <v>543</v>
      </c>
      <c r="G1201" s="1">
        <v>8</v>
      </c>
      <c r="H1201" s="1">
        <f t="shared" si="278"/>
        <v>0.4</v>
      </c>
      <c r="I1201" s="1">
        <f t="shared" si="287"/>
        <v>0.68500000000000005</v>
      </c>
      <c r="J1201" s="1">
        <f t="shared" si="289"/>
        <v>1.8299999999999983E-2</v>
      </c>
      <c r="K1201" s="1">
        <f t="shared" si="280"/>
        <v>2.04352</v>
      </c>
      <c r="L1201" s="1">
        <f t="shared" si="281"/>
        <v>1.5664800000000001</v>
      </c>
      <c r="M1201" s="49">
        <v>0</v>
      </c>
      <c r="N1201" s="49">
        <f t="shared" si="288"/>
        <v>1.6668000000000001</v>
      </c>
      <c r="O1201" s="6">
        <v>504</v>
      </c>
      <c r="P1201" s="51">
        <v>0.05</v>
      </c>
      <c r="Q1201" s="51">
        <v>11</v>
      </c>
      <c r="R1201" s="51">
        <v>0</v>
      </c>
      <c r="S1201" s="1">
        <v>1</v>
      </c>
      <c r="T1201" s="1">
        <v>0</v>
      </c>
      <c r="U1201" s="47">
        <v>0</v>
      </c>
      <c r="V1201" s="47"/>
      <c r="W1201" s="41">
        <v>274</v>
      </c>
      <c r="X1201">
        <v>685</v>
      </c>
      <c r="Y1201">
        <v>0.98170000000000002</v>
      </c>
      <c r="Z1201">
        <v>2043.52</v>
      </c>
      <c r="AA1201">
        <v>1566.48</v>
      </c>
      <c r="AB1201">
        <v>166.68</v>
      </c>
      <c r="AC1201">
        <v>36</v>
      </c>
      <c r="AD1201" s="41">
        <f t="shared" si="282"/>
        <v>0.42084246789852808</v>
      </c>
      <c r="AE1201" s="41">
        <f t="shared" si="283"/>
        <v>0.54900158316735603</v>
      </c>
      <c r="AF1201">
        <f t="shared" si="284"/>
        <v>1.2484533333333334</v>
      </c>
      <c r="AG1201">
        <f t="shared" si="285"/>
        <v>0.21784826666666668</v>
      </c>
      <c r="AH1201">
        <f t="shared" si="286"/>
        <v>1.6668000000000001</v>
      </c>
      <c r="AI1201">
        <f>HLOOKUP(HLOOKUP(G1201,'THP2'!$B$4:$J$8,5,FALSE),'Fuel &amp; Resister'!$B$3:$G$6,4,FALSE)</f>
        <v>2.7360666666666664</v>
      </c>
      <c r="AJ1201" s="41">
        <f>HLOOKUP(HLOOKUP(G1201,'THP2'!$B$4:$J$8,5,FALSE),'Fuel &amp; Resister'!$B$3:$G$6,3,FALSE)</f>
        <v>13.019</v>
      </c>
      <c r="AO1201" s="1">
        <v>1</v>
      </c>
      <c r="AP1201" s="62">
        <v>0</v>
      </c>
    </row>
    <row r="1202" spans="2:42" x14ac:dyDescent="0.15">
      <c r="B1202" s="81" t="s">
        <v>629</v>
      </c>
      <c r="C1202" s="61">
        <f>VLOOKUP(B1202,[1]SYS!$F$5:$G$359,2,FALSE)</f>
        <v>83</v>
      </c>
      <c r="D1202" s="1" t="s">
        <v>50</v>
      </c>
      <c r="E1202" s="65" t="s">
        <v>542</v>
      </c>
      <c r="F1202" s="63" t="s">
        <v>543</v>
      </c>
      <c r="G1202" s="1">
        <v>8</v>
      </c>
      <c r="H1202" s="1">
        <f t="shared" si="278"/>
        <v>0.4</v>
      </c>
      <c r="I1202" s="1">
        <f t="shared" si="287"/>
        <v>0.68500000000000005</v>
      </c>
      <c r="J1202" s="1">
        <f t="shared" si="289"/>
        <v>1.8299999999999983E-2</v>
      </c>
      <c r="K1202" s="1">
        <f t="shared" si="280"/>
        <v>2.04352</v>
      </c>
      <c r="L1202" s="1">
        <f t="shared" si="281"/>
        <v>1.5664800000000001</v>
      </c>
      <c r="M1202" s="49">
        <v>0</v>
      </c>
      <c r="N1202" s="49">
        <f t="shared" si="288"/>
        <v>1.6668000000000001</v>
      </c>
      <c r="O1202" s="6">
        <v>609</v>
      </c>
      <c r="P1202" s="51">
        <v>0.05</v>
      </c>
      <c r="Q1202" s="51">
        <v>11</v>
      </c>
      <c r="R1202" s="51">
        <v>0</v>
      </c>
      <c r="S1202" s="1">
        <v>1</v>
      </c>
      <c r="T1202" s="1">
        <v>0</v>
      </c>
      <c r="U1202" s="47">
        <v>0</v>
      </c>
      <c r="V1202" s="47"/>
      <c r="W1202" s="41">
        <v>274</v>
      </c>
      <c r="X1202">
        <v>685</v>
      </c>
      <c r="Y1202">
        <v>0.98170000000000002</v>
      </c>
      <c r="Z1202">
        <v>2043.52</v>
      </c>
      <c r="AA1202">
        <v>1566.48</v>
      </c>
      <c r="AB1202">
        <v>166.68</v>
      </c>
      <c r="AC1202">
        <v>36</v>
      </c>
      <c r="AD1202" s="41">
        <f t="shared" si="282"/>
        <v>0.42084246789852808</v>
      </c>
      <c r="AE1202" s="41">
        <f t="shared" si="283"/>
        <v>0.54900158316735603</v>
      </c>
      <c r="AF1202">
        <f t="shared" si="284"/>
        <v>1.2484533333333334</v>
      </c>
      <c r="AG1202">
        <f t="shared" si="285"/>
        <v>0.21784826666666668</v>
      </c>
      <c r="AH1202">
        <f t="shared" si="286"/>
        <v>1.6668000000000001</v>
      </c>
      <c r="AI1202">
        <f>HLOOKUP(HLOOKUP(G1202,'THP2'!$B$4:$J$8,5,FALSE),'Fuel &amp; Resister'!$B$3:$G$6,4,FALSE)</f>
        <v>2.7360666666666664</v>
      </c>
      <c r="AJ1202" s="41">
        <f>HLOOKUP(HLOOKUP(G1202,'THP2'!$B$4:$J$8,5,FALSE),'Fuel &amp; Resister'!$B$3:$G$6,3,FALSE)</f>
        <v>13.019</v>
      </c>
      <c r="AO1202" s="1">
        <v>1</v>
      </c>
      <c r="AP1202" s="62">
        <v>0</v>
      </c>
    </row>
    <row r="1203" spans="2:42" x14ac:dyDescent="0.15">
      <c r="B1203" s="81" t="s">
        <v>629</v>
      </c>
      <c r="C1203" s="61">
        <f>VLOOKUP(B1203,[1]SYS!$F$5:$G$359,2,FALSE)</f>
        <v>83</v>
      </c>
      <c r="D1203" s="1" t="s">
        <v>50</v>
      </c>
      <c r="E1203" s="65" t="s">
        <v>542</v>
      </c>
      <c r="F1203" s="63" t="s">
        <v>543</v>
      </c>
      <c r="G1203" s="1">
        <v>8</v>
      </c>
      <c r="H1203" s="1">
        <f t="shared" si="278"/>
        <v>0.4</v>
      </c>
      <c r="I1203" s="1">
        <f t="shared" si="287"/>
        <v>0.68500000000000005</v>
      </c>
      <c r="J1203" s="1">
        <f t="shared" si="289"/>
        <v>1.8299999999999983E-2</v>
      </c>
      <c r="K1203" s="1">
        <f t="shared" si="280"/>
        <v>2.04352</v>
      </c>
      <c r="L1203" s="1">
        <f t="shared" si="281"/>
        <v>1.5664800000000001</v>
      </c>
      <c r="M1203" s="49">
        <v>0</v>
      </c>
      <c r="N1203" s="49">
        <f t="shared" si="288"/>
        <v>1.6668000000000001</v>
      </c>
      <c r="O1203" s="6">
        <v>704</v>
      </c>
      <c r="P1203" s="51">
        <v>0.05</v>
      </c>
      <c r="Q1203" s="51">
        <v>11</v>
      </c>
      <c r="R1203" s="51">
        <v>0</v>
      </c>
      <c r="S1203" s="1">
        <v>1</v>
      </c>
      <c r="T1203" s="1">
        <v>0</v>
      </c>
      <c r="U1203" s="47">
        <v>0</v>
      </c>
      <c r="V1203" s="47"/>
      <c r="W1203" s="41">
        <v>274</v>
      </c>
      <c r="X1203">
        <v>685</v>
      </c>
      <c r="Y1203">
        <v>0.98170000000000002</v>
      </c>
      <c r="Z1203">
        <v>2043.52</v>
      </c>
      <c r="AA1203">
        <v>1566.48</v>
      </c>
      <c r="AB1203">
        <v>166.68</v>
      </c>
      <c r="AC1203">
        <v>36</v>
      </c>
      <c r="AD1203" s="41">
        <f t="shared" si="282"/>
        <v>0.42084246789852808</v>
      </c>
      <c r="AE1203" s="41">
        <f t="shared" si="283"/>
        <v>0.54900158316735603</v>
      </c>
      <c r="AF1203">
        <f t="shared" si="284"/>
        <v>1.2484533333333334</v>
      </c>
      <c r="AG1203">
        <f t="shared" si="285"/>
        <v>0.21784826666666668</v>
      </c>
      <c r="AH1203">
        <f t="shared" si="286"/>
        <v>1.6668000000000001</v>
      </c>
      <c r="AI1203">
        <f>HLOOKUP(HLOOKUP(G1203,'THP2'!$B$4:$J$8,5,FALSE),'Fuel &amp; Resister'!$B$3:$G$6,4,FALSE)</f>
        <v>2.7360666666666664</v>
      </c>
      <c r="AJ1203" s="41">
        <f>HLOOKUP(HLOOKUP(G1203,'THP2'!$B$4:$J$8,5,FALSE),'Fuel &amp; Resister'!$B$3:$G$6,3,FALSE)</f>
        <v>13.019</v>
      </c>
      <c r="AO1203" s="1">
        <v>1</v>
      </c>
      <c r="AP1203" s="1">
        <v>1</v>
      </c>
    </row>
    <row r="1204" spans="2:42" x14ac:dyDescent="0.15">
      <c r="B1204" s="81" t="s">
        <v>629</v>
      </c>
      <c r="C1204" s="61">
        <f>VLOOKUP(B1204,[1]SYS!$F$5:$G$359,2,FALSE)</f>
        <v>83</v>
      </c>
      <c r="D1204" s="1" t="s">
        <v>50</v>
      </c>
      <c r="E1204" s="65" t="s">
        <v>542</v>
      </c>
      <c r="F1204" s="63" t="s">
        <v>543</v>
      </c>
      <c r="G1204" s="1">
        <v>8</v>
      </c>
      <c r="H1204" s="1">
        <f t="shared" si="278"/>
        <v>0.4</v>
      </c>
      <c r="I1204" s="1">
        <f t="shared" si="287"/>
        <v>0.68500000000000005</v>
      </c>
      <c r="J1204" s="1">
        <f t="shared" si="289"/>
        <v>1.8299999999999983E-2</v>
      </c>
      <c r="K1204" s="1">
        <f t="shared" si="280"/>
        <v>2.04352</v>
      </c>
      <c r="L1204" s="1">
        <f t="shared" si="281"/>
        <v>1.5664800000000001</v>
      </c>
      <c r="M1204" s="49">
        <v>0</v>
      </c>
      <c r="N1204" s="49">
        <f t="shared" si="288"/>
        <v>1.6668000000000001</v>
      </c>
      <c r="O1204" s="6">
        <v>809</v>
      </c>
      <c r="P1204" s="51">
        <v>0.05</v>
      </c>
      <c r="Q1204" s="51">
        <v>11</v>
      </c>
      <c r="R1204" s="51">
        <v>0</v>
      </c>
      <c r="S1204" s="1">
        <v>1</v>
      </c>
      <c r="T1204" s="1">
        <v>0</v>
      </c>
      <c r="U1204" s="47">
        <v>0</v>
      </c>
      <c r="V1204" s="47"/>
      <c r="W1204" s="41">
        <v>274</v>
      </c>
      <c r="X1204">
        <v>685</v>
      </c>
      <c r="Y1204">
        <v>0.98170000000000002</v>
      </c>
      <c r="Z1204">
        <v>2043.52</v>
      </c>
      <c r="AA1204">
        <v>1566.48</v>
      </c>
      <c r="AB1204">
        <v>166.68</v>
      </c>
      <c r="AC1204">
        <v>36</v>
      </c>
      <c r="AD1204" s="41">
        <f t="shared" si="282"/>
        <v>0.42084246789852808</v>
      </c>
      <c r="AE1204" s="41">
        <f t="shared" si="283"/>
        <v>0.54900158316735603</v>
      </c>
      <c r="AF1204">
        <f t="shared" si="284"/>
        <v>1.2484533333333334</v>
      </c>
      <c r="AG1204">
        <f t="shared" si="285"/>
        <v>0.21784826666666668</v>
      </c>
      <c r="AH1204">
        <f t="shared" si="286"/>
        <v>1.6668000000000001</v>
      </c>
      <c r="AI1204">
        <f>HLOOKUP(HLOOKUP(G1204,'THP2'!$B$4:$J$8,5,FALSE),'Fuel &amp; Resister'!$B$3:$G$6,4,FALSE)</f>
        <v>2.7360666666666664</v>
      </c>
      <c r="AJ1204" s="41">
        <f>HLOOKUP(HLOOKUP(G1204,'THP2'!$B$4:$J$8,5,FALSE),'Fuel &amp; Resister'!$B$3:$G$6,3,FALSE)</f>
        <v>13.019</v>
      </c>
      <c r="AO1204" s="1">
        <v>1</v>
      </c>
      <c r="AP1204" s="1">
        <v>1</v>
      </c>
    </row>
    <row r="1205" spans="2:42" x14ac:dyDescent="0.15">
      <c r="B1205" s="81" t="s">
        <v>630</v>
      </c>
      <c r="C1205" s="61">
        <f>VLOOKUP(B1205,[1]SYS!$F$5:$G$359,2,FALSE)</f>
        <v>152</v>
      </c>
      <c r="D1205" s="1" t="s">
        <v>50</v>
      </c>
      <c r="E1205" s="65" t="s">
        <v>363</v>
      </c>
      <c r="F1205" s="63" t="s">
        <v>362</v>
      </c>
      <c r="G1205" s="1">
        <v>8</v>
      </c>
      <c r="H1205" s="1">
        <f t="shared" si="278"/>
        <v>0.39983164983164982</v>
      </c>
      <c r="I1205" s="1">
        <f t="shared" si="287"/>
        <v>1.1879999999999999</v>
      </c>
      <c r="J1205" s="1">
        <f t="shared" si="289"/>
        <v>1.639999999999997E-2</v>
      </c>
      <c r="K1205" s="1">
        <f t="shared" si="280"/>
        <v>2.0105599999999999</v>
      </c>
      <c r="L1205" s="1">
        <f t="shared" si="281"/>
        <v>1.54122</v>
      </c>
      <c r="M1205" s="49">
        <v>0</v>
      </c>
      <c r="N1205" s="49">
        <v>2.1949000000000001</v>
      </c>
      <c r="O1205" s="1">
        <v>514</v>
      </c>
      <c r="P1205" s="51">
        <v>0.05</v>
      </c>
      <c r="Q1205" s="51">
        <v>11</v>
      </c>
      <c r="R1205" s="51">
        <v>0</v>
      </c>
      <c r="S1205" s="1">
        <v>1</v>
      </c>
      <c r="T1205" s="1">
        <v>0</v>
      </c>
      <c r="U1205" s="47">
        <v>1</v>
      </c>
      <c r="V1205" s="47">
        <v>229</v>
      </c>
      <c r="W1205" s="41">
        <v>475</v>
      </c>
      <c r="X1205">
        <v>1188</v>
      </c>
      <c r="Y1205">
        <v>0.98360000000000003</v>
      </c>
      <c r="Z1205">
        <v>2010.56</v>
      </c>
      <c r="AA1205">
        <v>1541.22</v>
      </c>
      <c r="AB1205">
        <v>219.49</v>
      </c>
      <c r="AC1205">
        <v>36</v>
      </c>
      <c r="AD1205" s="41">
        <f t="shared" si="282"/>
        <v>0.42774152474932353</v>
      </c>
      <c r="AE1205" s="41">
        <f t="shared" si="283"/>
        <v>0.55799950688415678</v>
      </c>
      <c r="AF1205">
        <f t="shared" si="284"/>
        <v>1.2285460869565219</v>
      </c>
      <c r="AG1205">
        <f t="shared" si="285"/>
        <v>0.371456608695652</v>
      </c>
      <c r="AH1205">
        <f t="shared" si="286"/>
        <v>2.1949000000000001</v>
      </c>
      <c r="AI1205">
        <f>HLOOKUP(HLOOKUP(G1205,'THP2'!$B$4:$J$8,5,FALSE),'Fuel &amp; Resister'!$B$3:$G$6,4,FALSE)</f>
        <v>2.7360666666666664</v>
      </c>
      <c r="AJ1205" s="41">
        <f>HLOOKUP(HLOOKUP(G1205,'THP2'!$B$4:$J$8,5,FALSE),'Fuel &amp; Resister'!$B$3:$G$6,3,FALSE)</f>
        <v>13.019</v>
      </c>
      <c r="AO1205" s="62">
        <v>0</v>
      </c>
      <c r="AP1205" s="62">
        <v>0</v>
      </c>
    </row>
    <row r="1206" spans="2:42" x14ac:dyDescent="0.15">
      <c r="B1206" s="81" t="s">
        <v>630</v>
      </c>
      <c r="C1206" s="61">
        <f>VLOOKUP(B1206,[1]SYS!$F$5:$G$359,2,FALSE)</f>
        <v>152</v>
      </c>
      <c r="D1206" s="1" t="s">
        <v>50</v>
      </c>
      <c r="E1206" s="65" t="s">
        <v>361</v>
      </c>
      <c r="F1206" s="63" t="s">
        <v>362</v>
      </c>
      <c r="G1206" s="1">
        <v>8</v>
      </c>
      <c r="H1206" s="1">
        <f t="shared" si="278"/>
        <v>0.39983164983164982</v>
      </c>
      <c r="I1206" s="1">
        <f t="shared" si="287"/>
        <v>1.1879999999999999</v>
      </c>
      <c r="J1206" s="1">
        <f t="shared" si="289"/>
        <v>1.639999999999997E-2</v>
      </c>
      <c r="K1206" s="1">
        <f t="shared" si="280"/>
        <v>2.0105599999999999</v>
      </c>
      <c r="L1206" s="1">
        <f t="shared" si="281"/>
        <v>1.54122</v>
      </c>
      <c r="M1206" s="49">
        <v>0</v>
      </c>
      <c r="N1206" s="49">
        <v>2.1949000000000001</v>
      </c>
      <c r="O1206" s="1">
        <v>514</v>
      </c>
      <c r="P1206" s="51">
        <v>0.05</v>
      </c>
      <c r="Q1206" s="51">
        <v>11</v>
      </c>
      <c r="R1206" s="51">
        <v>0</v>
      </c>
      <c r="S1206" s="1">
        <v>1</v>
      </c>
      <c r="T1206" s="1">
        <v>0</v>
      </c>
      <c r="U1206" s="47">
        <v>1</v>
      </c>
      <c r="V1206" s="47">
        <v>230</v>
      </c>
      <c r="W1206" s="41">
        <v>475</v>
      </c>
      <c r="X1206">
        <v>1188</v>
      </c>
      <c r="Y1206">
        <v>0.98360000000000003</v>
      </c>
      <c r="Z1206">
        <v>2010.56</v>
      </c>
      <c r="AA1206">
        <v>1541.22</v>
      </c>
      <c r="AB1206">
        <v>219.49</v>
      </c>
      <c r="AC1206">
        <v>36</v>
      </c>
      <c r="AD1206" s="41">
        <f t="shared" si="282"/>
        <v>0.42774152474932353</v>
      </c>
      <c r="AE1206" s="41">
        <f t="shared" si="283"/>
        <v>0.55799950688415678</v>
      </c>
      <c r="AF1206">
        <f t="shared" si="284"/>
        <v>1.2285460869565219</v>
      </c>
      <c r="AG1206">
        <f t="shared" si="285"/>
        <v>0.371456608695652</v>
      </c>
      <c r="AH1206">
        <f t="shared" si="286"/>
        <v>2.1949000000000001</v>
      </c>
      <c r="AI1206">
        <f>HLOOKUP(HLOOKUP(G1206,'THP2'!$B$4:$J$8,5,FALSE),'Fuel &amp; Resister'!$B$3:$G$6,4,FALSE)</f>
        <v>2.7360666666666664</v>
      </c>
      <c r="AJ1206" s="41">
        <f>HLOOKUP(HLOOKUP(G1206,'THP2'!$B$4:$J$8,5,FALSE),'Fuel &amp; Resister'!$B$3:$G$6,3,FALSE)</f>
        <v>13.019</v>
      </c>
      <c r="AO1206" s="62">
        <v>0</v>
      </c>
      <c r="AP1206" s="62">
        <v>0</v>
      </c>
    </row>
    <row r="1207" spans="2:42" x14ac:dyDescent="0.15">
      <c r="B1207" s="81" t="s">
        <v>631</v>
      </c>
      <c r="C1207" s="61">
        <f>VLOOKUP(B1207,[1]SYS!$F$5:$G$359,2,FALSE)</f>
        <v>168</v>
      </c>
      <c r="D1207" s="1" t="s">
        <v>50</v>
      </c>
      <c r="E1207" s="65" t="s">
        <v>356</v>
      </c>
      <c r="F1207" s="63" t="s">
        <v>357</v>
      </c>
      <c r="G1207" s="1">
        <v>8</v>
      </c>
      <c r="H1207" s="1">
        <f t="shared" si="278"/>
        <v>0.4</v>
      </c>
      <c r="I1207" s="1">
        <f t="shared" si="287"/>
        <v>0.59499999999999997</v>
      </c>
      <c r="J1207" s="1">
        <f t="shared" si="289"/>
        <v>2.6900000000000035E-2</v>
      </c>
      <c r="K1207" s="1">
        <f t="shared" si="280"/>
        <v>2.1308499999999997</v>
      </c>
      <c r="L1207" s="1">
        <f t="shared" si="281"/>
        <v>1.6334300000000002</v>
      </c>
      <c r="M1207" s="49">
        <v>0</v>
      </c>
      <c r="N1207" s="49">
        <v>1.5712999999999999</v>
      </c>
      <c r="O1207" s="6">
        <v>326</v>
      </c>
      <c r="P1207" s="51">
        <v>0.05</v>
      </c>
      <c r="Q1207" s="51">
        <v>11</v>
      </c>
      <c r="R1207" s="51">
        <v>0</v>
      </c>
      <c r="S1207" s="1">
        <v>1</v>
      </c>
      <c r="T1207" s="1">
        <v>0</v>
      </c>
      <c r="U1207" s="47">
        <v>1</v>
      </c>
      <c r="V1207" s="47">
        <v>231</v>
      </c>
      <c r="W1207" s="41">
        <v>238</v>
      </c>
      <c r="X1207">
        <v>595</v>
      </c>
      <c r="Y1207">
        <v>0.97309999999999997</v>
      </c>
      <c r="Z1207">
        <v>2130.85</v>
      </c>
      <c r="AA1207">
        <v>1633.43</v>
      </c>
      <c r="AB1207">
        <v>157.13</v>
      </c>
      <c r="AC1207">
        <v>36</v>
      </c>
      <c r="AD1207" s="41">
        <f t="shared" si="282"/>
        <v>0.40359480958303029</v>
      </c>
      <c r="AE1207" s="41">
        <f t="shared" si="283"/>
        <v>0.52649945207324467</v>
      </c>
      <c r="AF1207">
        <f t="shared" si="284"/>
        <v>1.3018166666666673</v>
      </c>
      <c r="AG1207">
        <f t="shared" si="285"/>
        <v>0.19730993333333305</v>
      </c>
      <c r="AH1207">
        <f t="shared" si="286"/>
        <v>1.5712999999999999</v>
      </c>
      <c r="AI1207">
        <f>HLOOKUP(HLOOKUP(G1207,'THP2'!$B$4:$J$8,5,FALSE),'Fuel &amp; Resister'!$B$3:$G$6,4,FALSE)</f>
        <v>2.7360666666666664</v>
      </c>
      <c r="AJ1207" s="41">
        <f>HLOOKUP(HLOOKUP(G1207,'THP2'!$B$4:$J$8,5,FALSE),'Fuel &amp; Resister'!$B$3:$G$6,3,FALSE)</f>
        <v>13.019</v>
      </c>
      <c r="AO1207" s="62">
        <v>0</v>
      </c>
      <c r="AP1207" s="62">
        <v>0</v>
      </c>
    </row>
    <row r="1208" spans="2:42" x14ac:dyDescent="0.15">
      <c r="B1208" s="81" t="s">
        <v>631</v>
      </c>
      <c r="C1208" s="61">
        <f>VLOOKUP(B1208,[1]SYS!$F$5:$G$359,2,FALSE)</f>
        <v>168</v>
      </c>
      <c r="D1208" s="1" t="s">
        <v>50</v>
      </c>
      <c r="E1208" s="65" t="s">
        <v>358</v>
      </c>
      <c r="F1208" s="63" t="s">
        <v>357</v>
      </c>
      <c r="G1208" s="1">
        <v>8</v>
      </c>
      <c r="H1208" s="1">
        <f t="shared" si="278"/>
        <v>0.4</v>
      </c>
      <c r="I1208" s="1">
        <f t="shared" si="287"/>
        <v>0.59499999999999997</v>
      </c>
      <c r="J1208" s="1">
        <f t="shared" si="289"/>
        <v>2.6900000000000035E-2</v>
      </c>
      <c r="K1208" s="1">
        <f t="shared" si="280"/>
        <v>2.1308499999999997</v>
      </c>
      <c r="L1208" s="1">
        <f t="shared" si="281"/>
        <v>1.6334300000000002</v>
      </c>
      <c r="M1208" s="49">
        <v>0</v>
      </c>
      <c r="N1208" s="49">
        <v>1.5712999999999999</v>
      </c>
      <c r="O1208" s="1">
        <v>413</v>
      </c>
      <c r="P1208" s="51">
        <v>0.05</v>
      </c>
      <c r="Q1208" s="51">
        <v>11</v>
      </c>
      <c r="R1208" s="51">
        <v>0</v>
      </c>
      <c r="S1208" s="1">
        <v>1</v>
      </c>
      <c r="T1208" s="1">
        <v>0</v>
      </c>
      <c r="U1208" s="47">
        <v>1</v>
      </c>
      <c r="V1208" s="47">
        <v>232</v>
      </c>
      <c r="W1208" s="41">
        <v>238</v>
      </c>
      <c r="X1208">
        <v>595</v>
      </c>
      <c r="Y1208">
        <v>0.97309999999999997</v>
      </c>
      <c r="Z1208">
        <v>2130.85</v>
      </c>
      <c r="AA1208">
        <v>1633.43</v>
      </c>
      <c r="AB1208">
        <v>157.13</v>
      </c>
      <c r="AC1208">
        <v>36</v>
      </c>
      <c r="AD1208" s="41">
        <f t="shared" si="282"/>
        <v>0.40359480958303029</v>
      </c>
      <c r="AE1208" s="41">
        <f t="shared" si="283"/>
        <v>0.52649945207324467</v>
      </c>
      <c r="AF1208">
        <f t="shared" si="284"/>
        <v>1.3018166666666673</v>
      </c>
      <c r="AG1208">
        <f t="shared" si="285"/>
        <v>0.19730993333333305</v>
      </c>
      <c r="AH1208">
        <f t="shared" si="286"/>
        <v>1.5712999999999999</v>
      </c>
      <c r="AI1208">
        <f>HLOOKUP(HLOOKUP(G1208,'THP2'!$B$4:$J$8,5,FALSE),'Fuel &amp; Resister'!$B$3:$G$6,4,FALSE)</f>
        <v>2.7360666666666664</v>
      </c>
      <c r="AJ1208" s="41">
        <f>HLOOKUP(HLOOKUP(G1208,'THP2'!$B$4:$J$8,5,FALSE),'Fuel &amp; Resister'!$B$3:$G$6,3,FALSE)</f>
        <v>13.019</v>
      </c>
      <c r="AO1208" s="62">
        <v>0</v>
      </c>
      <c r="AP1208" s="62">
        <v>0</v>
      </c>
    </row>
    <row r="1209" spans="2:42" x14ac:dyDescent="0.15">
      <c r="B1209" s="81" t="s">
        <v>631</v>
      </c>
      <c r="C1209" s="61">
        <f>VLOOKUP(B1209,[1]SYS!$F$5:$G$359,2,FALSE)</f>
        <v>168</v>
      </c>
      <c r="D1209" s="1" t="s">
        <v>50</v>
      </c>
      <c r="E1209" s="65" t="s">
        <v>359</v>
      </c>
      <c r="F1209" s="63" t="s">
        <v>357</v>
      </c>
      <c r="G1209" s="1">
        <v>8</v>
      </c>
      <c r="H1209" s="1">
        <f t="shared" si="278"/>
        <v>0.4</v>
      </c>
      <c r="I1209" s="1">
        <f t="shared" si="287"/>
        <v>0.59499999999999997</v>
      </c>
      <c r="J1209" s="1">
        <f t="shared" si="289"/>
        <v>2.6900000000000035E-2</v>
      </c>
      <c r="K1209" s="1">
        <f t="shared" si="280"/>
        <v>2.1308499999999997</v>
      </c>
      <c r="L1209" s="1">
        <f t="shared" si="281"/>
        <v>1.6334300000000002</v>
      </c>
      <c r="M1209" s="49">
        <v>0</v>
      </c>
      <c r="N1209" s="49">
        <v>1.5712999999999999</v>
      </c>
      <c r="O1209" s="1">
        <v>1113</v>
      </c>
      <c r="P1209" s="51">
        <v>0.05</v>
      </c>
      <c r="Q1209" s="51">
        <v>11</v>
      </c>
      <c r="R1209" s="51">
        <v>0</v>
      </c>
      <c r="S1209" s="1">
        <v>1</v>
      </c>
      <c r="T1209" s="1">
        <v>0</v>
      </c>
      <c r="U1209" s="47">
        <v>1</v>
      </c>
      <c r="V1209" s="47">
        <v>233</v>
      </c>
      <c r="W1209" s="41">
        <v>238</v>
      </c>
      <c r="X1209">
        <v>595</v>
      </c>
      <c r="Y1209">
        <v>0.97309999999999997</v>
      </c>
      <c r="Z1209">
        <v>2130.85</v>
      </c>
      <c r="AA1209">
        <v>1633.43</v>
      </c>
      <c r="AB1209">
        <v>157.13</v>
      </c>
      <c r="AC1209">
        <v>36</v>
      </c>
      <c r="AD1209" s="41">
        <f t="shared" si="282"/>
        <v>0.40359480958303029</v>
      </c>
      <c r="AE1209" s="41">
        <f t="shared" si="283"/>
        <v>0.52649945207324467</v>
      </c>
      <c r="AF1209">
        <f t="shared" si="284"/>
        <v>1.3018166666666673</v>
      </c>
      <c r="AG1209">
        <f t="shared" si="285"/>
        <v>0.19730993333333305</v>
      </c>
      <c r="AH1209">
        <f t="shared" si="286"/>
        <v>1.5712999999999999</v>
      </c>
      <c r="AI1209">
        <f>HLOOKUP(HLOOKUP(G1209,'THP2'!$B$4:$J$8,5,FALSE),'Fuel &amp; Resister'!$B$3:$G$6,4,FALSE)</f>
        <v>2.7360666666666664</v>
      </c>
      <c r="AJ1209" s="41">
        <f>HLOOKUP(HLOOKUP(G1209,'THP2'!$B$4:$J$8,5,FALSE),'Fuel &amp; Resister'!$B$3:$G$6,3,FALSE)</f>
        <v>13.019</v>
      </c>
      <c r="AO1209" s="62">
        <v>0</v>
      </c>
      <c r="AP1209" s="62">
        <v>0</v>
      </c>
    </row>
    <row r="1210" spans="2:42" x14ac:dyDescent="0.15">
      <c r="B1210" s="81" t="s">
        <v>631</v>
      </c>
      <c r="C1210" s="61">
        <f>VLOOKUP(B1210,[1]SYS!$F$5:$G$359,2,FALSE)</f>
        <v>168</v>
      </c>
      <c r="D1210" s="1" t="s">
        <v>50</v>
      </c>
      <c r="E1210" s="65" t="s">
        <v>360</v>
      </c>
      <c r="F1210" s="63" t="s">
        <v>357</v>
      </c>
      <c r="G1210" s="1">
        <v>8</v>
      </c>
      <c r="H1210" s="1">
        <f t="shared" si="278"/>
        <v>0.4</v>
      </c>
      <c r="I1210" s="1">
        <f t="shared" si="287"/>
        <v>0.59499999999999997</v>
      </c>
      <c r="J1210" s="1">
        <f t="shared" si="289"/>
        <v>2.6900000000000035E-2</v>
      </c>
      <c r="K1210" s="1">
        <f t="shared" si="280"/>
        <v>2.1308499999999997</v>
      </c>
      <c r="L1210" s="1">
        <f t="shared" si="281"/>
        <v>1.6334300000000002</v>
      </c>
      <c r="M1210" s="49">
        <v>0</v>
      </c>
      <c r="N1210" s="49">
        <v>1.5712999999999999</v>
      </c>
      <c r="O1210" s="1">
        <v>613</v>
      </c>
      <c r="P1210" s="51">
        <v>0.05</v>
      </c>
      <c r="Q1210" s="51">
        <v>11</v>
      </c>
      <c r="R1210" s="51">
        <v>0</v>
      </c>
      <c r="S1210" s="1">
        <v>1</v>
      </c>
      <c r="T1210" s="1">
        <v>0</v>
      </c>
      <c r="U1210" s="47">
        <v>1</v>
      </c>
      <c r="V1210" s="47">
        <v>234</v>
      </c>
      <c r="W1210" s="41">
        <v>238</v>
      </c>
      <c r="X1210">
        <v>595</v>
      </c>
      <c r="Y1210">
        <v>0.97309999999999997</v>
      </c>
      <c r="Z1210">
        <v>2130.85</v>
      </c>
      <c r="AA1210">
        <v>1633.43</v>
      </c>
      <c r="AB1210">
        <v>157.13</v>
      </c>
      <c r="AC1210">
        <v>36</v>
      </c>
      <c r="AD1210" s="41">
        <f t="shared" si="282"/>
        <v>0.40359480958303029</v>
      </c>
      <c r="AE1210" s="41">
        <f t="shared" si="283"/>
        <v>0.52649945207324467</v>
      </c>
      <c r="AF1210">
        <f t="shared" si="284"/>
        <v>1.3018166666666673</v>
      </c>
      <c r="AG1210">
        <f t="shared" si="285"/>
        <v>0.19730993333333305</v>
      </c>
      <c r="AH1210">
        <f t="shared" si="286"/>
        <v>1.5712999999999999</v>
      </c>
      <c r="AI1210">
        <f>HLOOKUP(HLOOKUP(G1210,'THP2'!$B$4:$J$8,5,FALSE),'Fuel &amp; Resister'!$B$3:$G$6,4,FALSE)</f>
        <v>2.7360666666666664</v>
      </c>
      <c r="AJ1210" s="41">
        <f>HLOOKUP(HLOOKUP(G1210,'THP2'!$B$4:$J$8,5,FALSE),'Fuel &amp; Resister'!$B$3:$G$6,3,FALSE)</f>
        <v>13.019</v>
      </c>
      <c r="AO1210" s="62">
        <v>0</v>
      </c>
      <c r="AP1210" s="62">
        <v>0</v>
      </c>
    </row>
    <row r="1211" spans="2:42" x14ac:dyDescent="0.15">
      <c r="B1211" s="81" t="s">
        <v>596</v>
      </c>
      <c r="C1211" s="61">
        <f>VLOOKUP(B1211,[1]SYS!$F$5:$G$359,2,FALSE)</f>
        <v>155</v>
      </c>
      <c r="D1211" s="1" t="s">
        <v>50</v>
      </c>
      <c r="E1211" s="65" t="s">
        <v>347</v>
      </c>
      <c r="F1211" s="63" t="s">
        <v>346</v>
      </c>
      <c r="G1211" s="1">
        <v>8</v>
      </c>
      <c r="H1211" s="1">
        <f t="shared" si="278"/>
        <v>0.4</v>
      </c>
      <c r="I1211" s="1">
        <f t="shared" si="287"/>
        <v>0.4</v>
      </c>
      <c r="J1211" s="1">
        <f t="shared" si="289"/>
        <v>2.0000000000000018E-2</v>
      </c>
      <c r="K1211" s="1">
        <f t="shared" si="280"/>
        <v>2.1492199999999997</v>
      </c>
      <c r="L1211" s="1">
        <f t="shared" si="281"/>
        <v>1.64751</v>
      </c>
      <c r="M1211" s="49">
        <v>0</v>
      </c>
      <c r="N1211" s="49">
        <v>1.3619999999999999</v>
      </c>
      <c r="O1211" s="1">
        <v>514</v>
      </c>
      <c r="P1211" s="51">
        <v>0.05</v>
      </c>
      <c r="Q1211" s="51">
        <v>11</v>
      </c>
      <c r="R1211" s="51">
        <v>0</v>
      </c>
      <c r="S1211" s="1">
        <v>1</v>
      </c>
      <c r="T1211" s="1">
        <v>0</v>
      </c>
      <c r="U1211" s="47">
        <v>1</v>
      </c>
      <c r="V1211" s="47">
        <v>235</v>
      </c>
      <c r="W1211" s="41">
        <v>160</v>
      </c>
      <c r="X1211">
        <v>400</v>
      </c>
      <c r="Y1211">
        <v>0.98</v>
      </c>
      <c r="Z1211">
        <v>2149.2199999999998</v>
      </c>
      <c r="AA1211">
        <v>1647.51</v>
      </c>
      <c r="AB1211">
        <v>136.19999999999999</v>
      </c>
      <c r="AC1211">
        <v>36</v>
      </c>
      <c r="AD1211" s="41">
        <f t="shared" si="282"/>
        <v>0.40014516894501267</v>
      </c>
      <c r="AE1211" s="41">
        <f t="shared" si="283"/>
        <v>0.52199986646515051</v>
      </c>
      <c r="AF1211">
        <f t="shared" si="284"/>
        <v>1.3130366666666669</v>
      </c>
      <c r="AG1211">
        <f t="shared" si="285"/>
        <v>0.13378933333333329</v>
      </c>
      <c r="AH1211">
        <f t="shared" si="286"/>
        <v>1.3619999999999999</v>
      </c>
      <c r="AI1211">
        <f>HLOOKUP(HLOOKUP(G1211,'THP2'!$B$4:$J$8,5,FALSE),'Fuel &amp; Resister'!$B$3:$G$6,4,FALSE)</f>
        <v>2.7360666666666664</v>
      </c>
      <c r="AJ1211" s="41">
        <f>HLOOKUP(HLOOKUP(G1211,'THP2'!$B$4:$J$8,5,FALSE),'Fuel &amp; Resister'!$B$3:$G$6,3,FALSE)</f>
        <v>13.019</v>
      </c>
      <c r="AO1211" s="62">
        <v>0</v>
      </c>
      <c r="AP1211" s="62">
        <v>0</v>
      </c>
    </row>
    <row r="1212" spans="2:42" x14ac:dyDescent="0.15">
      <c r="B1212" s="81" t="s">
        <v>596</v>
      </c>
      <c r="C1212" s="61">
        <f>VLOOKUP(B1212,[1]SYS!$F$5:$G$359,2,FALSE)</f>
        <v>155</v>
      </c>
      <c r="D1212" s="1" t="s">
        <v>50</v>
      </c>
      <c r="E1212" s="65" t="s">
        <v>348</v>
      </c>
      <c r="F1212" s="63" t="s">
        <v>346</v>
      </c>
      <c r="G1212" s="1">
        <v>8</v>
      </c>
      <c r="H1212" s="1">
        <f t="shared" si="278"/>
        <v>0.4</v>
      </c>
      <c r="I1212" s="1">
        <f t="shared" si="287"/>
        <v>0.4</v>
      </c>
      <c r="J1212" s="1">
        <f t="shared" si="289"/>
        <v>2.0000000000000018E-2</v>
      </c>
      <c r="K1212" s="1">
        <f t="shared" si="280"/>
        <v>2.1492199999999997</v>
      </c>
      <c r="L1212" s="1">
        <f t="shared" si="281"/>
        <v>1.64751</v>
      </c>
      <c r="M1212" s="49">
        <v>0</v>
      </c>
      <c r="N1212" s="49">
        <v>1.3619999999999999</v>
      </c>
      <c r="O1212" s="1">
        <v>913</v>
      </c>
      <c r="P1212" s="51">
        <v>0.05</v>
      </c>
      <c r="Q1212" s="51">
        <v>11</v>
      </c>
      <c r="R1212" s="51">
        <v>0</v>
      </c>
      <c r="S1212" s="1">
        <v>1</v>
      </c>
      <c r="T1212" s="1">
        <v>0</v>
      </c>
      <c r="U1212" s="47">
        <v>1</v>
      </c>
      <c r="V1212" s="47">
        <v>236</v>
      </c>
      <c r="W1212" s="41">
        <v>160</v>
      </c>
      <c r="X1212">
        <v>400</v>
      </c>
      <c r="Y1212">
        <v>0.98</v>
      </c>
      <c r="Z1212">
        <v>2149.2199999999998</v>
      </c>
      <c r="AA1212">
        <v>1647.51</v>
      </c>
      <c r="AB1212">
        <v>136.19999999999999</v>
      </c>
      <c r="AC1212">
        <v>36</v>
      </c>
      <c r="AD1212" s="41">
        <f t="shared" si="282"/>
        <v>0.40014516894501267</v>
      </c>
      <c r="AE1212" s="41">
        <f t="shared" si="283"/>
        <v>0.52199986646515051</v>
      </c>
      <c r="AF1212">
        <f t="shared" si="284"/>
        <v>1.3130366666666669</v>
      </c>
      <c r="AG1212">
        <f t="shared" si="285"/>
        <v>0.13378933333333329</v>
      </c>
      <c r="AH1212">
        <f t="shared" si="286"/>
        <v>1.3619999999999999</v>
      </c>
      <c r="AI1212">
        <f>HLOOKUP(HLOOKUP(G1212,'THP2'!$B$4:$J$8,5,FALSE),'Fuel &amp; Resister'!$B$3:$G$6,4,FALSE)</f>
        <v>2.7360666666666664</v>
      </c>
      <c r="AJ1212" s="41">
        <f>HLOOKUP(HLOOKUP(G1212,'THP2'!$B$4:$J$8,5,FALSE),'Fuel &amp; Resister'!$B$3:$G$6,3,FALSE)</f>
        <v>13.019</v>
      </c>
      <c r="AO1212" s="62">
        <v>0</v>
      </c>
      <c r="AP1212" s="62">
        <v>0</v>
      </c>
    </row>
    <row r="1213" spans="2:42" x14ac:dyDescent="0.15">
      <c r="B1213" s="81" t="s">
        <v>596</v>
      </c>
      <c r="C1213" s="61">
        <f>VLOOKUP(B1213,[1]SYS!$F$5:$G$359,2,FALSE)</f>
        <v>155</v>
      </c>
      <c r="D1213" s="1" t="s">
        <v>50</v>
      </c>
      <c r="E1213" s="65" t="s">
        <v>349</v>
      </c>
      <c r="F1213" s="63" t="s">
        <v>346</v>
      </c>
      <c r="G1213" s="1">
        <v>8</v>
      </c>
      <c r="H1213" s="1">
        <f t="shared" si="278"/>
        <v>0.4</v>
      </c>
      <c r="I1213" s="1">
        <f t="shared" si="287"/>
        <v>0.4</v>
      </c>
      <c r="J1213" s="1">
        <f t="shared" si="289"/>
        <v>2.0000000000000018E-2</v>
      </c>
      <c r="K1213" s="1">
        <f t="shared" si="280"/>
        <v>2.1492199999999997</v>
      </c>
      <c r="L1213" s="1">
        <f t="shared" si="281"/>
        <v>1.64751</v>
      </c>
      <c r="M1213" s="49">
        <v>0</v>
      </c>
      <c r="N1213" s="49">
        <v>1.3619999999999999</v>
      </c>
      <c r="O1213" s="6">
        <v>326</v>
      </c>
      <c r="P1213" s="51">
        <v>0.05</v>
      </c>
      <c r="Q1213" s="51">
        <v>11</v>
      </c>
      <c r="R1213" s="51">
        <v>0</v>
      </c>
      <c r="S1213" s="1">
        <v>1</v>
      </c>
      <c r="T1213" s="1">
        <v>0</v>
      </c>
      <c r="U1213" s="47">
        <v>1</v>
      </c>
      <c r="V1213" s="47">
        <v>237</v>
      </c>
      <c r="W1213" s="41">
        <v>160</v>
      </c>
      <c r="X1213">
        <v>400</v>
      </c>
      <c r="Y1213">
        <v>0.98</v>
      </c>
      <c r="Z1213">
        <v>2149.2199999999998</v>
      </c>
      <c r="AA1213">
        <v>1647.51</v>
      </c>
      <c r="AB1213">
        <v>136.19999999999999</v>
      </c>
      <c r="AC1213">
        <v>36</v>
      </c>
      <c r="AD1213" s="41">
        <f t="shared" si="282"/>
        <v>0.40014516894501267</v>
      </c>
      <c r="AE1213" s="41">
        <f t="shared" si="283"/>
        <v>0.52199986646515051</v>
      </c>
      <c r="AF1213">
        <f t="shared" si="284"/>
        <v>1.3130366666666669</v>
      </c>
      <c r="AG1213">
        <f t="shared" si="285"/>
        <v>0.13378933333333329</v>
      </c>
      <c r="AH1213">
        <f t="shared" si="286"/>
        <v>1.3619999999999999</v>
      </c>
      <c r="AI1213">
        <f>HLOOKUP(HLOOKUP(G1213,'THP2'!$B$4:$J$8,5,FALSE),'Fuel &amp; Resister'!$B$3:$G$6,4,FALSE)</f>
        <v>2.7360666666666664</v>
      </c>
      <c r="AJ1213" s="41">
        <f>HLOOKUP(HLOOKUP(G1213,'THP2'!$B$4:$J$8,5,FALSE),'Fuel &amp; Resister'!$B$3:$G$6,3,FALSE)</f>
        <v>13.019</v>
      </c>
      <c r="AO1213" s="62">
        <v>0</v>
      </c>
      <c r="AP1213" s="62">
        <v>0</v>
      </c>
    </row>
    <row r="1214" spans="2:42" x14ac:dyDescent="0.15">
      <c r="B1214" s="81" t="s">
        <v>596</v>
      </c>
      <c r="C1214" s="61">
        <f>VLOOKUP(B1214,[1]SYS!$F$5:$G$359,2,FALSE)</f>
        <v>155</v>
      </c>
      <c r="D1214" s="1" t="s">
        <v>50</v>
      </c>
      <c r="E1214" s="65" t="s">
        <v>350</v>
      </c>
      <c r="F1214" s="63" t="s">
        <v>346</v>
      </c>
      <c r="G1214" s="1">
        <v>8</v>
      </c>
      <c r="H1214" s="1">
        <f t="shared" si="278"/>
        <v>0.4</v>
      </c>
      <c r="I1214" s="1">
        <f t="shared" si="287"/>
        <v>0.4</v>
      </c>
      <c r="J1214" s="1">
        <f t="shared" si="289"/>
        <v>2.0000000000000018E-2</v>
      </c>
      <c r="K1214" s="1">
        <f t="shared" si="280"/>
        <v>2.1492199999999997</v>
      </c>
      <c r="L1214" s="1">
        <f t="shared" si="281"/>
        <v>1.64751</v>
      </c>
      <c r="M1214" s="49">
        <v>0</v>
      </c>
      <c r="N1214" s="49">
        <v>1.3619999999999999</v>
      </c>
      <c r="O1214" s="1">
        <v>514</v>
      </c>
      <c r="P1214" s="51">
        <v>0.05</v>
      </c>
      <c r="Q1214" s="51">
        <v>11</v>
      </c>
      <c r="R1214" s="51">
        <v>0</v>
      </c>
      <c r="S1214" s="1">
        <v>1</v>
      </c>
      <c r="T1214" s="1">
        <v>0</v>
      </c>
      <c r="U1214" s="47">
        <v>1</v>
      </c>
      <c r="V1214" s="47">
        <v>238</v>
      </c>
      <c r="W1214" s="41">
        <v>160</v>
      </c>
      <c r="X1214">
        <v>400</v>
      </c>
      <c r="Y1214">
        <v>0.98</v>
      </c>
      <c r="Z1214">
        <v>2149.2199999999998</v>
      </c>
      <c r="AA1214">
        <v>1647.51</v>
      </c>
      <c r="AB1214">
        <v>136.19999999999999</v>
      </c>
      <c r="AC1214">
        <v>36</v>
      </c>
      <c r="AD1214" s="41">
        <f t="shared" si="282"/>
        <v>0.40014516894501267</v>
      </c>
      <c r="AE1214" s="41">
        <f t="shared" si="283"/>
        <v>0.52199986646515051</v>
      </c>
      <c r="AF1214">
        <f t="shared" si="284"/>
        <v>1.3130366666666669</v>
      </c>
      <c r="AG1214">
        <f t="shared" si="285"/>
        <v>0.13378933333333329</v>
      </c>
      <c r="AH1214">
        <f t="shared" si="286"/>
        <v>1.3619999999999999</v>
      </c>
      <c r="AI1214">
        <f>HLOOKUP(HLOOKUP(G1214,'THP2'!$B$4:$J$8,5,FALSE),'Fuel &amp; Resister'!$B$3:$G$6,4,FALSE)</f>
        <v>2.7360666666666664</v>
      </c>
      <c r="AJ1214" s="41">
        <f>HLOOKUP(HLOOKUP(G1214,'THP2'!$B$4:$J$8,5,FALSE),'Fuel &amp; Resister'!$B$3:$G$6,3,FALSE)</f>
        <v>13.019</v>
      </c>
      <c r="AO1214" s="62">
        <v>0</v>
      </c>
      <c r="AP1214" s="62">
        <v>0</v>
      </c>
    </row>
    <row r="1215" spans="2:42" x14ac:dyDescent="0.15">
      <c r="B1215" s="81" t="s">
        <v>596</v>
      </c>
      <c r="C1215" s="61">
        <f>VLOOKUP(B1215,[1]SYS!$F$5:$G$359,2,FALSE)</f>
        <v>155</v>
      </c>
      <c r="D1215" s="1" t="s">
        <v>50</v>
      </c>
      <c r="E1215" s="42" t="s">
        <v>351</v>
      </c>
      <c r="F1215" s="63" t="s">
        <v>346</v>
      </c>
      <c r="G1215" s="1">
        <v>8</v>
      </c>
      <c r="H1215" s="1">
        <f t="shared" si="278"/>
        <v>0.3991769547325103</v>
      </c>
      <c r="I1215" s="1">
        <f t="shared" si="287"/>
        <v>0.24299999999999999</v>
      </c>
      <c r="J1215" s="1">
        <f t="shared" si="289"/>
        <v>1.8499999999999961E-2</v>
      </c>
      <c r="K1215" s="1">
        <f t="shared" si="280"/>
        <v>2.3084199999999999</v>
      </c>
      <c r="L1215" s="1">
        <f t="shared" si="281"/>
        <v>1.76955</v>
      </c>
      <c r="M1215" s="49">
        <v>0</v>
      </c>
      <c r="N1215" s="49">
        <v>1.1924999999999999</v>
      </c>
      <c r="O1215" s="1">
        <v>1113</v>
      </c>
      <c r="P1215" s="51">
        <v>0.05</v>
      </c>
      <c r="Q1215" s="51">
        <v>11</v>
      </c>
      <c r="R1215" s="51">
        <v>0</v>
      </c>
      <c r="S1215" s="1">
        <v>1</v>
      </c>
      <c r="T1215" s="1">
        <v>0</v>
      </c>
      <c r="U1215" s="47">
        <v>0</v>
      </c>
      <c r="V1215" s="47">
        <v>239</v>
      </c>
      <c r="W1215" s="41">
        <v>97</v>
      </c>
      <c r="X1215">
        <v>243</v>
      </c>
      <c r="Y1215">
        <v>0.98150000000000004</v>
      </c>
      <c r="Z1215">
        <v>2308.42</v>
      </c>
      <c r="AA1215">
        <v>1769.55</v>
      </c>
      <c r="AB1215">
        <v>119.25</v>
      </c>
      <c r="AC1215">
        <v>36</v>
      </c>
      <c r="AD1215" s="41">
        <f t="shared" si="282"/>
        <v>0.37254918948891447</v>
      </c>
      <c r="AE1215" s="41">
        <f t="shared" si="283"/>
        <v>0.48599926534994775</v>
      </c>
      <c r="AF1215">
        <f t="shared" si="284"/>
        <v>1.4115336301369863</v>
      </c>
      <c r="AG1215">
        <f t="shared" si="285"/>
        <v>8.6997977876712318E-2</v>
      </c>
      <c r="AH1215">
        <f t="shared" si="286"/>
        <v>1.1924999999999999</v>
      </c>
      <c r="AI1215">
        <f>HLOOKUP(HLOOKUP(G1215,'THP2'!$B$4:$J$8,5,FALSE),'Fuel &amp; Resister'!$B$3:$G$6,4,FALSE)</f>
        <v>2.7360666666666664</v>
      </c>
      <c r="AJ1215" s="41">
        <f>HLOOKUP(HLOOKUP(G1215,'THP2'!$B$4:$J$8,5,FALSE),'Fuel &amp; Resister'!$B$3:$G$6,3,FALSE)</f>
        <v>13.019</v>
      </c>
      <c r="AO1215" s="1">
        <v>1</v>
      </c>
      <c r="AP1215" s="62">
        <v>0</v>
      </c>
    </row>
    <row r="1216" spans="2:42" x14ac:dyDescent="0.15">
      <c r="B1216" s="81" t="s">
        <v>596</v>
      </c>
      <c r="C1216" s="61">
        <f>VLOOKUP(B1216,[1]SYS!$F$5:$G$359,2,FALSE)</f>
        <v>155</v>
      </c>
      <c r="D1216" s="1" t="s">
        <v>50</v>
      </c>
      <c r="E1216" s="42" t="s">
        <v>352</v>
      </c>
      <c r="F1216" s="63" t="s">
        <v>346</v>
      </c>
      <c r="G1216" s="1">
        <v>8</v>
      </c>
      <c r="H1216" s="1">
        <f t="shared" si="278"/>
        <v>0.3991769547325103</v>
      </c>
      <c r="I1216" s="1">
        <f t="shared" si="287"/>
        <v>0.24299999999999999</v>
      </c>
      <c r="J1216" s="1">
        <f t="shared" si="289"/>
        <v>1.8000000000000016E-2</v>
      </c>
      <c r="K1216" s="1">
        <f t="shared" si="280"/>
        <v>2.3084199999999999</v>
      </c>
      <c r="L1216" s="1">
        <f t="shared" si="281"/>
        <v>1.76955</v>
      </c>
      <c r="M1216" s="49">
        <v>0</v>
      </c>
      <c r="N1216" s="49">
        <v>1.1924999999999999</v>
      </c>
      <c r="O1216" s="1">
        <v>913</v>
      </c>
      <c r="P1216" s="51">
        <v>0.05</v>
      </c>
      <c r="Q1216" s="51">
        <v>11</v>
      </c>
      <c r="R1216" s="51">
        <v>0</v>
      </c>
      <c r="S1216" s="1">
        <v>1</v>
      </c>
      <c r="T1216" s="1">
        <v>0</v>
      </c>
      <c r="U1216" s="47">
        <v>0</v>
      </c>
      <c r="V1216" s="47">
        <v>240</v>
      </c>
      <c r="W1216" s="41">
        <v>97</v>
      </c>
      <c r="X1216">
        <v>243</v>
      </c>
      <c r="Y1216">
        <v>0.98199999999999998</v>
      </c>
      <c r="Z1216">
        <v>2308.42</v>
      </c>
      <c r="AA1216">
        <v>1769.55</v>
      </c>
      <c r="AB1216">
        <v>119.25</v>
      </c>
      <c r="AC1216">
        <v>36</v>
      </c>
      <c r="AD1216" s="41">
        <f t="shared" si="282"/>
        <v>0.37254918948891447</v>
      </c>
      <c r="AE1216" s="41">
        <f t="shared" si="283"/>
        <v>0.48599926534994775</v>
      </c>
      <c r="AF1216">
        <f t="shared" si="284"/>
        <v>1.4115336301369863</v>
      </c>
      <c r="AG1216">
        <f t="shared" si="285"/>
        <v>8.6997977876712318E-2</v>
      </c>
      <c r="AH1216">
        <f t="shared" si="286"/>
        <v>1.1924999999999999</v>
      </c>
      <c r="AI1216">
        <f>HLOOKUP(HLOOKUP(G1216,'THP2'!$B$4:$J$8,5,FALSE),'Fuel &amp; Resister'!$B$3:$G$6,4,FALSE)</f>
        <v>2.7360666666666664</v>
      </c>
      <c r="AJ1216" s="41">
        <f>HLOOKUP(HLOOKUP(G1216,'THP2'!$B$4:$J$8,5,FALSE),'Fuel &amp; Resister'!$B$3:$G$6,3,FALSE)</f>
        <v>13.019</v>
      </c>
      <c r="AO1216" s="1">
        <v>1</v>
      </c>
      <c r="AP1216" s="62">
        <v>0</v>
      </c>
    </row>
    <row r="1217" spans="2:42" x14ac:dyDescent="0.15">
      <c r="B1217" s="81" t="s">
        <v>596</v>
      </c>
      <c r="C1217" s="61">
        <f>VLOOKUP(B1217,[1]SYS!$F$5:$G$359,2,FALSE)</f>
        <v>155</v>
      </c>
      <c r="D1217" s="1" t="s">
        <v>50</v>
      </c>
      <c r="E1217" s="42" t="s">
        <v>353</v>
      </c>
      <c r="F1217" s="63" t="s">
        <v>346</v>
      </c>
      <c r="G1217" s="1">
        <v>8</v>
      </c>
      <c r="H1217" s="1">
        <f t="shared" si="278"/>
        <v>0.3991769547325103</v>
      </c>
      <c r="I1217" s="1">
        <f t="shared" si="287"/>
        <v>0.24299999999999999</v>
      </c>
      <c r="J1217" s="1">
        <f t="shared" si="289"/>
        <v>1.8000000000000016E-2</v>
      </c>
      <c r="K1217" s="1">
        <f t="shared" si="280"/>
        <v>2.3084199999999999</v>
      </c>
      <c r="L1217" s="1">
        <f t="shared" si="281"/>
        <v>1.76955</v>
      </c>
      <c r="M1217" s="49">
        <v>0</v>
      </c>
      <c r="N1217" s="49">
        <v>1.1924999999999999</v>
      </c>
      <c r="O1217" s="1">
        <v>1113</v>
      </c>
      <c r="P1217" s="51">
        <v>0.05</v>
      </c>
      <c r="Q1217" s="51">
        <v>11</v>
      </c>
      <c r="R1217" s="51">
        <v>0</v>
      </c>
      <c r="S1217" s="1">
        <v>1</v>
      </c>
      <c r="T1217" s="1">
        <v>0</v>
      </c>
      <c r="U1217" s="47">
        <v>0</v>
      </c>
      <c r="V1217" s="47">
        <v>241</v>
      </c>
      <c r="W1217" s="41">
        <v>97</v>
      </c>
      <c r="X1217">
        <v>243</v>
      </c>
      <c r="Y1217">
        <v>0.98199999999999998</v>
      </c>
      <c r="Z1217">
        <v>2308.42</v>
      </c>
      <c r="AA1217">
        <v>1769.55</v>
      </c>
      <c r="AB1217">
        <v>119.25</v>
      </c>
      <c r="AC1217">
        <v>36</v>
      </c>
      <c r="AD1217" s="41">
        <f t="shared" si="282"/>
        <v>0.37254918948891447</v>
      </c>
      <c r="AE1217" s="41">
        <f t="shared" si="283"/>
        <v>0.48599926534994775</v>
      </c>
      <c r="AF1217">
        <f t="shared" si="284"/>
        <v>1.4115336301369863</v>
      </c>
      <c r="AG1217">
        <f t="shared" si="285"/>
        <v>8.6997977876712318E-2</v>
      </c>
      <c r="AH1217">
        <f t="shared" si="286"/>
        <v>1.1924999999999999</v>
      </c>
      <c r="AI1217">
        <f>HLOOKUP(HLOOKUP(G1217,'THP2'!$B$4:$J$8,5,FALSE),'Fuel &amp; Resister'!$B$3:$G$6,4,FALSE)</f>
        <v>2.7360666666666664</v>
      </c>
      <c r="AJ1217" s="41">
        <f>HLOOKUP(HLOOKUP(G1217,'THP2'!$B$4:$J$8,5,FALSE),'Fuel &amp; Resister'!$B$3:$G$6,3,FALSE)</f>
        <v>13.019</v>
      </c>
      <c r="AO1217" s="1">
        <v>1</v>
      </c>
      <c r="AP1217" s="62">
        <v>0</v>
      </c>
    </row>
    <row r="1218" spans="2:42" x14ac:dyDescent="0.15">
      <c r="B1218" s="81" t="s">
        <v>596</v>
      </c>
      <c r="C1218" s="61">
        <f>VLOOKUP(B1218,[1]SYS!$F$5:$G$359,2,FALSE)</f>
        <v>155</v>
      </c>
      <c r="D1218" s="1" t="s">
        <v>50</v>
      </c>
      <c r="E1218" s="42" t="s">
        <v>354</v>
      </c>
      <c r="F1218" s="63" t="s">
        <v>346</v>
      </c>
      <c r="G1218" s="1">
        <v>8</v>
      </c>
      <c r="H1218" s="1">
        <f t="shared" si="278"/>
        <v>0.3991769547325103</v>
      </c>
      <c r="I1218" s="1">
        <f t="shared" si="287"/>
        <v>0.24299999999999999</v>
      </c>
      <c r="J1218" s="1">
        <f t="shared" si="289"/>
        <v>1.8000000000000016E-2</v>
      </c>
      <c r="K1218" s="1">
        <f t="shared" si="280"/>
        <v>2.3084199999999999</v>
      </c>
      <c r="L1218" s="1">
        <f t="shared" si="281"/>
        <v>1.76955</v>
      </c>
      <c r="M1218" s="49">
        <v>0</v>
      </c>
      <c r="N1218" s="49">
        <v>1.1924999999999999</v>
      </c>
      <c r="O1218" s="1">
        <v>514</v>
      </c>
      <c r="P1218" s="51">
        <v>0.05</v>
      </c>
      <c r="Q1218" s="51">
        <v>11</v>
      </c>
      <c r="R1218" s="51">
        <v>0</v>
      </c>
      <c r="S1218" s="1">
        <v>1</v>
      </c>
      <c r="T1218" s="1">
        <v>0</v>
      </c>
      <c r="U1218" s="47">
        <v>0</v>
      </c>
      <c r="V1218" s="47">
        <v>242</v>
      </c>
      <c r="W1218" s="41">
        <v>97</v>
      </c>
      <c r="X1218">
        <v>243</v>
      </c>
      <c r="Y1218">
        <v>0.98199999999999998</v>
      </c>
      <c r="Z1218">
        <v>2308.42</v>
      </c>
      <c r="AA1218">
        <v>1769.55</v>
      </c>
      <c r="AB1218">
        <v>119.25</v>
      </c>
      <c r="AC1218">
        <v>36</v>
      </c>
      <c r="AD1218" s="41">
        <f t="shared" si="282"/>
        <v>0.37254918948891447</v>
      </c>
      <c r="AE1218" s="41">
        <f t="shared" si="283"/>
        <v>0.48599926534994775</v>
      </c>
      <c r="AF1218">
        <f t="shared" si="284"/>
        <v>1.4115336301369863</v>
      </c>
      <c r="AG1218">
        <f t="shared" si="285"/>
        <v>8.6997977876712318E-2</v>
      </c>
      <c r="AH1218">
        <f t="shared" si="286"/>
        <v>1.1924999999999999</v>
      </c>
      <c r="AI1218">
        <f>HLOOKUP(HLOOKUP(G1218,'THP2'!$B$4:$J$8,5,FALSE),'Fuel &amp; Resister'!$B$3:$G$6,4,FALSE)</f>
        <v>2.7360666666666664</v>
      </c>
      <c r="AJ1218" s="41">
        <f>HLOOKUP(HLOOKUP(G1218,'THP2'!$B$4:$J$8,5,FALSE),'Fuel &amp; Resister'!$B$3:$G$6,3,FALSE)</f>
        <v>13.019</v>
      </c>
      <c r="AO1218" s="1">
        <v>1</v>
      </c>
      <c r="AP1218" s="62">
        <v>0</v>
      </c>
    </row>
    <row r="1219" spans="2:42" x14ac:dyDescent="0.15">
      <c r="B1219" s="81" t="s">
        <v>596</v>
      </c>
      <c r="C1219" s="61">
        <f>VLOOKUP(B1219,[1]SYS!$F$5:$G$359,2,FALSE)</f>
        <v>155</v>
      </c>
      <c r="D1219" s="1" t="s">
        <v>50</v>
      </c>
      <c r="E1219" s="42" t="s">
        <v>355</v>
      </c>
      <c r="F1219" s="63" t="s">
        <v>346</v>
      </c>
      <c r="G1219" s="1">
        <v>8</v>
      </c>
      <c r="H1219" s="1">
        <f t="shared" si="278"/>
        <v>0.3991769547325103</v>
      </c>
      <c r="I1219" s="1">
        <f t="shared" si="287"/>
        <v>0.24299999999999999</v>
      </c>
      <c r="J1219" s="1">
        <f t="shared" si="289"/>
        <v>1.8000000000000016E-2</v>
      </c>
      <c r="K1219" s="1">
        <f t="shared" si="280"/>
        <v>2.3084199999999999</v>
      </c>
      <c r="L1219" s="1">
        <f t="shared" si="281"/>
        <v>1.76955</v>
      </c>
      <c r="M1219" s="49">
        <v>0</v>
      </c>
      <c r="N1219" s="49">
        <v>1.1924999999999999</v>
      </c>
      <c r="O1219" s="1">
        <v>913</v>
      </c>
      <c r="P1219" s="51">
        <v>0.05</v>
      </c>
      <c r="Q1219" s="51">
        <v>11</v>
      </c>
      <c r="R1219" s="51">
        <v>0</v>
      </c>
      <c r="S1219" s="1">
        <v>1</v>
      </c>
      <c r="T1219" s="1">
        <v>0</v>
      </c>
      <c r="U1219" s="47">
        <v>0</v>
      </c>
      <c r="V1219" s="47">
        <v>243</v>
      </c>
      <c r="W1219" s="41">
        <v>97</v>
      </c>
      <c r="X1219">
        <v>243</v>
      </c>
      <c r="Y1219">
        <v>0.98199999999999998</v>
      </c>
      <c r="Z1219">
        <v>2308.42</v>
      </c>
      <c r="AA1219">
        <v>1769.55</v>
      </c>
      <c r="AB1219">
        <v>119.25</v>
      </c>
      <c r="AC1219">
        <v>36</v>
      </c>
      <c r="AD1219" s="41">
        <f t="shared" si="282"/>
        <v>0.37254918948891447</v>
      </c>
      <c r="AE1219" s="41">
        <f t="shared" si="283"/>
        <v>0.48599926534994775</v>
      </c>
      <c r="AF1219">
        <f t="shared" si="284"/>
        <v>1.4115336301369863</v>
      </c>
      <c r="AG1219">
        <f t="shared" si="285"/>
        <v>8.6997977876712318E-2</v>
      </c>
      <c r="AH1219">
        <f t="shared" si="286"/>
        <v>1.1924999999999999</v>
      </c>
      <c r="AI1219">
        <f>HLOOKUP(HLOOKUP(G1219,'THP2'!$B$4:$J$8,5,FALSE),'Fuel &amp; Resister'!$B$3:$G$6,4,FALSE)</f>
        <v>2.7360666666666664</v>
      </c>
      <c r="AJ1219" s="41">
        <f>HLOOKUP(HLOOKUP(G1219,'THP2'!$B$4:$J$8,5,FALSE),'Fuel &amp; Resister'!$B$3:$G$6,3,FALSE)</f>
        <v>13.019</v>
      </c>
      <c r="AO1219" s="1">
        <v>1</v>
      </c>
      <c r="AP1219" s="62">
        <v>0</v>
      </c>
    </row>
    <row r="1220" spans="2:42" x14ac:dyDescent="0.15">
      <c r="B1220" s="81" t="s">
        <v>596</v>
      </c>
      <c r="C1220" s="61">
        <f>VLOOKUP(B1220,[1]SYS!$F$5:$G$359,2,FALSE)</f>
        <v>155</v>
      </c>
      <c r="D1220" s="1" t="s">
        <v>50</v>
      </c>
      <c r="E1220" s="42" t="s">
        <v>345</v>
      </c>
      <c r="F1220" s="63" t="s">
        <v>346</v>
      </c>
      <c r="G1220" s="1">
        <v>8</v>
      </c>
      <c r="H1220" s="1">
        <f t="shared" si="278"/>
        <v>0.3991769547325103</v>
      </c>
      <c r="I1220" s="1">
        <f t="shared" si="287"/>
        <v>0.24299999999999999</v>
      </c>
      <c r="J1220" s="1">
        <f t="shared" si="289"/>
        <v>1.749999999999996E-2</v>
      </c>
      <c r="K1220" s="1">
        <f t="shared" si="280"/>
        <v>2.3084199999999999</v>
      </c>
      <c r="L1220" s="1">
        <f t="shared" si="281"/>
        <v>1.76955</v>
      </c>
      <c r="M1220" s="49">
        <v>0</v>
      </c>
      <c r="N1220" s="49">
        <v>1.1924999999999999</v>
      </c>
      <c r="O1220" s="1">
        <v>211</v>
      </c>
      <c r="P1220" s="51">
        <v>0.05</v>
      </c>
      <c r="Q1220" s="51">
        <v>11</v>
      </c>
      <c r="R1220" s="51">
        <v>0</v>
      </c>
      <c r="S1220" s="1">
        <v>1</v>
      </c>
      <c r="T1220" s="1">
        <v>0</v>
      </c>
      <c r="U1220" s="47">
        <v>0</v>
      </c>
      <c r="V1220" s="47">
        <v>244</v>
      </c>
      <c r="W1220" s="41">
        <v>97</v>
      </c>
      <c r="X1220">
        <v>243</v>
      </c>
      <c r="Y1220">
        <v>0.98250000000000004</v>
      </c>
      <c r="Z1220">
        <v>2308.42</v>
      </c>
      <c r="AA1220">
        <v>1769.55</v>
      </c>
      <c r="AB1220">
        <v>119.25</v>
      </c>
      <c r="AC1220">
        <v>36</v>
      </c>
      <c r="AD1220" s="41">
        <f t="shared" si="282"/>
        <v>0.37254918948891447</v>
      </c>
      <c r="AE1220" s="41">
        <f t="shared" si="283"/>
        <v>0.48599926534994775</v>
      </c>
      <c r="AF1220">
        <f t="shared" si="284"/>
        <v>1.4115336301369863</v>
      </c>
      <c r="AG1220">
        <f t="shared" si="285"/>
        <v>8.6997977876712318E-2</v>
      </c>
      <c r="AH1220">
        <f t="shared" si="286"/>
        <v>1.1924999999999999</v>
      </c>
      <c r="AI1220">
        <f>HLOOKUP(HLOOKUP(G1220,'THP2'!$B$4:$J$8,5,FALSE),'Fuel &amp; Resister'!$B$3:$G$6,4,FALSE)</f>
        <v>2.7360666666666664</v>
      </c>
      <c r="AJ1220" s="41">
        <f>HLOOKUP(HLOOKUP(G1220,'THP2'!$B$4:$J$8,5,FALSE),'Fuel &amp; Resister'!$B$3:$G$6,3,FALSE)</f>
        <v>13.019</v>
      </c>
      <c r="AO1220" s="1">
        <v>1</v>
      </c>
      <c r="AP1220" s="62">
        <v>0</v>
      </c>
    </row>
    <row r="1221" spans="2:42" x14ac:dyDescent="0.15">
      <c r="B1221" s="81" t="s">
        <v>596</v>
      </c>
      <c r="C1221" s="61">
        <f>VLOOKUP(B1221,[1]SYS!$F$5:$G$359,2,FALSE)</f>
        <v>155</v>
      </c>
      <c r="D1221" s="1" t="s">
        <v>50</v>
      </c>
      <c r="E1221" s="42" t="s">
        <v>225</v>
      </c>
      <c r="F1221" s="63" t="s">
        <v>536</v>
      </c>
      <c r="G1221" s="1">
        <v>8</v>
      </c>
      <c r="H1221" s="1">
        <f t="shared" si="278"/>
        <v>0.3991769547325103</v>
      </c>
      <c r="I1221" s="1">
        <f t="shared" si="287"/>
        <v>0.24299999999999999</v>
      </c>
      <c r="J1221" s="1">
        <f t="shared" si="289"/>
        <v>2.5100000000000011E-2</v>
      </c>
      <c r="K1221" s="1">
        <f t="shared" si="280"/>
        <v>2.3127</v>
      </c>
      <c r="L1221" s="1">
        <f t="shared" si="281"/>
        <v>1.7728299999999999</v>
      </c>
      <c r="M1221" s="49">
        <v>0</v>
      </c>
      <c r="N1221" s="49">
        <v>1.1924999999999999</v>
      </c>
      <c r="O1221" s="1">
        <v>913</v>
      </c>
      <c r="P1221" s="51">
        <v>0.05</v>
      </c>
      <c r="Q1221" s="51">
        <v>11</v>
      </c>
      <c r="R1221" s="51">
        <v>0</v>
      </c>
      <c r="S1221" s="1">
        <v>1</v>
      </c>
      <c r="T1221" s="1">
        <v>0</v>
      </c>
      <c r="U1221" s="47">
        <v>0</v>
      </c>
      <c r="V1221" s="47">
        <v>245</v>
      </c>
      <c r="W1221" s="41">
        <v>97</v>
      </c>
      <c r="X1221">
        <v>243</v>
      </c>
      <c r="Y1221">
        <v>0.97489999999999999</v>
      </c>
      <c r="Z1221">
        <v>2312.6999999999998</v>
      </c>
      <c r="AA1221">
        <v>1772.83</v>
      </c>
      <c r="AB1221">
        <v>119.25</v>
      </c>
      <c r="AC1221">
        <v>36</v>
      </c>
      <c r="AD1221" s="41">
        <f t="shared" si="282"/>
        <v>0.37185973105028758</v>
      </c>
      <c r="AE1221" s="41">
        <f t="shared" si="283"/>
        <v>0.48510009419966948</v>
      </c>
      <c r="AF1221">
        <f t="shared" si="284"/>
        <v>1.4141492465753425</v>
      </c>
      <c r="AG1221">
        <f t="shared" si="285"/>
        <v>8.7159423082191753E-2</v>
      </c>
      <c r="AH1221">
        <f t="shared" si="286"/>
        <v>1.1924999999999999</v>
      </c>
      <c r="AI1221">
        <f>HLOOKUP(HLOOKUP(G1221,'THP2'!$B$4:$J$8,5,FALSE),'Fuel &amp; Resister'!$B$3:$G$6,4,FALSE)</f>
        <v>2.7360666666666664</v>
      </c>
      <c r="AJ1221" s="41">
        <f>HLOOKUP(HLOOKUP(G1221,'THP2'!$B$4:$J$8,5,FALSE),'Fuel &amp; Resister'!$B$3:$G$6,3,FALSE)</f>
        <v>13.019</v>
      </c>
      <c r="AO1221" s="1">
        <v>1</v>
      </c>
      <c r="AP1221" s="62">
        <v>0</v>
      </c>
    </row>
    <row r="1222" spans="2:42" x14ac:dyDescent="0.15">
      <c r="B1222" s="81" t="s">
        <v>596</v>
      </c>
      <c r="C1222" s="61">
        <f>VLOOKUP(B1222,[1]SYS!$F$5:$G$359,2,FALSE)</f>
        <v>155</v>
      </c>
      <c r="D1222" s="1" t="s">
        <v>50</v>
      </c>
      <c r="E1222" s="42" t="s">
        <v>226</v>
      </c>
      <c r="F1222" s="63" t="s">
        <v>536</v>
      </c>
      <c r="G1222" s="1">
        <v>8</v>
      </c>
      <c r="H1222" s="1">
        <f t="shared" si="278"/>
        <v>0.3991769547325103</v>
      </c>
      <c r="I1222" s="1">
        <f t="shared" si="287"/>
        <v>0.24299999999999999</v>
      </c>
      <c r="J1222" s="1">
        <f t="shared" si="289"/>
        <v>2.5100000000000011E-2</v>
      </c>
      <c r="K1222" s="1">
        <f t="shared" si="280"/>
        <v>2.3127</v>
      </c>
      <c r="L1222" s="1">
        <f t="shared" si="281"/>
        <v>1.7728299999999999</v>
      </c>
      <c r="M1222" s="49">
        <v>0</v>
      </c>
      <c r="N1222" s="49">
        <v>1.1924999999999999</v>
      </c>
      <c r="O1222" s="1">
        <v>401</v>
      </c>
      <c r="P1222" s="51">
        <v>0.05</v>
      </c>
      <c r="Q1222" s="51">
        <v>11</v>
      </c>
      <c r="R1222" s="51">
        <v>0</v>
      </c>
      <c r="S1222" s="1">
        <v>1</v>
      </c>
      <c r="T1222" s="1">
        <v>0</v>
      </c>
      <c r="U1222" s="47">
        <v>0</v>
      </c>
      <c r="V1222" s="47">
        <v>246</v>
      </c>
      <c r="W1222" s="41">
        <v>97</v>
      </c>
      <c r="X1222">
        <v>243</v>
      </c>
      <c r="Y1222">
        <v>0.97489999999999999</v>
      </c>
      <c r="Z1222">
        <v>2312.6999999999998</v>
      </c>
      <c r="AA1222">
        <v>1772.83</v>
      </c>
      <c r="AB1222">
        <v>119.25</v>
      </c>
      <c r="AC1222">
        <v>36</v>
      </c>
      <c r="AD1222" s="41">
        <f t="shared" si="282"/>
        <v>0.37185973105028758</v>
      </c>
      <c r="AE1222" s="41">
        <f t="shared" si="283"/>
        <v>0.48510009419966948</v>
      </c>
      <c r="AF1222">
        <f t="shared" si="284"/>
        <v>1.4141492465753425</v>
      </c>
      <c r="AG1222">
        <f t="shared" si="285"/>
        <v>8.7159423082191753E-2</v>
      </c>
      <c r="AH1222">
        <f t="shared" si="286"/>
        <v>1.1924999999999999</v>
      </c>
      <c r="AI1222">
        <f>HLOOKUP(HLOOKUP(G1222,'THP2'!$B$4:$J$8,5,FALSE),'Fuel &amp; Resister'!$B$3:$G$6,4,FALSE)</f>
        <v>2.7360666666666664</v>
      </c>
      <c r="AJ1222" s="41">
        <f>HLOOKUP(HLOOKUP(G1222,'THP2'!$B$4:$J$8,5,FALSE),'Fuel &amp; Resister'!$B$3:$G$6,3,FALSE)</f>
        <v>13.019</v>
      </c>
      <c r="AO1222" s="1">
        <v>1</v>
      </c>
      <c r="AP1222" s="62">
        <v>0</v>
      </c>
    </row>
    <row r="1223" spans="2:42" x14ac:dyDescent="0.15">
      <c r="B1223" s="81" t="s">
        <v>596</v>
      </c>
      <c r="C1223" s="61">
        <f>VLOOKUP(B1223,[1]SYS!$F$5:$G$359,2,FALSE)</f>
        <v>155</v>
      </c>
      <c r="D1223" s="1" t="s">
        <v>50</v>
      </c>
      <c r="E1223" s="42" t="s">
        <v>227</v>
      </c>
      <c r="F1223" s="63" t="s">
        <v>536</v>
      </c>
      <c r="G1223" s="1">
        <v>8</v>
      </c>
      <c r="H1223" s="1">
        <f t="shared" si="278"/>
        <v>0.3991769547325103</v>
      </c>
      <c r="I1223" s="1">
        <f t="shared" si="287"/>
        <v>0.24299999999999999</v>
      </c>
      <c r="J1223" s="1">
        <f t="shared" si="289"/>
        <v>2.5100000000000011E-2</v>
      </c>
      <c r="K1223" s="1">
        <f t="shared" si="280"/>
        <v>2.3127</v>
      </c>
      <c r="L1223" s="1">
        <f t="shared" si="281"/>
        <v>1.7728299999999999</v>
      </c>
      <c r="M1223" s="49">
        <v>0</v>
      </c>
      <c r="N1223" s="49">
        <v>1.1924999999999999</v>
      </c>
      <c r="O1223" s="1">
        <v>613</v>
      </c>
      <c r="P1223" s="51">
        <v>0.05</v>
      </c>
      <c r="Q1223" s="51">
        <v>11</v>
      </c>
      <c r="R1223" s="51">
        <v>0</v>
      </c>
      <c r="S1223" s="1">
        <v>1</v>
      </c>
      <c r="T1223" s="1">
        <v>0</v>
      </c>
      <c r="U1223" s="47">
        <v>0</v>
      </c>
      <c r="V1223" s="47">
        <v>247</v>
      </c>
      <c r="W1223" s="41">
        <v>97</v>
      </c>
      <c r="X1223">
        <v>243</v>
      </c>
      <c r="Y1223">
        <v>0.97489999999999999</v>
      </c>
      <c r="Z1223">
        <v>2312.6999999999998</v>
      </c>
      <c r="AA1223">
        <v>1772.83</v>
      </c>
      <c r="AB1223">
        <v>119.25</v>
      </c>
      <c r="AC1223">
        <v>36</v>
      </c>
      <c r="AD1223" s="41">
        <f t="shared" si="282"/>
        <v>0.37185973105028758</v>
      </c>
      <c r="AE1223" s="41">
        <f t="shared" si="283"/>
        <v>0.48510009419966948</v>
      </c>
      <c r="AF1223">
        <f t="shared" si="284"/>
        <v>1.4141492465753425</v>
      </c>
      <c r="AG1223">
        <f t="shared" si="285"/>
        <v>8.7159423082191753E-2</v>
      </c>
      <c r="AH1223">
        <f t="shared" si="286"/>
        <v>1.1924999999999999</v>
      </c>
      <c r="AI1223">
        <f>HLOOKUP(HLOOKUP(G1223,'THP2'!$B$4:$J$8,5,FALSE),'Fuel &amp; Resister'!$B$3:$G$6,4,FALSE)</f>
        <v>2.7360666666666664</v>
      </c>
      <c r="AJ1223" s="41">
        <f>HLOOKUP(HLOOKUP(G1223,'THP2'!$B$4:$J$8,5,FALSE),'Fuel &amp; Resister'!$B$3:$G$6,3,FALSE)</f>
        <v>13.019</v>
      </c>
      <c r="AO1223" s="1">
        <v>1</v>
      </c>
      <c r="AP1223" s="62">
        <v>0</v>
      </c>
    </row>
    <row r="1224" spans="2:42" x14ac:dyDescent="0.15">
      <c r="B1224" s="81" t="s">
        <v>596</v>
      </c>
      <c r="C1224" s="61">
        <f>VLOOKUP(B1224,[1]SYS!$F$5:$G$359,2,FALSE)</f>
        <v>155</v>
      </c>
      <c r="D1224" s="1" t="s">
        <v>50</v>
      </c>
      <c r="E1224" s="42" t="s">
        <v>228</v>
      </c>
      <c r="F1224" s="63" t="s">
        <v>536</v>
      </c>
      <c r="G1224" s="1">
        <v>8</v>
      </c>
      <c r="H1224" s="1">
        <f t="shared" si="278"/>
        <v>0.3991769547325103</v>
      </c>
      <c r="I1224" s="1">
        <f t="shared" si="287"/>
        <v>0.24299999999999999</v>
      </c>
      <c r="J1224" s="1">
        <f t="shared" si="289"/>
        <v>2.4599999999999955E-2</v>
      </c>
      <c r="K1224" s="1">
        <f t="shared" si="280"/>
        <v>2.3127</v>
      </c>
      <c r="L1224" s="1">
        <f t="shared" si="281"/>
        <v>1.7728299999999999</v>
      </c>
      <c r="M1224" s="49">
        <v>0</v>
      </c>
      <c r="N1224" s="49">
        <v>1.1924999999999999</v>
      </c>
      <c r="O1224" s="1">
        <v>913</v>
      </c>
      <c r="P1224" s="51">
        <v>0.05</v>
      </c>
      <c r="Q1224" s="51">
        <v>11</v>
      </c>
      <c r="R1224" s="51">
        <v>0</v>
      </c>
      <c r="S1224" s="1">
        <v>1</v>
      </c>
      <c r="T1224" s="1">
        <v>0</v>
      </c>
      <c r="U1224" s="47">
        <v>0</v>
      </c>
      <c r="V1224" s="47">
        <v>248</v>
      </c>
      <c r="W1224" s="41">
        <v>97</v>
      </c>
      <c r="X1224">
        <v>243</v>
      </c>
      <c r="Y1224">
        <v>0.97540000000000004</v>
      </c>
      <c r="Z1224">
        <v>2312.6999999999998</v>
      </c>
      <c r="AA1224">
        <v>1772.83</v>
      </c>
      <c r="AB1224">
        <v>119.25</v>
      </c>
      <c r="AC1224">
        <v>36</v>
      </c>
      <c r="AD1224" s="41">
        <f t="shared" si="282"/>
        <v>0.37185973105028758</v>
      </c>
      <c r="AE1224" s="41">
        <f t="shared" si="283"/>
        <v>0.48510009419966948</v>
      </c>
      <c r="AF1224">
        <f t="shared" si="284"/>
        <v>1.4141492465753425</v>
      </c>
      <c r="AG1224">
        <f t="shared" si="285"/>
        <v>8.7159423082191753E-2</v>
      </c>
      <c r="AH1224">
        <f t="shared" si="286"/>
        <v>1.1924999999999999</v>
      </c>
      <c r="AI1224">
        <f>HLOOKUP(HLOOKUP(G1224,'THP2'!$B$4:$J$8,5,FALSE),'Fuel &amp; Resister'!$B$3:$G$6,4,FALSE)</f>
        <v>2.7360666666666664</v>
      </c>
      <c r="AJ1224" s="41">
        <f>HLOOKUP(HLOOKUP(G1224,'THP2'!$B$4:$J$8,5,FALSE),'Fuel &amp; Resister'!$B$3:$G$6,3,FALSE)</f>
        <v>13.019</v>
      </c>
      <c r="AO1224" s="1">
        <v>1</v>
      </c>
      <c r="AP1224" s="62">
        <v>0</v>
      </c>
    </row>
    <row r="1225" spans="2:42" x14ac:dyDescent="0.15">
      <c r="B1225" s="81" t="s">
        <v>596</v>
      </c>
      <c r="C1225" s="61">
        <f>VLOOKUP(B1225,[1]SYS!$F$5:$G$359,2,FALSE)</f>
        <v>155</v>
      </c>
      <c r="D1225" s="1" t="s">
        <v>50</v>
      </c>
      <c r="E1225" s="42" t="s">
        <v>229</v>
      </c>
      <c r="F1225" s="63" t="s">
        <v>536</v>
      </c>
      <c r="G1225" s="1">
        <v>8</v>
      </c>
      <c r="H1225" s="1">
        <f t="shared" si="278"/>
        <v>0.3991769547325103</v>
      </c>
      <c r="I1225" s="1">
        <f t="shared" si="287"/>
        <v>0.24299999999999999</v>
      </c>
      <c r="J1225" s="1">
        <f t="shared" si="289"/>
        <v>2.4599999999999955E-2</v>
      </c>
      <c r="K1225" s="1">
        <f t="shared" si="280"/>
        <v>2.3127</v>
      </c>
      <c r="L1225" s="1">
        <f t="shared" si="281"/>
        <v>1.7728299999999999</v>
      </c>
      <c r="M1225" s="49">
        <v>0</v>
      </c>
      <c r="N1225" s="49">
        <v>1.1924999999999999</v>
      </c>
      <c r="O1225" s="1">
        <v>211</v>
      </c>
      <c r="P1225" s="51">
        <v>0.05</v>
      </c>
      <c r="Q1225" s="51">
        <v>11</v>
      </c>
      <c r="R1225" s="51">
        <v>0</v>
      </c>
      <c r="S1225" s="1">
        <v>1</v>
      </c>
      <c r="T1225" s="1">
        <v>0</v>
      </c>
      <c r="U1225" s="47">
        <v>0</v>
      </c>
      <c r="V1225" s="47">
        <v>249</v>
      </c>
      <c r="W1225" s="41">
        <v>97</v>
      </c>
      <c r="X1225">
        <v>243</v>
      </c>
      <c r="Y1225">
        <v>0.97540000000000004</v>
      </c>
      <c r="Z1225">
        <v>2312.6999999999998</v>
      </c>
      <c r="AA1225">
        <v>1772.83</v>
      </c>
      <c r="AB1225">
        <v>119.25</v>
      </c>
      <c r="AC1225">
        <v>36</v>
      </c>
      <c r="AD1225" s="41">
        <f t="shared" si="282"/>
        <v>0.37185973105028758</v>
      </c>
      <c r="AE1225" s="41">
        <f t="shared" si="283"/>
        <v>0.48510009419966948</v>
      </c>
      <c r="AF1225">
        <f t="shared" si="284"/>
        <v>1.4141492465753425</v>
      </c>
      <c r="AG1225">
        <f t="shared" si="285"/>
        <v>8.7159423082191753E-2</v>
      </c>
      <c r="AH1225">
        <f t="shared" si="286"/>
        <v>1.1924999999999999</v>
      </c>
      <c r="AI1225">
        <f>HLOOKUP(HLOOKUP(G1225,'THP2'!$B$4:$J$8,5,FALSE),'Fuel &amp; Resister'!$B$3:$G$6,4,FALSE)</f>
        <v>2.7360666666666664</v>
      </c>
      <c r="AJ1225" s="41">
        <f>HLOOKUP(HLOOKUP(G1225,'THP2'!$B$4:$J$8,5,FALSE),'Fuel &amp; Resister'!$B$3:$G$6,3,FALSE)</f>
        <v>13.019</v>
      </c>
      <c r="AO1225" s="1">
        <v>1</v>
      </c>
      <c r="AP1225" s="62">
        <v>0</v>
      </c>
    </row>
    <row r="1226" spans="2:42" x14ac:dyDescent="0.15">
      <c r="B1226" s="81" t="s">
        <v>596</v>
      </c>
      <c r="C1226" s="61">
        <f>VLOOKUP(B1226,[1]SYS!$F$5:$G$359,2,FALSE)</f>
        <v>155</v>
      </c>
      <c r="D1226" s="1" t="s">
        <v>50</v>
      </c>
      <c r="E1226" s="42" t="s">
        <v>230</v>
      </c>
      <c r="F1226" s="63" t="s">
        <v>536</v>
      </c>
      <c r="G1226" s="1">
        <v>8</v>
      </c>
      <c r="H1226" s="1">
        <f t="shared" si="278"/>
        <v>0.3991769547325103</v>
      </c>
      <c r="I1226" s="1">
        <f t="shared" si="287"/>
        <v>0.24299999999999999</v>
      </c>
      <c r="J1226" s="1">
        <f t="shared" si="289"/>
        <v>2.4599999999999955E-2</v>
      </c>
      <c r="K1226" s="1">
        <f t="shared" si="280"/>
        <v>2.3127</v>
      </c>
      <c r="L1226" s="1">
        <f t="shared" si="281"/>
        <v>1.7728299999999999</v>
      </c>
      <c r="M1226" s="49">
        <v>0</v>
      </c>
      <c r="N1226" s="49">
        <v>1.1924999999999999</v>
      </c>
      <c r="O1226" s="1">
        <v>1113</v>
      </c>
      <c r="P1226" s="51">
        <v>0.05</v>
      </c>
      <c r="Q1226" s="51">
        <v>11</v>
      </c>
      <c r="R1226" s="51">
        <v>0</v>
      </c>
      <c r="S1226" s="1">
        <v>1</v>
      </c>
      <c r="T1226" s="1">
        <v>0</v>
      </c>
      <c r="U1226" s="47">
        <v>0</v>
      </c>
      <c r="V1226" s="47">
        <v>250</v>
      </c>
      <c r="W1226" s="41">
        <v>97</v>
      </c>
      <c r="X1226">
        <v>243</v>
      </c>
      <c r="Y1226">
        <v>0.97540000000000004</v>
      </c>
      <c r="Z1226">
        <v>2312.6999999999998</v>
      </c>
      <c r="AA1226">
        <v>1772.83</v>
      </c>
      <c r="AB1226">
        <v>119.25</v>
      </c>
      <c r="AC1226">
        <v>36</v>
      </c>
      <c r="AD1226" s="41">
        <f t="shared" si="282"/>
        <v>0.37185973105028758</v>
      </c>
      <c r="AE1226" s="41">
        <f t="shared" si="283"/>
        <v>0.48510009419966948</v>
      </c>
      <c r="AF1226">
        <f t="shared" si="284"/>
        <v>1.4141492465753425</v>
      </c>
      <c r="AG1226">
        <f t="shared" si="285"/>
        <v>8.7159423082191753E-2</v>
      </c>
      <c r="AH1226">
        <f t="shared" si="286"/>
        <v>1.1924999999999999</v>
      </c>
      <c r="AI1226">
        <f>HLOOKUP(HLOOKUP(G1226,'THP2'!$B$4:$J$8,5,FALSE),'Fuel &amp; Resister'!$B$3:$G$6,4,FALSE)</f>
        <v>2.7360666666666664</v>
      </c>
      <c r="AJ1226" s="41">
        <f>HLOOKUP(HLOOKUP(G1226,'THP2'!$B$4:$J$8,5,FALSE),'Fuel &amp; Resister'!$B$3:$G$6,3,FALSE)</f>
        <v>13.019</v>
      </c>
      <c r="AO1226" s="1">
        <v>1</v>
      </c>
      <c r="AP1226" s="62">
        <v>0</v>
      </c>
    </row>
    <row r="1227" spans="2:42" x14ac:dyDescent="0.15">
      <c r="B1227" s="81" t="s">
        <v>596</v>
      </c>
      <c r="C1227" s="61">
        <f>VLOOKUP(B1227,[1]SYS!$F$5:$G$359,2,FALSE)</f>
        <v>155</v>
      </c>
      <c r="D1227" s="1" t="s">
        <v>50</v>
      </c>
      <c r="E1227" s="42" t="s">
        <v>231</v>
      </c>
      <c r="F1227" s="63" t="s">
        <v>536</v>
      </c>
      <c r="G1227" s="1">
        <v>8</v>
      </c>
      <c r="H1227" s="1">
        <f t="shared" si="278"/>
        <v>0.3991769547325103</v>
      </c>
      <c r="I1227" s="1">
        <f t="shared" si="287"/>
        <v>0.24299999999999999</v>
      </c>
      <c r="J1227" s="1">
        <f t="shared" si="289"/>
        <v>2.4599999999999955E-2</v>
      </c>
      <c r="K1227" s="1">
        <f t="shared" si="280"/>
        <v>2.3127</v>
      </c>
      <c r="L1227" s="1">
        <f t="shared" si="281"/>
        <v>1.7728299999999999</v>
      </c>
      <c r="M1227" s="49">
        <v>0</v>
      </c>
      <c r="N1227" s="49">
        <v>1.1924999999999999</v>
      </c>
      <c r="O1227" s="1">
        <v>613</v>
      </c>
      <c r="P1227" s="51">
        <v>0.05</v>
      </c>
      <c r="Q1227" s="51">
        <v>11</v>
      </c>
      <c r="R1227" s="51">
        <v>0</v>
      </c>
      <c r="S1227" s="1">
        <v>1</v>
      </c>
      <c r="T1227" s="1">
        <v>0</v>
      </c>
      <c r="U1227" s="47">
        <v>0</v>
      </c>
      <c r="V1227" s="47">
        <v>251</v>
      </c>
      <c r="W1227" s="41">
        <v>97</v>
      </c>
      <c r="X1227">
        <v>243</v>
      </c>
      <c r="Y1227">
        <v>0.97540000000000004</v>
      </c>
      <c r="Z1227">
        <v>2312.6999999999998</v>
      </c>
      <c r="AA1227">
        <v>1772.83</v>
      </c>
      <c r="AB1227">
        <v>119.25</v>
      </c>
      <c r="AC1227">
        <v>36</v>
      </c>
      <c r="AD1227" s="41">
        <f t="shared" si="282"/>
        <v>0.37185973105028758</v>
      </c>
      <c r="AE1227" s="41">
        <f t="shared" si="283"/>
        <v>0.48510009419966948</v>
      </c>
      <c r="AF1227">
        <f t="shared" si="284"/>
        <v>1.4141492465753425</v>
      </c>
      <c r="AG1227">
        <f t="shared" si="285"/>
        <v>8.7159423082191753E-2</v>
      </c>
      <c r="AH1227">
        <f t="shared" si="286"/>
        <v>1.1924999999999999</v>
      </c>
      <c r="AI1227">
        <f>HLOOKUP(HLOOKUP(G1227,'THP2'!$B$4:$J$8,5,FALSE),'Fuel &amp; Resister'!$B$3:$G$6,4,FALSE)</f>
        <v>2.7360666666666664</v>
      </c>
      <c r="AJ1227" s="41">
        <f>HLOOKUP(HLOOKUP(G1227,'THP2'!$B$4:$J$8,5,FALSE),'Fuel &amp; Resister'!$B$3:$G$6,3,FALSE)</f>
        <v>13.019</v>
      </c>
      <c r="AO1227" s="1">
        <v>1</v>
      </c>
      <c r="AP1227" s="62">
        <v>0</v>
      </c>
    </row>
    <row r="1228" spans="2:42" x14ac:dyDescent="0.15">
      <c r="B1228" s="81" t="s">
        <v>596</v>
      </c>
      <c r="C1228" s="61">
        <f>VLOOKUP(B1228,[1]SYS!$F$5:$G$359,2,FALSE)</f>
        <v>155</v>
      </c>
      <c r="D1228" s="1" t="s">
        <v>50</v>
      </c>
      <c r="E1228" s="42" t="s">
        <v>232</v>
      </c>
      <c r="F1228" s="63" t="s">
        <v>536</v>
      </c>
      <c r="G1228" s="1">
        <v>8</v>
      </c>
      <c r="H1228" s="1">
        <f t="shared" si="278"/>
        <v>0.3991769547325103</v>
      </c>
      <c r="I1228" s="1">
        <f t="shared" si="287"/>
        <v>0.24299999999999999</v>
      </c>
      <c r="J1228" s="1">
        <f t="shared" si="289"/>
        <v>2.4599999999999955E-2</v>
      </c>
      <c r="K1228" s="1">
        <f t="shared" si="280"/>
        <v>2.3127</v>
      </c>
      <c r="L1228" s="1">
        <f t="shared" si="281"/>
        <v>1.7728299999999999</v>
      </c>
      <c r="M1228" s="49">
        <v>0</v>
      </c>
      <c r="N1228" s="49">
        <v>1.1924999999999999</v>
      </c>
      <c r="O1228" s="1">
        <v>401</v>
      </c>
      <c r="P1228" s="51">
        <v>0.05</v>
      </c>
      <c r="Q1228" s="51">
        <v>11</v>
      </c>
      <c r="R1228" s="51">
        <v>0</v>
      </c>
      <c r="S1228" s="1">
        <v>1</v>
      </c>
      <c r="T1228" s="1">
        <v>0</v>
      </c>
      <c r="U1228" s="47">
        <v>0</v>
      </c>
      <c r="V1228" s="47">
        <v>252</v>
      </c>
      <c r="W1228" s="41">
        <v>97</v>
      </c>
      <c r="X1228">
        <v>243</v>
      </c>
      <c r="Y1228">
        <v>0.97540000000000004</v>
      </c>
      <c r="Z1228">
        <v>2312.6999999999998</v>
      </c>
      <c r="AA1228">
        <v>1772.83</v>
      </c>
      <c r="AB1228">
        <v>119.25</v>
      </c>
      <c r="AC1228">
        <v>36</v>
      </c>
      <c r="AD1228" s="41">
        <f t="shared" si="282"/>
        <v>0.37185973105028758</v>
      </c>
      <c r="AE1228" s="41">
        <f t="shared" si="283"/>
        <v>0.48510009419966948</v>
      </c>
      <c r="AF1228">
        <f t="shared" si="284"/>
        <v>1.4141492465753425</v>
      </c>
      <c r="AG1228">
        <f t="shared" si="285"/>
        <v>8.7159423082191753E-2</v>
      </c>
      <c r="AH1228">
        <f t="shared" si="286"/>
        <v>1.1924999999999999</v>
      </c>
      <c r="AI1228">
        <f>HLOOKUP(HLOOKUP(G1228,'THP2'!$B$4:$J$8,5,FALSE),'Fuel &amp; Resister'!$B$3:$G$6,4,FALSE)</f>
        <v>2.7360666666666664</v>
      </c>
      <c r="AJ1228" s="41">
        <f>HLOOKUP(HLOOKUP(G1228,'THP2'!$B$4:$J$8,5,FALSE),'Fuel &amp; Resister'!$B$3:$G$6,3,FALSE)</f>
        <v>13.019</v>
      </c>
      <c r="AO1228" s="1">
        <v>1</v>
      </c>
      <c r="AP1228" s="1">
        <v>1</v>
      </c>
    </row>
    <row r="1229" spans="2:42" x14ac:dyDescent="0.15">
      <c r="B1229" s="81" t="s">
        <v>596</v>
      </c>
      <c r="C1229" s="61">
        <f>VLOOKUP(B1229,[1]SYS!$F$5:$G$359,2,FALSE)</f>
        <v>155</v>
      </c>
      <c r="D1229" s="1" t="s">
        <v>50</v>
      </c>
      <c r="E1229" s="42" t="s">
        <v>233</v>
      </c>
      <c r="F1229" s="63" t="s">
        <v>536</v>
      </c>
      <c r="G1229" s="1">
        <v>8</v>
      </c>
      <c r="H1229" s="1">
        <f t="shared" si="278"/>
        <v>0.3991769547325103</v>
      </c>
      <c r="I1229" s="1">
        <f t="shared" si="287"/>
        <v>0.24299999999999999</v>
      </c>
      <c r="J1229" s="1">
        <f t="shared" si="289"/>
        <v>2.4599999999999955E-2</v>
      </c>
      <c r="K1229" s="1">
        <f t="shared" si="280"/>
        <v>2.3127</v>
      </c>
      <c r="L1229" s="1">
        <f t="shared" si="281"/>
        <v>1.7728299999999999</v>
      </c>
      <c r="M1229" s="49">
        <v>0</v>
      </c>
      <c r="N1229" s="49">
        <v>1.1924999999999999</v>
      </c>
      <c r="O1229" s="1">
        <v>913</v>
      </c>
      <c r="P1229" s="51">
        <v>0.05</v>
      </c>
      <c r="Q1229" s="51">
        <v>11</v>
      </c>
      <c r="R1229" s="51">
        <v>0</v>
      </c>
      <c r="S1229" s="1">
        <v>1</v>
      </c>
      <c r="T1229" s="1">
        <v>0</v>
      </c>
      <c r="U1229" s="47">
        <v>0</v>
      </c>
      <c r="V1229" s="47">
        <v>253</v>
      </c>
      <c r="W1229" s="41">
        <v>97</v>
      </c>
      <c r="X1229">
        <v>243</v>
      </c>
      <c r="Y1229">
        <v>0.97540000000000004</v>
      </c>
      <c r="Z1229">
        <v>2312.6999999999998</v>
      </c>
      <c r="AA1229">
        <v>1772.83</v>
      </c>
      <c r="AB1229">
        <v>119.25</v>
      </c>
      <c r="AC1229">
        <v>36</v>
      </c>
      <c r="AD1229" s="41">
        <f t="shared" si="282"/>
        <v>0.37185973105028758</v>
      </c>
      <c r="AE1229" s="41">
        <f t="shared" si="283"/>
        <v>0.48510009419966948</v>
      </c>
      <c r="AF1229">
        <f t="shared" si="284"/>
        <v>1.4141492465753425</v>
      </c>
      <c r="AG1229">
        <f t="shared" si="285"/>
        <v>8.7159423082191753E-2</v>
      </c>
      <c r="AH1229">
        <f t="shared" si="286"/>
        <v>1.1924999999999999</v>
      </c>
      <c r="AI1229">
        <f>HLOOKUP(HLOOKUP(G1229,'THP2'!$B$4:$J$8,5,FALSE),'Fuel &amp; Resister'!$B$3:$G$6,4,FALSE)</f>
        <v>2.7360666666666664</v>
      </c>
      <c r="AJ1229" s="41">
        <f>HLOOKUP(HLOOKUP(G1229,'THP2'!$B$4:$J$8,5,FALSE),'Fuel &amp; Resister'!$B$3:$G$6,3,FALSE)</f>
        <v>13.019</v>
      </c>
      <c r="AO1229" s="1">
        <v>1</v>
      </c>
      <c r="AP1229" s="1">
        <v>1</v>
      </c>
    </row>
    <row r="1230" spans="2:42" x14ac:dyDescent="0.15">
      <c r="B1230" s="81" t="s">
        <v>596</v>
      </c>
      <c r="C1230" s="61">
        <f>VLOOKUP(B1230,[1]SYS!$F$5:$G$359,2,FALSE)</f>
        <v>155</v>
      </c>
      <c r="D1230" s="1" t="s">
        <v>50</v>
      </c>
      <c r="E1230" s="42" t="s">
        <v>234</v>
      </c>
      <c r="F1230" s="63" t="s">
        <v>536</v>
      </c>
      <c r="G1230" s="1">
        <v>8</v>
      </c>
      <c r="H1230" s="1">
        <f t="shared" si="278"/>
        <v>0.3991769547325103</v>
      </c>
      <c r="I1230" s="1">
        <f t="shared" si="287"/>
        <v>0.24299999999999999</v>
      </c>
      <c r="J1230" s="1">
        <f t="shared" si="289"/>
        <v>2.4599999999999955E-2</v>
      </c>
      <c r="K1230" s="1">
        <f t="shared" si="280"/>
        <v>2.3127</v>
      </c>
      <c r="L1230" s="1">
        <f t="shared" si="281"/>
        <v>1.7728299999999999</v>
      </c>
      <c r="M1230" s="49">
        <v>0</v>
      </c>
      <c r="N1230" s="49">
        <v>1.1924999999999999</v>
      </c>
      <c r="O1230" s="1">
        <v>211</v>
      </c>
      <c r="P1230" s="51">
        <v>0.05</v>
      </c>
      <c r="Q1230" s="51">
        <v>11</v>
      </c>
      <c r="R1230" s="51">
        <v>0</v>
      </c>
      <c r="S1230" s="1">
        <v>1</v>
      </c>
      <c r="T1230" s="1">
        <v>0</v>
      </c>
      <c r="U1230" s="47">
        <v>0</v>
      </c>
      <c r="V1230" s="47">
        <v>254</v>
      </c>
      <c r="W1230" s="41">
        <v>97</v>
      </c>
      <c r="X1230">
        <v>243</v>
      </c>
      <c r="Y1230">
        <v>0.97540000000000004</v>
      </c>
      <c r="Z1230">
        <v>2312.6999999999998</v>
      </c>
      <c r="AA1230">
        <v>1772.83</v>
      </c>
      <c r="AB1230">
        <v>119.25</v>
      </c>
      <c r="AC1230">
        <v>36</v>
      </c>
      <c r="AD1230" s="41">
        <f t="shared" si="282"/>
        <v>0.37185973105028758</v>
      </c>
      <c r="AE1230" s="41">
        <f t="shared" si="283"/>
        <v>0.48510009419966948</v>
      </c>
      <c r="AF1230">
        <f t="shared" si="284"/>
        <v>1.4141492465753425</v>
      </c>
      <c r="AG1230">
        <f t="shared" si="285"/>
        <v>8.7159423082191753E-2</v>
      </c>
      <c r="AH1230">
        <f t="shared" si="286"/>
        <v>1.1924999999999999</v>
      </c>
      <c r="AI1230">
        <f>HLOOKUP(HLOOKUP(G1230,'THP2'!$B$4:$J$8,5,FALSE),'Fuel &amp; Resister'!$B$3:$G$6,4,FALSE)</f>
        <v>2.7360666666666664</v>
      </c>
      <c r="AJ1230" s="41">
        <f>HLOOKUP(HLOOKUP(G1230,'THP2'!$B$4:$J$8,5,FALSE),'Fuel &amp; Resister'!$B$3:$G$6,3,FALSE)</f>
        <v>13.019</v>
      </c>
      <c r="AO1230" s="1">
        <v>1</v>
      </c>
      <c r="AP1230" s="1">
        <v>1</v>
      </c>
    </row>
    <row r="1231" spans="2:42" x14ac:dyDescent="0.15">
      <c r="B1231" s="81" t="s">
        <v>596</v>
      </c>
      <c r="C1231" s="61">
        <f>VLOOKUP(B1231,[1]SYS!$F$5:$G$359,2,FALSE)</f>
        <v>155</v>
      </c>
      <c r="D1231" s="1" t="s">
        <v>50</v>
      </c>
      <c r="E1231" s="42" t="s">
        <v>235</v>
      </c>
      <c r="F1231" s="63" t="s">
        <v>536</v>
      </c>
      <c r="G1231" s="1">
        <v>8</v>
      </c>
      <c r="H1231" s="1">
        <f t="shared" si="278"/>
        <v>0.3991769547325103</v>
      </c>
      <c r="I1231" s="1">
        <f t="shared" si="287"/>
        <v>0.24299999999999999</v>
      </c>
      <c r="J1231" s="1">
        <f t="shared" si="289"/>
        <v>2.410000000000001E-2</v>
      </c>
      <c r="K1231" s="1">
        <f t="shared" si="280"/>
        <v>2.3127</v>
      </c>
      <c r="L1231" s="1">
        <f t="shared" si="281"/>
        <v>1.7728299999999999</v>
      </c>
      <c r="M1231" s="49">
        <v>0</v>
      </c>
      <c r="N1231" s="49">
        <v>1.1924999999999999</v>
      </c>
      <c r="O1231" s="1">
        <v>1014</v>
      </c>
      <c r="P1231" s="51">
        <v>0.05</v>
      </c>
      <c r="Q1231" s="51">
        <v>11</v>
      </c>
      <c r="R1231" s="51">
        <v>0</v>
      </c>
      <c r="S1231" s="1">
        <v>1</v>
      </c>
      <c r="T1231" s="1">
        <v>0</v>
      </c>
      <c r="U1231" s="47">
        <v>0</v>
      </c>
      <c r="V1231" s="47">
        <v>255</v>
      </c>
      <c r="W1231" s="41">
        <v>97</v>
      </c>
      <c r="X1231">
        <v>243</v>
      </c>
      <c r="Y1231">
        <v>0.97589999999999999</v>
      </c>
      <c r="Z1231">
        <v>2312.6999999999998</v>
      </c>
      <c r="AA1231">
        <v>1772.83</v>
      </c>
      <c r="AB1231">
        <v>119.25</v>
      </c>
      <c r="AC1231">
        <v>36</v>
      </c>
      <c r="AD1231" s="41">
        <f t="shared" si="282"/>
        <v>0.37185973105028758</v>
      </c>
      <c r="AE1231" s="41">
        <f t="shared" si="283"/>
        <v>0.48510009419966948</v>
      </c>
      <c r="AF1231">
        <f t="shared" si="284"/>
        <v>1.4141492465753425</v>
      </c>
      <c r="AG1231">
        <f t="shared" si="285"/>
        <v>8.7159423082191753E-2</v>
      </c>
      <c r="AH1231">
        <f t="shared" si="286"/>
        <v>1.1924999999999999</v>
      </c>
      <c r="AI1231">
        <f>HLOOKUP(HLOOKUP(G1231,'THP2'!$B$4:$J$8,5,FALSE),'Fuel &amp; Resister'!$B$3:$G$6,4,FALSE)</f>
        <v>2.7360666666666664</v>
      </c>
      <c r="AJ1231" s="41">
        <f>HLOOKUP(HLOOKUP(G1231,'THP2'!$B$4:$J$8,5,FALSE),'Fuel &amp; Resister'!$B$3:$G$6,3,FALSE)</f>
        <v>13.019</v>
      </c>
      <c r="AO1231" s="1">
        <v>1</v>
      </c>
      <c r="AP1231" s="1">
        <v>1</v>
      </c>
    </row>
    <row r="1232" spans="2:42" x14ac:dyDescent="0.15">
      <c r="B1232" s="81" t="s">
        <v>596</v>
      </c>
      <c r="C1232" s="61">
        <f>VLOOKUP(B1232,[1]SYS!$F$5:$G$359,2,FALSE)</f>
        <v>155</v>
      </c>
      <c r="D1232" s="1" t="s">
        <v>50</v>
      </c>
      <c r="E1232" s="42" t="s">
        <v>236</v>
      </c>
      <c r="F1232" s="63" t="s">
        <v>536</v>
      </c>
      <c r="G1232" s="1">
        <v>8</v>
      </c>
      <c r="H1232" s="1">
        <f t="shared" si="278"/>
        <v>0.3991769547325103</v>
      </c>
      <c r="I1232" s="1">
        <f t="shared" si="287"/>
        <v>0.24299999999999999</v>
      </c>
      <c r="J1232" s="1">
        <f t="shared" si="289"/>
        <v>2.410000000000001E-2</v>
      </c>
      <c r="K1232" s="1">
        <f t="shared" si="280"/>
        <v>2.3127</v>
      </c>
      <c r="L1232" s="1">
        <f t="shared" si="281"/>
        <v>1.7728299999999999</v>
      </c>
      <c r="M1232" s="49">
        <v>0</v>
      </c>
      <c r="N1232" s="49">
        <v>1.1924999999999999</v>
      </c>
      <c r="O1232" s="1">
        <v>1014</v>
      </c>
      <c r="P1232" s="51">
        <v>0.05</v>
      </c>
      <c r="Q1232" s="51">
        <v>11</v>
      </c>
      <c r="R1232" s="51">
        <v>0</v>
      </c>
      <c r="S1232" s="1">
        <v>1</v>
      </c>
      <c r="T1232" s="1">
        <v>0</v>
      </c>
      <c r="U1232" s="47">
        <v>0</v>
      </c>
      <c r="V1232" s="47">
        <v>256</v>
      </c>
      <c r="W1232" s="41">
        <v>97</v>
      </c>
      <c r="X1232">
        <v>243</v>
      </c>
      <c r="Y1232">
        <v>0.97589999999999999</v>
      </c>
      <c r="Z1232">
        <v>2312.6999999999998</v>
      </c>
      <c r="AA1232">
        <v>1772.83</v>
      </c>
      <c r="AB1232">
        <v>119.25</v>
      </c>
      <c r="AC1232">
        <v>36</v>
      </c>
      <c r="AD1232" s="41">
        <f t="shared" si="282"/>
        <v>0.37185973105028758</v>
      </c>
      <c r="AE1232" s="41">
        <f t="shared" si="283"/>
        <v>0.48510009419966948</v>
      </c>
      <c r="AF1232">
        <f t="shared" si="284"/>
        <v>1.4141492465753425</v>
      </c>
      <c r="AG1232">
        <f t="shared" si="285"/>
        <v>8.7159423082191753E-2</v>
      </c>
      <c r="AH1232">
        <f t="shared" si="286"/>
        <v>1.1924999999999999</v>
      </c>
      <c r="AI1232">
        <f>HLOOKUP(HLOOKUP(G1232,'THP2'!$B$4:$J$8,5,FALSE),'Fuel &amp; Resister'!$B$3:$G$6,4,FALSE)</f>
        <v>2.7360666666666664</v>
      </c>
      <c r="AJ1232" s="41">
        <f>HLOOKUP(HLOOKUP(G1232,'THP2'!$B$4:$J$8,5,FALSE),'Fuel &amp; Resister'!$B$3:$G$6,3,FALSE)</f>
        <v>13.019</v>
      </c>
      <c r="AO1232" s="1">
        <v>1</v>
      </c>
      <c r="AP1232" s="1">
        <v>1</v>
      </c>
    </row>
    <row r="1233" spans="2:42" x14ac:dyDescent="0.15">
      <c r="B1233" s="81" t="s">
        <v>596</v>
      </c>
      <c r="C1233" s="61">
        <f>VLOOKUP(B1233,[1]SYS!$F$5:$G$359,2,FALSE)</f>
        <v>155</v>
      </c>
      <c r="D1233" s="1" t="s">
        <v>50</v>
      </c>
      <c r="E1233" s="42" t="s">
        <v>237</v>
      </c>
      <c r="F1233" s="63" t="s">
        <v>536</v>
      </c>
      <c r="G1233" s="1">
        <v>8</v>
      </c>
      <c r="H1233" s="1">
        <f t="shared" si="278"/>
        <v>0.3991769547325103</v>
      </c>
      <c r="I1233" s="1">
        <f t="shared" si="287"/>
        <v>0.24299999999999999</v>
      </c>
      <c r="J1233" s="1">
        <f t="shared" si="289"/>
        <v>2.410000000000001E-2</v>
      </c>
      <c r="K1233" s="1">
        <f t="shared" si="280"/>
        <v>2.3127</v>
      </c>
      <c r="L1233" s="1">
        <f t="shared" si="281"/>
        <v>1.7728299999999999</v>
      </c>
      <c r="M1233" s="49">
        <v>0</v>
      </c>
      <c r="N1233" s="49">
        <v>1.1924999999999999</v>
      </c>
      <c r="O1233" s="1">
        <v>1014</v>
      </c>
      <c r="P1233" s="51">
        <v>0.05</v>
      </c>
      <c r="Q1233" s="51">
        <v>11</v>
      </c>
      <c r="R1233" s="51">
        <v>0</v>
      </c>
      <c r="S1233" s="1">
        <v>1</v>
      </c>
      <c r="T1233" s="1">
        <v>0</v>
      </c>
      <c r="U1233" s="47">
        <v>0</v>
      </c>
      <c r="V1233" s="47">
        <v>257</v>
      </c>
      <c r="W1233" s="41">
        <v>97</v>
      </c>
      <c r="X1233">
        <v>243</v>
      </c>
      <c r="Y1233">
        <v>0.97589999999999999</v>
      </c>
      <c r="Z1233">
        <v>2312.6999999999998</v>
      </c>
      <c r="AA1233">
        <v>1772.83</v>
      </c>
      <c r="AB1233">
        <v>119.25</v>
      </c>
      <c r="AC1233">
        <v>36</v>
      </c>
      <c r="AD1233" s="41">
        <f t="shared" si="282"/>
        <v>0.37185973105028758</v>
      </c>
      <c r="AE1233" s="41">
        <f t="shared" si="283"/>
        <v>0.48510009419966948</v>
      </c>
      <c r="AF1233">
        <f t="shared" si="284"/>
        <v>1.4141492465753425</v>
      </c>
      <c r="AG1233">
        <f t="shared" si="285"/>
        <v>8.7159423082191753E-2</v>
      </c>
      <c r="AH1233">
        <f t="shared" si="286"/>
        <v>1.1924999999999999</v>
      </c>
      <c r="AI1233">
        <f>HLOOKUP(HLOOKUP(G1233,'THP2'!$B$4:$J$8,5,FALSE),'Fuel &amp; Resister'!$B$3:$G$6,4,FALSE)</f>
        <v>2.7360666666666664</v>
      </c>
      <c r="AJ1233" s="41">
        <f>HLOOKUP(HLOOKUP(G1233,'THP2'!$B$4:$J$8,5,FALSE),'Fuel &amp; Resister'!$B$3:$G$6,3,FALSE)</f>
        <v>13.019</v>
      </c>
      <c r="AO1233" s="62">
        <v>0</v>
      </c>
      <c r="AP1233" s="62">
        <v>0</v>
      </c>
    </row>
    <row r="1234" spans="2:42" x14ac:dyDescent="0.15">
      <c r="B1234" s="81" t="s">
        <v>596</v>
      </c>
      <c r="C1234" s="61">
        <f>VLOOKUP(B1234,[1]SYS!$F$5:$G$359,2,FALSE)</f>
        <v>155</v>
      </c>
      <c r="D1234" s="1" t="s">
        <v>50</v>
      </c>
      <c r="E1234" s="42" t="s">
        <v>238</v>
      </c>
      <c r="F1234" s="63" t="s">
        <v>536</v>
      </c>
      <c r="G1234" s="1">
        <v>8</v>
      </c>
      <c r="H1234" s="1">
        <f t="shared" si="278"/>
        <v>0.3991769547325103</v>
      </c>
      <c r="I1234" s="1">
        <f t="shared" si="287"/>
        <v>0.24299999999999999</v>
      </c>
      <c r="J1234" s="1">
        <f t="shared" si="289"/>
        <v>2.410000000000001E-2</v>
      </c>
      <c r="K1234" s="1">
        <f t="shared" si="280"/>
        <v>2.3127</v>
      </c>
      <c r="L1234" s="1">
        <f t="shared" si="281"/>
        <v>1.7728299999999999</v>
      </c>
      <c r="M1234" s="49">
        <v>0</v>
      </c>
      <c r="N1234" s="49">
        <v>1.1924999999999999</v>
      </c>
      <c r="O1234" s="6">
        <v>326</v>
      </c>
      <c r="P1234" s="51">
        <v>0.05</v>
      </c>
      <c r="Q1234" s="51">
        <v>11</v>
      </c>
      <c r="R1234" s="51">
        <v>0</v>
      </c>
      <c r="S1234" s="1">
        <v>1</v>
      </c>
      <c r="T1234" s="1">
        <v>0</v>
      </c>
      <c r="U1234" s="47">
        <v>0</v>
      </c>
      <c r="V1234" s="47">
        <v>258</v>
      </c>
      <c r="W1234" s="41">
        <v>97</v>
      </c>
      <c r="X1234">
        <v>243</v>
      </c>
      <c r="Y1234">
        <v>0.97589999999999999</v>
      </c>
      <c r="Z1234">
        <v>2312.6999999999998</v>
      </c>
      <c r="AA1234">
        <v>1772.83</v>
      </c>
      <c r="AB1234">
        <v>119.25</v>
      </c>
      <c r="AC1234">
        <v>36</v>
      </c>
      <c r="AD1234" s="41">
        <f t="shared" si="282"/>
        <v>0.37185973105028758</v>
      </c>
      <c r="AE1234" s="41">
        <f t="shared" si="283"/>
        <v>0.48510009419966948</v>
      </c>
      <c r="AF1234">
        <f t="shared" si="284"/>
        <v>1.4141492465753425</v>
      </c>
      <c r="AG1234">
        <f t="shared" si="285"/>
        <v>8.7159423082191753E-2</v>
      </c>
      <c r="AH1234">
        <f t="shared" si="286"/>
        <v>1.1924999999999999</v>
      </c>
      <c r="AI1234">
        <f>HLOOKUP(HLOOKUP(G1234,'THP2'!$B$4:$J$8,5,FALSE),'Fuel &amp; Resister'!$B$3:$G$6,4,FALSE)</f>
        <v>2.7360666666666664</v>
      </c>
      <c r="AJ1234" s="41">
        <f>HLOOKUP(HLOOKUP(G1234,'THP2'!$B$4:$J$8,5,FALSE),'Fuel &amp; Resister'!$B$3:$G$6,3,FALSE)</f>
        <v>13.019</v>
      </c>
      <c r="AO1234" s="62">
        <v>0</v>
      </c>
      <c r="AP1234" s="62">
        <v>0</v>
      </c>
    </row>
    <row r="1235" spans="2:42" x14ac:dyDescent="0.15">
      <c r="B1235" s="81" t="s">
        <v>596</v>
      </c>
      <c r="C1235" s="61">
        <f>VLOOKUP(B1235,[1]SYS!$F$5:$G$359,2,FALSE)</f>
        <v>155</v>
      </c>
      <c r="D1235" s="1" t="s">
        <v>50</v>
      </c>
      <c r="E1235" s="65" t="s">
        <v>541</v>
      </c>
      <c r="F1235" s="63" t="s">
        <v>544</v>
      </c>
      <c r="G1235" s="1">
        <v>8</v>
      </c>
      <c r="H1235" s="1">
        <f t="shared" si="278"/>
        <v>0.4</v>
      </c>
      <c r="I1235" s="1">
        <f t="shared" si="287"/>
        <v>0.59499999999999997</v>
      </c>
      <c r="J1235" s="1">
        <f t="shared" si="289"/>
        <v>2.6900000000000035E-2</v>
      </c>
      <c r="K1235" s="1">
        <f t="shared" si="280"/>
        <v>2.1308499999999997</v>
      </c>
      <c r="L1235" s="1">
        <f t="shared" si="281"/>
        <v>1.6334300000000002</v>
      </c>
      <c r="M1235" s="49">
        <v>0</v>
      </c>
      <c r="N1235" s="49">
        <f>AB1235/100</f>
        <v>1.5712999999999999</v>
      </c>
      <c r="O1235" s="6">
        <v>1004</v>
      </c>
      <c r="P1235" s="51">
        <v>0.05</v>
      </c>
      <c r="Q1235" s="51">
        <v>11</v>
      </c>
      <c r="R1235" s="51">
        <v>0</v>
      </c>
      <c r="S1235" s="1">
        <v>1</v>
      </c>
      <c r="T1235" s="1">
        <v>0</v>
      </c>
      <c r="U1235" s="47">
        <v>0</v>
      </c>
      <c r="V1235" s="47"/>
      <c r="W1235" s="41">
        <v>238</v>
      </c>
      <c r="X1235">
        <v>595</v>
      </c>
      <c r="Y1235">
        <v>0.97309999999999997</v>
      </c>
      <c r="Z1235">
        <v>2130.85</v>
      </c>
      <c r="AA1235">
        <v>1633.43</v>
      </c>
      <c r="AB1235">
        <v>157.13</v>
      </c>
      <c r="AC1235"/>
      <c r="AD1235" s="41"/>
      <c r="AI1235">
        <f>HLOOKUP(HLOOKUP(G1235,'THP2'!$B$4:$J$8,5,FALSE),'Fuel &amp; Resister'!$B$3:$G$6,4,FALSE)</f>
        <v>2.7360666666666664</v>
      </c>
      <c r="AJ1235" s="41">
        <f>HLOOKUP(HLOOKUP(G1235,'THP2'!$B$4:$J$8,5,FALSE),'Fuel &amp; Resister'!$B$3:$G$6,3,FALSE)</f>
        <v>13.019</v>
      </c>
      <c r="AO1235" s="62">
        <v>0</v>
      </c>
      <c r="AP1235" s="62">
        <v>0</v>
      </c>
    </row>
    <row r="1236" spans="2:42" x14ac:dyDescent="0.15">
      <c r="B1236" s="81" t="s">
        <v>596</v>
      </c>
      <c r="C1236" s="61">
        <f>VLOOKUP(B1236,[1]SYS!$F$5:$G$359,2,FALSE)</f>
        <v>155</v>
      </c>
      <c r="D1236" s="1" t="s">
        <v>50</v>
      </c>
      <c r="E1236" s="65" t="s">
        <v>541</v>
      </c>
      <c r="F1236" s="63" t="s">
        <v>544</v>
      </c>
      <c r="G1236" s="1">
        <v>8</v>
      </c>
      <c r="H1236" s="1">
        <f t="shared" si="278"/>
        <v>0.4</v>
      </c>
      <c r="I1236" s="1">
        <f t="shared" si="287"/>
        <v>0.59499999999999997</v>
      </c>
      <c r="J1236" s="1">
        <f t="shared" si="289"/>
        <v>2.6900000000000035E-2</v>
      </c>
      <c r="K1236" s="1">
        <f t="shared" si="280"/>
        <v>2.1308499999999997</v>
      </c>
      <c r="L1236" s="1">
        <f t="shared" si="281"/>
        <v>1.6334300000000002</v>
      </c>
      <c r="M1236" s="49">
        <v>0</v>
      </c>
      <c r="N1236" s="49">
        <f t="shared" ref="N1236:N1255" si="290">AB1236/100</f>
        <v>1.5712999999999999</v>
      </c>
      <c r="O1236" s="6">
        <v>1109</v>
      </c>
      <c r="P1236" s="51">
        <v>0.05</v>
      </c>
      <c r="Q1236" s="51">
        <v>11</v>
      </c>
      <c r="R1236" s="51">
        <v>0</v>
      </c>
      <c r="S1236" s="1">
        <v>1</v>
      </c>
      <c r="T1236" s="1">
        <v>0</v>
      </c>
      <c r="U1236" s="47">
        <v>0</v>
      </c>
      <c r="V1236" s="47"/>
      <c r="W1236" s="41">
        <v>238</v>
      </c>
      <c r="X1236">
        <v>595</v>
      </c>
      <c r="Y1236">
        <v>0.97309999999999997</v>
      </c>
      <c r="Z1236">
        <v>2130.85</v>
      </c>
      <c r="AA1236">
        <v>1633.43</v>
      </c>
      <c r="AB1236">
        <v>157.13</v>
      </c>
      <c r="AC1236"/>
      <c r="AD1236" s="41"/>
      <c r="AI1236">
        <f>HLOOKUP(HLOOKUP(G1236,'THP2'!$B$4:$J$8,5,FALSE),'Fuel &amp; Resister'!$B$3:$G$6,4,FALSE)</f>
        <v>2.7360666666666664</v>
      </c>
      <c r="AJ1236" s="41">
        <f>HLOOKUP(HLOOKUP(G1236,'THP2'!$B$4:$J$8,5,FALSE),'Fuel &amp; Resister'!$B$3:$G$6,3,FALSE)</f>
        <v>13.019</v>
      </c>
      <c r="AO1236" s="62">
        <v>0</v>
      </c>
      <c r="AP1236" s="62">
        <v>0</v>
      </c>
    </row>
    <row r="1237" spans="2:42" x14ac:dyDescent="0.15">
      <c r="B1237" s="81" t="s">
        <v>596</v>
      </c>
      <c r="C1237" s="61">
        <f>VLOOKUP(B1237,[1]SYS!$F$5:$G$359,2,FALSE)</f>
        <v>155</v>
      </c>
      <c r="D1237" s="1" t="s">
        <v>50</v>
      </c>
      <c r="E1237" s="65" t="s">
        <v>541</v>
      </c>
      <c r="F1237" s="63" t="s">
        <v>544</v>
      </c>
      <c r="G1237" s="1">
        <v>8</v>
      </c>
      <c r="H1237" s="1">
        <f t="shared" si="278"/>
        <v>0.4</v>
      </c>
      <c r="I1237" s="1">
        <f t="shared" si="287"/>
        <v>0.59499999999999997</v>
      </c>
      <c r="J1237" s="1">
        <f t="shared" si="289"/>
        <v>2.6900000000000035E-2</v>
      </c>
      <c r="K1237" s="1">
        <f t="shared" si="280"/>
        <v>2.1308499999999997</v>
      </c>
      <c r="L1237" s="1">
        <f t="shared" si="281"/>
        <v>1.6334300000000002</v>
      </c>
      <c r="M1237" s="49">
        <v>0</v>
      </c>
      <c r="N1237" s="49">
        <f t="shared" si="290"/>
        <v>1.5712999999999999</v>
      </c>
      <c r="O1237" s="6">
        <v>704</v>
      </c>
      <c r="P1237" s="51">
        <v>0.05</v>
      </c>
      <c r="Q1237" s="51">
        <v>11</v>
      </c>
      <c r="R1237" s="51">
        <v>0</v>
      </c>
      <c r="S1237" s="1">
        <v>1</v>
      </c>
      <c r="T1237" s="1">
        <v>0</v>
      </c>
      <c r="U1237" s="47">
        <v>0</v>
      </c>
      <c r="V1237" s="47"/>
      <c r="W1237" s="41">
        <v>238</v>
      </c>
      <c r="X1237">
        <v>595</v>
      </c>
      <c r="Y1237">
        <v>0.97309999999999997</v>
      </c>
      <c r="Z1237">
        <v>2130.85</v>
      </c>
      <c r="AA1237">
        <v>1633.43</v>
      </c>
      <c r="AB1237">
        <v>157.13</v>
      </c>
      <c r="AC1237"/>
      <c r="AD1237" s="41"/>
      <c r="AI1237">
        <f>HLOOKUP(HLOOKUP(G1237,'THP2'!$B$4:$J$8,5,FALSE),'Fuel &amp; Resister'!$B$3:$G$6,4,FALSE)</f>
        <v>2.7360666666666664</v>
      </c>
      <c r="AJ1237" s="41">
        <f>HLOOKUP(HLOOKUP(G1237,'THP2'!$B$4:$J$8,5,FALSE),'Fuel &amp; Resister'!$B$3:$G$6,3,FALSE)</f>
        <v>13.019</v>
      </c>
      <c r="AO1237" s="62">
        <v>0</v>
      </c>
      <c r="AP1237" s="62">
        <v>0</v>
      </c>
    </row>
    <row r="1238" spans="2:42" x14ac:dyDescent="0.15">
      <c r="B1238" s="81" t="s">
        <v>596</v>
      </c>
      <c r="C1238" s="61">
        <f>VLOOKUP(B1238,[1]SYS!$F$5:$G$359,2,FALSE)</f>
        <v>155</v>
      </c>
      <c r="D1238" s="1" t="s">
        <v>50</v>
      </c>
      <c r="E1238" s="65" t="s">
        <v>541</v>
      </c>
      <c r="F1238" s="63" t="s">
        <v>544</v>
      </c>
      <c r="G1238" s="1">
        <v>8</v>
      </c>
      <c r="H1238" s="1">
        <f t="shared" si="278"/>
        <v>0.4</v>
      </c>
      <c r="I1238" s="1">
        <f t="shared" si="287"/>
        <v>0.59499999999999997</v>
      </c>
      <c r="J1238" s="1">
        <f t="shared" si="289"/>
        <v>2.6900000000000035E-2</v>
      </c>
      <c r="K1238" s="1">
        <f t="shared" si="280"/>
        <v>2.1308499999999997</v>
      </c>
      <c r="L1238" s="1">
        <f t="shared" si="281"/>
        <v>1.6334300000000002</v>
      </c>
      <c r="M1238" s="49">
        <v>0</v>
      </c>
      <c r="N1238" s="49">
        <f t="shared" si="290"/>
        <v>1.5712999999999999</v>
      </c>
      <c r="O1238" s="6">
        <v>809</v>
      </c>
      <c r="P1238" s="51">
        <v>0.05</v>
      </c>
      <c r="Q1238" s="51">
        <v>11</v>
      </c>
      <c r="R1238" s="51">
        <v>0</v>
      </c>
      <c r="S1238" s="1">
        <v>1</v>
      </c>
      <c r="T1238" s="1">
        <v>0</v>
      </c>
      <c r="U1238" s="47">
        <v>0</v>
      </c>
      <c r="V1238" s="47"/>
      <c r="W1238" s="41">
        <v>238</v>
      </c>
      <c r="X1238">
        <v>595</v>
      </c>
      <c r="Y1238">
        <v>0.97309999999999997</v>
      </c>
      <c r="Z1238">
        <v>2130.85</v>
      </c>
      <c r="AA1238">
        <v>1633.43</v>
      </c>
      <c r="AB1238">
        <v>157.13</v>
      </c>
      <c r="AC1238"/>
      <c r="AD1238" s="41"/>
      <c r="AI1238">
        <f>HLOOKUP(HLOOKUP(G1238,'THP2'!$B$4:$J$8,5,FALSE),'Fuel &amp; Resister'!$B$3:$G$6,4,FALSE)</f>
        <v>2.7360666666666664</v>
      </c>
      <c r="AJ1238" s="41">
        <f>HLOOKUP(HLOOKUP(G1238,'THP2'!$B$4:$J$8,5,FALSE),'Fuel &amp; Resister'!$B$3:$G$6,3,FALSE)</f>
        <v>13.019</v>
      </c>
      <c r="AO1238" s="62">
        <v>0</v>
      </c>
      <c r="AP1238" s="62">
        <v>0</v>
      </c>
    </row>
    <row r="1239" spans="2:42" x14ac:dyDescent="0.15">
      <c r="B1239" s="81" t="s">
        <v>596</v>
      </c>
      <c r="C1239" s="61">
        <f>VLOOKUP(B1239,[1]SYS!$F$5:$G$359,2,FALSE)</f>
        <v>155</v>
      </c>
      <c r="D1239" s="1" t="s">
        <v>50</v>
      </c>
      <c r="E1239" s="65" t="s">
        <v>541</v>
      </c>
      <c r="F1239" s="63" t="s">
        <v>544</v>
      </c>
      <c r="G1239" s="1">
        <v>8</v>
      </c>
      <c r="H1239" s="1">
        <f t="shared" ref="H1239:H1374" si="291">W1239/X1239</f>
        <v>0.4</v>
      </c>
      <c r="I1239" s="1">
        <f t="shared" si="287"/>
        <v>0.59499999999999997</v>
      </c>
      <c r="J1239" s="1">
        <f t="shared" si="289"/>
        <v>2.6900000000000035E-2</v>
      </c>
      <c r="K1239" s="1">
        <f t="shared" ref="K1239:K1374" si="292">Z1239/1000</f>
        <v>2.1308499999999997</v>
      </c>
      <c r="L1239" s="1">
        <f t="shared" ref="L1239:L1374" si="293">AA1239/1000</f>
        <v>1.6334300000000002</v>
      </c>
      <c r="M1239" s="49">
        <v>0</v>
      </c>
      <c r="N1239" s="49">
        <f t="shared" si="290"/>
        <v>1.5712999999999999</v>
      </c>
      <c r="O1239" s="6">
        <v>1004</v>
      </c>
      <c r="P1239" s="51">
        <v>0.05</v>
      </c>
      <c r="Q1239" s="51">
        <v>11</v>
      </c>
      <c r="R1239" s="51">
        <v>0</v>
      </c>
      <c r="S1239" s="1">
        <v>1</v>
      </c>
      <c r="T1239" s="1">
        <v>0</v>
      </c>
      <c r="U1239" s="47">
        <v>0</v>
      </c>
      <c r="V1239" s="47"/>
      <c r="W1239" s="41">
        <v>238</v>
      </c>
      <c r="X1239">
        <v>595</v>
      </c>
      <c r="Y1239">
        <v>0.97309999999999997</v>
      </c>
      <c r="Z1239">
        <v>2130.85</v>
      </c>
      <c r="AA1239">
        <v>1633.43</v>
      </c>
      <c r="AB1239">
        <v>157.13</v>
      </c>
      <c r="AC1239"/>
      <c r="AD1239" s="41"/>
      <c r="AI1239">
        <f>HLOOKUP(HLOOKUP(G1239,'THP2'!$B$4:$J$8,5,FALSE),'Fuel &amp; Resister'!$B$3:$G$6,4,FALSE)</f>
        <v>2.7360666666666664</v>
      </c>
      <c r="AJ1239" s="41">
        <f>HLOOKUP(HLOOKUP(G1239,'THP2'!$B$4:$J$8,5,FALSE),'Fuel &amp; Resister'!$B$3:$G$6,3,FALSE)</f>
        <v>13.019</v>
      </c>
      <c r="AO1239" s="62">
        <v>0</v>
      </c>
      <c r="AP1239" s="62">
        <v>0</v>
      </c>
    </row>
    <row r="1240" spans="2:42" x14ac:dyDescent="0.15">
      <c r="B1240" s="81" t="s">
        <v>596</v>
      </c>
      <c r="C1240" s="61">
        <f>VLOOKUP(B1240,[1]SYS!$F$5:$G$359,2,FALSE)</f>
        <v>155</v>
      </c>
      <c r="D1240" s="1" t="s">
        <v>50</v>
      </c>
      <c r="E1240" s="65" t="s">
        <v>541</v>
      </c>
      <c r="F1240" s="63" t="s">
        <v>544</v>
      </c>
      <c r="G1240" s="1">
        <v>8</v>
      </c>
      <c r="H1240" s="1">
        <f t="shared" si="291"/>
        <v>0.4</v>
      </c>
      <c r="I1240" s="1">
        <f t="shared" si="287"/>
        <v>0.59499999999999997</v>
      </c>
      <c r="J1240" s="1">
        <f t="shared" si="289"/>
        <v>2.6900000000000035E-2</v>
      </c>
      <c r="K1240" s="1">
        <f t="shared" si="292"/>
        <v>2.1308499999999997</v>
      </c>
      <c r="L1240" s="1">
        <f t="shared" si="293"/>
        <v>1.6334300000000002</v>
      </c>
      <c r="M1240" s="49">
        <v>0</v>
      </c>
      <c r="N1240" s="49">
        <f t="shared" si="290"/>
        <v>1.5712999999999999</v>
      </c>
      <c r="O1240" s="6">
        <v>1109</v>
      </c>
      <c r="P1240" s="51">
        <v>0.05</v>
      </c>
      <c r="Q1240" s="51">
        <v>11</v>
      </c>
      <c r="R1240" s="51">
        <v>0</v>
      </c>
      <c r="S1240" s="1">
        <v>1</v>
      </c>
      <c r="T1240" s="1">
        <v>0</v>
      </c>
      <c r="U1240" s="47">
        <v>0</v>
      </c>
      <c r="V1240" s="47"/>
      <c r="W1240" s="41">
        <v>238</v>
      </c>
      <c r="X1240">
        <v>595</v>
      </c>
      <c r="Y1240">
        <v>0.97309999999999997</v>
      </c>
      <c r="Z1240">
        <v>2130.85</v>
      </c>
      <c r="AA1240">
        <v>1633.43</v>
      </c>
      <c r="AB1240">
        <v>157.13</v>
      </c>
      <c r="AC1240"/>
      <c r="AD1240" s="41"/>
      <c r="AI1240">
        <f>HLOOKUP(HLOOKUP(G1240,'THP2'!$B$4:$J$8,5,FALSE),'Fuel &amp; Resister'!$B$3:$G$6,4,FALSE)</f>
        <v>2.7360666666666664</v>
      </c>
      <c r="AJ1240" s="41">
        <f>HLOOKUP(HLOOKUP(G1240,'THP2'!$B$4:$J$8,5,FALSE),'Fuel &amp; Resister'!$B$3:$G$6,3,FALSE)</f>
        <v>13.019</v>
      </c>
      <c r="AO1240" s="62">
        <v>0</v>
      </c>
      <c r="AP1240" s="62">
        <v>0</v>
      </c>
    </row>
    <row r="1241" spans="2:42" x14ac:dyDescent="0.15">
      <c r="B1241" s="81" t="s">
        <v>596</v>
      </c>
      <c r="C1241" s="61">
        <f>VLOOKUP(B1241,[1]SYS!$F$5:$G$359,2,FALSE)</f>
        <v>155</v>
      </c>
      <c r="D1241" s="1" t="s">
        <v>50</v>
      </c>
      <c r="E1241" s="65" t="s">
        <v>541</v>
      </c>
      <c r="F1241" s="63" t="s">
        <v>544</v>
      </c>
      <c r="G1241" s="1">
        <v>8</v>
      </c>
      <c r="H1241" s="1">
        <f t="shared" si="291"/>
        <v>0.4</v>
      </c>
      <c r="I1241" s="1">
        <f t="shared" si="287"/>
        <v>0.59499999999999997</v>
      </c>
      <c r="J1241" s="1">
        <f t="shared" si="289"/>
        <v>2.6900000000000035E-2</v>
      </c>
      <c r="K1241" s="1">
        <f t="shared" si="292"/>
        <v>2.1308499999999997</v>
      </c>
      <c r="L1241" s="1">
        <f t="shared" si="293"/>
        <v>1.6334300000000002</v>
      </c>
      <c r="M1241" s="49">
        <v>0</v>
      </c>
      <c r="N1241" s="49">
        <f t="shared" si="290"/>
        <v>1.5712999999999999</v>
      </c>
      <c r="O1241" s="6">
        <v>507</v>
      </c>
      <c r="P1241" s="51">
        <v>0.05</v>
      </c>
      <c r="Q1241" s="51">
        <v>11</v>
      </c>
      <c r="R1241" s="51">
        <v>0</v>
      </c>
      <c r="S1241" s="1">
        <v>1</v>
      </c>
      <c r="T1241" s="1">
        <v>0</v>
      </c>
      <c r="U1241" s="47">
        <v>0</v>
      </c>
      <c r="V1241" s="47"/>
      <c r="W1241" s="41">
        <v>238</v>
      </c>
      <c r="X1241">
        <v>595</v>
      </c>
      <c r="Y1241">
        <v>0.97309999999999997</v>
      </c>
      <c r="Z1241">
        <v>2130.85</v>
      </c>
      <c r="AA1241">
        <v>1633.43</v>
      </c>
      <c r="AB1241">
        <v>157.13</v>
      </c>
      <c r="AC1241"/>
      <c r="AD1241" s="41"/>
      <c r="AI1241">
        <f>HLOOKUP(HLOOKUP(G1241,'THP2'!$B$4:$J$8,5,FALSE),'Fuel &amp; Resister'!$B$3:$G$6,4,FALSE)</f>
        <v>2.7360666666666664</v>
      </c>
      <c r="AJ1241" s="41">
        <f>HLOOKUP(HLOOKUP(G1241,'THP2'!$B$4:$J$8,5,FALSE),'Fuel &amp; Resister'!$B$3:$G$6,3,FALSE)</f>
        <v>13.019</v>
      </c>
      <c r="AO1241" s="62">
        <v>0</v>
      </c>
      <c r="AP1241" s="62">
        <v>0</v>
      </c>
    </row>
    <row r="1242" spans="2:42" x14ac:dyDescent="0.15">
      <c r="B1242" s="81" t="s">
        <v>596</v>
      </c>
      <c r="C1242" s="61">
        <f>VLOOKUP(B1242,[1]SYS!$F$5:$G$359,2,FALSE)</f>
        <v>155</v>
      </c>
      <c r="D1242" s="1" t="s">
        <v>50</v>
      </c>
      <c r="E1242" s="65" t="s">
        <v>541</v>
      </c>
      <c r="F1242" s="63" t="s">
        <v>544</v>
      </c>
      <c r="G1242" s="1">
        <v>8</v>
      </c>
      <c r="H1242" s="1">
        <f t="shared" si="291"/>
        <v>0.4</v>
      </c>
      <c r="I1242" s="1">
        <f t="shared" si="287"/>
        <v>0.59499999999999997</v>
      </c>
      <c r="J1242" s="1">
        <f t="shared" si="289"/>
        <v>2.6900000000000035E-2</v>
      </c>
      <c r="K1242" s="1">
        <f t="shared" si="292"/>
        <v>2.1308499999999997</v>
      </c>
      <c r="L1242" s="1">
        <f t="shared" si="293"/>
        <v>1.6334300000000002</v>
      </c>
      <c r="M1242" s="49">
        <v>0</v>
      </c>
      <c r="N1242" s="49">
        <f t="shared" si="290"/>
        <v>1.5712999999999999</v>
      </c>
      <c r="O1242" s="6">
        <v>612</v>
      </c>
      <c r="P1242" s="51">
        <v>0.05</v>
      </c>
      <c r="Q1242" s="51">
        <v>11</v>
      </c>
      <c r="R1242" s="51">
        <v>0</v>
      </c>
      <c r="S1242" s="1">
        <v>1</v>
      </c>
      <c r="T1242" s="1">
        <v>0</v>
      </c>
      <c r="U1242" s="47">
        <v>0</v>
      </c>
      <c r="V1242" s="47"/>
      <c r="W1242" s="41">
        <v>238</v>
      </c>
      <c r="X1242">
        <v>595</v>
      </c>
      <c r="Y1242">
        <v>0.97309999999999997</v>
      </c>
      <c r="Z1242">
        <v>2130.85</v>
      </c>
      <c r="AA1242">
        <v>1633.43</v>
      </c>
      <c r="AB1242">
        <v>157.13</v>
      </c>
      <c r="AC1242"/>
      <c r="AD1242" s="41"/>
      <c r="AI1242">
        <f>HLOOKUP(HLOOKUP(G1242,'THP2'!$B$4:$J$8,5,FALSE),'Fuel &amp; Resister'!$B$3:$G$6,4,FALSE)</f>
        <v>2.7360666666666664</v>
      </c>
      <c r="AJ1242" s="41">
        <f>HLOOKUP(HLOOKUP(G1242,'THP2'!$B$4:$J$8,5,FALSE),'Fuel &amp; Resister'!$B$3:$G$6,3,FALSE)</f>
        <v>13.019</v>
      </c>
      <c r="AO1242" s="62">
        <v>0</v>
      </c>
      <c r="AP1242" s="62">
        <v>0</v>
      </c>
    </row>
    <row r="1243" spans="2:42" x14ac:dyDescent="0.15">
      <c r="B1243" s="81" t="s">
        <v>596</v>
      </c>
      <c r="C1243" s="61">
        <f>VLOOKUP(B1243,[1]SYS!$F$5:$G$359,2,FALSE)</f>
        <v>155</v>
      </c>
      <c r="D1243" s="1" t="s">
        <v>50</v>
      </c>
      <c r="E1243" s="65" t="s">
        <v>541</v>
      </c>
      <c r="F1243" s="63" t="s">
        <v>544</v>
      </c>
      <c r="G1243" s="1">
        <v>8</v>
      </c>
      <c r="H1243" s="1">
        <f t="shared" si="291"/>
        <v>0.4</v>
      </c>
      <c r="I1243" s="1">
        <f t="shared" si="287"/>
        <v>0.59499999999999997</v>
      </c>
      <c r="J1243" s="1">
        <f t="shared" si="289"/>
        <v>2.6900000000000035E-2</v>
      </c>
      <c r="K1243" s="1">
        <f t="shared" si="292"/>
        <v>2.1308499999999997</v>
      </c>
      <c r="L1243" s="1">
        <f t="shared" si="293"/>
        <v>1.6334300000000002</v>
      </c>
      <c r="M1243" s="49">
        <v>0</v>
      </c>
      <c r="N1243" s="49">
        <f t="shared" si="290"/>
        <v>1.5712999999999999</v>
      </c>
      <c r="O1243" s="6">
        <v>507</v>
      </c>
      <c r="P1243" s="51">
        <v>0.05</v>
      </c>
      <c r="Q1243" s="51">
        <v>11</v>
      </c>
      <c r="R1243" s="51">
        <v>0</v>
      </c>
      <c r="S1243" s="1">
        <v>1</v>
      </c>
      <c r="T1243" s="1">
        <v>0</v>
      </c>
      <c r="U1243" s="47">
        <v>0</v>
      </c>
      <c r="V1243" s="47"/>
      <c r="W1243" s="41">
        <v>238</v>
      </c>
      <c r="X1243">
        <v>595</v>
      </c>
      <c r="Y1243">
        <v>0.97309999999999997</v>
      </c>
      <c r="Z1243">
        <v>2130.85</v>
      </c>
      <c r="AA1243">
        <v>1633.43</v>
      </c>
      <c r="AB1243">
        <v>157.13</v>
      </c>
      <c r="AC1243"/>
      <c r="AD1243" s="41"/>
      <c r="AI1243">
        <f>HLOOKUP(HLOOKUP(G1243,'THP2'!$B$4:$J$8,5,FALSE),'Fuel &amp; Resister'!$B$3:$G$6,4,FALSE)</f>
        <v>2.7360666666666664</v>
      </c>
      <c r="AJ1243" s="41">
        <f>HLOOKUP(HLOOKUP(G1243,'THP2'!$B$4:$J$8,5,FALSE),'Fuel &amp; Resister'!$B$3:$G$6,3,FALSE)</f>
        <v>13.019</v>
      </c>
      <c r="AO1243" s="62">
        <v>0</v>
      </c>
      <c r="AP1243" s="62">
        <v>0</v>
      </c>
    </row>
    <row r="1244" spans="2:42" x14ac:dyDescent="0.15">
      <c r="B1244" s="81" t="s">
        <v>596</v>
      </c>
      <c r="C1244" s="61">
        <f>VLOOKUP(B1244,[1]SYS!$F$5:$G$359,2,FALSE)</f>
        <v>155</v>
      </c>
      <c r="D1244" s="1" t="s">
        <v>50</v>
      </c>
      <c r="E1244" s="65" t="s">
        <v>541</v>
      </c>
      <c r="F1244" s="63" t="s">
        <v>544</v>
      </c>
      <c r="G1244" s="1">
        <v>8</v>
      </c>
      <c r="H1244" s="1">
        <f t="shared" si="291"/>
        <v>0.4</v>
      </c>
      <c r="I1244" s="1">
        <f t="shared" si="287"/>
        <v>0.59499999999999997</v>
      </c>
      <c r="J1244" s="1">
        <f t="shared" si="289"/>
        <v>2.6900000000000035E-2</v>
      </c>
      <c r="K1244" s="1">
        <f t="shared" si="292"/>
        <v>2.1308499999999997</v>
      </c>
      <c r="L1244" s="1">
        <f t="shared" si="293"/>
        <v>1.6334300000000002</v>
      </c>
      <c r="M1244" s="49">
        <v>0</v>
      </c>
      <c r="N1244" s="49">
        <f t="shared" si="290"/>
        <v>1.5712999999999999</v>
      </c>
      <c r="O1244" s="6">
        <v>612</v>
      </c>
      <c r="P1244" s="51">
        <v>0.05</v>
      </c>
      <c r="Q1244" s="51">
        <v>11</v>
      </c>
      <c r="R1244" s="51">
        <v>0</v>
      </c>
      <c r="S1244" s="1">
        <v>1</v>
      </c>
      <c r="T1244" s="1">
        <v>0</v>
      </c>
      <c r="U1244" s="47">
        <v>0</v>
      </c>
      <c r="V1244" s="47"/>
      <c r="W1244" s="41">
        <v>238</v>
      </c>
      <c r="X1244">
        <v>595</v>
      </c>
      <c r="Y1244">
        <v>0.97309999999999997</v>
      </c>
      <c r="Z1244">
        <v>2130.85</v>
      </c>
      <c r="AA1244">
        <v>1633.43</v>
      </c>
      <c r="AB1244">
        <v>157.13</v>
      </c>
      <c r="AC1244"/>
      <c r="AD1244" s="41"/>
      <c r="AI1244">
        <f>HLOOKUP(HLOOKUP(G1244,'THP2'!$B$4:$J$8,5,FALSE),'Fuel &amp; Resister'!$B$3:$G$6,4,FALSE)</f>
        <v>2.7360666666666664</v>
      </c>
      <c r="AJ1244" s="41">
        <f>HLOOKUP(HLOOKUP(G1244,'THP2'!$B$4:$J$8,5,FALSE),'Fuel &amp; Resister'!$B$3:$G$6,3,FALSE)</f>
        <v>13.019</v>
      </c>
      <c r="AO1244" s="62">
        <v>0</v>
      </c>
      <c r="AP1244" s="62">
        <v>0</v>
      </c>
    </row>
    <row r="1245" spans="2:42" x14ac:dyDescent="0.15">
      <c r="B1245" s="81" t="s">
        <v>596</v>
      </c>
      <c r="C1245" s="61">
        <f>VLOOKUP(B1245,[1]SYS!$F$5:$G$359,2,FALSE)</f>
        <v>155</v>
      </c>
      <c r="D1245" s="1" t="s">
        <v>50</v>
      </c>
      <c r="E1245" s="65" t="s">
        <v>541</v>
      </c>
      <c r="F1245" s="63" t="s">
        <v>544</v>
      </c>
      <c r="G1245" s="1">
        <v>8</v>
      </c>
      <c r="H1245" s="1">
        <f t="shared" si="291"/>
        <v>0.4</v>
      </c>
      <c r="I1245" s="1">
        <f t="shared" si="287"/>
        <v>0.59499999999999997</v>
      </c>
      <c r="J1245" s="1">
        <f t="shared" si="289"/>
        <v>2.6900000000000035E-2</v>
      </c>
      <c r="K1245" s="1">
        <f t="shared" si="292"/>
        <v>2.1308499999999997</v>
      </c>
      <c r="L1245" s="1">
        <f t="shared" si="293"/>
        <v>1.6334300000000002</v>
      </c>
      <c r="M1245" s="49">
        <v>0</v>
      </c>
      <c r="N1245" s="49">
        <f t="shared" si="290"/>
        <v>1.5712999999999999</v>
      </c>
      <c r="O1245" s="6">
        <v>403</v>
      </c>
      <c r="P1245" s="51">
        <v>0.05</v>
      </c>
      <c r="Q1245" s="51">
        <v>11</v>
      </c>
      <c r="R1245" s="51">
        <v>0</v>
      </c>
      <c r="S1245" s="1">
        <v>1</v>
      </c>
      <c r="T1245" s="1">
        <v>0</v>
      </c>
      <c r="U1245" s="47">
        <v>0</v>
      </c>
      <c r="V1245" s="47"/>
      <c r="W1245" s="41">
        <v>238</v>
      </c>
      <c r="X1245">
        <v>595</v>
      </c>
      <c r="Y1245">
        <v>0.97309999999999997</v>
      </c>
      <c r="Z1245">
        <v>2130.85</v>
      </c>
      <c r="AA1245">
        <v>1633.43</v>
      </c>
      <c r="AB1245">
        <v>157.13</v>
      </c>
      <c r="AC1245"/>
      <c r="AD1245" s="41"/>
      <c r="AI1245">
        <f>HLOOKUP(HLOOKUP(G1245,'THP2'!$B$4:$J$8,5,FALSE),'Fuel &amp; Resister'!$B$3:$G$6,4,FALSE)</f>
        <v>2.7360666666666664</v>
      </c>
      <c r="AJ1245" s="41">
        <f>HLOOKUP(HLOOKUP(G1245,'THP2'!$B$4:$J$8,5,FALSE),'Fuel &amp; Resister'!$B$3:$G$6,3,FALSE)</f>
        <v>13.019</v>
      </c>
      <c r="AO1245" s="62">
        <v>0</v>
      </c>
      <c r="AP1245" s="62">
        <v>0</v>
      </c>
    </row>
    <row r="1246" spans="2:42" x14ac:dyDescent="0.15">
      <c r="B1246" s="81" t="s">
        <v>596</v>
      </c>
      <c r="C1246" s="61">
        <f>VLOOKUP(B1246,[1]SYS!$F$5:$G$359,2,FALSE)</f>
        <v>155</v>
      </c>
      <c r="D1246" s="1" t="s">
        <v>50</v>
      </c>
      <c r="E1246" s="65" t="s">
        <v>541</v>
      </c>
      <c r="F1246" s="63" t="s">
        <v>544</v>
      </c>
      <c r="G1246" s="1">
        <v>8</v>
      </c>
      <c r="H1246" s="1">
        <f t="shared" si="291"/>
        <v>0.4</v>
      </c>
      <c r="I1246" s="1">
        <f t="shared" si="287"/>
        <v>0.59499999999999997</v>
      </c>
      <c r="J1246" s="1">
        <f t="shared" si="289"/>
        <v>2.6900000000000035E-2</v>
      </c>
      <c r="K1246" s="1">
        <f t="shared" si="292"/>
        <v>2.1308499999999997</v>
      </c>
      <c r="L1246" s="1">
        <f t="shared" si="293"/>
        <v>1.6334300000000002</v>
      </c>
      <c r="M1246" s="49">
        <v>0</v>
      </c>
      <c r="N1246" s="49">
        <f t="shared" si="290"/>
        <v>1.5712999999999999</v>
      </c>
      <c r="O1246" s="6">
        <v>509</v>
      </c>
      <c r="P1246" s="51">
        <v>0.05</v>
      </c>
      <c r="Q1246" s="51">
        <v>11</v>
      </c>
      <c r="R1246" s="51">
        <v>0</v>
      </c>
      <c r="S1246" s="1">
        <v>1</v>
      </c>
      <c r="T1246" s="1">
        <v>0</v>
      </c>
      <c r="U1246" s="47">
        <v>0</v>
      </c>
      <c r="V1246" s="47"/>
      <c r="W1246" s="41">
        <v>238</v>
      </c>
      <c r="X1246">
        <v>595</v>
      </c>
      <c r="Y1246">
        <v>0.97309999999999997</v>
      </c>
      <c r="Z1246">
        <v>2130.85</v>
      </c>
      <c r="AA1246">
        <v>1633.43</v>
      </c>
      <c r="AB1246">
        <v>157.13</v>
      </c>
      <c r="AC1246"/>
      <c r="AD1246" s="41"/>
      <c r="AI1246">
        <f>HLOOKUP(HLOOKUP(G1246,'THP2'!$B$4:$J$8,5,FALSE),'Fuel &amp; Resister'!$B$3:$G$6,4,FALSE)</f>
        <v>2.7360666666666664</v>
      </c>
      <c r="AJ1246" s="41">
        <f>HLOOKUP(HLOOKUP(G1246,'THP2'!$B$4:$J$8,5,FALSE),'Fuel &amp; Resister'!$B$3:$G$6,3,FALSE)</f>
        <v>13.019</v>
      </c>
      <c r="AO1246" s="1">
        <v>1</v>
      </c>
      <c r="AP1246" s="62">
        <v>0</v>
      </c>
    </row>
    <row r="1247" spans="2:42" x14ac:dyDescent="0.15">
      <c r="B1247" s="81" t="s">
        <v>596</v>
      </c>
      <c r="C1247" s="61">
        <f>VLOOKUP(B1247,[1]SYS!$F$5:$G$359,2,FALSE)</f>
        <v>155</v>
      </c>
      <c r="D1247" s="1" t="s">
        <v>50</v>
      </c>
      <c r="E1247" s="65" t="s">
        <v>541</v>
      </c>
      <c r="F1247" s="63" t="s">
        <v>544</v>
      </c>
      <c r="G1247" s="1">
        <v>8</v>
      </c>
      <c r="H1247" s="1">
        <f t="shared" si="291"/>
        <v>0.4</v>
      </c>
      <c r="I1247" s="1">
        <f t="shared" si="287"/>
        <v>0.59499999999999997</v>
      </c>
      <c r="J1247" s="1">
        <f t="shared" si="289"/>
        <v>2.6900000000000035E-2</v>
      </c>
      <c r="K1247" s="1">
        <f t="shared" si="292"/>
        <v>2.1308499999999997</v>
      </c>
      <c r="L1247" s="1">
        <f t="shared" si="293"/>
        <v>1.6334300000000002</v>
      </c>
      <c r="M1247" s="49">
        <v>0</v>
      </c>
      <c r="N1247" s="49">
        <f t="shared" si="290"/>
        <v>1.5712999999999999</v>
      </c>
      <c r="O1247" s="6">
        <v>903</v>
      </c>
      <c r="P1247" s="51">
        <v>0.05</v>
      </c>
      <c r="Q1247" s="51">
        <v>11</v>
      </c>
      <c r="R1247" s="51">
        <v>0</v>
      </c>
      <c r="S1247" s="1">
        <v>1</v>
      </c>
      <c r="T1247" s="1">
        <v>0</v>
      </c>
      <c r="U1247" s="47">
        <v>0</v>
      </c>
      <c r="V1247" s="47"/>
      <c r="W1247" s="41">
        <v>238</v>
      </c>
      <c r="X1247">
        <v>595</v>
      </c>
      <c r="Y1247">
        <v>0.97309999999999997</v>
      </c>
      <c r="Z1247">
        <v>2130.85</v>
      </c>
      <c r="AA1247">
        <v>1633.43</v>
      </c>
      <c r="AB1247">
        <v>157.13</v>
      </c>
      <c r="AC1247"/>
      <c r="AD1247" s="41"/>
      <c r="AI1247">
        <f>HLOOKUP(HLOOKUP(G1247,'THP2'!$B$4:$J$8,5,FALSE),'Fuel &amp; Resister'!$B$3:$G$6,4,FALSE)</f>
        <v>2.7360666666666664</v>
      </c>
      <c r="AJ1247" s="41">
        <f>HLOOKUP(HLOOKUP(G1247,'THP2'!$B$4:$J$8,5,FALSE),'Fuel &amp; Resister'!$B$3:$G$6,3,FALSE)</f>
        <v>13.019</v>
      </c>
      <c r="AO1247" s="1">
        <v>1</v>
      </c>
      <c r="AP1247" s="62">
        <v>0</v>
      </c>
    </row>
    <row r="1248" spans="2:42" x14ac:dyDescent="0.15">
      <c r="B1248" s="81" t="s">
        <v>597</v>
      </c>
      <c r="C1248" s="61">
        <f>VLOOKUP(B1248,[1]SYS!$F$5:$G$359,2,FALSE)</f>
        <v>187</v>
      </c>
      <c r="D1248" s="1" t="s">
        <v>50</v>
      </c>
      <c r="E1248" s="65" t="s">
        <v>541</v>
      </c>
      <c r="F1248" s="63" t="s">
        <v>563</v>
      </c>
      <c r="G1248" s="1">
        <v>8</v>
      </c>
      <c r="H1248" s="1">
        <f t="shared" si="291"/>
        <v>0.4</v>
      </c>
      <c r="I1248" s="1">
        <f t="shared" si="287"/>
        <v>0.59499999999999997</v>
      </c>
      <c r="J1248" s="1">
        <f t="shared" si="289"/>
        <v>2.6900000000000035E-2</v>
      </c>
      <c r="K1248" s="1">
        <f t="shared" si="292"/>
        <v>2.1308499999999997</v>
      </c>
      <c r="L1248" s="1">
        <f t="shared" si="293"/>
        <v>1.6334300000000002</v>
      </c>
      <c r="M1248" s="49">
        <v>0</v>
      </c>
      <c r="N1248" s="49">
        <f t="shared" si="290"/>
        <v>1.5712999999999999</v>
      </c>
      <c r="O1248" s="6">
        <v>1009</v>
      </c>
      <c r="P1248" s="51">
        <v>0.05</v>
      </c>
      <c r="Q1248" s="51">
        <v>11</v>
      </c>
      <c r="R1248" s="51">
        <v>0</v>
      </c>
      <c r="S1248" s="1">
        <v>1</v>
      </c>
      <c r="T1248" s="1">
        <v>0</v>
      </c>
      <c r="U1248" s="47">
        <v>0</v>
      </c>
      <c r="V1248" s="47"/>
      <c r="W1248" s="41">
        <v>238</v>
      </c>
      <c r="X1248">
        <v>595</v>
      </c>
      <c r="Y1248">
        <v>0.97309999999999997</v>
      </c>
      <c r="Z1248">
        <v>2130.85</v>
      </c>
      <c r="AA1248">
        <v>1633.43</v>
      </c>
      <c r="AB1248">
        <v>157.13</v>
      </c>
      <c r="AC1248"/>
      <c r="AD1248" s="41"/>
      <c r="AI1248">
        <f>HLOOKUP(HLOOKUP(G1248,'THP2'!$B$4:$J$8,5,FALSE),'Fuel &amp; Resister'!$B$3:$G$6,4,FALSE)</f>
        <v>2.7360666666666664</v>
      </c>
      <c r="AJ1248" s="41">
        <f>HLOOKUP(HLOOKUP(G1248,'THP2'!$B$4:$J$8,5,FALSE),'Fuel &amp; Resister'!$B$3:$G$6,3,FALSE)</f>
        <v>13.019</v>
      </c>
      <c r="AO1248" s="1">
        <v>1</v>
      </c>
      <c r="AP1248" s="62">
        <v>0</v>
      </c>
    </row>
    <row r="1249" spans="2:42" x14ac:dyDescent="0.15">
      <c r="B1249" s="81" t="s">
        <v>597</v>
      </c>
      <c r="C1249" s="61">
        <f>VLOOKUP(B1249,[1]SYS!$F$5:$G$359,2,FALSE)</f>
        <v>187</v>
      </c>
      <c r="D1249" s="1" t="s">
        <v>50</v>
      </c>
      <c r="E1249" s="65" t="s">
        <v>541</v>
      </c>
      <c r="F1249" s="63" t="s">
        <v>563</v>
      </c>
      <c r="G1249" s="1">
        <v>8</v>
      </c>
      <c r="H1249" s="1">
        <f t="shared" si="291"/>
        <v>0.4</v>
      </c>
      <c r="I1249" s="1">
        <f t="shared" si="287"/>
        <v>0.59499999999999997</v>
      </c>
      <c r="J1249" s="1">
        <f t="shared" si="289"/>
        <v>2.6900000000000035E-2</v>
      </c>
      <c r="K1249" s="1">
        <f t="shared" si="292"/>
        <v>2.1308499999999997</v>
      </c>
      <c r="L1249" s="1">
        <f t="shared" si="293"/>
        <v>1.6334300000000002</v>
      </c>
      <c r="M1249" s="49">
        <v>0</v>
      </c>
      <c r="N1249" s="49">
        <f t="shared" si="290"/>
        <v>1.5712999999999999</v>
      </c>
      <c r="O1249" s="6">
        <v>601</v>
      </c>
      <c r="P1249" s="51">
        <v>0.05</v>
      </c>
      <c r="Q1249" s="51">
        <v>11</v>
      </c>
      <c r="R1249" s="51">
        <v>0</v>
      </c>
      <c r="S1249" s="1">
        <v>1</v>
      </c>
      <c r="T1249" s="1">
        <v>0</v>
      </c>
      <c r="U1249" s="47">
        <v>0</v>
      </c>
      <c r="V1249" s="47"/>
      <c r="W1249" s="41">
        <v>238</v>
      </c>
      <c r="X1249">
        <v>595</v>
      </c>
      <c r="Y1249">
        <v>0.97309999999999997</v>
      </c>
      <c r="Z1249">
        <v>2130.85</v>
      </c>
      <c r="AA1249">
        <v>1633.43</v>
      </c>
      <c r="AB1249">
        <v>157.13</v>
      </c>
      <c r="AC1249"/>
      <c r="AD1249" s="41"/>
      <c r="AI1249">
        <f>HLOOKUP(HLOOKUP(G1249,'THP2'!$B$4:$J$8,5,FALSE),'Fuel &amp; Resister'!$B$3:$G$6,4,FALSE)</f>
        <v>2.7360666666666664</v>
      </c>
      <c r="AJ1249" s="41">
        <f>HLOOKUP(HLOOKUP(G1249,'THP2'!$B$4:$J$8,5,FALSE),'Fuel &amp; Resister'!$B$3:$G$6,3,FALSE)</f>
        <v>13.019</v>
      </c>
      <c r="AO1249" s="1">
        <v>1</v>
      </c>
      <c r="AP1249" s="62">
        <v>0</v>
      </c>
    </row>
    <row r="1250" spans="2:42" x14ac:dyDescent="0.15">
      <c r="B1250" s="81" t="s">
        <v>597</v>
      </c>
      <c r="C1250" s="61">
        <f>VLOOKUP(B1250,[1]SYS!$F$5:$G$359,2,FALSE)</f>
        <v>187</v>
      </c>
      <c r="D1250" s="1" t="s">
        <v>50</v>
      </c>
      <c r="E1250" s="65" t="s">
        <v>541</v>
      </c>
      <c r="F1250" s="63" t="s">
        <v>563</v>
      </c>
      <c r="G1250" s="1">
        <v>8</v>
      </c>
      <c r="H1250" s="1">
        <f t="shared" si="291"/>
        <v>0.4</v>
      </c>
      <c r="I1250" s="1">
        <f t="shared" si="287"/>
        <v>0.59499999999999997</v>
      </c>
      <c r="J1250" s="1">
        <f t="shared" si="289"/>
        <v>2.6900000000000035E-2</v>
      </c>
      <c r="K1250" s="1">
        <f t="shared" si="292"/>
        <v>2.1308499999999997</v>
      </c>
      <c r="L1250" s="1">
        <f t="shared" si="293"/>
        <v>1.6334300000000002</v>
      </c>
      <c r="M1250" s="49">
        <v>0</v>
      </c>
      <c r="N1250" s="49">
        <f t="shared" si="290"/>
        <v>1.5712999999999999</v>
      </c>
      <c r="O1250" s="6">
        <v>707</v>
      </c>
      <c r="P1250" s="51">
        <v>0.05</v>
      </c>
      <c r="Q1250" s="51">
        <v>11</v>
      </c>
      <c r="R1250" s="51">
        <v>0</v>
      </c>
      <c r="S1250" s="1">
        <v>1</v>
      </c>
      <c r="T1250" s="1">
        <v>0</v>
      </c>
      <c r="U1250" s="47">
        <v>0</v>
      </c>
      <c r="V1250" s="47"/>
      <c r="W1250" s="41">
        <v>238</v>
      </c>
      <c r="X1250">
        <v>595</v>
      </c>
      <c r="Y1250">
        <v>0.97309999999999997</v>
      </c>
      <c r="Z1250">
        <v>2130.85</v>
      </c>
      <c r="AA1250">
        <v>1633.43</v>
      </c>
      <c r="AB1250">
        <v>157.13</v>
      </c>
      <c r="AC1250"/>
      <c r="AD1250" s="41"/>
      <c r="AI1250">
        <f>HLOOKUP(HLOOKUP(G1250,'THP2'!$B$4:$J$8,5,FALSE),'Fuel &amp; Resister'!$B$3:$G$6,4,FALSE)</f>
        <v>2.7360666666666664</v>
      </c>
      <c r="AJ1250" s="41">
        <f>HLOOKUP(HLOOKUP(G1250,'THP2'!$B$4:$J$8,5,FALSE),'Fuel &amp; Resister'!$B$3:$G$6,3,FALSE)</f>
        <v>13.019</v>
      </c>
      <c r="AO1250" s="1">
        <v>1</v>
      </c>
      <c r="AP1250" s="62">
        <v>0</v>
      </c>
    </row>
    <row r="1251" spans="2:42" x14ac:dyDescent="0.15">
      <c r="B1251" s="81" t="s">
        <v>597</v>
      </c>
      <c r="C1251" s="61">
        <f>VLOOKUP(B1251,[1]SYS!$F$5:$G$359,2,FALSE)</f>
        <v>187</v>
      </c>
      <c r="D1251" s="1" t="s">
        <v>50</v>
      </c>
      <c r="E1251" s="65" t="s">
        <v>541</v>
      </c>
      <c r="F1251" s="63" t="s">
        <v>563</v>
      </c>
      <c r="G1251" s="1">
        <v>8</v>
      </c>
      <c r="H1251" s="1">
        <f t="shared" si="291"/>
        <v>0.4</v>
      </c>
      <c r="I1251" s="1">
        <f t="shared" si="287"/>
        <v>0.59499999999999997</v>
      </c>
      <c r="J1251" s="1">
        <f t="shared" si="289"/>
        <v>2.6900000000000035E-2</v>
      </c>
      <c r="K1251" s="1">
        <f t="shared" si="292"/>
        <v>2.1308499999999997</v>
      </c>
      <c r="L1251" s="1">
        <f t="shared" si="293"/>
        <v>1.6334300000000002</v>
      </c>
      <c r="M1251" s="49">
        <v>0</v>
      </c>
      <c r="N1251" s="49">
        <f t="shared" si="290"/>
        <v>1.5712999999999999</v>
      </c>
      <c r="O1251" s="6">
        <v>1106</v>
      </c>
      <c r="P1251" s="51">
        <v>0.05</v>
      </c>
      <c r="Q1251" s="51">
        <v>11</v>
      </c>
      <c r="R1251" s="51">
        <v>0</v>
      </c>
      <c r="S1251" s="1">
        <v>1</v>
      </c>
      <c r="T1251" s="1">
        <v>0</v>
      </c>
      <c r="U1251" s="47">
        <v>0</v>
      </c>
      <c r="V1251" s="47"/>
      <c r="W1251" s="41">
        <v>238</v>
      </c>
      <c r="X1251">
        <v>595</v>
      </c>
      <c r="Y1251">
        <v>0.97309999999999997</v>
      </c>
      <c r="Z1251">
        <v>2130.85</v>
      </c>
      <c r="AA1251">
        <v>1633.43</v>
      </c>
      <c r="AB1251">
        <v>157.13</v>
      </c>
      <c r="AC1251"/>
      <c r="AD1251" s="41"/>
      <c r="AI1251">
        <f>HLOOKUP(HLOOKUP(G1251,'THP2'!$B$4:$J$8,5,FALSE),'Fuel &amp; Resister'!$B$3:$G$6,4,FALSE)</f>
        <v>2.7360666666666664</v>
      </c>
      <c r="AJ1251" s="41">
        <f>HLOOKUP(HLOOKUP(G1251,'THP2'!$B$4:$J$8,5,FALSE),'Fuel &amp; Resister'!$B$3:$G$6,3,FALSE)</f>
        <v>13.019</v>
      </c>
      <c r="AO1251" s="62">
        <v>0</v>
      </c>
      <c r="AP1251" s="62">
        <v>0</v>
      </c>
    </row>
    <row r="1252" spans="2:42" x14ac:dyDescent="0.15">
      <c r="B1252" s="81" t="s">
        <v>632</v>
      </c>
      <c r="C1252" s="61">
        <f>VLOOKUP(B1252,[1]SYS!$F$5:$G$359,2,FALSE)</f>
        <v>192</v>
      </c>
      <c r="D1252" s="1" t="s">
        <v>50</v>
      </c>
      <c r="E1252" s="65" t="s">
        <v>541</v>
      </c>
      <c r="F1252" s="63" t="s">
        <v>562</v>
      </c>
      <c r="G1252" s="1">
        <v>8</v>
      </c>
      <c r="H1252" s="1">
        <f t="shared" si="291"/>
        <v>0.4</v>
      </c>
      <c r="I1252" s="1">
        <f t="shared" si="287"/>
        <v>0.59499999999999997</v>
      </c>
      <c r="J1252" s="1">
        <f t="shared" si="289"/>
        <v>2.6900000000000035E-2</v>
      </c>
      <c r="K1252" s="1">
        <f t="shared" si="292"/>
        <v>2.1308499999999997</v>
      </c>
      <c r="L1252" s="1">
        <f t="shared" si="293"/>
        <v>1.6334300000000002</v>
      </c>
      <c r="M1252" s="49">
        <v>0</v>
      </c>
      <c r="N1252" s="49">
        <f t="shared" si="290"/>
        <v>1.5712999999999999</v>
      </c>
      <c r="O1252" s="6">
        <v>1212</v>
      </c>
      <c r="P1252" s="51">
        <v>0.05</v>
      </c>
      <c r="Q1252" s="51">
        <v>11</v>
      </c>
      <c r="R1252" s="51">
        <v>0</v>
      </c>
      <c r="S1252" s="1">
        <v>1</v>
      </c>
      <c r="T1252" s="1">
        <v>0</v>
      </c>
      <c r="U1252" s="47">
        <v>0</v>
      </c>
      <c r="V1252" s="47"/>
      <c r="W1252" s="41">
        <v>238</v>
      </c>
      <c r="X1252">
        <v>595</v>
      </c>
      <c r="Y1252">
        <v>0.97309999999999997</v>
      </c>
      <c r="Z1252">
        <v>2130.85</v>
      </c>
      <c r="AA1252">
        <v>1633.43</v>
      </c>
      <c r="AB1252">
        <v>157.13</v>
      </c>
      <c r="AC1252"/>
      <c r="AD1252" s="41"/>
      <c r="AI1252">
        <f>HLOOKUP(HLOOKUP(G1252,'THP2'!$B$4:$J$8,5,FALSE),'Fuel &amp; Resister'!$B$3:$G$6,4,FALSE)</f>
        <v>2.7360666666666664</v>
      </c>
      <c r="AJ1252" s="41">
        <f>HLOOKUP(HLOOKUP(G1252,'THP2'!$B$4:$J$8,5,FALSE),'Fuel &amp; Resister'!$B$3:$G$6,3,FALSE)</f>
        <v>13.019</v>
      </c>
      <c r="AO1252" s="62">
        <v>0</v>
      </c>
      <c r="AP1252" s="62">
        <v>0</v>
      </c>
    </row>
    <row r="1253" spans="2:42" x14ac:dyDescent="0.15">
      <c r="B1253" s="81" t="s">
        <v>632</v>
      </c>
      <c r="C1253" s="61">
        <f>VLOOKUP(B1253,[1]SYS!$F$5:$G$359,2,FALSE)</f>
        <v>192</v>
      </c>
      <c r="D1253" s="1" t="s">
        <v>50</v>
      </c>
      <c r="E1253" s="65" t="s">
        <v>541</v>
      </c>
      <c r="F1253" s="63" t="s">
        <v>562</v>
      </c>
      <c r="G1253" s="1">
        <v>8</v>
      </c>
      <c r="H1253" s="1">
        <f t="shared" si="291"/>
        <v>0.4</v>
      </c>
      <c r="I1253" s="1">
        <f t="shared" si="287"/>
        <v>0.59499999999999997</v>
      </c>
      <c r="J1253" s="1">
        <f t="shared" si="289"/>
        <v>2.6900000000000035E-2</v>
      </c>
      <c r="K1253" s="1">
        <f t="shared" si="292"/>
        <v>2.1308499999999997</v>
      </c>
      <c r="L1253" s="1">
        <f t="shared" si="293"/>
        <v>1.6334300000000002</v>
      </c>
      <c r="M1253" s="49">
        <v>0</v>
      </c>
      <c r="N1253" s="49">
        <f t="shared" si="290"/>
        <v>1.5712999999999999</v>
      </c>
      <c r="O1253" s="6">
        <v>403</v>
      </c>
      <c r="P1253" s="51">
        <v>0.05</v>
      </c>
      <c r="Q1253" s="51">
        <v>11</v>
      </c>
      <c r="R1253" s="51">
        <v>0</v>
      </c>
      <c r="S1253" s="1">
        <v>1</v>
      </c>
      <c r="T1253" s="1">
        <v>0</v>
      </c>
      <c r="U1253" s="47">
        <v>0</v>
      </c>
      <c r="V1253" s="47"/>
      <c r="W1253" s="41">
        <v>238</v>
      </c>
      <c r="X1253">
        <v>595</v>
      </c>
      <c r="Y1253">
        <v>0.97309999999999997</v>
      </c>
      <c r="Z1253">
        <v>2130.85</v>
      </c>
      <c r="AA1253">
        <v>1633.43</v>
      </c>
      <c r="AB1253">
        <v>157.13</v>
      </c>
      <c r="AC1253"/>
      <c r="AD1253" s="41"/>
      <c r="AI1253">
        <f>HLOOKUP(HLOOKUP(G1253,'THP2'!$B$4:$J$8,5,FALSE),'Fuel &amp; Resister'!$B$3:$G$6,4,FALSE)</f>
        <v>2.7360666666666664</v>
      </c>
      <c r="AJ1253" s="41">
        <f>HLOOKUP(HLOOKUP(G1253,'THP2'!$B$4:$J$8,5,FALSE),'Fuel &amp; Resister'!$B$3:$G$6,3,FALSE)</f>
        <v>13.019</v>
      </c>
      <c r="AO1253" s="1">
        <v>1</v>
      </c>
      <c r="AP1253" s="62">
        <v>0</v>
      </c>
    </row>
    <row r="1254" spans="2:42" x14ac:dyDescent="0.15">
      <c r="B1254" s="81" t="s">
        <v>632</v>
      </c>
      <c r="C1254" s="61">
        <f>VLOOKUP(B1254,[1]SYS!$F$5:$G$359,2,FALSE)</f>
        <v>192</v>
      </c>
      <c r="D1254" s="1" t="s">
        <v>50</v>
      </c>
      <c r="E1254" s="65" t="s">
        <v>541</v>
      </c>
      <c r="F1254" s="63" t="s">
        <v>562</v>
      </c>
      <c r="G1254" s="1">
        <v>8</v>
      </c>
      <c r="H1254" s="1">
        <f t="shared" si="291"/>
        <v>0.4</v>
      </c>
      <c r="I1254" s="1">
        <f t="shared" si="287"/>
        <v>0.59499999999999997</v>
      </c>
      <c r="J1254" s="1">
        <f t="shared" si="289"/>
        <v>2.6900000000000035E-2</v>
      </c>
      <c r="K1254" s="1">
        <f t="shared" si="292"/>
        <v>2.1308499999999997</v>
      </c>
      <c r="L1254" s="1">
        <f t="shared" si="293"/>
        <v>1.6334300000000002</v>
      </c>
      <c r="M1254" s="49">
        <v>0</v>
      </c>
      <c r="N1254" s="49">
        <f t="shared" si="290"/>
        <v>1.5712999999999999</v>
      </c>
      <c r="O1254" s="6">
        <v>509</v>
      </c>
      <c r="P1254" s="51">
        <v>0.05</v>
      </c>
      <c r="Q1254" s="51">
        <v>11</v>
      </c>
      <c r="R1254" s="51">
        <v>0</v>
      </c>
      <c r="S1254" s="1">
        <v>1</v>
      </c>
      <c r="T1254" s="1">
        <v>0</v>
      </c>
      <c r="U1254" s="47">
        <v>0</v>
      </c>
      <c r="V1254" s="47"/>
      <c r="W1254" s="41">
        <v>238</v>
      </c>
      <c r="X1254">
        <v>595</v>
      </c>
      <c r="Y1254">
        <v>0.97309999999999997</v>
      </c>
      <c r="Z1254">
        <v>2130.85</v>
      </c>
      <c r="AA1254">
        <v>1633.43</v>
      </c>
      <c r="AB1254">
        <v>157.13</v>
      </c>
      <c r="AC1254"/>
      <c r="AD1254" s="41"/>
      <c r="AI1254">
        <f>HLOOKUP(HLOOKUP(G1254,'THP2'!$B$4:$J$8,5,FALSE),'Fuel &amp; Resister'!$B$3:$G$6,4,FALSE)</f>
        <v>2.7360666666666664</v>
      </c>
      <c r="AJ1254" s="41">
        <f>HLOOKUP(HLOOKUP(G1254,'THP2'!$B$4:$J$8,5,FALSE),'Fuel &amp; Resister'!$B$3:$G$6,3,FALSE)</f>
        <v>13.019</v>
      </c>
      <c r="AO1254" s="1">
        <v>1</v>
      </c>
      <c r="AP1254" s="62">
        <v>0</v>
      </c>
    </row>
    <row r="1255" spans="2:42" x14ac:dyDescent="0.15">
      <c r="B1255" s="81" t="s">
        <v>632</v>
      </c>
      <c r="C1255" s="61">
        <f>VLOOKUP(B1255,[1]SYS!$F$5:$G$359,2,FALSE)</f>
        <v>192</v>
      </c>
      <c r="D1255" s="1" t="s">
        <v>50</v>
      </c>
      <c r="E1255" s="65" t="s">
        <v>541</v>
      </c>
      <c r="F1255" s="63" t="s">
        <v>562</v>
      </c>
      <c r="G1255" s="1">
        <v>8</v>
      </c>
      <c r="H1255" s="1">
        <f t="shared" si="291"/>
        <v>0.4</v>
      </c>
      <c r="I1255" s="1">
        <f t="shared" si="287"/>
        <v>0.59499999999999997</v>
      </c>
      <c r="J1255" s="1">
        <f t="shared" si="289"/>
        <v>2.6900000000000035E-2</v>
      </c>
      <c r="K1255" s="1">
        <f t="shared" si="292"/>
        <v>2.1308499999999997</v>
      </c>
      <c r="L1255" s="1">
        <f t="shared" si="293"/>
        <v>1.6334300000000002</v>
      </c>
      <c r="M1255" s="49">
        <v>0</v>
      </c>
      <c r="N1255" s="49">
        <f t="shared" si="290"/>
        <v>1.5712999999999999</v>
      </c>
      <c r="O1255" s="6">
        <v>903</v>
      </c>
      <c r="P1255" s="51">
        <v>0.05</v>
      </c>
      <c r="Q1255" s="51">
        <v>11</v>
      </c>
      <c r="R1255" s="51">
        <v>0</v>
      </c>
      <c r="S1255" s="1">
        <v>1</v>
      </c>
      <c r="T1255" s="1">
        <v>0</v>
      </c>
      <c r="U1255" s="47">
        <v>0</v>
      </c>
      <c r="V1255" s="47"/>
      <c r="W1255" s="41">
        <v>238</v>
      </c>
      <c r="X1255">
        <v>595</v>
      </c>
      <c r="Y1255">
        <v>0.97309999999999997</v>
      </c>
      <c r="Z1255">
        <v>2130.85</v>
      </c>
      <c r="AA1255">
        <v>1633.43</v>
      </c>
      <c r="AB1255">
        <v>157.13</v>
      </c>
      <c r="AC1255"/>
      <c r="AD1255" s="41"/>
      <c r="AI1255">
        <f>HLOOKUP(HLOOKUP(G1255,'THP2'!$B$4:$J$8,5,FALSE),'Fuel &amp; Resister'!$B$3:$G$6,4,FALSE)</f>
        <v>2.7360666666666664</v>
      </c>
      <c r="AJ1255" s="41">
        <f>HLOOKUP(HLOOKUP(G1255,'THP2'!$B$4:$J$8,5,FALSE),'Fuel &amp; Resister'!$B$3:$G$6,3,FALSE)</f>
        <v>13.019</v>
      </c>
      <c r="AO1255" s="1">
        <v>1</v>
      </c>
      <c r="AP1255" s="62">
        <v>0</v>
      </c>
    </row>
    <row r="1256" spans="2:42" x14ac:dyDescent="0.15">
      <c r="B1256" s="81" t="s">
        <v>633</v>
      </c>
      <c r="C1256" s="61">
        <f>VLOOKUP(B1256,[1]SYS!$F$5:$G$359,2,FALSE)</f>
        <v>206</v>
      </c>
      <c r="D1256" s="1" t="s">
        <v>50</v>
      </c>
      <c r="E1256" s="65" t="s">
        <v>239</v>
      </c>
      <c r="F1256" s="63" t="s">
        <v>545</v>
      </c>
      <c r="G1256" s="1">
        <v>8</v>
      </c>
      <c r="H1256" s="1">
        <f t="shared" si="291"/>
        <v>0.4</v>
      </c>
      <c r="I1256" s="1">
        <f t="shared" si="287"/>
        <v>0.42499999999999999</v>
      </c>
      <c r="J1256" s="1">
        <f t="shared" si="289"/>
        <v>2.0000000000000018E-2</v>
      </c>
      <c r="K1256" s="1">
        <f t="shared" si="292"/>
        <v>2.1127899999999999</v>
      </c>
      <c r="L1256" s="1">
        <f t="shared" si="293"/>
        <v>1.6195899999999999</v>
      </c>
      <c r="M1256" s="49">
        <v>0</v>
      </c>
      <c r="N1256" s="49">
        <v>1.8825000000000001</v>
      </c>
      <c r="O1256" s="1">
        <v>807</v>
      </c>
      <c r="P1256" s="51">
        <v>0.05</v>
      </c>
      <c r="Q1256" s="51">
        <v>11</v>
      </c>
      <c r="R1256" s="51">
        <v>0</v>
      </c>
      <c r="S1256" s="1">
        <v>1</v>
      </c>
      <c r="T1256" s="1">
        <v>0</v>
      </c>
      <c r="U1256" s="47">
        <v>0</v>
      </c>
      <c r="V1256" s="47">
        <v>259</v>
      </c>
      <c r="W1256" s="41">
        <v>170</v>
      </c>
      <c r="X1256">
        <v>425</v>
      </c>
      <c r="Y1256">
        <v>0.98</v>
      </c>
      <c r="Z1256">
        <v>2112.79</v>
      </c>
      <c r="AA1256">
        <v>1619.59</v>
      </c>
      <c r="AB1256">
        <v>188.25</v>
      </c>
      <c r="AC1256">
        <v>36</v>
      </c>
      <c r="AD1256" s="41">
        <f t="shared" ref="AD1256:AD1391" si="294">1/Z1256*860</f>
        <v>0.40704471338845793</v>
      </c>
      <c r="AE1256" s="41">
        <f t="shared" ref="AE1256:AE1391" si="295">1/AA1256*860</f>
        <v>0.53099858606190453</v>
      </c>
      <c r="AF1256">
        <f t="shared" ref="AF1256:AF1391" si="296">(L1256-H1256*K1256)/(1-H1256)</f>
        <v>1.2907899999999999</v>
      </c>
      <c r="AG1256">
        <f t="shared" ref="AG1256:AG1391" si="297">I1256*(L1256-AF1256)</f>
        <v>0.13973999999999998</v>
      </c>
      <c r="AH1256">
        <f t="shared" ref="AH1256:AH1391" si="298">AB1256/100</f>
        <v>1.8825000000000001</v>
      </c>
      <c r="AI1256">
        <f>HLOOKUP(HLOOKUP(G1256,'THP2'!$B$4:$J$8,5,FALSE),'Fuel &amp; Resister'!$B$3:$G$6,4,FALSE)</f>
        <v>2.7360666666666664</v>
      </c>
      <c r="AJ1256" s="41">
        <f>HLOOKUP(HLOOKUP(G1256,'THP2'!$B$4:$J$8,5,FALSE),'Fuel &amp; Resister'!$B$3:$G$6,3,FALSE)</f>
        <v>13.019</v>
      </c>
      <c r="AO1256" s="1">
        <v>1</v>
      </c>
      <c r="AP1256" s="62">
        <v>0</v>
      </c>
    </row>
    <row r="1257" spans="2:42" x14ac:dyDescent="0.15">
      <c r="B1257" s="81" t="s">
        <v>633</v>
      </c>
      <c r="C1257" s="61">
        <f>VLOOKUP(B1257,[1]SYS!$F$5:$G$359,2,FALSE)</f>
        <v>206</v>
      </c>
      <c r="D1257" s="1" t="s">
        <v>50</v>
      </c>
      <c r="E1257" s="65" t="s">
        <v>239</v>
      </c>
      <c r="F1257" s="63" t="s">
        <v>545</v>
      </c>
      <c r="G1257" s="1">
        <v>8</v>
      </c>
      <c r="H1257" s="1">
        <f t="shared" si="291"/>
        <v>0.4</v>
      </c>
      <c r="I1257" s="1">
        <f t="shared" si="287"/>
        <v>0.42499999999999999</v>
      </c>
      <c r="J1257" s="1">
        <f t="shared" si="289"/>
        <v>2.0000000000000018E-2</v>
      </c>
      <c r="K1257" s="1">
        <f t="shared" si="292"/>
        <v>2.1127899999999999</v>
      </c>
      <c r="L1257" s="1">
        <f t="shared" si="293"/>
        <v>1.6195899999999999</v>
      </c>
      <c r="M1257" s="49">
        <v>0</v>
      </c>
      <c r="N1257" s="49">
        <v>1.8825000000000001</v>
      </c>
      <c r="O1257" s="1">
        <v>912</v>
      </c>
      <c r="P1257" s="51">
        <v>0.05</v>
      </c>
      <c r="Q1257" s="51">
        <v>11</v>
      </c>
      <c r="R1257" s="51">
        <v>0</v>
      </c>
      <c r="S1257" s="1">
        <v>1</v>
      </c>
      <c r="T1257" s="1">
        <v>0</v>
      </c>
      <c r="U1257" s="47">
        <v>0</v>
      </c>
      <c r="V1257" s="47">
        <v>260</v>
      </c>
      <c r="W1257" s="41">
        <v>170</v>
      </c>
      <c r="X1257">
        <v>425</v>
      </c>
      <c r="Y1257">
        <v>0.98</v>
      </c>
      <c r="Z1257">
        <v>2112.79</v>
      </c>
      <c r="AA1257">
        <v>1619.59</v>
      </c>
      <c r="AB1257">
        <v>188.25</v>
      </c>
      <c r="AC1257">
        <v>36</v>
      </c>
      <c r="AD1257" s="41">
        <f t="shared" si="294"/>
        <v>0.40704471338845793</v>
      </c>
      <c r="AE1257" s="41">
        <f t="shared" si="295"/>
        <v>0.53099858606190453</v>
      </c>
      <c r="AF1257">
        <f t="shared" si="296"/>
        <v>1.2907899999999999</v>
      </c>
      <c r="AG1257">
        <f t="shared" si="297"/>
        <v>0.13973999999999998</v>
      </c>
      <c r="AH1257">
        <f t="shared" si="298"/>
        <v>1.8825000000000001</v>
      </c>
      <c r="AI1257">
        <f>HLOOKUP(HLOOKUP(G1257,'THP2'!$B$4:$J$8,5,FALSE),'Fuel &amp; Resister'!$B$3:$G$6,4,FALSE)</f>
        <v>2.7360666666666664</v>
      </c>
      <c r="AJ1257" s="41">
        <f>HLOOKUP(HLOOKUP(G1257,'THP2'!$B$4:$J$8,5,FALSE),'Fuel &amp; Resister'!$B$3:$G$6,3,FALSE)</f>
        <v>13.019</v>
      </c>
      <c r="AO1257" s="1">
        <v>1</v>
      </c>
      <c r="AP1257" s="62">
        <v>0</v>
      </c>
    </row>
    <row r="1258" spans="2:42" x14ac:dyDescent="0.15">
      <c r="B1258" s="81" t="s">
        <v>633</v>
      </c>
      <c r="C1258" s="61">
        <f>VLOOKUP(B1258,[1]SYS!$F$5:$G$359,2,FALSE)</f>
        <v>206</v>
      </c>
      <c r="D1258" s="1" t="s">
        <v>50</v>
      </c>
      <c r="E1258" s="65" t="s">
        <v>239</v>
      </c>
      <c r="F1258" s="63" t="s">
        <v>545</v>
      </c>
      <c r="G1258" s="1">
        <v>8</v>
      </c>
      <c r="H1258" s="1">
        <f t="shared" si="291"/>
        <v>0.4</v>
      </c>
      <c r="I1258" s="1">
        <f t="shared" si="287"/>
        <v>0.42499999999999999</v>
      </c>
      <c r="J1258" s="1">
        <f t="shared" si="289"/>
        <v>2.0000000000000018E-2</v>
      </c>
      <c r="K1258" s="1">
        <f t="shared" si="292"/>
        <v>2.1127899999999999</v>
      </c>
      <c r="L1258" s="1">
        <f t="shared" si="293"/>
        <v>1.6195899999999999</v>
      </c>
      <c r="M1258" s="49">
        <v>0</v>
      </c>
      <c r="N1258" s="49">
        <v>1.8825000000000001</v>
      </c>
      <c r="O1258" s="1">
        <v>504</v>
      </c>
      <c r="P1258" s="51">
        <v>0.05</v>
      </c>
      <c r="Q1258" s="51">
        <v>11</v>
      </c>
      <c r="R1258" s="51">
        <v>0</v>
      </c>
      <c r="S1258" s="1">
        <v>1</v>
      </c>
      <c r="T1258" s="1">
        <v>0</v>
      </c>
      <c r="U1258" s="47">
        <v>0</v>
      </c>
      <c r="V1258" s="47">
        <v>261</v>
      </c>
      <c r="W1258" s="41">
        <v>170</v>
      </c>
      <c r="X1258">
        <v>425</v>
      </c>
      <c r="Y1258">
        <v>0.98</v>
      </c>
      <c r="Z1258">
        <v>2112.79</v>
      </c>
      <c r="AA1258">
        <v>1619.59</v>
      </c>
      <c r="AB1258">
        <v>188.25</v>
      </c>
      <c r="AC1258">
        <v>36</v>
      </c>
      <c r="AD1258" s="41">
        <f t="shared" si="294"/>
        <v>0.40704471338845793</v>
      </c>
      <c r="AE1258" s="41">
        <f t="shared" si="295"/>
        <v>0.53099858606190453</v>
      </c>
      <c r="AF1258">
        <f t="shared" si="296"/>
        <v>1.2907899999999999</v>
      </c>
      <c r="AG1258">
        <f t="shared" si="297"/>
        <v>0.13973999999999998</v>
      </c>
      <c r="AH1258">
        <f t="shared" si="298"/>
        <v>1.8825000000000001</v>
      </c>
      <c r="AI1258">
        <f>HLOOKUP(HLOOKUP(G1258,'THP2'!$B$4:$J$8,5,FALSE),'Fuel &amp; Resister'!$B$3:$G$6,4,FALSE)</f>
        <v>2.7360666666666664</v>
      </c>
      <c r="AJ1258" s="41">
        <f>HLOOKUP(HLOOKUP(G1258,'THP2'!$B$4:$J$8,5,FALSE),'Fuel &amp; Resister'!$B$3:$G$6,3,FALSE)</f>
        <v>13.019</v>
      </c>
      <c r="AO1258" s="1">
        <v>1</v>
      </c>
      <c r="AP1258" s="62">
        <v>0</v>
      </c>
    </row>
    <row r="1259" spans="2:42" x14ac:dyDescent="0.15">
      <c r="B1259" s="81" t="s">
        <v>633</v>
      </c>
      <c r="C1259" s="61">
        <f>VLOOKUP(B1259,[1]SYS!$F$5:$G$359,2,FALSE)</f>
        <v>206</v>
      </c>
      <c r="D1259" s="1" t="s">
        <v>50</v>
      </c>
      <c r="E1259" s="65" t="s">
        <v>239</v>
      </c>
      <c r="F1259" s="63" t="s">
        <v>545</v>
      </c>
      <c r="G1259" s="1">
        <v>8</v>
      </c>
      <c r="H1259" s="1">
        <f t="shared" si="291"/>
        <v>0.4</v>
      </c>
      <c r="I1259" s="1">
        <f t="shared" si="287"/>
        <v>0.42499999999999999</v>
      </c>
      <c r="J1259" s="1">
        <f t="shared" si="289"/>
        <v>2.0000000000000018E-2</v>
      </c>
      <c r="K1259" s="1">
        <f t="shared" si="292"/>
        <v>2.1127899999999999</v>
      </c>
      <c r="L1259" s="1">
        <f t="shared" si="293"/>
        <v>1.6195899999999999</v>
      </c>
      <c r="M1259" s="49">
        <v>0</v>
      </c>
      <c r="N1259" s="49">
        <v>1.8825000000000001</v>
      </c>
      <c r="O1259" s="1">
        <v>609</v>
      </c>
      <c r="P1259" s="51">
        <v>0.05</v>
      </c>
      <c r="Q1259" s="51">
        <v>11</v>
      </c>
      <c r="R1259" s="51">
        <v>0</v>
      </c>
      <c r="S1259" s="1">
        <v>1</v>
      </c>
      <c r="T1259" s="1">
        <v>0</v>
      </c>
      <c r="U1259" s="47">
        <v>0</v>
      </c>
      <c r="V1259" s="47"/>
      <c r="W1259" s="41">
        <v>170</v>
      </c>
      <c r="X1259">
        <v>425</v>
      </c>
      <c r="Y1259">
        <v>0.98</v>
      </c>
      <c r="Z1259">
        <v>2112.79</v>
      </c>
      <c r="AA1259">
        <v>1619.59</v>
      </c>
      <c r="AB1259">
        <v>188.25</v>
      </c>
      <c r="AC1259"/>
      <c r="AD1259" s="41">
        <f t="shared" si="294"/>
        <v>0.40704471338845793</v>
      </c>
      <c r="AE1259" s="41">
        <f t="shared" si="295"/>
        <v>0.53099858606190453</v>
      </c>
      <c r="AF1259">
        <f t="shared" si="296"/>
        <v>1.2907899999999999</v>
      </c>
      <c r="AG1259">
        <f t="shared" si="297"/>
        <v>0.13973999999999998</v>
      </c>
      <c r="AH1259">
        <f t="shared" si="298"/>
        <v>1.8825000000000001</v>
      </c>
      <c r="AI1259">
        <f>HLOOKUP(HLOOKUP(G1259,'THP2'!$B$4:$J$8,5,FALSE),'Fuel &amp; Resister'!$B$3:$G$6,4,FALSE)</f>
        <v>2.7360666666666664</v>
      </c>
      <c r="AJ1259" s="41">
        <f>HLOOKUP(HLOOKUP(G1259,'THP2'!$B$4:$J$8,5,FALSE),'Fuel &amp; Resister'!$B$3:$G$6,3,FALSE)</f>
        <v>13.019</v>
      </c>
      <c r="AO1259" s="1">
        <v>1</v>
      </c>
      <c r="AP1259" s="62">
        <v>0</v>
      </c>
    </row>
    <row r="1260" spans="2:42" x14ac:dyDescent="0.15">
      <c r="B1260" s="81" t="s">
        <v>633</v>
      </c>
      <c r="C1260" s="61">
        <f>VLOOKUP(B1260,[1]SYS!$F$5:$G$359,2,FALSE)</f>
        <v>206</v>
      </c>
      <c r="D1260" s="1" t="s">
        <v>50</v>
      </c>
      <c r="E1260" s="65" t="s">
        <v>239</v>
      </c>
      <c r="F1260" s="63" t="s">
        <v>545</v>
      </c>
      <c r="G1260" s="1">
        <v>8</v>
      </c>
      <c r="H1260" s="1">
        <f t="shared" si="291"/>
        <v>0.4</v>
      </c>
      <c r="I1260" s="1">
        <f t="shared" si="287"/>
        <v>0.42499999999999999</v>
      </c>
      <c r="J1260" s="1">
        <f t="shared" si="289"/>
        <v>2.0000000000000018E-2</v>
      </c>
      <c r="K1260" s="1">
        <f t="shared" si="292"/>
        <v>2.1127899999999999</v>
      </c>
      <c r="L1260" s="1">
        <f t="shared" si="293"/>
        <v>1.6195899999999999</v>
      </c>
      <c r="M1260" s="49">
        <v>0</v>
      </c>
      <c r="N1260" s="49">
        <v>1.8825000000000001</v>
      </c>
      <c r="O1260" s="1">
        <v>1004</v>
      </c>
      <c r="P1260" s="51">
        <v>0.05</v>
      </c>
      <c r="Q1260" s="51">
        <v>11</v>
      </c>
      <c r="R1260" s="51">
        <v>0</v>
      </c>
      <c r="S1260" s="1">
        <v>1</v>
      </c>
      <c r="T1260" s="1">
        <v>0</v>
      </c>
      <c r="U1260" s="47">
        <v>0</v>
      </c>
      <c r="V1260" s="47"/>
      <c r="W1260" s="41">
        <v>170</v>
      </c>
      <c r="X1260">
        <v>425</v>
      </c>
      <c r="Y1260">
        <v>0.98</v>
      </c>
      <c r="Z1260">
        <v>2112.79</v>
      </c>
      <c r="AA1260">
        <v>1619.59</v>
      </c>
      <c r="AB1260">
        <v>188.25</v>
      </c>
      <c r="AC1260"/>
      <c r="AD1260" s="41">
        <f t="shared" si="294"/>
        <v>0.40704471338845793</v>
      </c>
      <c r="AE1260" s="41">
        <f t="shared" si="295"/>
        <v>0.53099858606190453</v>
      </c>
      <c r="AF1260">
        <f t="shared" si="296"/>
        <v>1.2907899999999999</v>
      </c>
      <c r="AG1260">
        <f t="shared" si="297"/>
        <v>0.13973999999999998</v>
      </c>
      <c r="AH1260">
        <f t="shared" si="298"/>
        <v>1.8825000000000001</v>
      </c>
      <c r="AI1260">
        <f>HLOOKUP(HLOOKUP(G1260,'THP2'!$B$4:$J$8,5,FALSE),'Fuel &amp; Resister'!$B$3:$G$6,4,FALSE)</f>
        <v>2.7360666666666664</v>
      </c>
      <c r="AJ1260" s="41">
        <f>HLOOKUP(HLOOKUP(G1260,'THP2'!$B$4:$J$8,5,FALSE),'Fuel &amp; Resister'!$B$3:$G$6,3,FALSE)</f>
        <v>13.019</v>
      </c>
      <c r="AO1260" s="1">
        <v>1</v>
      </c>
      <c r="AP1260" s="62">
        <v>0</v>
      </c>
    </row>
    <row r="1261" spans="2:42" x14ac:dyDescent="0.15">
      <c r="B1261" s="81" t="s">
        <v>633</v>
      </c>
      <c r="C1261" s="61">
        <f>VLOOKUP(B1261,[1]SYS!$F$5:$G$359,2,FALSE)</f>
        <v>206</v>
      </c>
      <c r="D1261" s="1" t="s">
        <v>50</v>
      </c>
      <c r="E1261" s="65" t="s">
        <v>239</v>
      </c>
      <c r="F1261" s="63" t="s">
        <v>545</v>
      </c>
      <c r="G1261" s="1">
        <v>8</v>
      </c>
      <c r="H1261" s="1">
        <f t="shared" si="291"/>
        <v>0.4</v>
      </c>
      <c r="I1261" s="1">
        <f t="shared" si="287"/>
        <v>0.42499999999999999</v>
      </c>
      <c r="J1261" s="1">
        <f t="shared" si="289"/>
        <v>2.0000000000000018E-2</v>
      </c>
      <c r="K1261" s="1">
        <f t="shared" si="292"/>
        <v>2.1127899999999999</v>
      </c>
      <c r="L1261" s="1">
        <f t="shared" si="293"/>
        <v>1.6195899999999999</v>
      </c>
      <c r="M1261" s="49">
        <v>0</v>
      </c>
      <c r="N1261" s="49">
        <v>1.8825000000000001</v>
      </c>
      <c r="O1261" s="1">
        <v>1109</v>
      </c>
      <c r="P1261" s="51">
        <v>0.05</v>
      </c>
      <c r="Q1261" s="51">
        <v>11</v>
      </c>
      <c r="R1261" s="51">
        <v>0</v>
      </c>
      <c r="S1261" s="1">
        <v>1</v>
      </c>
      <c r="T1261" s="1">
        <v>0</v>
      </c>
      <c r="U1261" s="47">
        <v>0</v>
      </c>
      <c r="V1261" s="47"/>
      <c r="W1261" s="41">
        <v>170</v>
      </c>
      <c r="X1261">
        <v>425</v>
      </c>
      <c r="Y1261">
        <v>0.98</v>
      </c>
      <c r="Z1261">
        <v>2112.79</v>
      </c>
      <c r="AA1261">
        <v>1619.59</v>
      </c>
      <c r="AB1261">
        <v>188.25</v>
      </c>
      <c r="AC1261"/>
      <c r="AD1261" s="41">
        <f t="shared" si="294"/>
        <v>0.40704471338845793</v>
      </c>
      <c r="AE1261" s="41">
        <f t="shared" si="295"/>
        <v>0.53099858606190453</v>
      </c>
      <c r="AF1261">
        <f t="shared" si="296"/>
        <v>1.2907899999999999</v>
      </c>
      <c r="AG1261">
        <f t="shared" si="297"/>
        <v>0.13973999999999998</v>
      </c>
      <c r="AH1261">
        <f t="shared" si="298"/>
        <v>1.8825000000000001</v>
      </c>
      <c r="AI1261">
        <f>HLOOKUP(HLOOKUP(G1261,'THP2'!$B$4:$J$8,5,FALSE),'Fuel &amp; Resister'!$B$3:$G$6,4,FALSE)</f>
        <v>2.7360666666666664</v>
      </c>
      <c r="AJ1261" s="41">
        <f>HLOOKUP(HLOOKUP(G1261,'THP2'!$B$4:$J$8,5,FALSE),'Fuel &amp; Resister'!$B$3:$G$6,3,FALSE)</f>
        <v>13.019</v>
      </c>
      <c r="AO1261" s="1">
        <v>1</v>
      </c>
      <c r="AP1261" s="62">
        <v>0</v>
      </c>
    </row>
    <row r="1262" spans="2:42" x14ac:dyDescent="0.15">
      <c r="B1262" s="81" t="s">
        <v>633</v>
      </c>
      <c r="C1262" s="61">
        <f>VLOOKUP(B1262,[1]SYS!$F$5:$G$359,2,FALSE)</f>
        <v>206</v>
      </c>
      <c r="D1262" s="1" t="s">
        <v>50</v>
      </c>
      <c r="E1262" s="65" t="s">
        <v>239</v>
      </c>
      <c r="F1262" s="63" t="s">
        <v>545</v>
      </c>
      <c r="G1262" s="1">
        <v>8</v>
      </c>
      <c r="H1262" s="1">
        <f t="shared" si="291"/>
        <v>0.4</v>
      </c>
      <c r="I1262" s="1">
        <f t="shared" si="287"/>
        <v>0.42499999999999999</v>
      </c>
      <c r="J1262" s="1">
        <f t="shared" si="289"/>
        <v>2.0000000000000018E-2</v>
      </c>
      <c r="K1262" s="1">
        <f t="shared" si="292"/>
        <v>2.1127899999999999</v>
      </c>
      <c r="L1262" s="1">
        <f t="shared" si="293"/>
        <v>1.6195899999999999</v>
      </c>
      <c r="M1262" s="49">
        <v>0</v>
      </c>
      <c r="N1262" s="49">
        <v>1.8825000000000001</v>
      </c>
      <c r="O1262" s="1">
        <v>401</v>
      </c>
      <c r="P1262" s="51">
        <v>0.05</v>
      </c>
      <c r="Q1262" s="51">
        <v>11</v>
      </c>
      <c r="R1262" s="51">
        <v>0</v>
      </c>
      <c r="S1262" s="1">
        <v>1</v>
      </c>
      <c r="T1262" s="1">
        <v>0</v>
      </c>
      <c r="U1262" s="47">
        <v>0</v>
      </c>
      <c r="V1262" s="47"/>
      <c r="W1262" s="41">
        <v>170</v>
      </c>
      <c r="X1262">
        <v>425</v>
      </c>
      <c r="Y1262">
        <v>0.98</v>
      </c>
      <c r="Z1262">
        <v>2112.79</v>
      </c>
      <c r="AA1262">
        <v>1619.59</v>
      </c>
      <c r="AB1262">
        <v>188.25</v>
      </c>
      <c r="AC1262"/>
      <c r="AD1262" s="41">
        <f t="shared" si="294"/>
        <v>0.40704471338845793</v>
      </c>
      <c r="AE1262" s="41">
        <f t="shared" si="295"/>
        <v>0.53099858606190453</v>
      </c>
      <c r="AF1262">
        <f t="shared" si="296"/>
        <v>1.2907899999999999</v>
      </c>
      <c r="AG1262">
        <f t="shared" si="297"/>
        <v>0.13973999999999998</v>
      </c>
      <c r="AH1262">
        <f t="shared" si="298"/>
        <v>1.8825000000000001</v>
      </c>
      <c r="AI1262">
        <f>HLOOKUP(HLOOKUP(G1262,'THP2'!$B$4:$J$8,5,FALSE),'Fuel &amp; Resister'!$B$3:$G$6,4,FALSE)</f>
        <v>2.7360666666666664</v>
      </c>
      <c r="AJ1262" s="41">
        <f>HLOOKUP(HLOOKUP(G1262,'THP2'!$B$4:$J$8,5,FALSE),'Fuel &amp; Resister'!$B$3:$G$6,3,FALSE)</f>
        <v>13.019</v>
      </c>
    </row>
    <row r="1263" spans="2:42" x14ac:dyDescent="0.15">
      <c r="B1263" s="81" t="s">
        <v>633</v>
      </c>
      <c r="C1263" s="61">
        <f>VLOOKUP(B1263,[1]SYS!$F$5:$G$359,2,FALSE)</f>
        <v>206</v>
      </c>
      <c r="D1263" s="1" t="s">
        <v>50</v>
      </c>
      <c r="E1263" s="65" t="s">
        <v>239</v>
      </c>
      <c r="F1263" s="63" t="s">
        <v>545</v>
      </c>
      <c r="G1263" s="1">
        <v>8</v>
      </c>
      <c r="H1263" s="1">
        <f t="shared" si="291"/>
        <v>0.4</v>
      </c>
      <c r="I1263" s="1">
        <f t="shared" si="287"/>
        <v>0.42499999999999999</v>
      </c>
      <c r="J1263" s="1">
        <f t="shared" si="289"/>
        <v>2.0000000000000018E-2</v>
      </c>
      <c r="K1263" s="1">
        <f t="shared" si="292"/>
        <v>2.1127899999999999</v>
      </c>
      <c r="L1263" s="1">
        <f t="shared" si="293"/>
        <v>1.6195899999999999</v>
      </c>
      <c r="M1263" s="49">
        <v>0</v>
      </c>
      <c r="N1263" s="49">
        <v>1.8825000000000001</v>
      </c>
      <c r="O1263" s="1">
        <v>714</v>
      </c>
      <c r="P1263" s="51">
        <v>0.05</v>
      </c>
      <c r="Q1263" s="51">
        <v>11</v>
      </c>
      <c r="R1263" s="51">
        <v>0</v>
      </c>
      <c r="S1263" s="1">
        <v>1</v>
      </c>
      <c r="T1263" s="1">
        <v>0</v>
      </c>
      <c r="U1263" s="47">
        <v>0</v>
      </c>
      <c r="V1263" s="47"/>
      <c r="W1263" s="41">
        <v>170</v>
      </c>
      <c r="X1263">
        <v>425</v>
      </c>
      <c r="Y1263">
        <v>0.98</v>
      </c>
      <c r="Z1263">
        <v>2112.79</v>
      </c>
      <c r="AA1263">
        <v>1619.59</v>
      </c>
      <c r="AB1263">
        <v>188.25</v>
      </c>
      <c r="AC1263"/>
      <c r="AD1263" s="41">
        <f t="shared" si="294"/>
        <v>0.40704471338845793</v>
      </c>
      <c r="AE1263" s="41">
        <f t="shared" si="295"/>
        <v>0.53099858606190453</v>
      </c>
      <c r="AF1263">
        <f t="shared" si="296"/>
        <v>1.2907899999999999</v>
      </c>
      <c r="AG1263">
        <f t="shared" si="297"/>
        <v>0.13973999999999998</v>
      </c>
      <c r="AH1263">
        <f t="shared" si="298"/>
        <v>1.8825000000000001</v>
      </c>
      <c r="AI1263">
        <f>HLOOKUP(HLOOKUP(G1263,'THP2'!$B$4:$J$8,5,FALSE),'Fuel &amp; Resister'!$B$3:$G$6,4,FALSE)</f>
        <v>2.7360666666666664</v>
      </c>
      <c r="AJ1263" s="41">
        <f>HLOOKUP(HLOOKUP(G1263,'THP2'!$B$4:$J$8,5,FALSE),'Fuel &amp; Resister'!$B$3:$G$6,3,FALSE)</f>
        <v>13.019</v>
      </c>
    </row>
    <row r="1264" spans="2:42" x14ac:dyDescent="0.15">
      <c r="B1264" s="81" t="s">
        <v>633</v>
      </c>
      <c r="C1264" s="61">
        <f>VLOOKUP(B1264,[1]SYS!$F$5:$G$359,2,FALSE)</f>
        <v>206</v>
      </c>
      <c r="D1264" s="1" t="s">
        <v>50</v>
      </c>
      <c r="E1264" s="65" t="s">
        <v>239</v>
      </c>
      <c r="F1264" s="63" t="s">
        <v>545</v>
      </c>
      <c r="G1264" s="1">
        <v>8</v>
      </c>
      <c r="H1264" s="1">
        <f t="shared" si="291"/>
        <v>0.4</v>
      </c>
      <c r="I1264" s="1">
        <f t="shared" si="287"/>
        <v>0.42499999999999999</v>
      </c>
      <c r="J1264" s="1">
        <f t="shared" si="289"/>
        <v>2.0000000000000018E-2</v>
      </c>
      <c r="K1264" s="1">
        <f t="shared" si="292"/>
        <v>2.1127899999999999</v>
      </c>
      <c r="L1264" s="1">
        <f t="shared" si="293"/>
        <v>1.6195899999999999</v>
      </c>
      <c r="M1264" s="49">
        <v>0</v>
      </c>
      <c r="N1264" s="49">
        <v>1.8825000000000001</v>
      </c>
      <c r="O1264" s="1">
        <v>413</v>
      </c>
      <c r="P1264" s="51">
        <v>0.05</v>
      </c>
      <c r="Q1264" s="51">
        <v>11</v>
      </c>
      <c r="R1264" s="51">
        <v>0</v>
      </c>
      <c r="S1264" s="1">
        <v>1</v>
      </c>
      <c r="T1264" s="1">
        <v>0</v>
      </c>
      <c r="U1264" s="47">
        <v>0</v>
      </c>
      <c r="V1264" s="47"/>
      <c r="W1264" s="41">
        <v>170</v>
      </c>
      <c r="X1264">
        <v>425</v>
      </c>
      <c r="Y1264">
        <v>0.98</v>
      </c>
      <c r="Z1264">
        <v>2112.79</v>
      </c>
      <c r="AA1264">
        <v>1619.59</v>
      </c>
      <c r="AB1264">
        <v>188.25</v>
      </c>
      <c r="AC1264"/>
      <c r="AD1264" s="41">
        <f t="shared" si="294"/>
        <v>0.40704471338845793</v>
      </c>
      <c r="AE1264" s="41">
        <f t="shared" si="295"/>
        <v>0.53099858606190453</v>
      </c>
      <c r="AF1264">
        <f t="shared" si="296"/>
        <v>1.2907899999999999</v>
      </c>
      <c r="AG1264">
        <f t="shared" si="297"/>
        <v>0.13973999999999998</v>
      </c>
      <c r="AH1264">
        <f t="shared" si="298"/>
        <v>1.8825000000000001</v>
      </c>
      <c r="AI1264">
        <f>HLOOKUP(HLOOKUP(G1264,'THP2'!$B$4:$J$8,5,FALSE),'Fuel &amp; Resister'!$B$3:$G$6,4,FALSE)</f>
        <v>2.7360666666666664</v>
      </c>
      <c r="AJ1264" s="41">
        <f>HLOOKUP(HLOOKUP(G1264,'THP2'!$B$4:$J$8,5,FALSE),'Fuel &amp; Resister'!$B$3:$G$6,3,FALSE)</f>
        <v>13.019</v>
      </c>
    </row>
    <row r="1265" spans="2:36" x14ac:dyDescent="0.15">
      <c r="B1265" s="81" t="s">
        <v>633</v>
      </c>
      <c r="C1265" s="61">
        <f>VLOOKUP(B1265,[1]SYS!$F$5:$G$359,2,FALSE)</f>
        <v>206</v>
      </c>
      <c r="D1265" s="1" t="s">
        <v>50</v>
      </c>
      <c r="E1265" s="65" t="s">
        <v>239</v>
      </c>
      <c r="F1265" s="63" t="s">
        <v>545</v>
      </c>
      <c r="G1265" s="1">
        <v>8</v>
      </c>
      <c r="H1265" s="1">
        <f t="shared" si="291"/>
        <v>0.4</v>
      </c>
      <c r="I1265" s="1">
        <f t="shared" si="287"/>
        <v>0.42499999999999999</v>
      </c>
      <c r="J1265" s="1">
        <f t="shared" si="289"/>
        <v>2.0000000000000018E-2</v>
      </c>
      <c r="K1265" s="1">
        <f t="shared" si="292"/>
        <v>2.1127899999999999</v>
      </c>
      <c r="L1265" s="1">
        <f t="shared" si="293"/>
        <v>1.6195899999999999</v>
      </c>
      <c r="M1265" s="49">
        <v>0</v>
      </c>
      <c r="N1265" s="49">
        <v>1.8825000000000001</v>
      </c>
      <c r="O1265" s="6">
        <v>1014</v>
      </c>
      <c r="P1265" s="51">
        <v>0.05</v>
      </c>
      <c r="Q1265" s="51">
        <v>11</v>
      </c>
      <c r="R1265" s="51">
        <v>0</v>
      </c>
      <c r="S1265" s="1">
        <v>1</v>
      </c>
      <c r="T1265" s="1">
        <v>0</v>
      </c>
      <c r="U1265" s="47">
        <v>0</v>
      </c>
      <c r="V1265" s="47">
        <v>262</v>
      </c>
      <c r="W1265" s="41">
        <v>170</v>
      </c>
      <c r="X1265">
        <v>425</v>
      </c>
      <c r="Y1265">
        <v>0.98</v>
      </c>
      <c r="Z1265">
        <v>2112.79</v>
      </c>
      <c r="AA1265">
        <v>1619.59</v>
      </c>
      <c r="AB1265">
        <v>188.25</v>
      </c>
      <c r="AC1265">
        <v>36</v>
      </c>
      <c r="AD1265" s="41">
        <f t="shared" si="294"/>
        <v>0.40704471338845793</v>
      </c>
      <c r="AE1265" s="41">
        <f t="shared" si="295"/>
        <v>0.53099858606190453</v>
      </c>
      <c r="AF1265">
        <f t="shared" si="296"/>
        <v>1.2907899999999999</v>
      </c>
      <c r="AG1265">
        <f t="shared" si="297"/>
        <v>0.13973999999999998</v>
      </c>
      <c r="AH1265">
        <f t="shared" si="298"/>
        <v>1.8825000000000001</v>
      </c>
      <c r="AI1265">
        <f>HLOOKUP(HLOOKUP(G1265,'THP2'!$B$4:$J$8,5,FALSE),'Fuel &amp; Resister'!$B$3:$G$6,4,FALSE)</f>
        <v>2.7360666666666664</v>
      </c>
      <c r="AJ1265" s="41">
        <f>HLOOKUP(HLOOKUP(G1265,'THP2'!$B$4:$J$8,5,FALSE),'Fuel &amp; Resister'!$B$3:$G$6,3,FALSE)</f>
        <v>13.019</v>
      </c>
    </row>
    <row r="1266" spans="2:36" x14ac:dyDescent="0.15">
      <c r="B1266" s="81" t="s">
        <v>633</v>
      </c>
      <c r="C1266" s="61">
        <f>VLOOKUP(B1266,[1]SYS!$F$5:$G$359,2,FALSE)</f>
        <v>206</v>
      </c>
      <c r="D1266" s="1" t="s">
        <v>50</v>
      </c>
      <c r="E1266" s="65" t="s">
        <v>240</v>
      </c>
      <c r="F1266" s="63" t="s">
        <v>483</v>
      </c>
      <c r="G1266" s="1">
        <v>8</v>
      </c>
      <c r="H1266" s="1">
        <f t="shared" si="291"/>
        <v>0.4</v>
      </c>
      <c r="I1266" s="1">
        <f t="shared" si="287"/>
        <v>0.42499999999999999</v>
      </c>
      <c r="J1266" s="1">
        <f t="shared" si="289"/>
        <v>2.0000000000000018E-2</v>
      </c>
      <c r="K1266" s="1">
        <f t="shared" si="292"/>
        <v>2.1127899999999999</v>
      </c>
      <c r="L1266" s="1">
        <f t="shared" si="293"/>
        <v>1.6195899999999999</v>
      </c>
      <c r="M1266" s="49">
        <v>0</v>
      </c>
      <c r="N1266" s="49">
        <v>1.8825000000000001</v>
      </c>
      <c r="O1266" s="1">
        <v>413</v>
      </c>
      <c r="P1266" s="51">
        <v>0.05</v>
      </c>
      <c r="Q1266" s="51">
        <v>11</v>
      </c>
      <c r="R1266" s="51">
        <v>0</v>
      </c>
      <c r="S1266" s="1">
        <v>1</v>
      </c>
      <c r="T1266" s="1">
        <v>0</v>
      </c>
      <c r="U1266" s="47">
        <v>1</v>
      </c>
      <c r="V1266" s="47">
        <v>263</v>
      </c>
      <c r="W1266" s="41">
        <v>170</v>
      </c>
      <c r="X1266">
        <v>425</v>
      </c>
      <c r="Y1266">
        <v>0.98</v>
      </c>
      <c r="Z1266">
        <v>2112.79</v>
      </c>
      <c r="AA1266">
        <v>1619.59</v>
      </c>
      <c r="AB1266">
        <v>188.25</v>
      </c>
      <c r="AC1266">
        <v>36</v>
      </c>
      <c r="AD1266" s="41">
        <f t="shared" si="294"/>
        <v>0.40704471338845793</v>
      </c>
      <c r="AE1266" s="41">
        <f t="shared" si="295"/>
        <v>0.53099858606190453</v>
      </c>
      <c r="AF1266">
        <f t="shared" si="296"/>
        <v>1.2907899999999999</v>
      </c>
      <c r="AG1266">
        <f t="shared" si="297"/>
        <v>0.13973999999999998</v>
      </c>
      <c r="AH1266">
        <f t="shared" si="298"/>
        <v>1.8825000000000001</v>
      </c>
      <c r="AI1266">
        <f>HLOOKUP(HLOOKUP(G1266,'THP2'!$B$4:$J$8,5,FALSE),'Fuel &amp; Resister'!$B$3:$G$6,4,FALSE)</f>
        <v>2.7360666666666664</v>
      </c>
      <c r="AJ1266" s="41">
        <f>HLOOKUP(HLOOKUP(G1266,'THP2'!$B$4:$J$8,5,FALSE),'Fuel &amp; Resister'!$B$3:$G$6,3,FALSE)</f>
        <v>13.019</v>
      </c>
    </row>
    <row r="1267" spans="2:36" x14ac:dyDescent="0.15">
      <c r="B1267" s="81" t="s">
        <v>634</v>
      </c>
      <c r="C1267" s="61">
        <f>VLOOKUP(B1267,[1]SYS!$F$5:$G$359,2,FALSE)</f>
        <v>227</v>
      </c>
      <c r="D1267" s="1" t="s">
        <v>50</v>
      </c>
      <c r="E1267" s="65" t="s">
        <v>241</v>
      </c>
      <c r="F1267" s="63" t="s">
        <v>464</v>
      </c>
      <c r="G1267" s="1">
        <v>8</v>
      </c>
      <c r="H1267" s="1">
        <f t="shared" si="291"/>
        <v>0.39961389961389959</v>
      </c>
      <c r="I1267" s="1">
        <f t="shared" si="287"/>
        <v>0.51800000000000002</v>
      </c>
      <c r="J1267" s="1">
        <f t="shared" si="289"/>
        <v>2.0000000000000018E-2</v>
      </c>
      <c r="K1267" s="1">
        <f t="shared" si="292"/>
        <v>1.94773</v>
      </c>
      <c r="L1267" s="1">
        <f t="shared" si="293"/>
        <v>1.4930600000000001</v>
      </c>
      <c r="M1267" s="49">
        <v>0</v>
      </c>
      <c r="N1267" s="49">
        <v>1.4891999999999999</v>
      </c>
      <c r="O1267" s="1">
        <v>1014</v>
      </c>
      <c r="P1267" s="51">
        <v>0.05</v>
      </c>
      <c r="Q1267" s="51">
        <v>11</v>
      </c>
      <c r="R1267" s="51">
        <v>0</v>
      </c>
      <c r="S1267" s="1">
        <v>1</v>
      </c>
      <c r="T1267" s="1">
        <v>0</v>
      </c>
      <c r="U1267" s="47">
        <v>1</v>
      </c>
      <c r="V1267" s="47">
        <v>264</v>
      </c>
      <c r="W1267" s="41">
        <v>207</v>
      </c>
      <c r="X1267">
        <v>518</v>
      </c>
      <c r="Y1267">
        <v>0.98</v>
      </c>
      <c r="Z1267">
        <v>1947.73</v>
      </c>
      <c r="AA1267">
        <v>1493.06</v>
      </c>
      <c r="AB1267">
        <v>148.91999999999999</v>
      </c>
      <c r="AC1267">
        <v>36</v>
      </c>
      <c r="AD1267" s="41">
        <f t="shared" si="294"/>
        <v>0.4415396384509146</v>
      </c>
      <c r="AE1267" s="41">
        <f t="shared" si="295"/>
        <v>0.57599828540045284</v>
      </c>
      <c r="AF1267">
        <f t="shared" si="296"/>
        <v>1.1904339871382636</v>
      </c>
      <c r="AG1267">
        <f t="shared" si="297"/>
        <v>0.15676027466237946</v>
      </c>
      <c r="AH1267">
        <f t="shared" si="298"/>
        <v>1.4891999999999999</v>
      </c>
      <c r="AI1267">
        <f>HLOOKUP(HLOOKUP(G1267,'THP2'!$B$4:$J$8,5,FALSE),'Fuel &amp; Resister'!$B$3:$G$6,4,FALSE)</f>
        <v>2.7360666666666664</v>
      </c>
      <c r="AJ1267" s="41">
        <f>HLOOKUP(HLOOKUP(G1267,'THP2'!$B$4:$J$8,5,FALSE),'Fuel &amp; Resister'!$B$3:$G$6,3,FALSE)</f>
        <v>13.019</v>
      </c>
    </row>
    <row r="1268" spans="2:36" x14ac:dyDescent="0.15">
      <c r="B1268" s="81" t="s">
        <v>604</v>
      </c>
      <c r="C1268" s="61">
        <f>VLOOKUP(B1268,[1]SYS!$F$5:$G$359,2,FALSE)</f>
        <v>226</v>
      </c>
      <c r="D1268" s="1" t="s">
        <v>50</v>
      </c>
      <c r="E1268" s="65" t="s">
        <v>242</v>
      </c>
      <c r="F1268" s="63" t="s">
        <v>461</v>
      </c>
      <c r="G1268" s="1">
        <v>8</v>
      </c>
      <c r="H1268" s="1">
        <f t="shared" si="291"/>
        <v>0.39916839916839919</v>
      </c>
      <c r="I1268" s="1">
        <f t="shared" si="287"/>
        <v>0.48099999999999998</v>
      </c>
      <c r="J1268" s="1">
        <f t="shared" si="289"/>
        <v>1.749999999999996E-2</v>
      </c>
      <c r="K1268" s="1">
        <f t="shared" si="292"/>
        <v>2.0775799999999998</v>
      </c>
      <c r="L1268" s="1">
        <f t="shared" si="293"/>
        <v>1.59259</v>
      </c>
      <c r="M1268" s="49">
        <v>0</v>
      </c>
      <c r="N1268" s="49">
        <v>1.4494999999999998</v>
      </c>
      <c r="O1268" s="1">
        <v>1002</v>
      </c>
      <c r="P1268" s="51">
        <v>0.05</v>
      </c>
      <c r="Q1268" s="51">
        <v>11</v>
      </c>
      <c r="R1268" s="51">
        <v>0</v>
      </c>
      <c r="S1268" s="1">
        <v>1</v>
      </c>
      <c r="T1268" s="1">
        <v>0</v>
      </c>
      <c r="U1268" s="47">
        <v>1</v>
      </c>
      <c r="V1268" s="47">
        <v>265</v>
      </c>
      <c r="W1268" s="41">
        <v>192</v>
      </c>
      <c r="X1268">
        <v>481</v>
      </c>
      <c r="Y1268">
        <v>0.98250000000000004</v>
      </c>
      <c r="Z1268">
        <v>2077.58</v>
      </c>
      <c r="AA1268">
        <v>1592.59</v>
      </c>
      <c r="AB1268">
        <v>144.94999999999999</v>
      </c>
      <c r="AC1268">
        <v>36</v>
      </c>
      <c r="AD1268" s="41">
        <f t="shared" si="294"/>
        <v>0.41394314539030991</v>
      </c>
      <c r="AE1268" s="41">
        <f t="shared" si="295"/>
        <v>0.54000087907119854</v>
      </c>
      <c r="AF1268">
        <f t="shared" si="296"/>
        <v>1.2703821107266438</v>
      </c>
      <c r="AG1268">
        <f t="shared" si="297"/>
        <v>0.15498199474048432</v>
      </c>
      <c r="AH1268">
        <f t="shared" si="298"/>
        <v>1.4494999999999998</v>
      </c>
      <c r="AI1268">
        <f>HLOOKUP(HLOOKUP(G1268,'THP2'!$B$4:$J$8,5,FALSE),'Fuel &amp; Resister'!$B$3:$G$6,4,FALSE)</f>
        <v>2.7360666666666664</v>
      </c>
      <c r="AJ1268" s="41">
        <f>HLOOKUP(HLOOKUP(G1268,'THP2'!$B$4:$J$8,5,FALSE),'Fuel &amp; Resister'!$B$3:$G$6,3,FALSE)</f>
        <v>13.019</v>
      </c>
    </row>
    <row r="1269" spans="2:36" x14ac:dyDescent="0.15">
      <c r="B1269" s="81" t="s">
        <v>604</v>
      </c>
      <c r="C1269" s="61">
        <f>VLOOKUP(B1269,[1]SYS!$F$5:$G$359,2,FALSE)</f>
        <v>226</v>
      </c>
      <c r="D1269" s="1" t="s">
        <v>50</v>
      </c>
      <c r="E1269" s="65" t="s">
        <v>243</v>
      </c>
      <c r="F1269" s="63" t="s">
        <v>461</v>
      </c>
      <c r="G1269" s="1">
        <v>8</v>
      </c>
      <c r="H1269" s="1">
        <f t="shared" si="291"/>
        <v>0.39916839916839919</v>
      </c>
      <c r="I1269" s="1">
        <f t="shared" si="287"/>
        <v>0.48099999999999998</v>
      </c>
      <c r="J1269" s="1">
        <f t="shared" si="289"/>
        <v>1.749999999999996E-2</v>
      </c>
      <c r="K1269" s="1">
        <f t="shared" si="292"/>
        <v>2.0775799999999998</v>
      </c>
      <c r="L1269" s="1">
        <f t="shared" si="293"/>
        <v>1.59259</v>
      </c>
      <c r="M1269" s="49">
        <v>0</v>
      </c>
      <c r="N1269" s="49">
        <v>1.4494999999999998</v>
      </c>
      <c r="O1269" s="1">
        <v>1125</v>
      </c>
      <c r="P1269" s="51">
        <v>0.05</v>
      </c>
      <c r="Q1269" s="51">
        <v>11</v>
      </c>
      <c r="R1269" s="51">
        <v>0</v>
      </c>
      <c r="S1269" s="1">
        <v>1</v>
      </c>
      <c r="T1269" s="1">
        <v>0</v>
      </c>
      <c r="U1269" s="47">
        <v>1</v>
      </c>
      <c r="V1269" s="47">
        <v>266</v>
      </c>
      <c r="W1269" s="41">
        <v>192</v>
      </c>
      <c r="X1269">
        <v>481</v>
      </c>
      <c r="Y1269">
        <v>0.98250000000000004</v>
      </c>
      <c r="Z1269">
        <v>2077.58</v>
      </c>
      <c r="AA1269">
        <v>1592.59</v>
      </c>
      <c r="AB1269">
        <v>144.94999999999999</v>
      </c>
      <c r="AC1269">
        <v>36</v>
      </c>
      <c r="AD1269" s="41">
        <f t="shared" si="294"/>
        <v>0.41394314539030991</v>
      </c>
      <c r="AE1269" s="41">
        <f t="shared" si="295"/>
        <v>0.54000087907119854</v>
      </c>
      <c r="AF1269">
        <f t="shared" si="296"/>
        <v>1.2703821107266438</v>
      </c>
      <c r="AG1269">
        <f t="shared" si="297"/>
        <v>0.15498199474048432</v>
      </c>
      <c r="AH1269">
        <f t="shared" si="298"/>
        <v>1.4494999999999998</v>
      </c>
      <c r="AI1269">
        <f>HLOOKUP(HLOOKUP(G1269,'THP2'!$B$4:$J$8,5,FALSE),'Fuel &amp; Resister'!$B$3:$G$6,4,FALSE)</f>
        <v>2.7360666666666664</v>
      </c>
      <c r="AJ1269" s="41">
        <f>HLOOKUP(HLOOKUP(G1269,'THP2'!$B$4:$J$8,5,FALSE),'Fuel &amp; Resister'!$B$3:$G$6,3,FALSE)</f>
        <v>13.019</v>
      </c>
    </row>
    <row r="1270" spans="2:36" x14ac:dyDescent="0.15">
      <c r="B1270" s="81" t="s">
        <v>604</v>
      </c>
      <c r="C1270" s="61">
        <f>VLOOKUP(B1270,[1]SYS!$F$5:$G$359,2,FALSE)</f>
        <v>226</v>
      </c>
      <c r="D1270" s="1" t="s">
        <v>50</v>
      </c>
      <c r="E1270" s="65" t="s">
        <v>244</v>
      </c>
      <c r="F1270" s="63" t="s">
        <v>461</v>
      </c>
      <c r="G1270" s="1">
        <v>8</v>
      </c>
      <c r="H1270" s="1">
        <f t="shared" si="291"/>
        <v>0.39916839916839919</v>
      </c>
      <c r="I1270" s="1">
        <f t="shared" ref="I1270:I1393" si="299">X1270/1000</f>
        <v>0.48099999999999998</v>
      </c>
      <c r="J1270" s="1">
        <f t="shared" si="289"/>
        <v>1.749999999999996E-2</v>
      </c>
      <c r="K1270" s="1">
        <f t="shared" si="292"/>
        <v>2.0775799999999998</v>
      </c>
      <c r="L1270" s="1">
        <f t="shared" si="293"/>
        <v>1.59259</v>
      </c>
      <c r="M1270" s="49">
        <v>0</v>
      </c>
      <c r="N1270" s="49">
        <v>1.4494999999999998</v>
      </c>
      <c r="O1270" s="1">
        <v>1014</v>
      </c>
      <c r="P1270" s="51">
        <v>0.05</v>
      </c>
      <c r="Q1270" s="51">
        <v>11</v>
      </c>
      <c r="R1270" s="51">
        <v>0</v>
      </c>
      <c r="S1270" s="1">
        <v>1</v>
      </c>
      <c r="T1270" s="1">
        <v>0</v>
      </c>
      <c r="U1270" s="47">
        <v>1</v>
      </c>
      <c r="V1270" s="47">
        <v>267</v>
      </c>
      <c r="W1270" s="41">
        <v>192</v>
      </c>
      <c r="X1270">
        <v>481</v>
      </c>
      <c r="Y1270">
        <v>0.98250000000000004</v>
      </c>
      <c r="Z1270">
        <v>2077.58</v>
      </c>
      <c r="AA1270">
        <v>1592.59</v>
      </c>
      <c r="AB1270">
        <v>144.94999999999999</v>
      </c>
      <c r="AC1270">
        <v>36</v>
      </c>
      <c r="AD1270" s="41">
        <f t="shared" si="294"/>
        <v>0.41394314539030991</v>
      </c>
      <c r="AE1270" s="41">
        <f t="shared" si="295"/>
        <v>0.54000087907119854</v>
      </c>
      <c r="AF1270">
        <f t="shared" si="296"/>
        <v>1.2703821107266438</v>
      </c>
      <c r="AG1270">
        <f t="shared" si="297"/>
        <v>0.15498199474048432</v>
      </c>
      <c r="AH1270">
        <f t="shared" si="298"/>
        <v>1.4494999999999998</v>
      </c>
      <c r="AI1270">
        <f>HLOOKUP(HLOOKUP(G1270,'THP2'!$B$4:$J$8,5,FALSE),'Fuel &amp; Resister'!$B$3:$G$6,4,FALSE)</f>
        <v>2.7360666666666664</v>
      </c>
      <c r="AJ1270" s="41">
        <f>HLOOKUP(HLOOKUP(G1270,'THP2'!$B$4:$J$8,5,FALSE),'Fuel &amp; Resister'!$B$3:$G$6,3,FALSE)</f>
        <v>13.019</v>
      </c>
    </row>
    <row r="1271" spans="2:36" x14ac:dyDescent="0.15">
      <c r="B1271" s="81" t="s">
        <v>604</v>
      </c>
      <c r="C1271" s="61">
        <f>VLOOKUP(B1271,[1]SYS!$F$5:$G$359,2,FALSE)</f>
        <v>226</v>
      </c>
      <c r="D1271" s="1" t="s">
        <v>50</v>
      </c>
      <c r="E1271" s="65" t="s">
        <v>245</v>
      </c>
      <c r="F1271" s="63" t="s">
        <v>461</v>
      </c>
      <c r="G1271" s="1">
        <v>8</v>
      </c>
      <c r="H1271" s="1">
        <f t="shared" si="291"/>
        <v>0.39916839916839919</v>
      </c>
      <c r="I1271" s="1">
        <f t="shared" si="299"/>
        <v>0.48099999999999998</v>
      </c>
      <c r="J1271" s="1">
        <f t="shared" si="289"/>
        <v>1.749999999999996E-2</v>
      </c>
      <c r="K1271" s="1">
        <f t="shared" si="292"/>
        <v>2.0775799999999998</v>
      </c>
      <c r="L1271" s="1">
        <f t="shared" si="293"/>
        <v>1.59259</v>
      </c>
      <c r="M1271" s="49">
        <v>0</v>
      </c>
      <c r="N1271" s="49">
        <v>1.4494999999999998</v>
      </c>
      <c r="O1271" s="1">
        <v>1014</v>
      </c>
      <c r="P1271" s="51">
        <v>0.05</v>
      </c>
      <c r="Q1271" s="51">
        <v>11</v>
      </c>
      <c r="R1271" s="51">
        <v>0</v>
      </c>
      <c r="S1271" s="1">
        <v>1</v>
      </c>
      <c r="T1271" s="1">
        <v>0</v>
      </c>
      <c r="U1271" s="47">
        <v>1</v>
      </c>
      <c r="V1271" s="47">
        <v>268</v>
      </c>
      <c r="W1271" s="41">
        <v>192</v>
      </c>
      <c r="X1271">
        <v>481</v>
      </c>
      <c r="Y1271">
        <v>0.98250000000000004</v>
      </c>
      <c r="Z1271">
        <v>2077.58</v>
      </c>
      <c r="AA1271">
        <v>1592.59</v>
      </c>
      <c r="AB1271">
        <v>144.94999999999999</v>
      </c>
      <c r="AC1271">
        <v>36</v>
      </c>
      <c r="AD1271" s="41">
        <f t="shared" si="294"/>
        <v>0.41394314539030991</v>
      </c>
      <c r="AE1271" s="41">
        <f t="shared" si="295"/>
        <v>0.54000087907119854</v>
      </c>
      <c r="AF1271">
        <f t="shared" si="296"/>
        <v>1.2703821107266438</v>
      </c>
      <c r="AG1271">
        <f t="shared" si="297"/>
        <v>0.15498199474048432</v>
      </c>
      <c r="AH1271">
        <f t="shared" si="298"/>
        <v>1.4494999999999998</v>
      </c>
      <c r="AI1271">
        <f>HLOOKUP(HLOOKUP(G1271,'THP2'!$B$4:$J$8,5,FALSE),'Fuel &amp; Resister'!$B$3:$G$6,4,FALSE)</f>
        <v>2.7360666666666664</v>
      </c>
      <c r="AJ1271" s="41">
        <f>HLOOKUP(HLOOKUP(G1271,'THP2'!$B$4:$J$8,5,FALSE),'Fuel &amp; Resister'!$B$3:$G$6,3,FALSE)</f>
        <v>13.019</v>
      </c>
    </row>
    <row r="1272" spans="2:36" x14ac:dyDescent="0.15">
      <c r="B1272" s="81" t="s">
        <v>604</v>
      </c>
      <c r="C1272" s="61">
        <f>VLOOKUP(B1272,[1]SYS!$F$5:$G$359,2,FALSE)</f>
        <v>226</v>
      </c>
      <c r="D1272" s="1" t="s">
        <v>50</v>
      </c>
      <c r="E1272" s="65" t="s">
        <v>246</v>
      </c>
      <c r="F1272" s="63" t="s">
        <v>461</v>
      </c>
      <c r="G1272" s="1">
        <v>8</v>
      </c>
      <c r="H1272" s="1">
        <f t="shared" si="291"/>
        <v>0.39916839916839919</v>
      </c>
      <c r="I1272" s="1">
        <f t="shared" si="299"/>
        <v>0.48099999999999998</v>
      </c>
      <c r="J1272" s="1">
        <f t="shared" si="289"/>
        <v>1.749999999999996E-2</v>
      </c>
      <c r="K1272" s="1">
        <f t="shared" si="292"/>
        <v>2.0775799999999998</v>
      </c>
      <c r="L1272" s="1">
        <f t="shared" si="293"/>
        <v>1.59259</v>
      </c>
      <c r="M1272" s="49">
        <v>0</v>
      </c>
      <c r="N1272" s="49">
        <v>1.4494999999999998</v>
      </c>
      <c r="O1272" s="1">
        <v>1113</v>
      </c>
      <c r="P1272" s="51">
        <v>0.05</v>
      </c>
      <c r="Q1272" s="51">
        <v>11</v>
      </c>
      <c r="R1272" s="51">
        <v>0</v>
      </c>
      <c r="S1272" s="1">
        <v>1</v>
      </c>
      <c r="T1272" s="1">
        <v>0</v>
      </c>
      <c r="U1272" s="47">
        <v>1</v>
      </c>
      <c r="V1272" s="47">
        <v>269</v>
      </c>
      <c r="W1272" s="41">
        <v>192</v>
      </c>
      <c r="X1272">
        <v>481</v>
      </c>
      <c r="Y1272">
        <v>0.98250000000000004</v>
      </c>
      <c r="Z1272">
        <v>2077.58</v>
      </c>
      <c r="AA1272">
        <v>1592.59</v>
      </c>
      <c r="AB1272">
        <v>144.94999999999999</v>
      </c>
      <c r="AC1272">
        <v>36</v>
      </c>
      <c r="AD1272" s="41">
        <f t="shared" si="294"/>
        <v>0.41394314539030991</v>
      </c>
      <c r="AE1272" s="41">
        <f t="shared" si="295"/>
        <v>0.54000087907119854</v>
      </c>
      <c r="AF1272">
        <f t="shared" si="296"/>
        <v>1.2703821107266438</v>
      </c>
      <c r="AG1272">
        <f t="shared" si="297"/>
        <v>0.15498199474048432</v>
      </c>
      <c r="AH1272">
        <f t="shared" si="298"/>
        <v>1.4494999999999998</v>
      </c>
      <c r="AI1272">
        <f>HLOOKUP(HLOOKUP(G1272,'THP2'!$B$4:$J$8,5,FALSE),'Fuel &amp; Resister'!$B$3:$G$6,4,FALSE)</f>
        <v>2.7360666666666664</v>
      </c>
      <c r="AJ1272" s="41">
        <f>HLOOKUP(HLOOKUP(G1272,'THP2'!$B$4:$J$8,5,FALSE),'Fuel &amp; Resister'!$B$3:$G$6,3,FALSE)</f>
        <v>13.019</v>
      </c>
    </row>
    <row r="1273" spans="2:36" x14ac:dyDescent="0.15">
      <c r="B1273" s="81" t="s">
        <v>604</v>
      </c>
      <c r="C1273" s="61">
        <f>VLOOKUP(B1273,[1]SYS!$F$5:$G$359,2,FALSE)</f>
        <v>226</v>
      </c>
      <c r="D1273" s="1" t="s">
        <v>50</v>
      </c>
      <c r="E1273" s="65" t="s">
        <v>247</v>
      </c>
      <c r="F1273" s="63" t="s">
        <v>461</v>
      </c>
      <c r="G1273" s="1">
        <v>8</v>
      </c>
      <c r="H1273" s="1">
        <f t="shared" si="291"/>
        <v>0.40041067761806981</v>
      </c>
      <c r="I1273" s="1">
        <f t="shared" si="299"/>
        <v>0.48699999999999999</v>
      </c>
      <c r="J1273" s="1">
        <f t="shared" si="289"/>
        <v>1.749999999999996E-2</v>
      </c>
      <c r="K1273" s="1">
        <f t="shared" si="292"/>
        <v>2.0775799999999998</v>
      </c>
      <c r="L1273" s="1">
        <f t="shared" si="293"/>
        <v>1.59259</v>
      </c>
      <c r="M1273" s="49">
        <v>0</v>
      </c>
      <c r="N1273" s="49">
        <v>1.456</v>
      </c>
      <c r="O1273" s="1">
        <v>1014</v>
      </c>
      <c r="P1273" s="51">
        <v>0.05</v>
      </c>
      <c r="Q1273" s="51">
        <v>11</v>
      </c>
      <c r="R1273" s="51">
        <v>0</v>
      </c>
      <c r="S1273" s="1">
        <v>1</v>
      </c>
      <c r="T1273" s="1">
        <v>0</v>
      </c>
      <c r="U1273" s="47">
        <v>1</v>
      </c>
      <c r="V1273" s="47">
        <v>270</v>
      </c>
      <c r="W1273" s="41">
        <v>195</v>
      </c>
      <c r="X1273">
        <v>487</v>
      </c>
      <c r="Y1273">
        <v>0.98250000000000004</v>
      </c>
      <c r="Z1273">
        <v>2077.58</v>
      </c>
      <c r="AA1273">
        <v>1592.59</v>
      </c>
      <c r="AB1273">
        <v>145.6</v>
      </c>
      <c r="AC1273">
        <v>36</v>
      </c>
      <c r="AD1273" s="41">
        <f t="shared" si="294"/>
        <v>0.41394314539030991</v>
      </c>
      <c r="AE1273" s="41">
        <f t="shared" si="295"/>
        <v>0.54000087907119854</v>
      </c>
      <c r="AF1273">
        <f t="shared" si="296"/>
        <v>1.268709691780822</v>
      </c>
      <c r="AG1273">
        <f t="shared" si="297"/>
        <v>0.15772971010273965</v>
      </c>
      <c r="AH1273">
        <f t="shared" si="298"/>
        <v>1.456</v>
      </c>
      <c r="AI1273">
        <f>HLOOKUP(HLOOKUP(G1273,'THP2'!$B$4:$J$8,5,FALSE),'Fuel &amp; Resister'!$B$3:$G$6,4,FALSE)</f>
        <v>2.7360666666666664</v>
      </c>
      <c r="AJ1273" s="41">
        <f>HLOOKUP(HLOOKUP(G1273,'THP2'!$B$4:$J$8,5,FALSE),'Fuel &amp; Resister'!$B$3:$G$6,3,FALSE)</f>
        <v>13.019</v>
      </c>
    </row>
    <row r="1274" spans="2:36" x14ac:dyDescent="0.15">
      <c r="B1274" s="81" t="s">
        <v>604</v>
      </c>
      <c r="C1274" s="61">
        <f>VLOOKUP(B1274,[1]SYS!$F$5:$G$359,2,FALSE)</f>
        <v>226</v>
      </c>
      <c r="D1274" s="1" t="s">
        <v>50</v>
      </c>
      <c r="E1274" s="65" t="s">
        <v>248</v>
      </c>
      <c r="F1274" s="42"/>
      <c r="G1274" s="1">
        <v>8</v>
      </c>
      <c r="H1274" s="1">
        <f t="shared" si="291"/>
        <v>0.4</v>
      </c>
      <c r="I1274" s="1">
        <f t="shared" si="299"/>
        <v>0.5</v>
      </c>
      <c r="J1274" s="1">
        <f t="shared" si="289"/>
        <v>0</v>
      </c>
      <c r="K1274" s="1">
        <f t="shared" si="292"/>
        <v>2.1167800000000003</v>
      </c>
      <c r="L1274" s="1">
        <f t="shared" si="293"/>
        <v>1.6226400000000001</v>
      </c>
      <c r="M1274" s="49">
        <v>0</v>
      </c>
      <c r="N1274" s="49">
        <v>1.47</v>
      </c>
      <c r="O1274" s="1">
        <v>1014</v>
      </c>
      <c r="P1274" s="51">
        <v>0.05</v>
      </c>
      <c r="Q1274" s="51">
        <v>11</v>
      </c>
      <c r="R1274" s="51">
        <v>0</v>
      </c>
      <c r="S1274" s="1">
        <v>1</v>
      </c>
      <c r="T1274" s="1">
        <v>0</v>
      </c>
      <c r="U1274" s="47">
        <v>1</v>
      </c>
      <c r="V1274" s="47">
        <v>271</v>
      </c>
      <c r="W1274" s="41">
        <v>200</v>
      </c>
      <c r="X1274">
        <v>500</v>
      </c>
      <c r="Y1274">
        <v>1</v>
      </c>
      <c r="Z1274">
        <v>2116.7800000000002</v>
      </c>
      <c r="AA1274">
        <v>1622.64</v>
      </c>
      <c r="AB1274">
        <v>147</v>
      </c>
      <c r="AC1274">
        <v>36</v>
      </c>
      <c r="AD1274" s="41">
        <f t="shared" si="294"/>
        <v>0.40627745915966701</v>
      </c>
      <c r="AE1274" s="41">
        <f t="shared" si="295"/>
        <v>0.53000049302371444</v>
      </c>
      <c r="AF1274">
        <f t="shared" si="296"/>
        <v>1.2932133333333333</v>
      </c>
      <c r="AG1274">
        <f t="shared" si="297"/>
        <v>0.16471333333333338</v>
      </c>
      <c r="AH1274">
        <f t="shared" si="298"/>
        <v>1.47</v>
      </c>
      <c r="AI1274">
        <f>HLOOKUP(HLOOKUP(G1274,'THP2'!$B$4:$J$8,5,FALSE),'Fuel &amp; Resister'!$B$3:$G$6,4,FALSE)</f>
        <v>2.7360666666666664</v>
      </c>
      <c r="AJ1274" s="41">
        <f>HLOOKUP(HLOOKUP(G1274,'THP2'!$B$4:$J$8,5,FALSE),'Fuel &amp; Resister'!$B$3:$G$6,3,FALSE)</f>
        <v>13.019</v>
      </c>
    </row>
    <row r="1275" spans="2:36" x14ac:dyDescent="0.15">
      <c r="B1275" s="81" t="s">
        <v>604</v>
      </c>
      <c r="C1275" s="61">
        <f>VLOOKUP(B1275,[1]SYS!$F$5:$G$359,2,FALSE)</f>
        <v>226</v>
      </c>
      <c r="D1275" s="1" t="s">
        <v>50</v>
      </c>
      <c r="E1275" s="65" t="s">
        <v>249</v>
      </c>
      <c r="F1275" s="42"/>
      <c r="G1275" s="1">
        <v>8</v>
      </c>
      <c r="H1275" s="1">
        <f t="shared" si="291"/>
        <v>0.4</v>
      </c>
      <c r="I1275" s="1">
        <f t="shared" si="299"/>
        <v>0.5</v>
      </c>
      <c r="J1275" s="1">
        <f t="shared" si="289"/>
        <v>0</v>
      </c>
      <c r="K1275" s="1">
        <f t="shared" si="292"/>
        <v>2.1167800000000003</v>
      </c>
      <c r="L1275" s="1">
        <f t="shared" si="293"/>
        <v>1.6226400000000001</v>
      </c>
      <c r="M1275" s="49">
        <v>0</v>
      </c>
      <c r="N1275" s="49">
        <v>1.47</v>
      </c>
      <c r="O1275" s="1">
        <v>1014</v>
      </c>
      <c r="P1275" s="51">
        <v>0.05</v>
      </c>
      <c r="Q1275" s="51">
        <v>11</v>
      </c>
      <c r="R1275" s="51">
        <v>0</v>
      </c>
      <c r="S1275" s="1">
        <v>1</v>
      </c>
      <c r="T1275" s="1">
        <v>0</v>
      </c>
      <c r="U1275" s="47">
        <v>1</v>
      </c>
      <c r="V1275" s="47">
        <v>272</v>
      </c>
      <c r="W1275" s="41">
        <v>200</v>
      </c>
      <c r="X1275">
        <v>500</v>
      </c>
      <c r="Y1275">
        <v>1</v>
      </c>
      <c r="Z1275">
        <v>2116.7800000000002</v>
      </c>
      <c r="AA1275">
        <v>1622.64</v>
      </c>
      <c r="AB1275">
        <v>147</v>
      </c>
      <c r="AC1275">
        <v>36</v>
      </c>
      <c r="AD1275" s="41">
        <f t="shared" si="294"/>
        <v>0.40627745915966701</v>
      </c>
      <c r="AE1275" s="41">
        <f t="shared" si="295"/>
        <v>0.53000049302371444</v>
      </c>
      <c r="AF1275">
        <f t="shared" si="296"/>
        <v>1.2932133333333333</v>
      </c>
      <c r="AG1275">
        <f t="shared" si="297"/>
        <v>0.16471333333333338</v>
      </c>
      <c r="AH1275">
        <f t="shared" si="298"/>
        <v>1.47</v>
      </c>
      <c r="AI1275">
        <f>HLOOKUP(HLOOKUP(G1275,'THP2'!$B$4:$J$8,5,FALSE),'Fuel &amp; Resister'!$B$3:$G$6,4,FALSE)</f>
        <v>2.7360666666666664</v>
      </c>
      <c r="AJ1275" s="41">
        <f>HLOOKUP(HLOOKUP(G1275,'THP2'!$B$4:$J$8,5,FALSE),'Fuel &amp; Resister'!$B$3:$G$6,3,FALSE)</f>
        <v>13.019</v>
      </c>
    </row>
    <row r="1276" spans="2:36" x14ac:dyDescent="0.15">
      <c r="B1276" s="81" t="s">
        <v>604</v>
      </c>
      <c r="C1276" s="61">
        <f>VLOOKUP(B1276,[1]SYS!$F$5:$G$359,2,FALSE)</f>
        <v>226</v>
      </c>
      <c r="D1276" s="1" t="s">
        <v>50</v>
      </c>
      <c r="E1276" s="65" t="s">
        <v>250</v>
      </c>
      <c r="F1276" s="42"/>
      <c r="G1276" s="1">
        <v>8</v>
      </c>
      <c r="H1276" s="1">
        <f t="shared" si="291"/>
        <v>0.4</v>
      </c>
      <c r="I1276" s="1">
        <f t="shared" si="299"/>
        <v>0.4</v>
      </c>
      <c r="J1276" s="1">
        <f t="shared" si="289"/>
        <v>0</v>
      </c>
      <c r="K1276" s="1">
        <f t="shared" si="292"/>
        <v>2.1167800000000003</v>
      </c>
      <c r="L1276" s="1">
        <f t="shared" si="293"/>
        <v>1.6226400000000001</v>
      </c>
      <c r="M1276" s="49">
        <v>0</v>
      </c>
      <c r="N1276" s="49">
        <v>1.3619999999999999</v>
      </c>
      <c r="O1276" s="6">
        <v>314</v>
      </c>
      <c r="P1276" s="51">
        <v>0.05</v>
      </c>
      <c r="Q1276" s="51">
        <v>11</v>
      </c>
      <c r="R1276" s="51">
        <v>0</v>
      </c>
      <c r="S1276" s="1">
        <v>1</v>
      </c>
      <c r="T1276" s="1">
        <v>0</v>
      </c>
      <c r="U1276" s="47">
        <v>1</v>
      </c>
      <c r="V1276" s="47">
        <v>273</v>
      </c>
      <c r="W1276" s="41">
        <v>160</v>
      </c>
      <c r="X1276">
        <v>400</v>
      </c>
      <c r="Y1276">
        <v>1</v>
      </c>
      <c r="Z1276">
        <v>2116.7800000000002</v>
      </c>
      <c r="AA1276">
        <v>1622.64</v>
      </c>
      <c r="AB1276">
        <v>136.19999999999999</v>
      </c>
      <c r="AC1276">
        <v>36</v>
      </c>
      <c r="AD1276" s="41">
        <f t="shared" si="294"/>
        <v>0.40627745915966701</v>
      </c>
      <c r="AE1276" s="41">
        <f t="shared" si="295"/>
        <v>0.53000049302371444</v>
      </c>
      <c r="AF1276">
        <f t="shared" si="296"/>
        <v>1.2932133333333333</v>
      </c>
      <c r="AG1276">
        <f t="shared" si="297"/>
        <v>0.1317706666666667</v>
      </c>
      <c r="AH1276">
        <f t="shared" si="298"/>
        <v>1.3619999999999999</v>
      </c>
      <c r="AI1276">
        <f>HLOOKUP(HLOOKUP(G1276,'THP2'!$B$4:$J$8,5,FALSE),'Fuel &amp; Resister'!$B$3:$G$6,4,FALSE)</f>
        <v>2.7360666666666664</v>
      </c>
      <c r="AJ1276" s="41">
        <f>HLOOKUP(HLOOKUP(G1276,'THP2'!$B$4:$J$8,5,FALSE),'Fuel &amp; Resister'!$B$3:$G$6,3,FALSE)</f>
        <v>13.019</v>
      </c>
    </row>
    <row r="1277" spans="2:36" x14ac:dyDescent="0.15">
      <c r="B1277" s="81" t="s">
        <v>604</v>
      </c>
      <c r="C1277" s="61">
        <f>VLOOKUP(B1277,[1]SYS!$F$5:$G$359,2,FALSE)</f>
        <v>226</v>
      </c>
      <c r="D1277" s="1" t="s">
        <v>50</v>
      </c>
      <c r="E1277" s="65" t="s">
        <v>251</v>
      </c>
      <c r="F1277" s="42"/>
      <c r="G1277" s="1">
        <v>8</v>
      </c>
      <c r="H1277" s="1">
        <f t="shared" si="291"/>
        <v>0.4</v>
      </c>
      <c r="I1277" s="1">
        <f t="shared" si="299"/>
        <v>0.4</v>
      </c>
      <c r="J1277" s="1">
        <f t="shared" si="289"/>
        <v>0</v>
      </c>
      <c r="K1277" s="1">
        <f t="shared" si="292"/>
        <v>2.1167800000000003</v>
      </c>
      <c r="L1277" s="1">
        <f t="shared" si="293"/>
        <v>1.6226400000000001</v>
      </c>
      <c r="M1277" s="49">
        <v>0</v>
      </c>
      <c r="N1277" s="49">
        <v>1.3619999999999999</v>
      </c>
      <c r="O1277" s="1">
        <v>1014</v>
      </c>
      <c r="P1277" s="51">
        <v>0.05</v>
      </c>
      <c r="Q1277" s="51">
        <v>11</v>
      </c>
      <c r="R1277" s="51">
        <v>0</v>
      </c>
      <c r="S1277" s="1">
        <v>1</v>
      </c>
      <c r="T1277" s="1">
        <v>0</v>
      </c>
      <c r="U1277" s="47">
        <v>1</v>
      </c>
      <c r="V1277" s="47">
        <v>274</v>
      </c>
      <c r="W1277" s="41">
        <v>160</v>
      </c>
      <c r="X1277">
        <v>400</v>
      </c>
      <c r="Y1277">
        <v>1</v>
      </c>
      <c r="Z1277">
        <v>2116.7800000000002</v>
      </c>
      <c r="AA1277">
        <v>1622.64</v>
      </c>
      <c r="AB1277">
        <v>136.19999999999999</v>
      </c>
      <c r="AC1277">
        <v>36</v>
      </c>
      <c r="AD1277" s="41">
        <f t="shared" si="294"/>
        <v>0.40627745915966701</v>
      </c>
      <c r="AE1277" s="41">
        <f t="shared" si="295"/>
        <v>0.53000049302371444</v>
      </c>
      <c r="AF1277">
        <f t="shared" si="296"/>
        <v>1.2932133333333333</v>
      </c>
      <c r="AG1277">
        <f t="shared" si="297"/>
        <v>0.1317706666666667</v>
      </c>
      <c r="AH1277">
        <f t="shared" si="298"/>
        <v>1.3619999999999999</v>
      </c>
      <c r="AI1277">
        <f>HLOOKUP(HLOOKUP(G1277,'THP2'!$B$4:$J$8,5,FALSE),'Fuel &amp; Resister'!$B$3:$G$6,4,FALSE)</f>
        <v>2.7360666666666664</v>
      </c>
      <c r="AJ1277" s="41">
        <f>HLOOKUP(HLOOKUP(G1277,'THP2'!$B$4:$J$8,5,FALSE),'Fuel &amp; Resister'!$B$3:$G$6,3,FALSE)</f>
        <v>13.019</v>
      </c>
    </row>
    <row r="1278" spans="2:36" x14ac:dyDescent="0.15">
      <c r="B1278" s="81" t="s">
        <v>635</v>
      </c>
      <c r="C1278" s="61">
        <f>VLOOKUP(B1278,[1]SYS!$F$5:$G$359,2,FALSE)</f>
        <v>247</v>
      </c>
      <c r="D1278" s="1" t="s">
        <v>50</v>
      </c>
      <c r="E1278" s="65" t="s">
        <v>252</v>
      </c>
      <c r="F1278" s="63" t="s">
        <v>463</v>
      </c>
      <c r="G1278" s="1">
        <v>8</v>
      </c>
      <c r="H1278" s="1">
        <f t="shared" si="291"/>
        <v>0.4</v>
      </c>
      <c r="I1278" s="1">
        <f t="shared" si="299"/>
        <v>0.4</v>
      </c>
      <c r="J1278" s="1">
        <f t="shared" si="289"/>
        <v>2.0000000000000018E-2</v>
      </c>
      <c r="K1278" s="1">
        <f t="shared" si="292"/>
        <v>2.1492199999999997</v>
      </c>
      <c r="L1278" s="1">
        <f t="shared" si="293"/>
        <v>1.64751</v>
      </c>
      <c r="M1278" s="49">
        <v>0</v>
      </c>
      <c r="N1278" s="49">
        <v>1.3619999999999999</v>
      </c>
      <c r="O1278" s="1">
        <v>1009</v>
      </c>
      <c r="P1278" s="51">
        <v>0.05</v>
      </c>
      <c r="Q1278" s="51">
        <v>11</v>
      </c>
      <c r="R1278" s="51">
        <v>0</v>
      </c>
      <c r="S1278" s="1">
        <v>1</v>
      </c>
      <c r="T1278" s="1">
        <v>0</v>
      </c>
      <c r="U1278" s="47">
        <v>1</v>
      </c>
      <c r="V1278" s="47">
        <v>275</v>
      </c>
      <c r="W1278" s="41">
        <v>160</v>
      </c>
      <c r="X1278">
        <v>400</v>
      </c>
      <c r="Y1278">
        <v>0.98</v>
      </c>
      <c r="Z1278">
        <v>2149.2199999999998</v>
      </c>
      <c r="AA1278">
        <v>1647.51</v>
      </c>
      <c r="AB1278">
        <v>136.19999999999999</v>
      </c>
      <c r="AC1278">
        <v>46</v>
      </c>
      <c r="AD1278" s="41">
        <f t="shared" si="294"/>
        <v>0.40014516894501267</v>
      </c>
      <c r="AE1278" s="41">
        <f t="shared" si="295"/>
        <v>0.52199986646515051</v>
      </c>
      <c r="AF1278">
        <f t="shared" si="296"/>
        <v>1.3130366666666669</v>
      </c>
      <c r="AG1278">
        <f t="shared" si="297"/>
        <v>0.13378933333333329</v>
      </c>
      <c r="AH1278">
        <f t="shared" si="298"/>
        <v>1.3619999999999999</v>
      </c>
      <c r="AI1278">
        <f>HLOOKUP(HLOOKUP(G1278,'THP2'!$B$4:$J$8,5,FALSE),'Fuel &amp; Resister'!$B$3:$G$6,4,FALSE)</f>
        <v>2.7360666666666664</v>
      </c>
      <c r="AJ1278" s="41">
        <f>HLOOKUP(HLOOKUP(G1278,'THP2'!$B$4:$J$8,5,FALSE),'Fuel &amp; Resister'!$B$3:$G$6,3,FALSE)</f>
        <v>13.019</v>
      </c>
    </row>
    <row r="1279" spans="2:36" x14ac:dyDescent="0.15">
      <c r="B1279" s="81" t="s">
        <v>635</v>
      </c>
      <c r="C1279" s="61">
        <f>VLOOKUP(B1279,[1]SYS!$F$5:$G$359,2,FALSE)</f>
        <v>247</v>
      </c>
      <c r="D1279" s="1" t="s">
        <v>50</v>
      </c>
      <c r="E1279" s="65" t="s">
        <v>253</v>
      </c>
      <c r="F1279" s="63" t="s">
        <v>463</v>
      </c>
      <c r="G1279" s="1">
        <v>8</v>
      </c>
      <c r="H1279" s="1">
        <f t="shared" si="291"/>
        <v>0.4</v>
      </c>
      <c r="I1279" s="1">
        <f t="shared" si="299"/>
        <v>0.4</v>
      </c>
      <c r="J1279" s="1">
        <f t="shared" si="289"/>
        <v>2.0000000000000018E-2</v>
      </c>
      <c r="K1279" s="1">
        <f t="shared" si="292"/>
        <v>2.1492199999999997</v>
      </c>
      <c r="L1279" s="1">
        <f t="shared" si="293"/>
        <v>1.64751</v>
      </c>
      <c r="M1279" s="49">
        <v>0</v>
      </c>
      <c r="N1279" s="49">
        <v>1.3619999999999999</v>
      </c>
      <c r="O1279" s="1">
        <v>1009</v>
      </c>
      <c r="P1279" s="51">
        <v>0.05</v>
      </c>
      <c r="Q1279" s="51">
        <v>11</v>
      </c>
      <c r="R1279" s="51">
        <v>0</v>
      </c>
      <c r="S1279" s="1">
        <v>1</v>
      </c>
      <c r="T1279" s="1">
        <v>0</v>
      </c>
      <c r="U1279" s="47">
        <v>1</v>
      </c>
      <c r="V1279" s="47">
        <v>276</v>
      </c>
      <c r="W1279" s="41">
        <v>160</v>
      </c>
      <c r="X1279">
        <v>400</v>
      </c>
      <c r="Y1279">
        <v>0.98</v>
      </c>
      <c r="Z1279">
        <v>2149.2199999999998</v>
      </c>
      <c r="AA1279">
        <v>1647.51</v>
      </c>
      <c r="AB1279">
        <v>136.19999999999999</v>
      </c>
      <c r="AC1279">
        <v>46</v>
      </c>
      <c r="AD1279" s="41">
        <f t="shared" si="294"/>
        <v>0.40014516894501267</v>
      </c>
      <c r="AE1279" s="41">
        <f t="shared" si="295"/>
        <v>0.52199986646515051</v>
      </c>
      <c r="AF1279">
        <f t="shared" si="296"/>
        <v>1.3130366666666669</v>
      </c>
      <c r="AG1279">
        <f t="shared" si="297"/>
        <v>0.13378933333333329</v>
      </c>
      <c r="AH1279">
        <f t="shared" si="298"/>
        <v>1.3619999999999999</v>
      </c>
      <c r="AI1279">
        <f>HLOOKUP(HLOOKUP(G1279,'THP2'!$B$4:$J$8,5,FALSE),'Fuel &amp; Resister'!$B$3:$G$6,4,FALSE)</f>
        <v>2.7360666666666664</v>
      </c>
      <c r="AJ1279" s="41">
        <f>HLOOKUP(HLOOKUP(G1279,'THP2'!$B$4:$J$8,5,FALSE),'Fuel &amp; Resister'!$B$3:$G$6,3,FALSE)</f>
        <v>13.019</v>
      </c>
    </row>
    <row r="1280" spans="2:36" x14ac:dyDescent="0.15">
      <c r="B1280" s="81" t="s">
        <v>635</v>
      </c>
      <c r="C1280" s="61">
        <f>VLOOKUP(B1280,[1]SYS!$F$5:$G$359,2,FALSE)</f>
        <v>247</v>
      </c>
      <c r="D1280" s="1" t="s">
        <v>50</v>
      </c>
      <c r="E1280" s="65" t="s">
        <v>254</v>
      </c>
      <c r="F1280" s="63" t="s">
        <v>463</v>
      </c>
      <c r="G1280" s="1">
        <v>8</v>
      </c>
      <c r="H1280" s="1">
        <f t="shared" si="291"/>
        <v>0.4</v>
      </c>
      <c r="I1280" s="1">
        <f t="shared" si="299"/>
        <v>0.4</v>
      </c>
      <c r="J1280" s="1">
        <f t="shared" si="289"/>
        <v>2.0000000000000018E-2</v>
      </c>
      <c r="K1280" s="1">
        <f t="shared" si="292"/>
        <v>2.1492199999999997</v>
      </c>
      <c r="L1280" s="1">
        <f t="shared" si="293"/>
        <v>1.64751</v>
      </c>
      <c r="M1280" s="49">
        <v>0</v>
      </c>
      <c r="N1280" s="49">
        <v>1.3619999999999999</v>
      </c>
      <c r="O1280" s="1">
        <v>1009</v>
      </c>
      <c r="P1280" s="51">
        <v>0.05</v>
      </c>
      <c r="Q1280" s="51">
        <v>11</v>
      </c>
      <c r="R1280" s="51">
        <v>0</v>
      </c>
      <c r="S1280" s="1">
        <v>1</v>
      </c>
      <c r="T1280" s="1">
        <v>0</v>
      </c>
      <c r="U1280" s="47">
        <v>1</v>
      </c>
      <c r="V1280" s="47">
        <v>277</v>
      </c>
      <c r="W1280" s="41">
        <v>160</v>
      </c>
      <c r="X1280">
        <v>400</v>
      </c>
      <c r="Y1280">
        <v>0.98</v>
      </c>
      <c r="Z1280">
        <v>2149.2199999999998</v>
      </c>
      <c r="AA1280">
        <v>1647.51</v>
      </c>
      <c r="AB1280">
        <v>136.19999999999999</v>
      </c>
      <c r="AC1280">
        <v>46</v>
      </c>
      <c r="AD1280" s="41">
        <f t="shared" si="294"/>
        <v>0.40014516894501267</v>
      </c>
      <c r="AE1280" s="41">
        <f t="shared" si="295"/>
        <v>0.52199986646515051</v>
      </c>
      <c r="AF1280">
        <f t="shared" si="296"/>
        <v>1.3130366666666669</v>
      </c>
      <c r="AG1280">
        <f t="shared" si="297"/>
        <v>0.13378933333333329</v>
      </c>
      <c r="AH1280">
        <f t="shared" si="298"/>
        <v>1.3619999999999999</v>
      </c>
      <c r="AI1280">
        <f>HLOOKUP(HLOOKUP(G1280,'THP2'!$B$4:$J$8,5,FALSE),'Fuel &amp; Resister'!$B$3:$G$6,4,FALSE)</f>
        <v>2.7360666666666664</v>
      </c>
      <c r="AJ1280" s="41">
        <f>HLOOKUP(HLOOKUP(G1280,'THP2'!$B$4:$J$8,5,FALSE),'Fuel &amp; Resister'!$B$3:$G$6,3,FALSE)</f>
        <v>13.019</v>
      </c>
    </row>
    <row r="1281" spans="2:36" x14ac:dyDescent="0.15">
      <c r="B1281" s="81" t="s">
        <v>635</v>
      </c>
      <c r="C1281" s="61">
        <f>VLOOKUP(B1281,[1]SYS!$F$5:$G$359,2,FALSE)</f>
        <v>247</v>
      </c>
      <c r="D1281" s="1" t="s">
        <v>50</v>
      </c>
      <c r="E1281" s="65" t="s">
        <v>255</v>
      </c>
      <c r="F1281" s="63" t="s">
        <v>463</v>
      </c>
      <c r="G1281" s="1">
        <v>8</v>
      </c>
      <c r="H1281" s="1">
        <f t="shared" si="291"/>
        <v>0.4</v>
      </c>
      <c r="I1281" s="1">
        <f t="shared" si="299"/>
        <v>0.4</v>
      </c>
      <c r="J1281" s="1">
        <f t="shared" si="289"/>
        <v>2.0000000000000018E-2</v>
      </c>
      <c r="K1281" s="1">
        <f t="shared" si="292"/>
        <v>2.1492199999999997</v>
      </c>
      <c r="L1281" s="1">
        <f t="shared" si="293"/>
        <v>1.64751</v>
      </c>
      <c r="M1281" s="49">
        <v>0</v>
      </c>
      <c r="N1281" s="49">
        <v>1.3619999999999999</v>
      </c>
      <c r="O1281" s="1">
        <v>1009</v>
      </c>
      <c r="P1281" s="51">
        <v>0.05</v>
      </c>
      <c r="Q1281" s="51">
        <v>11</v>
      </c>
      <c r="R1281" s="51">
        <v>0</v>
      </c>
      <c r="S1281" s="1">
        <v>1</v>
      </c>
      <c r="T1281" s="1">
        <v>0</v>
      </c>
      <c r="U1281" s="47">
        <v>1</v>
      </c>
      <c r="V1281" s="47">
        <v>278</v>
      </c>
      <c r="W1281" s="41">
        <v>160</v>
      </c>
      <c r="X1281">
        <v>400</v>
      </c>
      <c r="Y1281">
        <v>0.98</v>
      </c>
      <c r="Z1281">
        <v>2149.2199999999998</v>
      </c>
      <c r="AA1281">
        <v>1647.51</v>
      </c>
      <c r="AB1281">
        <v>136.19999999999999</v>
      </c>
      <c r="AC1281">
        <v>46</v>
      </c>
      <c r="AD1281" s="41">
        <f t="shared" si="294"/>
        <v>0.40014516894501267</v>
      </c>
      <c r="AE1281" s="41">
        <f t="shared" si="295"/>
        <v>0.52199986646515051</v>
      </c>
      <c r="AF1281">
        <f t="shared" si="296"/>
        <v>1.3130366666666669</v>
      </c>
      <c r="AG1281">
        <f t="shared" si="297"/>
        <v>0.13378933333333329</v>
      </c>
      <c r="AH1281">
        <f t="shared" si="298"/>
        <v>1.3619999999999999</v>
      </c>
      <c r="AI1281">
        <f>HLOOKUP(HLOOKUP(G1281,'THP2'!$B$4:$J$8,5,FALSE),'Fuel &amp; Resister'!$B$3:$G$6,4,FALSE)</f>
        <v>2.7360666666666664</v>
      </c>
      <c r="AJ1281" s="41">
        <f>HLOOKUP(HLOOKUP(G1281,'THP2'!$B$4:$J$8,5,FALSE),'Fuel &amp; Resister'!$B$3:$G$6,3,FALSE)</f>
        <v>13.019</v>
      </c>
    </row>
    <row r="1282" spans="2:36" x14ac:dyDescent="0.15">
      <c r="B1282" s="81" t="s">
        <v>635</v>
      </c>
      <c r="C1282" s="61">
        <f>VLOOKUP(B1282,[1]SYS!$F$5:$G$359,2,FALSE)</f>
        <v>247</v>
      </c>
      <c r="D1282" s="1" t="s">
        <v>50</v>
      </c>
      <c r="E1282" s="65" t="s">
        <v>256</v>
      </c>
      <c r="F1282" s="63" t="s">
        <v>463</v>
      </c>
      <c r="G1282" s="1">
        <v>8</v>
      </c>
      <c r="H1282" s="1">
        <f t="shared" si="291"/>
        <v>0.4</v>
      </c>
      <c r="I1282" s="1">
        <f t="shared" si="299"/>
        <v>0.4</v>
      </c>
      <c r="J1282" s="1">
        <f t="shared" si="289"/>
        <v>2.0000000000000018E-2</v>
      </c>
      <c r="K1282" s="1">
        <f t="shared" si="292"/>
        <v>2.1492199999999997</v>
      </c>
      <c r="L1282" s="1">
        <f t="shared" si="293"/>
        <v>1.64751</v>
      </c>
      <c r="M1282" s="49">
        <v>0</v>
      </c>
      <c r="N1282" s="49">
        <v>1.3619999999999999</v>
      </c>
      <c r="O1282" s="1">
        <v>1009</v>
      </c>
      <c r="P1282" s="51">
        <v>0.05</v>
      </c>
      <c r="Q1282" s="51">
        <v>11</v>
      </c>
      <c r="R1282" s="51">
        <v>0</v>
      </c>
      <c r="S1282" s="1">
        <v>1</v>
      </c>
      <c r="T1282" s="1">
        <v>0</v>
      </c>
      <c r="U1282" s="47">
        <v>1</v>
      </c>
      <c r="V1282" s="47">
        <v>279</v>
      </c>
      <c r="W1282" s="41">
        <v>160</v>
      </c>
      <c r="X1282">
        <v>400</v>
      </c>
      <c r="Y1282">
        <v>0.98</v>
      </c>
      <c r="Z1282">
        <v>2149.2199999999998</v>
      </c>
      <c r="AA1282">
        <v>1647.51</v>
      </c>
      <c r="AB1282">
        <v>136.19999999999999</v>
      </c>
      <c r="AC1282">
        <v>46</v>
      </c>
      <c r="AD1282" s="41">
        <f t="shared" si="294"/>
        <v>0.40014516894501267</v>
      </c>
      <c r="AE1282" s="41">
        <f t="shared" si="295"/>
        <v>0.52199986646515051</v>
      </c>
      <c r="AF1282">
        <f t="shared" si="296"/>
        <v>1.3130366666666669</v>
      </c>
      <c r="AG1282">
        <f t="shared" si="297"/>
        <v>0.13378933333333329</v>
      </c>
      <c r="AH1282">
        <f t="shared" si="298"/>
        <v>1.3619999999999999</v>
      </c>
      <c r="AI1282">
        <f>HLOOKUP(HLOOKUP(G1282,'THP2'!$B$4:$J$8,5,FALSE),'Fuel &amp; Resister'!$B$3:$G$6,4,FALSE)</f>
        <v>2.7360666666666664</v>
      </c>
      <c r="AJ1282" s="41">
        <f>HLOOKUP(HLOOKUP(G1282,'THP2'!$B$4:$J$8,5,FALSE),'Fuel &amp; Resister'!$B$3:$G$6,3,FALSE)</f>
        <v>13.019</v>
      </c>
    </row>
    <row r="1283" spans="2:36" x14ac:dyDescent="0.15">
      <c r="B1283" s="81" t="s">
        <v>636</v>
      </c>
      <c r="C1283" s="61">
        <f>VLOOKUP(B1283,[1]SYS!$F$5:$G$359,2,FALSE)</f>
        <v>225</v>
      </c>
      <c r="D1283" s="1" t="s">
        <v>50</v>
      </c>
      <c r="E1283" s="65" t="s">
        <v>257</v>
      </c>
      <c r="F1283" s="63" t="s">
        <v>458</v>
      </c>
      <c r="G1283" s="1">
        <v>8</v>
      </c>
      <c r="H1283" s="1">
        <f t="shared" si="291"/>
        <v>0.39928057553956836</v>
      </c>
      <c r="I1283" s="1">
        <f t="shared" si="299"/>
        <v>0.27800000000000002</v>
      </c>
      <c r="J1283" s="1">
        <f t="shared" si="289"/>
        <v>3.0000000000000027E-2</v>
      </c>
      <c r="K1283" s="1">
        <f t="shared" si="292"/>
        <v>2.1826699999999999</v>
      </c>
      <c r="L1283" s="1">
        <f t="shared" si="293"/>
        <v>1.6731500000000001</v>
      </c>
      <c r="M1283" s="49">
        <v>0</v>
      </c>
      <c r="N1283" s="49">
        <v>1.2302</v>
      </c>
      <c r="O1283" s="1">
        <v>1113</v>
      </c>
      <c r="P1283" s="51">
        <v>0.05</v>
      </c>
      <c r="Q1283" s="51">
        <v>11</v>
      </c>
      <c r="R1283" s="51">
        <v>0</v>
      </c>
      <c r="S1283" s="1">
        <v>1</v>
      </c>
      <c r="T1283" s="1">
        <v>0</v>
      </c>
      <c r="U1283" s="47">
        <v>1</v>
      </c>
      <c r="V1283" s="47">
        <v>280</v>
      </c>
      <c r="W1283" s="41">
        <v>111</v>
      </c>
      <c r="X1283">
        <v>278</v>
      </c>
      <c r="Y1283">
        <v>0.97</v>
      </c>
      <c r="Z1283">
        <v>2182.67</v>
      </c>
      <c r="AA1283">
        <v>1673.15</v>
      </c>
      <c r="AB1283">
        <v>123.02</v>
      </c>
      <c r="AC1283">
        <v>36</v>
      </c>
      <c r="AD1283" s="41">
        <f t="shared" si="294"/>
        <v>0.39401283748803073</v>
      </c>
      <c r="AE1283" s="41">
        <f t="shared" si="295"/>
        <v>0.51400053790753963</v>
      </c>
      <c r="AF1283">
        <f t="shared" si="296"/>
        <v>1.3344870059880243</v>
      </c>
      <c r="AG1283">
        <f t="shared" si="297"/>
        <v>9.4148312335329304E-2</v>
      </c>
      <c r="AH1283">
        <f t="shared" si="298"/>
        <v>1.2302</v>
      </c>
      <c r="AI1283">
        <f>HLOOKUP(HLOOKUP(G1283,'THP2'!$B$4:$J$8,5,FALSE),'Fuel &amp; Resister'!$B$3:$G$6,4,FALSE)</f>
        <v>2.7360666666666664</v>
      </c>
      <c r="AJ1283" s="41">
        <f>HLOOKUP(HLOOKUP(G1283,'THP2'!$B$4:$J$8,5,FALSE),'Fuel &amp; Resister'!$B$3:$G$6,3,FALSE)</f>
        <v>13.019</v>
      </c>
    </row>
    <row r="1284" spans="2:36" x14ac:dyDescent="0.15">
      <c r="B1284" s="81" t="s">
        <v>636</v>
      </c>
      <c r="C1284" s="61">
        <f>VLOOKUP(B1284,[1]SYS!$F$5:$G$359,2,FALSE)</f>
        <v>225</v>
      </c>
      <c r="D1284" s="1" t="s">
        <v>50</v>
      </c>
      <c r="E1284" s="65" t="s">
        <v>258</v>
      </c>
      <c r="F1284" s="63" t="s">
        <v>458</v>
      </c>
      <c r="G1284" s="1">
        <v>8</v>
      </c>
      <c r="H1284" s="1">
        <f t="shared" si="291"/>
        <v>0.39928057553956836</v>
      </c>
      <c r="I1284" s="1">
        <f t="shared" si="299"/>
        <v>0.27800000000000002</v>
      </c>
      <c r="J1284" s="1">
        <f t="shared" ref="J1284:J1393" si="300">1-Y1284</f>
        <v>3.0000000000000027E-2</v>
      </c>
      <c r="K1284" s="1">
        <f t="shared" si="292"/>
        <v>2.1826699999999999</v>
      </c>
      <c r="L1284" s="1">
        <f t="shared" si="293"/>
        <v>1.6731500000000001</v>
      </c>
      <c r="M1284" s="49">
        <v>0</v>
      </c>
      <c r="N1284" s="49">
        <v>1.2302</v>
      </c>
      <c r="O1284" s="1">
        <v>514</v>
      </c>
      <c r="P1284" s="51">
        <v>0.05</v>
      </c>
      <c r="Q1284" s="51">
        <v>11</v>
      </c>
      <c r="R1284" s="51">
        <v>0</v>
      </c>
      <c r="S1284" s="1">
        <v>1</v>
      </c>
      <c r="T1284" s="1">
        <v>0</v>
      </c>
      <c r="U1284" s="47">
        <v>1</v>
      </c>
      <c r="V1284" s="47">
        <v>281</v>
      </c>
      <c r="W1284" s="41">
        <v>111</v>
      </c>
      <c r="X1284">
        <v>278</v>
      </c>
      <c r="Y1284">
        <v>0.97</v>
      </c>
      <c r="Z1284">
        <v>2182.67</v>
      </c>
      <c r="AA1284">
        <v>1673.15</v>
      </c>
      <c r="AB1284">
        <v>123.02</v>
      </c>
      <c r="AC1284">
        <v>36</v>
      </c>
      <c r="AD1284" s="41">
        <f t="shared" si="294"/>
        <v>0.39401283748803073</v>
      </c>
      <c r="AE1284" s="41">
        <f t="shared" si="295"/>
        <v>0.51400053790753963</v>
      </c>
      <c r="AF1284">
        <f t="shared" si="296"/>
        <v>1.3344870059880243</v>
      </c>
      <c r="AG1284">
        <f t="shared" si="297"/>
        <v>9.4148312335329304E-2</v>
      </c>
      <c r="AH1284">
        <f t="shared" si="298"/>
        <v>1.2302</v>
      </c>
      <c r="AI1284">
        <f>HLOOKUP(HLOOKUP(G1284,'THP2'!$B$4:$J$8,5,FALSE),'Fuel &amp; Resister'!$B$3:$G$6,4,FALSE)</f>
        <v>2.7360666666666664</v>
      </c>
      <c r="AJ1284" s="41">
        <f>HLOOKUP(HLOOKUP(G1284,'THP2'!$B$4:$J$8,5,FALSE),'Fuel &amp; Resister'!$B$3:$G$6,3,FALSE)</f>
        <v>13.019</v>
      </c>
    </row>
    <row r="1285" spans="2:36" x14ac:dyDescent="0.15">
      <c r="B1285" s="81" t="s">
        <v>636</v>
      </c>
      <c r="C1285" s="61">
        <f>VLOOKUP(B1285,[1]SYS!$F$5:$G$359,2,FALSE)</f>
        <v>225</v>
      </c>
      <c r="D1285" s="1" t="s">
        <v>50</v>
      </c>
      <c r="E1285" s="65" t="s">
        <v>259</v>
      </c>
      <c r="F1285" s="63" t="s">
        <v>458</v>
      </c>
      <c r="G1285" s="1">
        <v>8</v>
      </c>
      <c r="H1285" s="1">
        <f t="shared" si="291"/>
        <v>0.4007220216606498</v>
      </c>
      <c r="I1285" s="1">
        <f t="shared" si="299"/>
        <v>0.27700000000000002</v>
      </c>
      <c r="J1285" s="1">
        <f t="shared" si="300"/>
        <v>3.0000000000000027E-2</v>
      </c>
      <c r="K1285" s="1">
        <f t="shared" si="292"/>
        <v>2.1954799999999999</v>
      </c>
      <c r="L1285" s="1">
        <f t="shared" si="293"/>
        <v>1.6829700000000001</v>
      </c>
      <c r="M1285" s="49">
        <v>0</v>
      </c>
      <c r="N1285" s="49">
        <v>1.2292000000000001</v>
      </c>
      <c r="O1285" s="1">
        <v>1101</v>
      </c>
      <c r="P1285" s="51">
        <v>0.05</v>
      </c>
      <c r="Q1285" s="51">
        <v>11</v>
      </c>
      <c r="R1285" s="51">
        <v>0</v>
      </c>
      <c r="S1285" s="1">
        <v>1</v>
      </c>
      <c r="T1285" s="1">
        <v>0</v>
      </c>
      <c r="U1285" s="47">
        <v>1</v>
      </c>
      <c r="V1285" s="47">
        <v>282</v>
      </c>
      <c r="W1285" s="41">
        <v>111</v>
      </c>
      <c r="X1285">
        <v>277</v>
      </c>
      <c r="Y1285">
        <v>0.97</v>
      </c>
      <c r="Z1285">
        <v>2195.48</v>
      </c>
      <c r="AA1285">
        <v>1682.97</v>
      </c>
      <c r="AB1285">
        <v>122.92</v>
      </c>
      <c r="AC1285">
        <v>36</v>
      </c>
      <c r="AD1285" s="41">
        <f t="shared" si="294"/>
        <v>0.39171388489077558</v>
      </c>
      <c r="AE1285" s="41">
        <f t="shared" si="295"/>
        <v>0.5110013844572393</v>
      </c>
      <c r="AF1285">
        <f t="shared" si="296"/>
        <v>1.3402675301204821</v>
      </c>
      <c r="AG1285">
        <f t="shared" si="297"/>
        <v>9.49285841566265E-2</v>
      </c>
      <c r="AH1285">
        <f t="shared" si="298"/>
        <v>1.2292000000000001</v>
      </c>
      <c r="AI1285">
        <f>HLOOKUP(HLOOKUP(G1285,'THP2'!$B$4:$J$8,5,FALSE),'Fuel &amp; Resister'!$B$3:$G$6,4,FALSE)</f>
        <v>2.7360666666666664</v>
      </c>
      <c r="AJ1285" s="41">
        <f>HLOOKUP(HLOOKUP(G1285,'THP2'!$B$4:$J$8,5,FALSE),'Fuel &amp; Resister'!$B$3:$G$6,3,FALSE)</f>
        <v>13.019</v>
      </c>
    </row>
    <row r="1286" spans="2:36" x14ac:dyDescent="0.15">
      <c r="B1286" s="81" t="s">
        <v>636</v>
      </c>
      <c r="C1286" s="61">
        <f>VLOOKUP(B1286,[1]SYS!$F$5:$G$359,2,FALSE)</f>
        <v>225</v>
      </c>
      <c r="D1286" s="1" t="s">
        <v>50</v>
      </c>
      <c r="E1286" s="65" t="s">
        <v>260</v>
      </c>
      <c r="F1286" s="63" t="s">
        <v>458</v>
      </c>
      <c r="G1286" s="1">
        <v>8</v>
      </c>
      <c r="H1286" s="1">
        <f t="shared" si="291"/>
        <v>0.4007220216606498</v>
      </c>
      <c r="I1286" s="1">
        <f t="shared" si="299"/>
        <v>0.27700000000000002</v>
      </c>
      <c r="J1286" s="1">
        <f t="shared" si="300"/>
        <v>3.0000000000000027E-2</v>
      </c>
      <c r="K1286" s="1">
        <f t="shared" si="292"/>
        <v>2.1954799999999999</v>
      </c>
      <c r="L1286" s="1">
        <f t="shared" si="293"/>
        <v>1.6829700000000001</v>
      </c>
      <c r="M1286" s="49">
        <v>0</v>
      </c>
      <c r="N1286" s="49">
        <v>1.2292000000000001</v>
      </c>
      <c r="O1286" s="1">
        <v>913</v>
      </c>
      <c r="P1286" s="51">
        <v>0.05</v>
      </c>
      <c r="Q1286" s="51">
        <v>11</v>
      </c>
      <c r="R1286" s="51">
        <v>0</v>
      </c>
      <c r="S1286" s="1">
        <v>1</v>
      </c>
      <c r="T1286" s="1">
        <v>0</v>
      </c>
      <c r="U1286" s="47">
        <v>1</v>
      </c>
      <c r="V1286" s="47">
        <v>283</v>
      </c>
      <c r="W1286" s="41">
        <v>111</v>
      </c>
      <c r="X1286">
        <v>277</v>
      </c>
      <c r="Y1286">
        <v>0.97</v>
      </c>
      <c r="Z1286">
        <v>2195.48</v>
      </c>
      <c r="AA1286">
        <v>1682.97</v>
      </c>
      <c r="AB1286">
        <v>122.92</v>
      </c>
      <c r="AC1286">
        <v>36</v>
      </c>
      <c r="AD1286" s="41">
        <f t="shared" si="294"/>
        <v>0.39171388489077558</v>
      </c>
      <c r="AE1286" s="41">
        <f t="shared" si="295"/>
        <v>0.5110013844572393</v>
      </c>
      <c r="AF1286">
        <f t="shared" si="296"/>
        <v>1.3402675301204821</v>
      </c>
      <c r="AG1286">
        <f t="shared" si="297"/>
        <v>9.49285841566265E-2</v>
      </c>
      <c r="AH1286">
        <f t="shared" si="298"/>
        <v>1.2292000000000001</v>
      </c>
      <c r="AI1286">
        <f>HLOOKUP(HLOOKUP(G1286,'THP2'!$B$4:$J$8,5,FALSE),'Fuel &amp; Resister'!$B$3:$G$6,4,FALSE)</f>
        <v>2.7360666666666664</v>
      </c>
      <c r="AJ1286" s="41">
        <f>HLOOKUP(HLOOKUP(G1286,'THP2'!$B$4:$J$8,5,FALSE),'Fuel &amp; Resister'!$B$3:$G$6,3,FALSE)</f>
        <v>13.019</v>
      </c>
    </row>
    <row r="1287" spans="2:36" x14ac:dyDescent="0.15">
      <c r="B1287" s="81" t="s">
        <v>604</v>
      </c>
      <c r="C1287" s="61">
        <f>VLOOKUP(B1287,[1]SYS!$F$5:$G$359,2,FALSE)</f>
        <v>226</v>
      </c>
      <c r="D1287" s="1" t="s">
        <v>50</v>
      </c>
      <c r="E1287" s="42" t="s">
        <v>261</v>
      </c>
      <c r="F1287" s="63" t="s">
        <v>460</v>
      </c>
      <c r="G1287" s="1">
        <v>8</v>
      </c>
      <c r="H1287" s="1">
        <f t="shared" si="291"/>
        <v>0.39915966386554624</v>
      </c>
      <c r="I1287" s="1">
        <f t="shared" si="299"/>
        <v>0.23799999999999999</v>
      </c>
      <c r="J1287" s="1">
        <f t="shared" si="300"/>
        <v>2.2800000000000042E-2</v>
      </c>
      <c r="K1287" s="1">
        <f t="shared" si="292"/>
        <v>2.3799899999999998</v>
      </c>
      <c r="L1287" s="1">
        <f t="shared" si="293"/>
        <v>1.8244100000000001</v>
      </c>
      <c r="M1287" s="49">
        <v>0</v>
      </c>
      <c r="N1287" s="49">
        <v>1.1872</v>
      </c>
      <c r="O1287" s="1">
        <v>514</v>
      </c>
      <c r="P1287" s="51">
        <v>0.05</v>
      </c>
      <c r="Q1287" s="51">
        <v>11</v>
      </c>
      <c r="R1287" s="51">
        <v>0</v>
      </c>
      <c r="S1287" s="1">
        <v>1</v>
      </c>
      <c r="T1287" s="1">
        <v>0</v>
      </c>
      <c r="U1287" s="47">
        <v>0</v>
      </c>
      <c r="V1287" s="47">
        <v>284</v>
      </c>
      <c r="W1287" s="41">
        <v>95</v>
      </c>
      <c r="X1287">
        <v>238</v>
      </c>
      <c r="Y1287">
        <v>0.97719999999999996</v>
      </c>
      <c r="Z1287">
        <v>2379.9899999999998</v>
      </c>
      <c r="AA1287">
        <v>1824.41</v>
      </c>
      <c r="AB1287">
        <v>118.72</v>
      </c>
      <c r="AC1287">
        <v>36</v>
      </c>
      <c r="AD1287" s="41">
        <f t="shared" si="294"/>
        <v>0.3613460560758659</v>
      </c>
      <c r="AE1287" s="41">
        <f t="shared" si="295"/>
        <v>0.47138526975844242</v>
      </c>
      <c r="AF1287">
        <f t="shared" si="296"/>
        <v>1.4553183916083918</v>
      </c>
      <c r="AG1287">
        <f t="shared" si="297"/>
        <v>8.7843802797202761E-2</v>
      </c>
      <c r="AH1287">
        <f t="shared" si="298"/>
        <v>1.1872</v>
      </c>
      <c r="AI1287">
        <f>HLOOKUP(HLOOKUP(G1287,'THP2'!$B$4:$J$8,5,FALSE),'Fuel &amp; Resister'!$B$3:$G$6,4,FALSE)</f>
        <v>2.7360666666666664</v>
      </c>
      <c r="AJ1287" s="41">
        <f>HLOOKUP(HLOOKUP(G1287,'THP2'!$B$4:$J$8,5,FALSE),'Fuel &amp; Resister'!$B$3:$G$6,3,FALSE)</f>
        <v>13.019</v>
      </c>
    </row>
    <row r="1288" spans="2:36" x14ac:dyDescent="0.15">
      <c r="B1288" s="81" t="s">
        <v>604</v>
      </c>
      <c r="C1288" s="61">
        <f>VLOOKUP(B1288,[1]SYS!$F$5:$G$359,2,FALSE)</f>
        <v>226</v>
      </c>
      <c r="D1288" s="1" t="s">
        <v>50</v>
      </c>
      <c r="E1288" s="42" t="s">
        <v>262</v>
      </c>
      <c r="F1288" s="63" t="s">
        <v>460</v>
      </c>
      <c r="G1288" s="1">
        <v>8</v>
      </c>
      <c r="H1288" s="1">
        <f t="shared" si="291"/>
        <v>0.39915966386554624</v>
      </c>
      <c r="I1288" s="1">
        <f t="shared" si="299"/>
        <v>0.23799999999999999</v>
      </c>
      <c r="J1288" s="1">
        <f t="shared" si="300"/>
        <v>2.2800000000000042E-2</v>
      </c>
      <c r="K1288" s="1">
        <f t="shared" si="292"/>
        <v>2.3799899999999998</v>
      </c>
      <c r="L1288" s="1">
        <f t="shared" si="293"/>
        <v>1.8244100000000001</v>
      </c>
      <c r="M1288" s="49">
        <v>0</v>
      </c>
      <c r="N1288" s="49">
        <v>1.1872</v>
      </c>
      <c r="O1288" s="6">
        <v>314</v>
      </c>
      <c r="P1288" s="51">
        <v>0.05</v>
      </c>
      <c r="Q1288" s="51">
        <v>11</v>
      </c>
      <c r="R1288" s="51">
        <v>0</v>
      </c>
      <c r="S1288" s="1">
        <v>1</v>
      </c>
      <c r="T1288" s="1">
        <v>0</v>
      </c>
      <c r="U1288" s="47">
        <v>0</v>
      </c>
      <c r="V1288" s="47">
        <v>285</v>
      </c>
      <c r="W1288" s="41">
        <v>95</v>
      </c>
      <c r="X1288">
        <v>238</v>
      </c>
      <c r="Y1288">
        <v>0.97719999999999996</v>
      </c>
      <c r="Z1288">
        <v>2379.9899999999998</v>
      </c>
      <c r="AA1288">
        <v>1824.41</v>
      </c>
      <c r="AB1288">
        <v>118.72</v>
      </c>
      <c r="AC1288">
        <v>36</v>
      </c>
      <c r="AD1288" s="41">
        <f t="shared" si="294"/>
        <v>0.3613460560758659</v>
      </c>
      <c r="AE1288" s="41">
        <f t="shared" si="295"/>
        <v>0.47138526975844242</v>
      </c>
      <c r="AF1288">
        <f t="shared" si="296"/>
        <v>1.4553183916083918</v>
      </c>
      <c r="AG1288">
        <f t="shared" si="297"/>
        <v>8.7843802797202761E-2</v>
      </c>
      <c r="AH1288">
        <f t="shared" si="298"/>
        <v>1.1872</v>
      </c>
      <c r="AI1288">
        <f>HLOOKUP(HLOOKUP(G1288,'THP2'!$B$4:$J$8,5,FALSE),'Fuel &amp; Resister'!$B$3:$G$6,4,FALSE)</f>
        <v>2.7360666666666664</v>
      </c>
      <c r="AJ1288" s="41">
        <f>HLOOKUP(HLOOKUP(G1288,'THP2'!$B$4:$J$8,5,FALSE),'Fuel &amp; Resister'!$B$3:$G$6,3,FALSE)</f>
        <v>13.019</v>
      </c>
    </row>
    <row r="1289" spans="2:36" x14ac:dyDescent="0.15">
      <c r="B1289" s="81" t="s">
        <v>604</v>
      </c>
      <c r="C1289" s="61">
        <f>VLOOKUP(B1289,[1]SYS!$F$5:$G$359,2,FALSE)</f>
        <v>226</v>
      </c>
      <c r="D1289" s="1" t="s">
        <v>50</v>
      </c>
      <c r="E1289" s="42" t="s">
        <v>263</v>
      </c>
      <c r="F1289" s="63" t="s">
        <v>460</v>
      </c>
      <c r="G1289" s="1">
        <v>8</v>
      </c>
      <c r="H1289" s="1">
        <f t="shared" si="291"/>
        <v>0.40084388185654007</v>
      </c>
      <c r="I1289" s="1">
        <f t="shared" si="299"/>
        <v>0.23699999999999999</v>
      </c>
      <c r="J1289" s="1">
        <f t="shared" si="300"/>
        <v>2.2800000000000042E-2</v>
      </c>
      <c r="K1289" s="1">
        <f t="shared" si="292"/>
        <v>2.3799899999999998</v>
      </c>
      <c r="L1289" s="1">
        <f t="shared" si="293"/>
        <v>1.8244100000000001</v>
      </c>
      <c r="M1289" s="49">
        <v>0</v>
      </c>
      <c r="N1289" s="49">
        <v>1.1860999999999999</v>
      </c>
      <c r="O1289" s="1">
        <v>1125</v>
      </c>
      <c r="P1289" s="51">
        <v>0.05</v>
      </c>
      <c r="Q1289" s="51">
        <v>11</v>
      </c>
      <c r="R1289" s="51">
        <v>0</v>
      </c>
      <c r="S1289" s="1">
        <v>1</v>
      </c>
      <c r="T1289" s="1">
        <v>0</v>
      </c>
      <c r="U1289" s="47">
        <v>0</v>
      </c>
      <c r="V1289" s="47">
        <v>286</v>
      </c>
      <c r="W1289" s="41">
        <v>95</v>
      </c>
      <c r="X1289">
        <v>237</v>
      </c>
      <c r="Y1289">
        <v>0.97719999999999996</v>
      </c>
      <c r="Z1289">
        <v>2379.9899999999998</v>
      </c>
      <c r="AA1289">
        <v>1824.41</v>
      </c>
      <c r="AB1289">
        <v>118.61</v>
      </c>
      <c r="AC1289">
        <v>36</v>
      </c>
      <c r="AD1289" s="41">
        <f t="shared" si="294"/>
        <v>0.3613460560758659</v>
      </c>
      <c r="AE1289" s="41">
        <f t="shared" si="295"/>
        <v>0.47138526975844242</v>
      </c>
      <c r="AF1289">
        <f t="shared" si="296"/>
        <v>1.4527191549295779</v>
      </c>
      <c r="AG1289">
        <f t="shared" si="297"/>
        <v>8.8090730281690052E-2</v>
      </c>
      <c r="AH1289">
        <f t="shared" si="298"/>
        <v>1.1860999999999999</v>
      </c>
      <c r="AI1289">
        <f>HLOOKUP(HLOOKUP(G1289,'THP2'!$B$4:$J$8,5,FALSE),'Fuel &amp; Resister'!$B$3:$G$6,4,FALSE)</f>
        <v>2.7360666666666664</v>
      </c>
      <c r="AJ1289" s="41">
        <f>HLOOKUP(HLOOKUP(G1289,'THP2'!$B$4:$J$8,5,FALSE),'Fuel &amp; Resister'!$B$3:$G$6,3,FALSE)</f>
        <v>13.019</v>
      </c>
    </row>
    <row r="1290" spans="2:36" x14ac:dyDescent="0.15">
      <c r="B1290" s="81" t="s">
        <v>604</v>
      </c>
      <c r="C1290" s="61">
        <f>VLOOKUP(B1290,[1]SYS!$F$5:$G$359,2,FALSE)</f>
        <v>226</v>
      </c>
      <c r="D1290" s="1" t="s">
        <v>50</v>
      </c>
      <c r="E1290" s="42" t="s">
        <v>264</v>
      </c>
      <c r="F1290" s="63" t="s">
        <v>460</v>
      </c>
      <c r="G1290" s="1">
        <v>8</v>
      </c>
      <c r="H1290" s="1">
        <f t="shared" si="291"/>
        <v>0.3991769547325103</v>
      </c>
      <c r="I1290" s="1">
        <f t="shared" si="299"/>
        <v>0.24299999999999999</v>
      </c>
      <c r="J1290" s="1">
        <f t="shared" si="300"/>
        <v>2.3199999999999998E-2</v>
      </c>
      <c r="K1290" s="1">
        <f t="shared" si="292"/>
        <v>2.4052199999999999</v>
      </c>
      <c r="L1290" s="1">
        <f t="shared" si="293"/>
        <v>1.84375</v>
      </c>
      <c r="M1290" s="49">
        <v>0</v>
      </c>
      <c r="N1290" s="49">
        <v>1.1924999999999999</v>
      </c>
      <c r="O1290" s="1">
        <v>1125</v>
      </c>
      <c r="P1290" s="51">
        <v>0.05</v>
      </c>
      <c r="Q1290" s="51">
        <v>11</v>
      </c>
      <c r="R1290" s="51">
        <v>0</v>
      </c>
      <c r="S1290" s="1">
        <v>1</v>
      </c>
      <c r="T1290" s="1">
        <v>0</v>
      </c>
      <c r="U1290" s="47">
        <v>0</v>
      </c>
      <c r="V1290" s="47">
        <v>287</v>
      </c>
      <c r="W1290" s="41">
        <v>97</v>
      </c>
      <c r="X1290">
        <v>243</v>
      </c>
      <c r="Y1290">
        <v>0.9768</v>
      </c>
      <c r="Z1290">
        <v>2405.2199999999998</v>
      </c>
      <c r="AA1290">
        <v>1843.75</v>
      </c>
      <c r="AB1290">
        <v>119.25</v>
      </c>
      <c r="AC1290">
        <v>36</v>
      </c>
      <c r="AD1290" s="41">
        <f t="shared" si="294"/>
        <v>0.35755564979502918</v>
      </c>
      <c r="AE1290" s="41">
        <f t="shared" si="295"/>
        <v>0.46644067796610167</v>
      </c>
      <c r="AF1290">
        <f t="shared" si="296"/>
        <v>1.4707185616438359</v>
      </c>
      <c r="AG1290">
        <f t="shared" si="297"/>
        <v>9.0646639520547884E-2</v>
      </c>
      <c r="AH1290">
        <f t="shared" si="298"/>
        <v>1.1924999999999999</v>
      </c>
      <c r="AI1290">
        <f>HLOOKUP(HLOOKUP(G1290,'THP2'!$B$4:$J$8,5,FALSE),'Fuel &amp; Resister'!$B$3:$G$6,4,FALSE)</f>
        <v>2.7360666666666664</v>
      </c>
      <c r="AJ1290" s="41">
        <f>HLOOKUP(HLOOKUP(G1290,'THP2'!$B$4:$J$8,5,FALSE),'Fuel &amp; Resister'!$B$3:$G$6,3,FALSE)</f>
        <v>13.019</v>
      </c>
    </row>
    <row r="1291" spans="2:36" x14ac:dyDescent="0.15">
      <c r="B1291" s="81" t="s">
        <v>604</v>
      </c>
      <c r="C1291" s="61">
        <f>VLOOKUP(B1291,[1]SYS!$F$5:$G$359,2,FALSE)</f>
        <v>226</v>
      </c>
      <c r="D1291" s="1" t="s">
        <v>50</v>
      </c>
      <c r="E1291" s="42" t="s">
        <v>265</v>
      </c>
      <c r="F1291" s="63" t="s">
        <v>460</v>
      </c>
      <c r="G1291" s="1">
        <v>8</v>
      </c>
      <c r="H1291" s="1">
        <f t="shared" si="291"/>
        <v>0.3991769547325103</v>
      </c>
      <c r="I1291" s="1">
        <f t="shared" si="299"/>
        <v>0.24299999999999999</v>
      </c>
      <c r="J1291" s="1">
        <f t="shared" si="300"/>
        <v>2.3199999999999998E-2</v>
      </c>
      <c r="K1291" s="1">
        <f t="shared" si="292"/>
        <v>2.4052199999999999</v>
      </c>
      <c r="L1291" s="1">
        <f t="shared" si="293"/>
        <v>1.84375</v>
      </c>
      <c r="M1291" s="49">
        <v>0</v>
      </c>
      <c r="N1291" s="49">
        <v>1.1924999999999999</v>
      </c>
      <c r="O1291" s="6">
        <v>314</v>
      </c>
      <c r="P1291" s="51">
        <v>0.05</v>
      </c>
      <c r="Q1291" s="51">
        <v>11</v>
      </c>
      <c r="R1291" s="51">
        <v>0</v>
      </c>
      <c r="S1291" s="1">
        <v>1</v>
      </c>
      <c r="T1291" s="1">
        <v>0</v>
      </c>
      <c r="U1291" s="47">
        <v>0</v>
      </c>
      <c r="V1291" s="47">
        <v>288</v>
      </c>
      <c r="W1291" s="41">
        <v>97</v>
      </c>
      <c r="X1291">
        <v>243</v>
      </c>
      <c r="Y1291">
        <v>0.9768</v>
      </c>
      <c r="Z1291">
        <v>2405.2199999999998</v>
      </c>
      <c r="AA1291">
        <v>1843.75</v>
      </c>
      <c r="AB1291">
        <v>119.25</v>
      </c>
      <c r="AC1291">
        <v>36</v>
      </c>
      <c r="AD1291" s="41">
        <f t="shared" si="294"/>
        <v>0.35755564979502918</v>
      </c>
      <c r="AE1291" s="41">
        <f t="shared" si="295"/>
        <v>0.46644067796610167</v>
      </c>
      <c r="AF1291">
        <f t="shared" si="296"/>
        <v>1.4707185616438359</v>
      </c>
      <c r="AG1291">
        <f t="shared" si="297"/>
        <v>9.0646639520547884E-2</v>
      </c>
      <c r="AH1291">
        <f t="shared" si="298"/>
        <v>1.1924999999999999</v>
      </c>
      <c r="AI1291">
        <f>HLOOKUP(HLOOKUP(G1291,'THP2'!$B$4:$J$8,5,FALSE),'Fuel &amp; Resister'!$B$3:$G$6,4,FALSE)</f>
        <v>2.7360666666666664</v>
      </c>
      <c r="AJ1291" s="41">
        <f>HLOOKUP(HLOOKUP(G1291,'THP2'!$B$4:$J$8,5,FALSE),'Fuel &amp; Resister'!$B$3:$G$6,3,FALSE)</f>
        <v>13.019</v>
      </c>
    </row>
    <row r="1292" spans="2:36" x14ac:dyDescent="0.15">
      <c r="B1292" s="81" t="s">
        <v>604</v>
      </c>
      <c r="C1292" s="61">
        <f>VLOOKUP(B1292,[1]SYS!$F$5:$G$359,2,FALSE)</f>
        <v>226</v>
      </c>
      <c r="D1292" s="1" t="s">
        <v>50</v>
      </c>
      <c r="E1292" s="42" t="s">
        <v>266</v>
      </c>
      <c r="F1292" s="63" t="s">
        <v>460</v>
      </c>
      <c r="G1292" s="1">
        <v>8</v>
      </c>
      <c r="H1292" s="1">
        <f t="shared" si="291"/>
        <v>0.3991769547325103</v>
      </c>
      <c r="I1292" s="1">
        <f t="shared" si="299"/>
        <v>0.24299999999999999</v>
      </c>
      <c r="J1292" s="1">
        <f t="shared" si="300"/>
        <v>2.3199999999999998E-2</v>
      </c>
      <c r="K1292" s="1">
        <f t="shared" si="292"/>
        <v>2.4052199999999999</v>
      </c>
      <c r="L1292" s="1">
        <f t="shared" si="293"/>
        <v>1.84375</v>
      </c>
      <c r="M1292" s="49">
        <v>0</v>
      </c>
      <c r="N1292" s="49">
        <v>1.1924999999999999</v>
      </c>
      <c r="O1292" s="1">
        <v>925</v>
      </c>
      <c r="P1292" s="51">
        <v>0.05</v>
      </c>
      <c r="Q1292" s="51">
        <v>11</v>
      </c>
      <c r="R1292" s="51">
        <v>0</v>
      </c>
      <c r="S1292" s="1">
        <v>1</v>
      </c>
      <c r="T1292" s="1">
        <v>0</v>
      </c>
      <c r="U1292" s="47">
        <v>0</v>
      </c>
      <c r="V1292" s="47">
        <v>289</v>
      </c>
      <c r="W1292" s="41">
        <v>97</v>
      </c>
      <c r="X1292">
        <v>243</v>
      </c>
      <c r="Y1292">
        <v>0.9768</v>
      </c>
      <c r="Z1292">
        <v>2405.2199999999998</v>
      </c>
      <c r="AA1292">
        <v>1843.75</v>
      </c>
      <c r="AB1292">
        <v>119.25</v>
      </c>
      <c r="AC1292">
        <v>36</v>
      </c>
      <c r="AD1292" s="41">
        <f t="shared" si="294"/>
        <v>0.35755564979502918</v>
      </c>
      <c r="AE1292" s="41">
        <f t="shared" si="295"/>
        <v>0.46644067796610167</v>
      </c>
      <c r="AF1292">
        <f t="shared" si="296"/>
        <v>1.4707185616438359</v>
      </c>
      <c r="AG1292">
        <f t="shared" si="297"/>
        <v>9.0646639520547884E-2</v>
      </c>
      <c r="AH1292">
        <f t="shared" si="298"/>
        <v>1.1924999999999999</v>
      </c>
      <c r="AI1292">
        <f>HLOOKUP(HLOOKUP(G1292,'THP2'!$B$4:$J$8,5,FALSE),'Fuel &amp; Resister'!$B$3:$G$6,4,FALSE)</f>
        <v>2.7360666666666664</v>
      </c>
      <c r="AJ1292" s="41">
        <f>HLOOKUP(HLOOKUP(G1292,'THP2'!$B$4:$J$8,5,FALSE),'Fuel &amp; Resister'!$B$3:$G$6,3,FALSE)</f>
        <v>13.019</v>
      </c>
    </row>
    <row r="1293" spans="2:36" x14ac:dyDescent="0.15">
      <c r="B1293" s="81" t="s">
        <v>636</v>
      </c>
      <c r="C1293" s="61">
        <f>VLOOKUP(B1293,[1]SYS!$F$5:$G$359,2,FALSE)</f>
        <v>225</v>
      </c>
      <c r="D1293" s="1" t="s">
        <v>50</v>
      </c>
      <c r="E1293" s="42" t="s">
        <v>267</v>
      </c>
      <c r="F1293" s="42"/>
      <c r="G1293" s="1">
        <v>8</v>
      </c>
      <c r="H1293" s="1">
        <f t="shared" si="291"/>
        <v>0.39705882352941174</v>
      </c>
      <c r="I1293" s="1">
        <f t="shared" si="299"/>
        <v>0.13600000000000001</v>
      </c>
      <c r="J1293" s="1">
        <f t="shared" si="300"/>
        <v>0</v>
      </c>
      <c r="K1293" s="1">
        <f t="shared" si="292"/>
        <v>2.5701999999999998</v>
      </c>
      <c r="L1293" s="1">
        <f t="shared" si="293"/>
        <v>1.9702200000000001</v>
      </c>
      <c r="M1293" s="49">
        <v>0</v>
      </c>
      <c r="N1293" s="49">
        <v>0.44880000000000003</v>
      </c>
      <c r="O1293" s="1">
        <v>913</v>
      </c>
      <c r="P1293" s="51">
        <v>0.05</v>
      </c>
      <c r="Q1293" s="51">
        <v>11</v>
      </c>
      <c r="R1293" s="51">
        <v>0</v>
      </c>
      <c r="S1293" s="1">
        <v>1</v>
      </c>
      <c r="T1293" s="1">
        <v>0</v>
      </c>
      <c r="U1293" s="47">
        <v>0</v>
      </c>
      <c r="V1293" s="47">
        <v>290</v>
      </c>
      <c r="W1293" s="41">
        <v>54</v>
      </c>
      <c r="X1293">
        <v>136</v>
      </c>
      <c r="Y1293">
        <v>1</v>
      </c>
      <c r="Z1293">
        <v>2570.1999999999998</v>
      </c>
      <c r="AA1293">
        <v>1970.22</v>
      </c>
      <c r="AB1293">
        <v>44.88</v>
      </c>
      <c r="AC1293">
        <v>36</v>
      </c>
      <c r="AD1293" s="41">
        <f t="shared" si="294"/>
        <v>0.3346043109485643</v>
      </c>
      <c r="AE1293" s="41">
        <f t="shared" si="295"/>
        <v>0.43649947721574245</v>
      </c>
      <c r="AF1293">
        <f t="shared" si="296"/>
        <v>1.5751112195121955</v>
      </c>
      <c r="AG1293">
        <f t="shared" si="297"/>
        <v>5.3734794146341434E-2</v>
      </c>
      <c r="AH1293">
        <f t="shared" si="298"/>
        <v>0.44880000000000003</v>
      </c>
      <c r="AI1293">
        <f>HLOOKUP(HLOOKUP(G1293,'THP2'!$B$4:$J$8,5,FALSE),'Fuel &amp; Resister'!$B$3:$G$6,4,FALSE)</f>
        <v>2.7360666666666664</v>
      </c>
      <c r="AJ1293" s="41">
        <f>HLOOKUP(HLOOKUP(G1293,'THP2'!$B$4:$J$8,5,FALSE),'Fuel &amp; Resister'!$B$3:$G$6,3,FALSE)</f>
        <v>13.019</v>
      </c>
    </row>
    <row r="1294" spans="2:36" x14ac:dyDescent="0.15">
      <c r="B1294" s="81" t="s">
        <v>636</v>
      </c>
      <c r="C1294" s="61">
        <f>VLOOKUP(B1294,[1]SYS!$F$5:$G$359,2,FALSE)</f>
        <v>225</v>
      </c>
      <c r="D1294" s="1" t="s">
        <v>50</v>
      </c>
      <c r="E1294" s="65" t="s">
        <v>268</v>
      </c>
      <c r="F1294" s="63" t="s">
        <v>459</v>
      </c>
      <c r="G1294" s="1">
        <v>8</v>
      </c>
      <c r="H1294" s="1">
        <f t="shared" si="291"/>
        <v>0.39726027397260272</v>
      </c>
      <c r="I1294" s="1">
        <f t="shared" si="299"/>
        <v>0.14599999999999999</v>
      </c>
      <c r="J1294" s="1">
        <f t="shared" si="300"/>
        <v>0</v>
      </c>
      <c r="K1294" s="1">
        <f t="shared" si="292"/>
        <v>2.5701999999999998</v>
      </c>
      <c r="L1294" s="1">
        <f t="shared" si="293"/>
        <v>1.9702200000000001</v>
      </c>
      <c r="M1294" s="49">
        <v>0</v>
      </c>
      <c r="N1294" s="49">
        <v>0.48180000000000001</v>
      </c>
      <c r="O1294" s="1">
        <v>1202</v>
      </c>
      <c r="P1294" s="51">
        <v>0.05</v>
      </c>
      <c r="Q1294" s="51">
        <v>11</v>
      </c>
      <c r="R1294" s="51">
        <v>0</v>
      </c>
      <c r="S1294" s="1">
        <v>1</v>
      </c>
      <c r="T1294" s="1">
        <v>0</v>
      </c>
      <c r="U1294" s="47">
        <v>1</v>
      </c>
      <c r="V1294" s="47">
        <v>291</v>
      </c>
      <c r="W1294" s="41">
        <v>58</v>
      </c>
      <c r="X1294">
        <v>146</v>
      </c>
      <c r="Y1294">
        <v>1</v>
      </c>
      <c r="Z1294">
        <v>2570.1999999999998</v>
      </c>
      <c r="AA1294">
        <v>1970.22</v>
      </c>
      <c r="AB1294">
        <v>48.18</v>
      </c>
      <c r="AC1294">
        <v>36</v>
      </c>
      <c r="AD1294" s="41">
        <f t="shared" si="294"/>
        <v>0.3346043109485643</v>
      </c>
      <c r="AE1294" s="41">
        <f t="shared" si="295"/>
        <v>0.43649947721574245</v>
      </c>
      <c r="AF1294">
        <f t="shared" si="296"/>
        <v>1.5747786363636369</v>
      </c>
      <c r="AG1294">
        <f t="shared" si="297"/>
        <v>5.7734439090909022E-2</v>
      </c>
      <c r="AH1294">
        <f t="shared" si="298"/>
        <v>0.48180000000000001</v>
      </c>
      <c r="AI1294">
        <f>HLOOKUP(HLOOKUP(G1294,'THP2'!$B$4:$J$8,5,FALSE),'Fuel &amp; Resister'!$B$3:$G$6,4,FALSE)</f>
        <v>2.7360666666666664</v>
      </c>
      <c r="AJ1294" s="41">
        <f>HLOOKUP(HLOOKUP(G1294,'THP2'!$B$4:$J$8,5,FALSE),'Fuel &amp; Resister'!$B$3:$G$6,3,FALSE)</f>
        <v>13.019</v>
      </c>
    </row>
    <row r="1295" spans="2:36" x14ac:dyDescent="0.15">
      <c r="B1295" s="81" t="s">
        <v>636</v>
      </c>
      <c r="C1295" s="61">
        <f>VLOOKUP(B1295,[1]SYS!$F$5:$G$359,2,FALSE)</f>
        <v>225</v>
      </c>
      <c r="D1295" s="1" t="s">
        <v>50</v>
      </c>
      <c r="E1295" s="65" t="s">
        <v>269</v>
      </c>
      <c r="F1295" s="42"/>
      <c r="G1295" s="1">
        <v>8</v>
      </c>
      <c r="H1295" s="1">
        <f t="shared" si="291"/>
        <v>0.3125</v>
      </c>
      <c r="I1295" s="1">
        <f t="shared" si="299"/>
        <v>1.6E-2</v>
      </c>
      <c r="J1295" s="1">
        <f t="shared" si="300"/>
        <v>4.0000000000000036E-2</v>
      </c>
      <c r="K1295" s="1">
        <f t="shared" si="292"/>
        <v>2.5767800000000003</v>
      </c>
      <c r="L1295" s="1">
        <f t="shared" si="293"/>
        <v>2.15</v>
      </c>
      <c r="M1295" s="49">
        <v>0</v>
      </c>
      <c r="N1295" s="49">
        <v>5.28E-2</v>
      </c>
      <c r="O1295" s="1">
        <v>913</v>
      </c>
      <c r="P1295" s="51">
        <v>0.05</v>
      </c>
      <c r="Q1295" s="51">
        <v>11</v>
      </c>
      <c r="R1295" s="51">
        <v>0</v>
      </c>
      <c r="S1295" s="1">
        <v>1</v>
      </c>
      <c r="T1295" s="1">
        <v>0</v>
      </c>
      <c r="U1295" s="47">
        <v>1</v>
      </c>
      <c r="V1295" s="47">
        <v>292</v>
      </c>
      <c r="W1295" s="41">
        <v>5</v>
      </c>
      <c r="X1295">
        <v>16</v>
      </c>
      <c r="Y1295">
        <v>0.96</v>
      </c>
      <c r="Z1295">
        <v>2576.7800000000002</v>
      </c>
      <c r="AA1295">
        <v>2150</v>
      </c>
      <c r="AB1295">
        <v>5.28</v>
      </c>
      <c r="AC1295">
        <v>36</v>
      </c>
      <c r="AD1295" s="41">
        <f t="shared" si="294"/>
        <v>0.33374987387359417</v>
      </c>
      <c r="AE1295" s="41">
        <f t="shared" si="295"/>
        <v>0.4</v>
      </c>
      <c r="AF1295">
        <f t="shared" si="296"/>
        <v>1.9560090909090908</v>
      </c>
      <c r="AG1295">
        <f t="shared" si="297"/>
        <v>3.1038545454545458E-3</v>
      </c>
      <c r="AH1295">
        <f t="shared" si="298"/>
        <v>5.28E-2</v>
      </c>
      <c r="AI1295">
        <f>HLOOKUP(HLOOKUP(G1295,'THP2'!$B$4:$J$8,5,FALSE),'Fuel &amp; Resister'!$B$3:$G$6,4,FALSE)</f>
        <v>2.7360666666666664</v>
      </c>
      <c r="AJ1295" s="41">
        <f>HLOOKUP(HLOOKUP(G1295,'THP2'!$B$4:$J$8,5,FALSE),'Fuel &amp; Resister'!$B$3:$G$6,3,FALSE)</f>
        <v>13.019</v>
      </c>
    </row>
    <row r="1296" spans="2:36" x14ac:dyDescent="0.15">
      <c r="B1296" s="81" t="s">
        <v>636</v>
      </c>
      <c r="C1296" s="61">
        <f>VLOOKUP(B1296,[1]SYS!$F$5:$G$359,2,FALSE)</f>
        <v>225</v>
      </c>
      <c r="D1296" s="1" t="s">
        <v>50</v>
      </c>
      <c r="E1296" s="65" t="s">
        <v>270</v>
      </c>
      <c r="F1296" s="63" t="s">
        <v>508</v>
      </c>
      <c r="G1296" s="1">
        <v>8</v>
      </c>
      <c r="H1296" s="1">
        <f t="shared" si="291"/>
        <v>0.39864864864864863</v>
      </c>
      <c r="I1296" s="1">
        <f t="shared" si="299"/>
        <v>0.14799999999999999</v>
      </c>
      <c r="J1296" s="1">
        <f t="shared" si="300"/>
        <v>7.020000000000004E-2</v>
      </c>
      <c r="K1296" s="1">
        <f t="shared" si="292"/>
        <v>2.6807500000000002</v>
      </c>
      <c r="L1296" s="1">
        <f t="shared" si="293"/>
        <v>2.0549599999999999</v>
      </c>
      <c r="M1296" s="49">
        <v>0</v>
      </c>
      <c r="N1296" s="49">
        <v>1.0911999999999999</v>
      </c>
      <c r="O1296" s="1">
        <v>516</v>
      </c>
      <c r="P1296" s="51">
        <v>0.05</v>
      </c>
      <c r="Q1296" s="51">
        <v>11</v>
      </c>
      <c r="R1296" s="51">
        <v>0</v>
      </c>
      <c r="S1296" s="1">
        <v>1</v>
      </c>
      <c r="T1296" s="1">
        <v>0</v>
      </c>
      <c r="U1296" s="47">
        <v>1</v>
      </c>
      <c r="V1296" s="47">
        <v>293</v>
      </c>
      <c r="W1296" s="41">
        <v>59</v>
      </c>
      <c r="X1296">
        <v>148</v>
      </c>
      <c r="Y1296">
        <v>0.92979999999999996</v>
      </c>
      <c r="Z1296">
        <v>2680.75</v>
      </c>
      <c r="AA1296">
        <v>2054.96</v>
      </c>
      <c r="AB1296">
        <v>109.12</v>
      </c>
      <c r="AC1296">
        <v>46</v>
      </c>
      <c r="AD1296" s="41">
        <f t="shared" si="294"/>
        <v>0.32080574466100903</v>
      </c>
      <c r="AE1296" s="41">
        <f t="shared" si="295"/>
        <v>0.41849963016311753</v>
      </c>
      <c r="AF1296">
        <f t="shared" si="296"/>
        <v>1.6401104494382022</v>
      </c>
      <c r="AG1296">
        <f t="shared" si="297"/>
        <v>6.1397733483146061E-2</v>
      </c>
      <c r="AH1296">
        <f t="shared" si="298"/>
        <v>1.0911999999999999</v>
      </c>
      <c r="AI1296">
        <f>HLOOKUP(HLOOKUP(G1296,'THP2'!$B$4:$J$8,5,FALSE),'Fuel &amp; Resister'!$B$3:$G$6,4,FALSE)</f>
        <v>2.7360666666666664</v>
      </c>
      <c r="AJ1296" s="41">
        <f>HLOOKUP(HLOOKUP(G1296,'THP2'!$B$4:$J$8,5,FALSE),'Fuel &amp; Resister'!$B$3:$G$6,3,FALSE)</f>
        <v>13.019</v>
      </c>
    </row>
    <row r="1297" spans="2:36" x14ac:dyDescent="0.15">
      <c r="B1297" s="81" t="s">
        <v>636</v>
      </c>
      <c r="C1297" s="61">
        <f>VLOOKUP(B1297,[1]SYS!$F$5:$G$359,2,FALSE)</f>
        <v>225</v>
      </c>
      <c r="D1297" s="1" t="s">
        <v>50</v>
      </c>
      <c r="E1297" s="42" t="s">
        <v>271</v>
      </c>
      <c r="F1297" s="63" t="s">
        <v>507</v>
      </c>
      <c r="G1297" s="1">
        <v>8</v>
      </c>
      <c r="H1297" s="1">
        <f t="shared" si="291"/>
        <v>0.3</v>
      </c>
      <c r="I1297" s="1">
        <f t="shared" si="299"/>
        <v>0.6</v>
      </c>
      <c r="J1297" s="1">
        <f t="shared" si="300"/>
        <v>3.069999999999995E-2</v>
      </c>
      <c r="K1297" s="1">
        <f t="shared" si="292"/>
        <v>2.6778200000000001</v>
      </c>
      <c r="L1297" s="1">
        <f t="shared" si="293"/>
        <v>2.2343000000000002</v>
      </c>
      <c r="M1297" s="49">
        <v>0</v>
      </c>
      <c r="N1297" s="49">
        <v>2.83</v>
      </c>
      <c r="O1297" s="1">
        <v>1009</v>
      </c>
      <c r="P1297" s="51">
        <v>0.05</v>
      </c>
      <c r="Q1297" s="51">
        <v>11</v>
      </c>
      <c r="R1297" s="51">
        <v>0</v>
      </c>
      <c r="S1297" s="1">
        <v>1</v>
      </c>
      <c r="T1297" s="1">
        <v>0</v>
      </c>
      <c r="U1297" s="47">
        <v>0</v>
      </c>
      <c r="V1297" s="47">
        <v>294</v>
      </c>
      <c r="W1297" s="41">
        <v>180</v>
      </c>
      <c r="X1297">
        <v>600</v>
      </c>
      <c r="Y1297">
        <v>0.96930000000000005</v>
      </c>
      <c r="Z1297">
        <v>2677.82</v>
      </c>
      <c r="AA1297">
        <v>2234.3000000000002</v>
      </c>
      <c r="AB1297">
        <v>283</v>
      </c>
      <c r="AC1297">
        <v>46</v>
      </c>
      <c r="AD1297" s="41">
        <f t="shared" si="294"/>
        <v>0.32115676184358916</v>
      </c>
      <c r="AE1297" s="41">
        <f t="shared" si="295"/>
        <v>0.38490802488475134</v>
      </c>
      <c r="AF1297">
        <f t="shared" si="296"/>
        <v>2.0442200000000006</v>
      </c>
      <c r="AG1297">
        <f t="shared" si="297"/>
        <v>0.11404799999999975</v>
      </c>
      <c r="AH1297">
        <f t="shared" si="298"/>
        <v>2.83</v>
      </c>
      <c r="AI1297">
        <f>HLOOKUP(HLOOKUP(G1297,'THP2'!$B$4:$J$8,5,FALSE),'Fuel &amp; Resister'!$B$3:$G$6,4,FALSE)</f>
        <v>2.7360666666666664</v>
      </c>
      <c r="AJ1297" s="41">
        <f>HLOOKUP(HLOOKUP(G1297,'THP2'!$B$4:$J$8,5,FALSE),'Fuel &amp; Resister'!$B$3:$G$6,3,FALSE)</f>
        <v>13.019</v>
      </c>
    </row>
    <row r="1298" spans="2:36" x14ac:dyDescent="0.15">
      <c r="B1298" s="81" t="s">
        <v>604</v>
      </c>
      <c r="C1298" s="61">
        <f>VLOOKUP(B1298,[1]SYS!$F$5:$G$359,2,FALSE)</f>
        <v>226</v>
      </c>
      <c r="D1298" s="1" t="s">
        <v>5</v>
      </c>
      <c r="E1298" s="65" t="s">
        <v>272</v>
      </c>
      <c r="F1298" s="42"/>
      <c r="G1298" s="1">
        <v>8</v>
      </c>
      <c r="H1298" s="1">
        <f t="shared" si="291"/>
        <v>0.30303030303030304</v>
      </c>
      <c r="I1298" s="1">
        <f t="shared" si="299"/>
        <v>3.3000000000000002E-2</v>
      </c>
      <c r="J1298" s="1">
        <f t="shared" si="300"/>
        <v>5.3000000000000047E-2</v>
      </c>
      <c r="K1298" s="1">
        <f t="shared" si="292"/>
        <v>3.0049899999999998</v>
      </c>
      <c r="L1298" s="1">
        <f t="shared" si="293"/>
        <v>2.5072899999999998</v>
      </c>
      <c r="M1298" s="49">
        <v>0</v>
      </c>
      <c r="N1298" s="49">
        <v>0.10890000000000001</v>
      </c>
      <c r="O1298" s="1">
        <v>1101</v>
      </c>
      <c r="P1298" s="51">
        <v>0.05</v>
      </c>
      <c r="Q1298" s="51">
        <v>8</v>
      </c>
      <c r="R1298" s="51">
        <v>0</v>
      </c>
      <c r="S1298" s="1">
        <v>1</v>
      </c>
      <c r="T1298" s="1">
        <v>0</v>
      </c>
      <c r="U1298" s="47">
        <v>1</v>
      </c>
      <c r="V1298" s="47">
        <v>295</v>
      </c>
      <c r="W1298" s="41">
        <v>10</v>
      </c>
      <c r="X1298">
        <v>33</v>
      </c>
      <c r="Y1298">
        <v>0.94699999999999995</v>
      </c>
      <c r="Z1298">
        <v>3004.99</v>
      </c>
      <c r="AA1298">
        <v>2507.29</v>
      </c>
      <c r="AB1298">
        <v>10.89</v>
      </c>
      <c r="AC1298">
        <v>46</v>
      </c>
      <c r="AD1298" s="41">
        <f t="shared" si="294"/>
        <v>0.28619063624171798</v>
      </c>
      <c r="AE1298" s="41">
        <f t="shared" si="295"/>
        <v>0.34299981254661405</v>
      </c>
      <c r="AF1298">
        <f t="shared" si="296"/>
        <v>2.2908986956521735</v>
      </c>
      <c r="AG1298">
        <f t="shared" si="297"/>
        <v>7.1409130434782675E-3</v>
      </c>
      <c r="AH1298">
        <f t="shared" si="298"/>
        <v>0.10890000000000001</v>
      </c>
      <c r="AI1298">
        <f>HLOOKUP(HLOOKUP(G1298,'THP2'!$B$4:$J$8,5,FALSE),'Fuel &amp; Resister'!$B$3:$G$6,4,FALSE)</f>
        <v>2.7360666666666664</v>
      </c>
      <c r="AJ1298" s="41">
        <f>HLOOKUP(HLOOKUP(G1298,'THP2'!$B$4:$J$8,5,FALSE),'Fuel &amp; Resister'!$B$3:$G$6,3,FALSE)</f>
        <v>13.019</v>
      </c>
    </row>
    <row r="1299" spans="2:36" x14ac:dyDescent="0.15">
      <c r="B1299" s="81" t="s">
        <v>604</v>
      </c>
      <c r="C1299" s="61">
        <f>VLOOKUP(B1299,[1]SYS!$F$5:$G$359,2,FALSE)</f>
        <v>226</v>
      </c>
      <c r="D1299" s="1" t="s">
        <v>5</v>
      </c>
      <c r="E1299" s="65" t="s">
        <v>273</v>
      </c>
      <c r="F1299" s="42"/>
      <c r="G1299" s="1">
        <v>8</v>
      </c>
      <c r="H1299" s="1">
        <f t="shared" si="291"/>
        <v>0.30303030303030304</v>
      </c>
      <c r="I1299" s="1">
        <f t="shared" si="299"/>
        <v>3.3000000000000002E-2</v>
      </c>
      <c r="J1299" s="1">
        <f t="shared" si="300"/>
        <v>5.3000000000000047E-2</v>
      </c>
      <c r="K1299" s="1">
        <f t="shared" si="292"/>
        <v>3.0049899999999998</v>
      </c>
      <c r="L1299" s="1">
        <f t="shared" si="293"/>
        <v>2.5072899999999998</v>
      </c>
      <c r="M1299" s="49">
        <v>0</v>
      </c>
      <c r="N1299" s="49">
        <v>0.10890000000000001</v>
      </c>
      <c r="O1299" s="1">
        <v>509</v>
      </c>
      <c r="P1299" s="51">
        <v>0.05</v>
      </c>
      <c r="Q1299" s="51">
        <v>8</v>
      </c>
      <c r="R1299" s="51">
        <v>0</v>
      </c>
      <c r="S1299" s="1">
        <v>1</v>
      </c>
      <c r="T1299" s="1">
        <v>0</v>
      </c>
      <c r="U1299" s="47">
        <v>1</v>
      </c>
      <c r="V1299" s="47">
        <v>296</v>
      </c>
      <c r="W1299" s="41">
        <v>10</v>
      </c>
      <c r="X1299">
        <v>33</v>
      </c>
      <c r="Y1299">
        <v>0.94699999999999995</v>
      </c>
      <c r="Z1299">
        <v>3004.99</v>
      </c>
      <c r="AA1299">
        <v>2507.29</v>
      </c>
      <c r="AB1299">
        <v>10.89</v>
      </c>
      <c r="AC1299">
        <v>46</v>
      </c>
      <c r="AD1299" s="41">
        <f t="shared" si="294"/>
        <v>0.28619063624171798</v>
      </c>
      <c r="AE1299" s="41">
        <f t="shared" si="295"/>
        <v>0.34299981254661405</v>
      </c>
      <c r="AF1299">
        <f t="shared" si="296"/>
        <v>2.2908986956521735</v>
      </c>
      <c r="AG1299">
        <f t="shared" si="297"/>
        <v>7.1409130434782675E-3</v>
      </c>
      <c r="AH1299">
        <f t="shared" si="298"/>
        <v>0.10890000000000001</v>
      </c>
      <c r="AI1299">
        <f>HLOOKUP(HLOOKUP(G1299,'THP2'!$B$4:$J$8,5,FALSE),'Fuel &amp; Resister'!$B$3:$G$6,4,FALSE)</f>
        <v>2.7360666666666664</v>
      </c>
      <c r="AJ1299" s="41">
        <f>HLOOKUP(HLOOKUP(G1299,'THP2'!$B$4:$J$8,5,FALSE),'Fuel &amp; Resister'!$B$3:$G$6,3,FALSE)</f>
        <v>13.019</v>
      </c>
    </row>
    <row r="1300" spans="2:36" x14ac:dyDescent="0.15">
      <c r="B1300" s="81" t="s">
        <v>656</v>
      </c>
      <c r="C1300" s="61">
        <f>VLOOKUP(B1300,[1]SYS!$F$5:$G$359,2,FALSE)</f>
        <v>219</v>
      </c>
      <c r="D1300" s="1" t="s">
        <v>50</v>
      </c>
      <c r="E1300" s="65" t="s">
        <v>540</v>
      </c>
      <c r="F1300" s="63" t="s">
        <v>547</v>
      </c>
      <c r="G1300" s="1">
        <v>8</v>
      </c>
      <c r="H1300" s="1">
        <f t="shared" si="291"/>
        <v>0.40041067761806981</v>
      </c>
      <c r="I1300" s="1">
        <f t="shared" si="299"/>
        <v>0.48699999999999999</v>
      </c>
      <c r="J1300" s="1">
        <f t="shared" si="300"/>
        <v>1.749999999999996E-2</v>
      </c>
      <c r="K1300" s="1">
        <f t="shared" si="292"/>
        <v>2.0775799999999998</v>
      </c>
      <c r="L1300" s="1">
        <f t="shared" si="293"/>
        <v>1.59259</v>
      </c>
      <c r="M1300" s="49">
        <v>0</v>
      </c>
      <c r="N1300" s="49">
        <v>0.10890000000000001</v>
      </c>
      <c r="O1300" s="1">
        <v>1004</v>
      </c>
      <c r="P1300" s="51">
        <v>0.05</v>
      </c>
      <c r="Q1300" s="51">
        <v>11</v>
      </c>
      <c r="R1300" s="51">
        <v>0</v>
      </c>
      <c r="S1300" s="1">
        <v>1</v>
      </c>
      <c r="T1300" s="1">
        <v>0</v>
      </c>
      <c r="U1300" s="47">
        <v>0</v>
      </c>
      <c r="V1300" s="47"/>
      <c r="W1300" s="41">
        <v>195</v>
      </c>
      <c r="X1300">
        <v>487</v>
      </c>
      <c r="Y1300">
        <v>0.98250000000000004</v>
      </c>
      <c r="Z1300">
        <v>2077.58</v>
      </c>
      <c r="AA1300">
        <v>1592.59</v>
      </c>
      <c r="AB1300">
        <v>145.6</v>
      </c>
      <c r="AC1300">
        <v>36</v>
      </c>
      <c r="AD1300" s="41">
        <f t="shared" si="294"/>
        <v>0.41394314539030991</v>
      </c>
      <c r="AE1300" s="41">
        <f t="shared" si="295"/>
        <v>0.54000087907119854</v>
      </c>
      <c r="AF1300">
        <f t="shared" si="296"/>
        <v>1.268709691780822</v>
      </c>
      <c r="AG1300">
        <f t="shared" si="297"/>
        <v>0.15772971010273965</v>
      </c>
      <c r="AH1300">
        <f t="shared" si="298"/>
        <v>1.456</v>
      </c>
      <c r="AI1300">
        <f>HLOOKUP(HLOOKUP(G1300,'THP2'!$B$4:$J$8,5,FALSE),'Fuel &amp; Resister'!$B$3:$G$6,4,FALSE)</f>
        <v>2.7360666666666664</v>
      </c>
      <c r="AJ1300" s="41">
        <f>HLOOKUP(HLOOKUP(G1300,'THP2'!$B$4:$J$8,5,FALSE),'Fuel &amp; Resister'!$B$3:$G$6,3,FALSE)</f>
        <v>13.019</v>
      </c>
    </row>
    <row r="1301" spans="2:36" x14ac:dyDescent="0.15">
      <c r="B1301" s="81" t="s">
        <v>656</v>
      </c>
      <c r="C1301" s="61">
        <f>VLOOKUP(B1301,[1]SYS!$F$5:$G$359,2,FALSE)</f>
        <v>219</v>
      </c>
      <c r="D1301" s="1" t="s">
        <v>50</v>
      </c>
      <c r="E1301" s="65" t="s">
        <v>540</v>
      </c>
      <c r="F1301" s="63" t="s">
        <v>547</v>
      </c>
      <c r="G1301" s="1">
        <v>8</v>
      </c>
      <c r="H1301" s="1">
        <f t="shared" si="291"/>
        <v>0.40041067761806981</v>
      </c>
      <c r="I1301" s="1">
        <f t="shared" si="299"/>
        <v>0.48699999999999999</v>
      </c>
      <c r="J1301" s="1">
        <f t="shared" si="300"/>
        <v>1.749999999999996E-2</v>
      </c>
      <c r="K1301" s="1">
        <f t="shared" si="292"/>
        <v>2.0775799999999998</v>
      </c>
      <c r="L1301" s="1">
        <f t="shared" si="293"/>
        <v>1.59259</v>
      </c>
      <c r="M1301" s="49">
        <v>0</v>
      </c>
      <c r="N1301" s="49">
        <v>0.10890000000000001</v>
      </c>
      <c r="O1301" s="1">
        <v>1109</v>
      </c>
      <c r="P1301" s="51">
        <v>0.05</v>
      </c>
      <c r="Q1301" s="51">
        <v>11</v>
      </c>
      <c r="R1301" s="51">
        <v>0</v>
      </c>
      <c r="S1301" s="1">
        <v>1</v>
      </c>
      <c r="T1301" s="1">
        <v>0</v>
      </c>
      <c r="U1301" s="47">
        <v>0</v>
      </c>
      <c r="V1301" s="47"/>
      <c r="W1301" s="41">
        <v>195</v>
      </c>
      <c r="X1301">
        <v>487</v>
      </c>
      <c r="Y1301">
        <v>0.98250000000000004</v>
      </c>
      <c r="Z1301">
        <v>2077.58</v>
      </c>
      <c r="AA1301">
        <v>1592.59</v>
      </c>
      <c r="AB1301">
        <v>145.6</v>
      </c>
      <c r="AC1301">
        <v>36</v>
      </c>
      <c r="AD1301" s="41">
        <f t="shared" si="294"/>
        <v>0.41394314539030991</v>
      </c>
      <c r="AE1301" s="41">
        <f t="shared" si="295"/>
        <v>0.54000087907119854</v>
      </c>
      <c r="AF1301">
        <f t="shared" si="296"/>
        <v>1.268709691780822</v>
      </c>
      <c r="AG1301">
        <f t="shared" si="297"/>
        <v>0.15772971010273965</v>
      </c>
      <c r="AH1301">
        <f t="shared" si="298"/>
        <v>1.456</v>
      </c>
      <c r="AI1301">
        <f>HLOOKUP(HLOOKUP(G1301,'THP2'!$B$4:$J$8,5,FALSE),'Fuel &amp; Resister'!$B$3:$G$6,4,FALSE)</f>
        <v>2.7360666666666664</v>
      </c>
      <c r="AJ1301" s="41">
        <f>HLOOKUP(HLOOKUP(G1301,'THP2'!$B$4:$J$8,5,FALSE),'Fuel &amp; Resister'!$B$3:$G$6,3,FALSE)</f>
        <v>13.019</v>
      </c>
    </row>
    <row r="1302" spans="2:36" x14ac:dyDescent="0.15">
      <c r="B1302" s="81" t="s">
        <v>656</v>
      </c>
      <c r="C1302" s="61">
        <f>VLOOKUP(B1302,[1]SYS!$F$5:$G$359,2,FALSE)</f>
        <v>219</v>
      </c>
      <c r="D1302" s="1" t="s">
        <v>50</v>
      </c>
      <c r="E1302" s="65" t="s">
        <v>540</v>
      </c>
      <c r="F1302" s="63" t="s">
        <v>547</v>
      </c>
      <c r="G1302" s="1">
        <v>8</v>
      </c>
      <c r="H1302" s="1">
        <f t="shared" si="291"/>
        <v>0.40041067761806981</v>
      </c>
      <c r="I1302" s="1">
        <f t="shared" si="299"/>
        <v>0.48699999999999999</v>
      </c>
      <c r="J1302" s="1">
        <f t="shared" si="300"/>
        <v>1.749999999999996E-2</v>
      </c>
      <c r="K1302" s="1">
        <f t="shared" si="292"/>
        <v>2.0775799999999998</v>
      </c>
      <c r="L1302" s="1">
        <f t="shared" si="293"/>
        <v>1.59259</v>
      </c>
      <c r="M1302" s="49">
        <v>0</v>
      </c>
      <c r="N1302" s="49">
        <v>0.10890000000000001</v>
      </c>
      <c r="O1302" s="1">
        <v>403</v>
      </c>
      <c r="P1302" s="51">
        <v>0.05</v>
      </c>
      <c r="Q1302" s="51">
        <v>11</v>
      </c>
      <c r="R1302" s="51">
        <v>0</v>
      </c>
      <c r="S1302" s="1">
        <v>1</v>
      </c>
      <c r="T1302" s="1">
        <v>0</v>
      </c>
      <c r="U1302" s="47">
        <v>0</v>
      </c>
      <c r="V1302" s="47"/>
      <c r="W1302" s="41">
        <v>195</v>
      </c>
      <c r="X1302">
        <v>487</v>
      </c>
      <c r="Y1302">
        <v>0.98250000000000004</v>
      </c>
      <c r="Z1302">
        <v>2077.58</v>
      </c>
      <c r="AA1302">
        <v>1592.59</v>
      </c>
      <c r="AB1302">
        <v>145.6</v>
      </c>
      <c r="AC1302">
        <v>36</v>
      </c>
      <c r="AD1302" s="41">
        <f t="shared" si="294"/>
        <v>0.41394314539030991</v>
      </c>
      <c r="AE1302" s="41">
        <f t="shared" si="295"/>
        <v>0.54000087907119854</v>
      </c>
      <c r="AF1302">
        <f t="shared" si="296"/>
        <v>1.268709691780822</v>
      </c>
      <c r="AG1302">
        <f t="shared" si="297"/>
        <v>0.15772971010273965</v>
      </c>
      <c r="AH1302">
        <f t="shared" si="298"/>
        <v>1.456</v>
      </c>
      <c r="AI1302">
        <f>HLOOKUP(HLOOKUP(G1302,'THP2'!$B$4:$J$8,5,FALSE),'Fuel &amp; Resister'!$B$3:$G$6,4,FALSE)</f>
        <v>2.7360666666666664</v>
      </c>
      <c r="AJ1302" s="41">
        <f>HLOOKUP(HLOOKUP(G1302,'THP2'!$B$4:$J$8,5,FALSE),'Fuel &amp; Resister'!$B$3:$G$6,3,FALSE)</f>
        <v>13.019</v>
      </c>
    </row>
    <row r="1303" spans="2:36" x14ac:dyDescent="0.15">
      <c r="B1303" s="81" t="s">
        <v>656</v>
      </c>
      <c r="C1303" s="61">
        <f>VLOOKUP(B1303,[1]SYS!$F$5:$G$359,2,FALSE)</f>
        <v>219</v>
      </c>
      <c r="D1303" s="1" t="s">
        <v>50</v>
      </c>
      <c r="E1303" s="65" t="s">
        <v>540</v>
      </c>
      <c r="F1303" s="63" t="s">
        <v>547</v>
      </c>
      <c r="G1303" s="1">
        <v>8</v>
      </c>
      <c r="H1303" s="1">
        <f t="shared" si="291"/>
        <v>0.40041067761806981</v>
      </c>
      <c r="I1303" s="1">
        <f t="shared" si="299"/>
        <v>0.48699999999999999</v>
      </c>
      <c r="J1303" s="1">
        <f t="shared" si="300"/>
        <v>1.749999999999996E-2</v>
      </c>
      <c r="K1303" s="1">
        <f t="shared" si="292"/>
        <v>2.0775799999999998</v>
      </c>
      <c r="L1303" s="1">
        <f t="shared" si="293"/>
        <v>1.59259</v>
      </c>
      <c r="M1303" s="49">
        <v>0</v>
      </c>
      <c r="N1303" s="49">
        <v>0.10890000000000001</v>
      </c>
      <c r="O1303" s="1">
        <v>509</v>
      </c>
      <c r="P1303" s="51">
        <v>0.05</v>
      </c>
      <c r="Q1303" s="51">
        <v>11</v>
      </c>
      <c r="R1303" s="51">
        <v>0</v>
      </c>
      <c r="S1303" s="1">
        <v>1</v>
      </c>
      <c r="T1303" s="1">
        <v>0</v>
      </c>
      <c r="U1303" s="47">
        <v>0</v>
      </c>
      <c r="V1303" s="47"/>
      <c r="W1303" s="41">
        <v>195</v>
      </c>
      <c r="X1303">
        <v>487</v>
      </c>
      <c r="Y1303">
        <v>0.98250000000000004</v>
      </c>
      <c r="Z1303">
        <v>2077.58</v>
      </c>
      <c r="AA1303">
        <v>1592.59</v>
      </c>
      <c r="AB1303">
        <v>145.6</v>
      </c>
      <c r="AC1303">
        <v>36</v>
      </c>
      <c r="AD1303" s="41">
        <f t="shared" si="294"/>
        <v>0.41394314539030991</v>
      </c>
      <c r="AE1303" s="41">
        <f t="shared" si="295"/>
        <v>0.54000087907119854</v>
      </c>
      <c r="AF1303">
        <f t="shared" si="296"/>
        <v>1.268709691780822</v>
      </c>
      <c r="AG1303">
        <f t="shared" si="297"/>
        <v>0.15772971010273965</v>
      </c>
      <c r="AH1303">
        <f t="shared" si="298"/>
        <v>1.456</v>
      </c>
      <c r="AI1303">
        <f>HLOOKUP(HLOOKUP(G1303,'THP2'!$B$4:$J$8,5,FALSE),'Fuel &amp; Resister'!$B$3:$G$6,4,FALSE)</f>
        <v>2.7360666666666664</v>
      </c>
      <c r="AJ1303" s="41">
        <f>HLOOKUP(HLOOKUP(G1303,'THP2'!$B$4:$J$8,5,FALSE),'Fuel &amp; Resister'!$B$3:$G$6,3,FALSE)</f>
        <v>13.019</v>
      </c>
    </row>
    <row r="1304" spans="2:36" x14ac:dyDescent="0.15">
      <c r="B1304" s="81" t="s">
        <v>656</v>
      </c>
      <c r="C1304" s="61">
        <f>VLOOKUP(B1304,[1]SYS!$F$5:$G$359,2,FALSE)</f>
        <v>219</v>
      </c>
      <c r="D1304" s="1" t="s">
        <v>50</v>
      </c>
      <c r="E1304" s="65" t="s">
        <v>540</v>
      </c>
      <c r="F1304" s="63" t="s">
        <v>547</v>
      </c>
      <c r="G1304" s="1">
        <v>8</v>
      </c>
      <c r="H1304" s="1">
        <f t="shared" si="291"/>
        <v>0.40041067761806981</v>
      </c>
      <c r="I1304" s="1">
        <f t="shared" si="299"/>
        <v>0.48699999999999999</v>
      </c>
      <c r="J1304" s="1">
        <f t="shared" si="300"/>
        <v>1.749999999999996E-2</v>
      </c>
      <c r="K1304" s="1">
        <f t="shared" si="292"/>
        <v>2.0775799999999998</v>
      </c>
      <c r="L1304" s="1">
        <f t="shared" si="293"/>
        <v>1.59259</v>
      </c>
      <c r="M1304" s="49">
        <v>0</v>
      </c>
      <c r="N1304" s="49">
        <v>0.10890000000000001</v>
      </c>
      <c r="O1304" s="1">
        <v>1004</v>
      </c>
      <c r="P1304" s="51">
        <v>0.05</v>
      </c>
      <c r="Q1304" s="51">
        <v>11</v>
      </c>
      <c r="R1304" s="51">
        <v>0</v>
      </c>
      <c r="S1304" s="1">
        <v>1</v>
      </c>
      <c r="T1304" s="1">
        <v>0</v>
      </c>
      <c r="U1304" s="47">
        <v>0</v>
      </c>
      <c r="V1304" s="47"/>
      <c r="W1304" s="41">
        <v>195</v>
      </c>
      <c r="X1304">
        <v>487</v>
      </c>
      <c r="Y1304">
        <v>0.98250000000000004</v>
      </c>
      <c r="Z1304">
        <v>2077.58</v>
      </c>
      <c r="AA1304">
        <v>1592.59</v>
      </c>
      <c r="AB1304">
        <v>145.6</v>
      </c>
      <c r="AC1304">
        <v>36</v>
      </c>
      <c r="AD1304" s="41">
        <f t="shared" si="294"/>
        <v>0.41394314539030991</v>
      </c>
      <c r="AE1304" s="41">
        <f t="shared" si="295"/>
        <v>0.54000087907119854</v>
      </c>
      <c r="AF1304">
        <f t="shared" si="296"/>
        <v>1.268709691780822</v>
      </c>
      <c r="AG1304">
        <f t="shared" si="297"/>
        <v>0.15772971010273965</v>
      </c>
      <c r="AH1304">
        <f t="shared" si="298"/>
        <v>1.456</v>
      </c>
      <c r="AI1304">
        <f>HLOOKUP(HLOOKUP(G1304,'THP2'!$B$4:$J$8,5,FALSE),'Fuel &amp; Resister'!$B$3:$G$6,4,FALSE)</f>
        <v>2.7360666666666664</v>
      </c>
      <c r="AJ1304" s="41">
        <f>HLOOKUP(HLOOKUP(G1304,'THP2'!$B$4:$J$8,5,FALSE),'Fuel &amp; Resister'!$B$3:$G$6,3,FALSE)</f>
        <v>13.019</v>
      </c>
    </row>
    <row r="1305" spans="2:36" x14ac:dyDescent="0.15">
      <c r="B1305" s="81" t="s">
        <v>656</v>
      </c>
      <c r="C1305" s="61">
        <f>VLOOKUP(B1305,[1]SYS!$F$5:$G$359,2,FALSE)</f>
        <v>219</v>
      </c>
      <c r="D1305" s="1" t="s">
        <v>50</v>
      </c>
      <c r="E1305" s="65" t="s">
        <v>540</v>
      </c>
      <c r="F1305" s="63" t="s">
        <v>547</v>
      </c>
      <c r="G1305" s="1">
        <v>8</v>
      </c>
      <c r="H1305" s="1">
        <f t="shared" si="291"/>
        <v>0.40041067761806981</v>
      </c>
      <c r="I1305" s="1">
        <f t="shared" si="299"/>
        <v>0.48699999999999999</v>
      </c>
      <c r="J1305" s="1">
        <f t="shared" si="300"/>
        <v>1.749999999999996E-2</v>
      </c>
      <c r="K1305" s="1">
        <f t="shared" si="292"/>
        <v>2.0775799999999998</v>
      </c>
      <c r="L1305" s="1">
        <f t="shared" si="293"/>
        <v>1.59259</v>
      </c>
      <c r="M1305" s="49">
        <v>0</v>
      </c>
      <c r="N1305" s="49">
        <v>0.10890000000000001</v>
      </c>
      <c r="O1305" s="1">
        <v>1109</v>
      </c>
      <c r="P1305" s="51">
        <v>0.05</v>
      </c>
      <c r="Q1305" s="51">
        <v>11</v>
      </c>
      <c r="R1305" s="51">
        <v>0</v>
      </c>
      <c r="S1305" s="1">
        <v>1</v>
      </c>
      <c r="T1305" s="1">
        <v>0</v>
      </c>
      <c r="U1305" s="47">
        <v>0</v>
      </c>
      <c r="V1305" s="47"/>
      <c r="W1305" s="41">
        <v>195</v>
      </c>
      <c r="X1305">
        <v>487</v>
      </c>
      <c r="Y1305">
        <v>0.98250000000000004</v>
      </c>
      <c r="Z1305">
        <v>2077.58</v>
      </c>
      <c r="AA1305">
        <v>1592.59</v>
      </c>
      <c r="AB1305">
        <v>145.6</v>
      </c>
      <c r="AC1305">
        <v>36</v>
      </c>
      <c r="AD1305" s="41">
        <f t="shared" si="294"/>
        <v>0.41394314539030991</v>
      </c>
      <c r="AE1305" s="41">
        <f t="shared" si="295"/>
        <v>0.54000087907119854</v>
      </c>
      <c r="AF1305">
        <f t="shared" si="296"/>
        <v>1.268709691780822</v>
      </c>
      <c r="AG1305">
        <f t="shared" si="297"/>
        <v>0.15772971010273965</v>
      </c>
      <c r="AH1305">
        <f t="shared" si="298"/>
        <v>1.456</v>
      </c>
      <c r="AI1305">
        <f>HLOOKUP(HLOOKUP(G1305,'THP2'!$B$4:$J$8,5,FALSE),'Fuel &amp; Resister'!$B$3:$G$6,4,FALSE)</f>
        <v>2.7360666666666664</v>
      </c>
      <c r="AJ1305" s="41">
        <f>HLOOKUP(HLOOKUP(G1305,'THP2'!$B$4:$J$8,5,FALSE),'Fuel &amp; Resister'!$B$3:$G$6,3,FALSE)</f>
        <v>13.019</v>
      </c>
    </row>
    <row r="1306" spans="2:36" x14ac:dyDescent="0.15">
      <c r="B1306" s="81" t="s">
        <v>656</v>
      </c>
      <c r="C1306" s="61">
        <f>VLOOKUP(B1306,[1]SYS!$F$5:$G$359,2,FALSE)</f>
        <v>219</v>
      </c>
      <c r="D1306" s="1" t="s">
        <v>50</v>
      </c>
      <c r="E1306" s="65" t="s">
        <v>540</v>
      </c>
      <c r="F1306" s="63" t="s">
        <v>547</v>
      </c>
      <c r="G1306" s="1">
        <v>8</v>
      </c>
      <c r="H1306" s="1">
        <f t="shared" si="291"/>
        <v>0.40041067761806981</v>
      </c>
      <c r="I1306" s="1">
        <f t="shared" si="299"/>
        <v>0.48699999999999999</v>
      </c>
      <c r="J1306" s="1">
        <f t="shared" si="300"/>
        <v>1.749999999999996E-2</v>
      </c>
      <c r="K1306" s="1">
        <f t="shared" si="292"/>
        <v>2.0775799999999998</v>
      </c>
      <c r="L1306" s="1">
        <f t="shared" si="293"/>
        <v>1.59259</v>
      </c>
      <c r="M1306" s="49">
        <v>0</v>
      </c>
      <c r="N1306" s="49">
        <v>0.10890000000000001</v>
      </c>
      <c r="O1306" s="1">
        <v>504</v>
      </c>
      <c r="P1306" s="51">
        <v>0.05</v>
      </c>
      <c r="Q1306" s="51">
        <v>11</v>
      </c>
      <c r="R1306" s="51">
        <v>0</v>
      </c>
      <c r="S1306" s="1">
        <v>1</v>
      </c>
      <c r="T1306" s="1">
        <v>0</v>
      </c>
      <c r="U1306" s="47">
        <v>0</v>
      </c>
      <c r="V1306" s="47"/>
      <c r="W1306" s="41">
        <v>195</v>
      </c>
      <c r="X1306">
        <v>487</v>
      </c>
      <c r="Y1306">
        <v>0.98250000000000004</v>
      </c>
      <c r="Z1306">
        <v>2077.58</v>
      </c>
      <c r="AA1306">
        <v>1592.59</v>
      </c>
      <c r="AB1306">
        <v>145.6</v>
      </c>
      <c r="AC1306">
        <v>36</v>
      </c>
      <c r="AD1306" s="41">
        <f t="shared" si="294"/>
        <v>0.41394314539030991</v>
      </c>
      <c r="AE1306" s="41">
        <f t="shared" si="295"/>
        <v>0.54000087907119854</v>
      </c>
      <c r="AF1306">
        <f t="shared" si="296"/>
        <v>1.268709691780822</v>
      </c>
      <c r="AG1306">
        <f t="shared" si="297"/>
        <v>0.15772971010273965</v>
      </c>
      <c r="AH1306">
        <f t="shared" si="298"/>
        <v>1.456</v>
      </c>
      <c r="AI1306">
        <f>HLOOKUP(HLOOKUP(G1306,'THP2'!$B$4:$J$8,5,FALSE),'Fuel &amp; Resister'!$B$3:$G$6,4,FALSE)</f>
        <v>2.7360666666666664</v>
      </c>
      <c r="AJ1306" s="41">
        <f>HLOOKUP(HLOOKUP(G1306,'THP2'!$B$4:$J$8,5,FALSE),'Fuel &amp; Resister'!$B$3:$G$6,3,FALSE)</f>
        <v>13.019</v>
      </c>
    </row>
    <row r="1307" spans="2:36" x14ac:dyDescent="0.15">
      <c r="B1307" s="81" t="s">
        <v>601</v>
      </c>
      <c r="C1307" s="61">
        <f>VLOOKUP(B1307,[1]SYS!$F$5:$G$359,2,FALSE)</f>
        <v>220</v>
      </c>
      <c r="D1307" s="1" t="s">
        <v>50</v>
      </c>
      <c r="E1307" s="65" t="s">
        <v>540</v>
      </c>
      <c r="F1307" s="63" t="s">
        <v>546</v>
      </c>
      <c r="G1307" s="1">
        <v>8</v>
      </c>
      <c r="H1307" s="1">
        <f t="shared" si="291"/>
        <v>0.40041067761806981</v>
      </c>
      <c r="I1307" s="1">
        <f t="shared" si="299"/>
        <v>0.48699999999999999</v>
      </c>
      <c r="J1307" s="1">
        <f t="shared" si="300"/>
        <v>1.749999999999996E-2</v>
      </c>
      <c r="K1307" s="1">
        <f t="shared" si="292"/>
        <v>2.0775799999999998</v>
      </c>
      <c r="L1307" s="1">
        <f t="shared" si="293"/>
        <v>1.59259</v>
      </c>
      <c r="M1307" s="49">
        <v>0</v>
      </c>
      <c r="N1307" s="49">
        <v>0.10890000000000001</v>
      </c>
      <c r="O1307" s="1">
        <v>609</v>
      </c>
      <c r="P1307" s="51">
        <v>0.05</v>
      </c>
      <c r="Q1307" s="51">
        <v>11</v>
      </c>
      <c r="R1307" s="51">
        <v>0</v>
      </c>
      <c r="S1307" s="1">
        <v>1</v>
      </c>
      <c r="T1307" s="1">
        <v>0</v>
      </c>
      <c r="U1307" s="47">
        <v>0</v>
      </c>
      <c r="V1307" s="47"/>
      <c r="W1307" s="41">
        <v>195</v>
      </c>
      <c r="X1307">
        <v>487</v>
      </c>
      <c r="Y1307">
        <v>0.98250000000000004</v>
      </c>
      <c r="Z1307">
        <v>2077.58</v>
      </c>
      <c r="AA1307">
        <v>1592.59</v>
      </c>
      <c r="AB1307">
        <v>145.6</v>
      </c>
      <c r="AC1307">
        <v>36</v>
      </c>
      <c r="AD1307" s="41">
        <f t="shared" si="294"/>
        <v>0.41394314539030991</v>
      </c>
      <c r="AE1307" s="41">
        <f t="shared" si="295"/>
        <v>0.54000087907119854</v>
      </c>
      <c r="AF1307">
        <f t="shared" si="296"/>
        <v>1.268709691780822</v>
      </c>
      <c r="AG1307">
        <f t="shared" si="297"/>
        <v>0.15772971010273965</v>
      </c>
      <c r="AH1307">
        <f t="shared" si="298"/>
        <v>1.456</v>
      </c>
      <c r="AI1307">
        <f>HLOOKUP(HLOOKUP(G1307,'THP2'!$B$4:$J$8,5,FALSE),'Fuel &amp; Resister'!$B$3:$G$6,4,FALSE)</f>
        <v>2.7360666666666664</v>
      </c>
      <c r="AJ1307" s="41">
        <f>HLOOKUP(HLOOKUP(G1307,'THP2'!$B$4:$J$8,5,FALSE),'Fuel &amp; Resister'!$B$3:$G$6,3,FALSE)</f>
        <v>13.019</v>
      </c>
    </row>
    <row r="1308" spans="2:36" x14ac:dyDescent="0.15">
      <c r="B1308" s="81" t="s">
        <v>601</v>
      </c>
      <c r="C1308" s="61">
        <f>VLOOKUP(B1308,[1]SYS!$F$5:$G$359,2,FALSE)</f>
        <v>220</v>
      </c>
      <c r="D1308" s="1" t="s">
        <v>50</v>
      </c>
      <c r="E1308" s="65" t="s">
        <v>540</v>
      </c>
      <c r="F1308" s="63" t="s">
        <v>546</v>
      </c>
      <c r="G1308" s="1">
        <v>8</v>
      </c>
      <c r="H1308" s="1">
        <f t="shared" si="291"/>
        <v>0.40041067761806981</v>
      </c>
      <c r="I1308" s="1">
        <f t="shared" si="299"/>
        <v>0.48699999999999999</v>
      </c>
      <c r="J1308" s="1">
        <f t="shared" si="300"/>
        <v>1.749999999999996E-2</v>
      </c>
      <c r="K1308" s="1">
        <f t="shared" si="292"/>
        <v>2.0775799999999998</v>
      </c>
      <c r="L1308" s="1">
        <f t="shared" si="293"/>
        <v>1.59259</v>
      </c>
      <c r="M1308" s="49">
        <v>0</v>
      </c>
      <c r="N1308" s="49">
        <v>0.10890000000000001</v>
      </c>
      <c r="O1308" s="1">
        <v>403</v>
      </c>
      <c r="P1308" s="51">
        <v>0.05</v>
      </c>
      <c r="Q1308" s="51">
        <v>11</v>
      </c>
      <c r="R1308" s="51">
        <v>0</v>
      </c>
      <c r="S1308" s="1">
        <v>1</v>
      </c>
      <c r="T1308" s="1">
        <v>0</v>
      </c>
      <c r="U1308" s="47">
        <v>0</v>
      </c>
      <c r="V1308" s="47"/>
      <c r="W1308" s="41">
        <v>195</v>
      </c>
      <c r="X1308">
        <v>487</v>
      </c>
      <c r="Y1308">
        <v>0.98250000000000004</v>
      </c>
      <c r="Z1308">
        <v>2077.58</v>
      </c>
      <c r="AA1308">
        <v>1592.59</v>
      </c>
      <c r="AB1308">
        <v>145.6</v>
      </c>
      <c r="AC1308">
        <v>36</v>
      </c>
      <c r="AD1308" s="41">
        <f t="shared" si="294"/>
        <v>0.41394314539030991</v>
      </c>
      <c r="AE1308" s="41">
        <f t="shared" si="295"/>
        <v>0.54000087907119854</v>
      </c>
      <c r="AF1308">
        <f t="shared" si="296"/>
        <v>1.268709691780822</v>
      </c>
      <c r="AG1308">
        <f t="shared" si="297"/>
        <v>0.15772971010273965</v>
      </c>
      <c r="AH1308">
        <f t="shared" si="298"/>
        <v>1.456</v>
      </c>
      <c r="AI1308">
        <f>HLOOKUP(HLOOKUP(G1308,'THP2'!$B$4:$J$8,5,FALSE),'Fuel &amp; Resister'!$B$3:$G$6,4,FALSE)</f>
        <v>2.7360666666666664</v>
      </c>
      <c r="AJ1308" s="41">
        <f>HLOOKUP(HLOOKUP(G1308,'THP2'!$B$4:$J$8,5,FALSE),'Fuel &amp; Resister'!$B$3:$G$6,3,FALSE)</f>
        <v>13.019</v>
      </c>
    </row>
    <row r="1309" spans="2:36" x14ac:dyDescent="0.15">
      <c r="B1309" s="81" t="s">
        <v>601</v>
      </c>
      <c r="C1309" s="61">
        <f>VLOOKUP(B1309,[1]SYS!$F$5:$G$359,2,FALSE)</f>
        <v>220</v>
      </c>
      <c r="D1309" s="1" t="s">
        <v>50</v>
      </c>
      <c r="E1309" s="65" t="s">
        <v>540</v>
      </c>
      <c r="F1309" s="63" t="s">
        <v>546</v>
      </c>
      <c r="G1309" s="1">
        <v>8</v>
      </c>
      <c r="H1309" s="1">
        <f t="shared" si="291"/>
        <v>0.40041067761806981</v>
      </c>
      <c r="I1309" s="1">
        <f t="shared" si="299"/>
        <v>0.48699999999999999</v>
      </c>
      <c r="J1309" s="1">
        <f t="shared" si="300"/>
        <v>1.749999999999996E-2</v>
      </c>
      <c r="K1309" s="1">
        <f t="shared" si="292"/>
        <v>2.0775799999999998</v>
      </c>
      <c r="L1309" s="1">
        <f t="shared" si="293"/>
        <v>1.59259</v>
      </c>
      <c r="M1309" s="49">
        <v>0</v>
      </c>
      <c r="N1309" s="49">
        <v>0.10890000000000001</v>
      </c>
      <c r="O1309" s="1">
        <v>509</v>
      </c>
      <c r="P1309" s="51">
        <v>0.05</v>
      </c>
      <c r="Q1309" s="51">
        <v>11</v>
      </c>
      <c r="R1309" s="51">
        <v>0</v>
      </c>
      <c r="S1309" s="1">
        <v>1</v>
      </c>
      <c r="T1309" s="1">
        <v>0</v>
      </c>
      <c r="U1309" s="47">
        <v>0</v>
      </c>
      <c r="V1309" s="47"/>
      <c r="W1309" s="41">
        <v>195</v>
      </c>
      <c r="X1309">
        <v>487</v>
      </c>
      <c r="Y1309">
        <v>0.98250000000000004</v>
      </c>
      <c r="Z1309">
        <v>2077.58</v>
      </c>
      <c r="AA1309">
        <v>1592.59</v>
      </c>
      <c r="AB1309">
        <v>145.6</v>
      </c>
      <c r="AC1309">
        <v>36</v>
      </c>
      <c r="AD1309" s="41">
        <f t="shared" si="294"/>
        <v>0.41394314539030991</v>
      </c>
      <c r="AE1309" s="41">
        <f t="shared" si="295"/>
        <v>0.54000087907119854</v>
      </c>
      <c r="AF1309">
        <f t="shared" si="296"/>
        <v>1.268709691780822</v>
      </c>
      <c r="AG1309">
        <f t="shared" si="297"/>
        <v>0.15772971010273965</v>
      </c>
      <c r="AH1309">
        <f t="shared" si="298"/>
        <v>1.456</v>
      </c>
      <c r="AI1309">
        <f>HLOOKUP(HLOOKUP(G1309,'THP2'!$B$4:$J$8,5,FALSE),'Fuel &amp; Resister'!$B$3:$G$6,4,FALSE)</f>
        <v>2.7360666666666664</v>
      </c>
      <c r="AJ1309" s="41">
        <f>HLOOKUP(HLOOKUP(G1309,'THP2'!$B$4:$J$8,5,FALSE),'Fuel &amp; Resister'!$B$3:$G$6,3,FALSE)</f>
        <v>13.019</v>
      </c>
    </row>
    <row r="1310" spans="2:36" x14ac:dyDescent="0.15">
      <c r="B1310" s="81" t="s">
        <v>601</v>
      </c>
      <c r="C1310" s="61">
        <f>VLOOKUP(B1310,[1]SYS!$F$5:$G$359,2,FALSE)</f>
        <v>220</v>
      </c>
      <c r="D1310" s="1" t="s">
        <v>50</v>
      </c>
      <c r="E1310" s="65" t="s">
        <v>540</v>
      </c>
      <c r="F1310" s="63" t="s">
        <v>546</v>
      </c>
      <c r="G1310" s="1">
        <v>8</v>
      </c>
      <c r="H1310" s="1">
        <f t="shared" si="291"/>
        <v>0.40041067761806981</v>
      </c>
      <c r="I1310" s="1">
        <f t="shared" si="299"/>
        <v>0.48699999999999999</v>
      </c>
      <c r="J1310" s="1">
        <f t="shared" si="300"/>
        <v>1.749999999999996E-2</v>
      </c>
      <c r="K1310" s="1">
        <f t="shared" si="292"/>
        <v>2.0775799999999998</v>
      </c>
      <c r="L1310" s="1">
        <f t="shared" si="293"/>
        <v>1.59259</v>
      </c>
      <c r="M1310" s="49">
        <v>0</v>
      </c>
      <c r="N1310" s="49">
        <v>0.10890000000000001</v>
      </c>
      <c r="O1310" s="1">
        <v>504</v>
      </c>
      <c r="P1310" s="51">
        <v>0.05</v>
      </c>
      <c r="Q1310" s="51">
        <v>11</v>
      </c>
      <c r="R1310" s="51">
        <v>0</v>
      </c>
      <c r="S1310" s="1">
        <v>1</v>
      </c>
      <c r="T1310" s="1">
        <v>0</v>
      </c>
      <c r="U1310" s="47">
        <v>0</v>
      </c>
      <c r="V1310" s="47"/>
      <c r="W1310" s="41">
        <v>195</v>
      </c>
      <c r="X1310">
        <v>487</v>
      </c>
      <c r="Y1310">
        <v>0.98250000000000004</v>
      </c>
      <c r="Z1310">
        <v>2077.58</v>
      </c>
      <c r="AA1310">
        <v>1592.59</v>
      </c>
      <c r="AB1310">
        <v>145.6</v>
      </c>
      <c r="AC1310">
        <v>36</v>
      </c>
      <c r="AD1310" s="41">
        <f t="shared" si="294"/>
        <v>0.41394314539030991</v>
      </c>
      <c r="AE1310" s="41">
        <f t="shared" si="295"/>
        <v>0.54000087907119854</v>
      </c>
      <c r="AF1310">
        <f t="shared" si="296"/>
        <v>1.268709691780822</v>
      </c>
      <c r="AG1310">
        <f t="shared" si="297"/>
        <v>0.15772971010273965</v>
      </c>
      <c r="AH1310">
        <f t="shared" si="298"/>
        <v>1.456</v>
      </c>
      <c r="AI1310">
        <f>HLOOKUP(HLOOKUP(G1310,'THP2'!$B$4:$J$8,5,FALSE),'Fuel &amp; Resister'!$B$3:$G$6,4,FALSE)</f>
        <v>2.7360666666666664</v>
      </c>
      <c r="AJ1310" s="41">
        <f>HLOOKUP(HLOOKUP(G1310,'THP2'!$B$4:$J$8,5,FALSE),'Fuel &amp; Resister'!$B$3:$G$6,3,FALSE)</f>
        <v>13.019</v>
      </c>
    </row>
    <row r="1311" spans="2:36" x14ac:dyDescent="0.15">
      <c r="B1311" s="81" t="s">
        <v>601</v>
      </c>
      <c r="C1311" s="61">
        <f>VLOOKUP(B1311,[1]SYS!$F$5:$G$359,2,FALSE)</f>
        <v>220</v>
      </c>
      <c r="D1311" s="1" t="s">
        <v>50</v>
      </c>
      <c r="E1311" s="65" t="s">
        <v>540</v>
      </c>
      <c r="F1311" s="63" t="s">
        <v>546</v>
      </c>
      <c r="G1311" s="1">
        <v>8</v>
      </c>
      <c r="H1311" s="1">
        <f t="shared" si="291"/>
        <v>0.40041067761806981</v>
      </c>
      <c r="I1311" s="1">
        <f t="shared" si="299"/>
        <v>0.48699999999999999</v>
      </c>
      <c r="J1311" s="1">
        <f t="shared" si="300"/>
        <v>1.749999999999996E-2</v>
      </c>
      <c r="K1311" s="1">
        <f t="shared" si="292"/>
        <v>2.0775799999999998</v>
      </c>
      <c r="L1311" s="1">
        <f t="shared" si="293"/>
        <v>1.59259</v>
      </c>
      <c r="M1311" s="49">
        <v>0</v>
      </c>
      <c r="N1311" s="49">
        <v>0.10890000000000001</v>
      </c>
      <c r="O1311" s="1">
        <v>609</v>
      </c>
      <c r="P1311" s="51">
        <v>0.05</v>
      </c>
      <c r="Q1311" s="51">
        <v>11</v>
      </c>
      <c r="R1311" s="51">
        <v>0</v>
      </c>
      <c r="S1311" s="1">
        <v>1</v>
      </c>
      <c r="T1311" s="1">
        <v>0</v>
      </c>
      <c r="U1311" s="47">
        <v>0</v>
      </c>
      <c r="V1311" s="47"/>
      <c r="W1311" s="41">
        <v>195</v>
      </c>
      <c r="X1311">
        <v>487</v>
      </c>
      <c r="Y1311">
        <v>0.98250000000000004</v>
      </c>
      <c r="Z1311">
        <v>2077.58</v>
      </c>
      <c r="AA1311">
        <v>1592.59</v>
      </c>
      <c r="AB1311">
        <v>145.6</v>
      </c>
      <c r="AC1311">
        <v>36</v>
      </c>
      <c r="AD1311" s="41">
        <f t="shared" si="294"/>
        <v>0.41394314539030991</v>
      </c>
      <c r="AE1311" s="41">
        <f t="shared" si="295"/>
        <v>0.54000087907119854</v>
      </c>
      <c r="AF1311">
        <f t="shared" si="296"/>
        <v>1.268709691780822</v>
      </c>
      <c r="AG1311">
        <f t="shared" si="297"/>
        <v>0.15772971010273965</v>
      </c>
      <c r="AH1311">
        <f t="shared" si="298"/>
        <v>1.456</v>
      </c>
      <c r="AI1311">
        <f>HLOOKUP(HLOOKUP(G1311,'THP2'!$B$4:$J$8,5,FALSE),'Fuel &amp; Resister'!$B$3:$G$6,4,FALSE)</f>
        <v>2.7360666666666664</v>
      </c>
      <c r="AJ1311" s="41">
        <f>HLOOKUP(HLOOKUP(G1311,'THP2'!$B$4:$J$8,5,FALSE),'Fuel &amp; Resister'!$B$3:$G$6,3,FALSE)</f>
        <v>13.019</v>
      </c>
    </row>
    <row r="1312" spans="2:36" x14ac:dyDescent="0.15">
      <c r="B1312" s="81" t="s">
        <v>601</v>
      </c>
      <c r="C1312" s="61">
        <f>VLOOKUP(B1312,[1]SYS!$F$5:$G$359,2,FALSE)</f>
        <v>220</v>
      </c>
      <c r="D1312" s="1" t="s">
        <v>50</v>
      </c>
      <c r="E1312" s="65" t="s">
        <v>540</v>
      </c>
      <c r="F1312" s="63" t="s">
        <v>546</v>
      </c>
      <c r="G1312" s="1">
        <v>8</v>
      </c>
      <c r="H1312" s="1">
        <f t="shared" si="291"/>
        <v>0.40041067761806981</v>
      </c>
      <c r="I1312" s="1">
        <f t="shared" si="299"/>
        <v>0.48699999999999999</v>
      </c>
      <c r="J1312" s="1">
        <f t="shared" si="300"/>
        <v>1.749999999999996E-2</v>
      </c>
      <c r="K1312" s="1">
        <f t="shared" si="292"/>
        <v>2.0775799999999998</v>
      </c>
      <c r="L1312" s="1">
        <f t="shared" si="293"/>
        <v>1.59259</v>
      </c>
      <c r="M1312" s="49">
        <v>0</v>
      </c>
      <c r="N1312" s="49">
        <v>0.10890000000000001</v>
      </c>
      <c r="O1312" s="1">
        <v>403</v>
      </c>
      <c r="P1312" s="51">
        <v>0.05</v>
      </c>
      <c r="Q1312" s="51">
        <v>11</v>
      </c>
      <c r="R1312" s="51">
        <v>0</v>
      </c>
      <c r="S1312" s="1">
        <v>1</v>
      </c>
      <c r="T1312" s="1">
        <v>0</v>
      </c>
      <c r="U1312" s="47">
        <v>0</v>
      </c>
      <c r="V1312" s="47"/>
      <c r="W1312" s="41">
        <v>195</v>
      </c>
      <c r="X1312">
        <v>487</v>
      </c>
      <c r="Y1312">
        <v>0.98250000000000004</v>
      </c>
      <c r="Z1312">
        <v>2077.58</v>
      </c>
      <c r="AA1312">
        <v>1592.59</v>
      </c>
      <c r="AB1312">
        <v>145.6</v>
      </c>
      <c r="AC1312">
        <v>36</v>
      </c>
      <c r="AD1312" s="41">
        <f t="shared" si="294"/>
        <v>0.41394314539030991</v>
      </c>
      <c r="AE1312" s="41">
        <f t="shared" si="295"/>
        <v>0.54000087907119854</v>
      </c>
      <c r="AF1312">
        <f t="shared" si="296"/>
        <v>1.268709691780822</v>
      </c>
      <c r="AG1312">
        <f t="shared" si="297"/>
        <v>0.15772971010273965</v>
      </c>
      <c r="AH1312">
        <f t="shared" si="298"/>
        <v>1.456</v>
      </c>
      <c r="AI1312">
        <f>HLOOKUP(HLOOKUP(G1312,'THP2'!$B$4:$J$8,5,FALSE),'Fuel &amp; Resister'!$B$3:$G$6,4,FALSE)</f>
        <v>2.7360666666666664</v>
      </c>
      <c r="AJ1312" s="41">
        <f>HLOOKUP(HLOOKUP(G1312,'THP2'!$B$4:$J$8,5,FALSE),'Fuel &amp; Resister'!$B$3:$G$6,3,FALSE)</f>
        <v>13.019</v>
      </c>
    </row>
    <row r="1313" spans="2:36" x14ac:dyDescent="0.15">
      <c r="B1313" s="81" t="s">
        <v>601</v>
      </c>
      <c r="C1313" s="61">
        <f>VLOOKUP(B1313,[1]SYS!$F$5:$G$359,2,FALSE)</f>
        <v>220</v>
      </c>
      <c r="D1313" s="1" t="s">
        <v>50</v>
      </c>
      <c r="E1313" s="65" t="s">
        <v>540</v>
      </c>
      <c r="F1313" s="63" t="s">
        <v>546</v>
      </c>
      <c r="G1313" s="1">
        <v>8</v>
      </c>
      <c r="H1313" s="1">
        <f t="shared" si="291"/>
        <v>0.40041067761806981</v>
      </c>
      <c r="I1313" s="1">
        <f t="shared" si="299"/>
        <v>0.48699999999999999</v>
      </c>
      <c r="J1313" s="1">
        <f t="shared" si="300"/>
        <v>1.749999999999996E-2</v>
      </c>
      <c r="K1313" s="1">
        <f t="shared" si="292"/>
        <v>2.0775799999999998</v>
      </c>
      <c r="L1313" s="1">
        <f t="shared" si="293"/>
        <v>1.59259</v>
      </c>
      <c r="M1313" s="49">
        <v>0</v>
      </c>
      <c r="N1313" s="49">
        <v>0.10890000000000001</v>
      </c>
      <c r="O1313" s="1">
        <v>509</v>
      </c>
      <c r="P1313" s="51">
        <v>0.05</v>
      </c>
      <c r="Q1313" s="51">
        <v>11</v>
      </c>
      <c r="R1313" s="51">
        <v>0</v>
      </c>
      <c r="S1313" s="1">
        <v>1</v>
      </c>
      <c r="T1313" s="1">
        <v>0</v>
      </c>
      <c r="U1313" s="47">
        <v>0</v>
      </c>
      <c r="V1313" s="47"/>
      <c r="W1313" s="41">
        <v>195</v>
      </c>
      <c r="X1313">
        <v>487</v>
      </c>
      <c r="Y1313">
        <v>0.98250000000000004</v>
      </c>
      <c r="Z1313">
        <v>2077.58</v>
      </c>
      <c r="AA1313">
        <v>1592.59</v>
      </c>
      <c r="AB1313">
        <v>145.6</v>
      </c>
      <c r="AC1313">
        <v>36</v>
      </c>
      <c r="AD1313" s="41">
        <f t="shared" si="294"/>
        <v>0.41394314539030991</v>
      </c>
      <c r="AE1313" s="41">
        <f t="shared" si="295"/>
        <v>0.54000087907119854</v>
      </c>
      <c r="AF1313">
        <f t="shared" si="296"/>
        <v>1.268709691780822</v>
      </c>
      <c r="AG1313">
        <f t="shared" si="297"/>
        <v>0.15772971010273965</v>
      </c>
      <c r="AH1313">
        <f t="shared" si="298"/>
        <v>1.456</v>
      </c>
      <c r="AI1313">
        <f>HLOOKUP(HLOOKUP(G1313,'THP2'!$B$4:$J$8,5,FALSE),'Fuel &amp; Resister'!$B$3:$G$6,4,FALSE)</f>
        <v>2.7360666666666664</v>
      </c>
      <c r="AJ1313" s="41">
        <f>HLOOKUP(HLOOKUP(G1313,'THP2'!$B$4:$J$8,5,FALSE),'Fuel &amp; Resister'!$B$3:$G$6,3,FALSE)</f>
        <v>13.019</v>
      </c>
    </row>
    <row r="1314" spans="2:36" x14ac:dyDescent="0.15">
      <c r="B1314" s="81" t="s">
        <v>601</v>
      </c>
      <c r="C1314" s="61">
        <f>VLOOKUP(B1314,[1]SYS!$F$5:$G$359,2,FALSE)</f>
        <v>220</v>
      </c>
      <c r="D1314" s="1" t="s">
        <v>50</v>
      </c>
      <c r="E1314" s="65" t="s">
        <v>540</v>
      </c>
      <c r="F1314" s="63" t="s">
        <v>546</v>
      </c>
      <c r="G1314" s="1">
        <v>8</v>
      </c>
      <c r="H1314" s="1">
        <f t="shared" si="291"/>
        <v>0.40041067761806981</v>
      </c>
      <c r="I1314" s="1">
        <f t="shared" si="299"/>
        <v>0.48699999999999999</v>
      </c>
      <c r="J1314" s="1">
        <f t="shared" si="300"/>
        <v>1.749999999999996E-2</v>
      </c>
      <c r="K1314" s="1">
        <f t="shared" si="292"/>
        <v>2.0775799999999998</v>
      </c>
      <c r="L1314" s="1">
        <f t="shared" si="293"/>
        <v>1.59259</v>
      </c>
      <c r="M1314" s="49">
        <v>0</v>
      </c>
      <c r="N1314" s="49">
        <v>0.10890000000000001</v>
      </c>
      <c r="O1314" s="1">
        <v>1202</v>
      </c>
      <c r="P1314" s="51">
        <v>0.05</v>
      </c>
      <c r="Q1314" s="51">
        <v>11</v>
      </c>
      <c r="R1314" s="51">
        <v>0</v>
      </c>
      <c r="S1314" s="1">
        <v>1</v>
      </c>
      <c r="T1314" s="1">
        <v>0</v>
      </c>
      <c r="U1314" s="47">
        <v>0</v>
      </c>
      <c r="V1314" s="47"/>
      <c r="W1314" s="41">
        <v>195</v>
      </c>
      <c r="X1314">
        <v>487</v>
      </c>
      <c r="Y1314">
        <v>0.98250000000000004</v>
      </c>
      <c r="Z1314">
        <v>2077.58</v>
      </c>
      <c r="AA1314">
        <v>1592.59</v>
      </c>
      <c r="AB1314">
        <v>145.6</v>
      </c>
      <c r="AC1314">
        <v>36</v>
      </c>
      <c r="AD1314" s="41">
        <f t="shared" si="294"/>
        <v>0.41394314539030991</v>
      </c>
      <c r="AE1314" s="41">
        <f t="shared" si="295"/>
        <v>0.54000087907119854</v>
      </c>
      <c r="AF1314">
        <f t="shared" si="296"/>
        <v>1.268709691780822</v>
      </c>
      <c r="AG1314">
        <f t="shared" si="297"/>
        <v>0.15772971010273965</v>
      </c>
      <c r="AH1314">
        <f t="shared" si="298"/>
        <v>1.456</v>
      </c>
      <c r="AI1314">
        <f>HLOOKUP(HLOOKUP(G1314,'THP2'!$B$4:$J$8,5,FALSE),'Fuel &amp; Resister'!$B$3:$G$6,4,FALSE)</f>
        <v>2.7360666666666664</v>
      </c>
      <c r="AJ1314" s="41">
        <f>HLOOKUP(HLOOKUP(G1314,'THP2'!$B$4:$J$8,5,FALSE),'Fuel &amp; Resister'!$B$3:$G$6,3,FALSE)</f>
        <v>13.019</v>
      </c>
    </row>
    <row r="1315" spans="2:36" x14ac:dyDescent="0.15">
      <c r="B1315" s="81" t="s">
        <v>601</v>
      </c>
      <c r="C1315" s="61">
        <f>VLOOKUP(B1315,[1]SYS!$F$5:$G$359,2,FALSE)</f>
        <v>220</v>
      </c>
      <c r="D1315" s="1" t="s">
        <v>50</v>
      </c>
      <c r="E1315" s="65" t="s">
        <v>540</v>
      </c>
      <c r="F1315" s="63" t="s">
        <v>546</v>
      </c>
      <c r="G1315" s="1">
        <v>8</v>
      </c>
      <c r="H1315" s="1">
        <f t="shared" si="291"/>
        <v>0.40041067761806981</v>
      </c>
      <c r="I1315" s="1">
        <f t="shared" si="299"/>
        <v>0.48699999999999999</v>
      </c>
      <c r="J1315" s="1">
        <f t="shared" si="300"/>
        <v>1.749999999999996E-2</v>
      </c>
      <c r="K1315" s="1">
        <f t="shared" si="292"/>
        <v>2.0775799999999998</v>
      </c>
      <c r="L1315" s="1">
        <f t="shared" si="293"/>
        <v>1.59259</v>
      </c>
      <c r="M1315" s="49">
        <v>0</v>
      </c>
      <c r="N1315" s="49">
        <v>0.10890000000000001</v>
      </c>
      <c r="O1315" s="1">
        <v>107</v>
      </c>
      <c r="P1315" s="51">
        <v>0.05</v>
      </c>
      <c r="Q1315" s="51">
        <v>11</v>
      </c>
      <c r="R1315" s="51">
        <v>0</v>
      </c>
      <c r="S1315" s="1">
        <v>1</v>
      </c>
      <c r="T1315" s="1">
        <v>0</v>
      </c>
      <c r="U1315" s="47">
        <v>0</v>
      </c>
      <c r="V1315" s="47"/>
      <c r="W1315" s="41">
        <v>195</v>
      </c>
      <c r="X1315">
        <v>487</v>
      </c>
      <c r="Y1315">
        <v>0.98250000000000004</v>
      </c>
      <c r="Z1315">
        <v>2077.58</v>
      </c>
      <c r="AA1315">
        <v>1592.59</v>
      </c>
      <c r="AB1315">
        <v>145.6</v>
      </c>
      <c r="AC1315">
        <v>36</v>
      </c>
      <c r="AD1315" s="41">
        <f t="shared" si="294"/>
        <v>0.41394314539030991</v>
      </c>
      <c r="AE1315" s="41">
        <f t="shared" si="295"/>
        <v>0.54000087907119854</v>
      </c>
      <c r="AF1315">
        <f t="shared" si="296"/>
        <v>1.268709691780822</v>
      </c>
      <c r="AG1315">
        <f t="shared" si="297"/>
        <v>0.15772971010273965</v>
      </c>
      <c r="AH1315">
        <f t="shared" si="298"/>
        <v>1.456</v>
      </c>
      <c r="AI1315">
        <f>HLOOKUP(HLOOKUP(G1315,'THP2'!$B$4:$J$8,5,FALSE),'Fuel &amp; Resister'!$B$3:$G$6,4,FALSE)</f>
        <v>2.7360666666666664</v>
      </c>
      <c r="AJ1315" s="41">
        <f>HLOOKUP(HLOOKUP(G1315,'THP2'!$B$4:$J$8,5,FALSE),'Fuel &amp; Resister'!$B$3:$G$6,3,FALSE)</f>
        <v>13.019</v>
      </c>
    </row>
    <row r="1316" spans="2:36" x14ac:dyDescent="0.15">
      <c r="B1316" s="81" t="s">
        <v>601</v>
      </c>
      <c r="C1316" s="61">
        <f>VLOOKUP(B1316,[1]SYS!$F$5:$G$359,2,FALSE)</f>
        <v>220</v>
      </c>
      <c r="D1316" s="1" t="s">
        <v>50</v>
      </c>
      <c r="E1316" s="65" t="s">
        <v>540</v>
      </c>
      <c r="F1316" s="63" t="s">
        <v>546</v>
      </c>
      <c r="G1316" s="1">
        <v>8</v>
      </c>
      <c r="H1316" s="1">
        <f t="shared" si="291"/>
        <v>0.40041067761806981</v>
      </c>
      <c r="I1316" s="1">
        <f t="shared" si="299"/>
        <v>0.48699999999999999</v>
      </c>
      <c r="J1316" s="1">
        <f t="shared" si="300"/>
        <v>1.749999999999996E-2</v>
      </c>
      <c r="K1316" s="1">
        <f t="shared" si="292"/>
        <v>2.0775799999999998</v>
      </c>
      <c r="L1316" s="1">
        <f t="shared" si="293"/>
        <v>1.59259</v>
      </c>
      <c r="M1316" s="49">
        <v>0</v>
      </c>
      <c r="N1316" s="49">
        <v>0.10890000000000001</v>
      </c>
      <c r="O1316" s="1">
        <v>804</v>
      </c>
      <c r="P1316" s="51">
        <v>0.05</v>
      </c>
      <c r="Q1316" s="51">
        <v>11</v>
      </c>
      <c r="R1316" s="51">
        <v>0</v>
      </c>
      <c r="S1316" s="1">
        <v>1</v>
      </c>
      <c r="T1316" s="1">
        <v>0</v>
      </c>
      <c r="U1316" s="47">
        <v>0</v>
      </c>
      <c r="V1316" s="47"/>
      <c r="W1316" s="41">
        <v>195</v>
      </c>
      <c r="X1316">
        <v>487</v>
      </c>
      <c r="Y1316">
        <v>0.98250000000000004</v>
      </c>
      <c r="Z1316">
        <v>2077.58</v>
      </c>
      <c r="AA1316">
        <v>1592.59</v>
      </c>
      <c r="AB1316">
        <v>145.6</v>
      </c>
      <c r="AC1316">
        <v>36</v>
      </c>
      <c r="AD1316" s="41">
        <f t="shared" si="294"/>
        <v>0.41394314539030991</v>
      </c>
      <c r="AE1316" s="41">
        <f t="shared" si="295"/>
        <v>0.54000087907119854</v>
      </c>
      <c r="AF1316">
        <f t="shared" si="296"/>
        <v>1.268709691780822</v>
      </c>
      <c r="AG1316">
        <f t="shared" si="297"/>
        <v>0.15772971010273965</v>
      </c>
      <c r="AH1316">
        <f t="shared" si="298"/>
        <v>1.456</v>
      </c>
      <c r="AI1316">
        <f>HLOOKUP(HLOOKUP(G1316,'THP2'!$B$4:$J$8,5,FALSE),'Fuel &amp; Resister'!$B$3:$G$6,4,FALSE)</f>
        <v>2.7360666666666664</v>
      </c>
      <c r="AJ1316" s="41">
        <f>HLOOKUP(HLOOKUP(G1316,'THP2'!$B$4:$J$8,5,FALSE),'Fuel &amp; Resister'!$B$3:$G$6,3,FALSE)</f>
        <v>13.019</v>
      </c>
    </row>
    <row r="1317" spans="2:36" x14ac:dyDescent="0.15">
      <c r="B1317" s="81" t="s">
        <v>601</v>
      </c>
      <c r="C1317" s="61">
        <f>VLOOKUP(B1317,[1]SYS!$F$5:$G$359,2,FALSE)</f>
        <v>220</v>
      </c>
      <c r="D1317" s="1" t="s">
        <v>50</v>
      </c>
      <c r="E1317" s="65" t="s">
        <v>540</v>
      </c>
      <c r="F1317" s="63" t="s">
        <v>546</v>
      </c>
      <c r="G1317" s="1">
        <v>8</v>
      </c>
      <c r="H1317" s="1">
        <f t="shared" si="291"/>
        <v>0.40041067761806981</v>
      </c>
      <c r="I1317" s="1">
        <f t="shared" si="299"/>
        <v>0.48699999999999999</v>
      </c>
      <c r="J1317" s="1">
        <f t="shared" si="300"/>
        <v>1.749999999999996E-2</v>
      </c>
      <c r="K1317" s="1">
        <f t="shared" si="292"/>
        <v>2.0775799999999998</v>
      </c>
      <c r="L1317" s="1">
        <f t="shared" si="293"/>
        <v>1.59259</v>
      </c>
      <c r="M1317" s="49">
        <v>0</v>
      </c>
      <c r="N1317" s="49">
        <v>0.10890000000000001</v>
      </c>
      <c r="O1317" s="1">
        <v>909</v>
      </c>
      <c r="P1317" s="51">
        <v>0.05</v>
      </c>
      <c r="Q1317" s="51">
        <v>11</v>
      </c>
      <c r="R1317" s="51">
        <v>0</v>
      </c>
      <c r="S1317" s="1">
        <v>1</v>
      </c>
      <c r="T1317" s="1">
        <v>0</v>
      </c>
      <c r="U1317" s="47">
        <v>0</v>
      </c>
      <c r="V1317" s="47"/>
      <c r="W1317" s="41">
        <v>195</v>
      </c>
      <c r="X1317">
        <v>487</v>
      </c>
      <c r="Y1317">
        <v>0.98250000000000004</v>
      </c>
      <c r="Z1317">
        <v>2077.58</v>
      </c>
      <c r="AA1317">
        <v>1592.59</v>
      </c>
      <c r="AB1317">
        <v>145.6</v>
      </c>
      <c r="AC1317">
        <v>36</v>
      </c>
      <c r="AD1317" s="41">
        <f t="shared" si="294"/>
        <v>0.41394314539030991</v>
      </c>
      <c r="AE1317" s="41">
        <f t="shared" si="295"/>
        <v>0.54000087907119854</v>
      </c>
      <c r="AF1317">
        <f t="shared" si="296"/>
        <v>1.268709691780822</v>
      </c>
      <c r="AG1317">
        <f t="shared" si="297"/>
        <v>0.15772971010273965</v>
      </c>
      <c r="AH1317">
        <f t="shared" si="298"/>
        <v>1.456</v>
      </c>
      <c r="AI1317">
        <f>HLOOKUP(HLOOKUP(G1317,'THP2'!$B$4:$J$8,5,FALSE),'Fuel &amp; Resister'!$B$3:$G$6,4,FALSE)</f>
        <v>2.7360666666666664</v>
      </c>
      <c r="AJ1317" s="41">
        <f>HLOOKUP(HLOOKUP(G1317,'THP2'!$B$4:$J$8,5,FALSE),'Fuel &amp; Resister'!$B$3:$G$6,3,FALSE)</f>
        <v>13.019</v>
      </c>
    </row>
    <row r="1318" spans="2:36" x14ac:dyDescent="0.15">
      <c r="B1318" s="81" t="s">
        <v>601</v>
      </c>
      <c r="C1318" s="61">
        <f>VLOOKUP(B1318,[1]SYS!$F$5:$G$359,2,FALSE)</f>
        <v>220</v>
      </c>
      <c r="D1318" s="1" t="s">
        <v>50</v>
      </c>
      <c r="E1318" s="65" t="s">
        <v>540</v>
      </c>
      <c r="F1318" s="63" t="s">
        <v>546</v>
      </c>
      <c r="G1318" s="1">
        <v>8</v>
      </c>
      <c r="H1318" s="1">
        <f t="shared" si="291"/>
        <v>0.40041067761806981</v>
      </c>
      <c r="I1318" s="1">
        <f t="shared" si="299"/>
        <v>0.48699999999999999</v>
      </c>
      <c r="J1318" s="1">
        <f t="shared" si="300"/>
        <v>1.749999999999996E-2</v>
      </c>
      <c r="K1318" s="1">
        <f t="shared" si="292"/>
        <v>2.0775799999999998</v>
      </c>
      <c r="L1318" s="1">
        <f t="shared" si="293"/>
        <v>1.59259</v>
      </c>
      <c r="M1318" s="49">
        <v>0</v>
      </c>
      <c r="N1318" s="49">
        <v>0.10890000000000001</v>
      </c>
      <c r="O1318" s="1">
        <v>603</v>
      </c>
      <c r="P1318" s="51">
        <v>0.05</v>
      </c>
      <c r="Q1318" s="51">
        <v>11</v>
      </c>
      <c r="R1318" s="51">
        <v>0</v>
      </c>
      <c r="S1318" s="1">
        <v>1</v>
      </c>
      <c r="T1318" s="1">
        <v>0</v>
      </c>
      <c r="U1318" s="47">
        <v>0</v>
      </c>
      <c r="V1318" s="47"/>
      <c r="W1318" s="41">
        <v>195</v>
      </c>
      <c r="X1318">
        <v>487</v>
      </c>
      <c r="Y1318">
        <v>0.98250000000000004</v>
      </c>
      <c r="Z1318">
        <v>2077.58</v>
      </c>
      <c r="AA1318">
        <v>1592.59</v>
      </c>
      <c r="AB1318">
        <v>145.6</v>
      </c>
      <c r="AC1318">
        <v>36</v>
      </c>
      <c r="AD1318" s="41">
        <f t="shared" si="294"/>
        <v>0.41394314539030991</v>
      </c>
      <c r="AE1318" s="41">
        <f t="shared" si="295"/>
        <v>0.54000087907119854</v>
      </c>
      <c r="AF1318">
        <f t="shared" si="296"/>
        <v>1.268709691780822</v>
      </c>
      <c r="AG1318">
        <f t="shared" si="297"/>
        <v>0.15772971010273965</v>
      </c>
      <c r="AH1318">
        <f t="shared" si="298"/>
        <v>1.456</v>
      </c>
      <c r="AI1318">
        <f>HLOOKUP(HLOOKUP(G1318,'THP2'!$B$4:$J$8,5,FALSE),'Fuel &amp; Resister'!$B$3:$G$6,4,FALSE)</f>
        <v>2.7360666666666664</v>
      </c>
      <c r="AJ1318" s="41">
        <f>HLOOKUP(HLOOKUP(G1318,'THP2'!$B$4:$J$8,5,FALSE),'Fuel &amp; Resister'!$B$3:$G$6,3,FALSE)</f>
        <v>13.019</v>
      </c>
    </row>
    <row r="1319" spans="2:36" x14ac:dyDescent="0.15">
      <c r="B1319" s="81" t="s">
        <v>601</v>
      </c>
      <c r="C1319" s="61">
        <f>VLOOKUP(B1319,[1]SYS!$F$5:$G$359,2,FALSE)</f>
        <v>220</v>
      </c>
      <c r="D1319" s="1" t="s">
        <v>50</v>
      </c>
      <c r="E1319" s="65" t="s">
        <v>540</v>
      </c>
      <c r="F1319" s="63" t="s">
        <v>546</v>
      </c>
      <c r="G1319" s="1">
        <v>8</v>
      </c>
      <c r="H1319" s="1">
        <f t="shared" si="291"/>
        <v>0.40041067761806981</v>
      </c>
      <c r="I1319" s="1">
        <f t="shared" si="299"/>
        <v>0.48699999999999999</v>
      </c>
      <c r="J1319" s="1">
        <f t="shared" si="300"/>
        <v>1.749999999999996E-2</v>
      </c>
      <c r="K1319" s="1">
        <f t="shared" si="292"/>
        <v>2.0775799999999998</v>
      </c>
      <c r="L1319" s="1">
        <f t="shared" si="293"/>
        <v>1.59259</v>
      </c>
      <c r="M1319" s="49">
        <v>0</v>
      </c>
      <c r="N1319" s="49">
        <v>0.10890000000000001</v>
      </c>
      <c r="O1319" s="1">
        <v>709</v>
      </c>
      <c r="P1319" s="51">
        <v>0.05</v>
      </c>
      <c r="Q1319" s="51">
        <v>11</v>
      </c>
      <c r="R1319" s="51">
        <v>0</v>
      </c>
      <c r="S1319" s="1">
        <v>1</v>
      </c>
      <c r="T1319" s="1">
        <v>0</v>
      </c>
      <c r="U1319" s="47">
        <v>0</v>
      </c>
      <c r="V1319" s="47"/>
      <c r="W1319" s="41">
        <v>195</v>
      </c>
      <c r="X1319">
        <v>487</v>
      </c>
      <c r="Y1319">
        <v>0.98250000000000004</v>
      </c>
      <c r="Z1319">
        <v>2077.58</v>
      </c>
      <c r="AA1319">
        <v>1592.59</v>
      </c>
      <c r="AB1319">
        <v>145.6</v>
      </c>
      <c r="AC1319">
        <v>36</v>
      </c>
      <c r="AD1319" s="41">
        <f t="shared" si="294"/>
        <v>0.41394314539030991</v>
      </c>
      <c r="AE1319" s="41">
        <f t="shared" si="295"/>
        <v>0.54000087907119854</v>
      </c>
      <c r="AF1319">
        <f t="shared" si="296"/>
        <v>1.268709691780822</v>
      </c>
      <c r="AG1319">
        <f t="shared" si="297"/>
        <v>0.15772971010273965</v>
      </c>
      <c r="AH1319">
        <f t="shared" si="298"/>
        <v>1.456</v>
      </c>
      <c r="AI1319">
        <f>HLOOKUP(HLOOKUP(G1319,'THP2'!$B$4:$J$8,5,FALSE),'Fuel &amp; Resister'!$B$3:$G$6,4,FALSE)</f>
        <v>2.7360666666666664</v>
      </c>
      <c r="AJ1319" s="41">
        <f>HLOOKUP(HLOOKUP(G1319,'THP2'!$B$4:$J$8,5,FALSE),'Fuel &amp; Resister'!$B$3:$G$6,3,FALSE)</f>
        <v>13.019</v>
      </c>
    </row>
    <row r="1320" spans="2:36" x14ac:dyDescent="0.15">
      <c r="B1320" s="81" t="s">
        <v>601</v>
      </c>
      <c r="C1320" s="61">
        <f>VLOOKUP(B1320,[1]SYS!$F$5:$G$359,2,FALSE)</f>
        <v>220</v>
      </c>
      <c r="D1320" s="1" t="s">
        <v>50</v>
      </c>
      <c r="E1320" s="65" t="s">
        <v>540</v>
      </c>
      <c r="F1320" s="63" t="s">
        <v>546</v>
      </c>
      <c r="G1320" s="1">
        <v>8</v>
      </c>
      <c r="H1320" s="1">
        <f t="shared" si="291"/>
        <v>0.40041067761806981</v>
      </c>
      <c r="I1320" s="1">
        <f t="shared" si="299"/>
        <v>0.48699999999999999</v>
      </c>
      <c r="J1320" s="1">
        <f t="shared" si="300"/>
        <v>1.749999999999996E-2</v>
      </c>
      <c r="K1320" s="1">
        <f t="shared" si="292"/>
        <v>2.0775799999999998</v>
      </c>
      <c r="L1320" s="1">
        <f t="shared" si="293"/>
        <v>1.59259</v>
      </c>
      <c r="M1320" s="49">
        <v>0</v>
      </c>
      <c r="N1320" s="49">
        <v>0.10890000000000001</v>
      </c>
      <c r="O1320" s="1">
        <v>204</v>
      </c>
      <c r="P1320" s="51">
        <v>0.05</v>
      </c>
      <c r="Q1320" s="51">
        <v>11</v>
      </c>
      <c r="R1320" s="51">
        <v>0</v>
      </c>
      <c r="S1320" s="1">
        <v>1</v>
      </c>
      <c r="T1320" s="1">
        <v>0</v>
      </c>
      <c r="U1320" s="47">
        <v>0</v>
      </c>
      <c r="V1320" s="47"/>
      <c r="W1320" s="41">
        <v>195</v>
      </c>
      <c r="X1320">
        <v>487</v>
      </c>
      <c r="Y1320">
        <v>0.98250000000000004</v>
      </c>
      <c r="Z1320">
        <v>2077.58</v>
      </c>
      <c r="AA1320">
        <v>1592.59</v>
      </c>
      <c r="AB1320">
        <v>145.6</v>
      </c>
      <c r="AC1320">
        <v>36</v>
      </c>
      <c r="AD1320" s="41">
        <f t="shared" si="294"/>
        <v>0.41394314539030991</v>
      </c>
      <c r="AE1320" s="41">
        <f t="shared" si="295"/>
        <v>0.54000087907119854</v>
      </c>
      <c r="AF1320">
        <f t="shared" si="296"/>
        <v>1.268709691780822</v>
      </c>
      <c r="AG1320">
        <f t="shared" si="297"/>
        <v>0.15772971010273965</v>
      </c>
      <c r="AH1320">
        <f t="shared" si="298"/>
        <v>1.456</v>
      </c>
      <c r="AI1320">
        <f>HLOOKUP(HLOOKUP(G1320,'THP2'!$B$4:$J$8,5,FALSE),'Fuel &amp; Resister'!$B$3:$G$6,4,FALSE)</f>
        <v>2.7360666666666664</v>
      </c>
      <c r="AJ1320" s="41">
        <f>HLOOKUP(HLOOKUP(G1320,'THP2'!$B$4:$J$8,5,FALSE),'Fuel &amp; Resister'!$B$3:$G$6,3,FALSE)</f>
        <v>13.019</v>
      </c>
    </row>
    <row r="1321" spans="2:36" x14ac:dyDescent="0.15">
      <c r="B1321" s="81" t="s">
        <v>601</v>
      </c>
      <c r="C1321" s="61">
        <f>VLOOKUP(B1321,[1]SYS!$F$5:$G$359,2,FALSE)</f>
        <v>220</v>
      </c>
      <c r="D1321" s="1" t="s">
        <v>50</v>
      </c>
      <c r="E1321" s="65" t="s">
        <v>540</v>
      </c>
      <c r="F1321" s="63" t="s">
        <v>546</v>
      </c>
      <c r="G1321" s="1">
        <v>8</v>
      </c>
      <c r="H1321" s="1">
        <f t="shared" si="291"/>
        <v>0.40041067761806981</v>
      </c>
      <c r="I1321" s="1">
        <f t="shared" si="299"/>
        <v>0.48699999999999999</v>
      </c>
      <c r="J1321" s="1">
        <f t="shared" si="300"/>
        <v>1.749999999999996E-2</v>
      </c>
      <c r="K1321" s="1">
        <f t="shared" si="292"/>
        <v>2.0775799999999998</v>
      </c>
      <c r="L1321" s="1">
        <f t="shared" si="293"/>
        <v>1.59259</v>
      </c>
      <c r="M1321" s="49">
        <v>0</v>
      </c>
      <c r="N1321" s="49">
        <v>0.10890000000000001</v>
      </c>
      <c r="O1321" s="1">
        <v>1004</v>
      </c>
      <c r="P1321" s="51">
        <v>0.05</v>
      </c>
      <c r="Q1321" s="51">
        <v>11</v>
      </c>
      <c r="R1321" s="51">
        <v>0</v>
      </c>
      <c r="S1321" s="1">
        <v>1</v>
      </c>
      <c r="T1321" s="1">
        <v>0</v>
      </c>
      <c r="U1321" s="47">
        <v>0</v>
      </c>
      <c r="V1321" s="47"/>
      <c r="W1321" s="41">
        <v>195</v>
      </c>
      <c r="X1321">
        <v>487</v>
      </c>
      <c r="Y1321">
        <v>0.98250000000000004</v>
      </c>
      <c r="Z1321">
        <v>2077.58</v>
      </c>
      <c r="AA1321">
        <v>1592.59</v>
      </c>
      <c r="AB1321">
        <v>145.6</v>
      </c>
      <c r="AC1321">
        <v>36</v>
      </c>
      <c r="AD1321" s="41">
        <f t="shared" si="294"/>
        <v>0.41394314539030991</v>
      </c>
      <c r="AE1321" s="41">
        <f t="shared" si="295"/>
        <v>0.54000087907119854</v>
      </c>
      <c r="AF1321">
        <f t="shared" si="296"/>
        <v>1.268709691780822</v>
      </c>
      <c r="AG1321">
        <f t="shared" si="297"/>
        <v>0.15772971010273965</v>
      </c>
      <c r="AH1321">
        <f t="shared" si="298"/>
        <v>1.456</v>
      </c>
      <c r="AI1321">
        <f>HLOOKUP(HLOOKUP(G1321,'THP2'!$B$4:$J$8,5,FALSE),'Fuel &amp; Resister'!$B$3:$G$6,4,FALSE)</f>
        <v>2.7360666666666664</v>
      </c>
      <c r="AJ1321" s="41">
        <f>HLOOKUP(HLOOKUP(G1321,'THP2'!$B$4:$J$8,5,FALSE),'Fuel &amp; Resister'!$B$3:$G$6,3,FALSE)</f>
        <v>13.019</v>
      </c>
    </row>
    <row r="1322" spans="2:36" x14ac:dyDescent="0.15">
      <c r="B1322" s="81" t="s">
        <v>604</v>
      </c>
      <c r="C1322" s="61">
        <f>VLOOKUP(B1322,[1]SYS!$F$5:$G$359,2,FALSE)</f>
        <v>226</v>
      </c>
      <c r="D1322" s="1" t="s">
        <v>50</v>
      </c>
      <c r="E1322" s="65" t="s">
        <v>540</v>
      </c>
      <c r="F1322" s="63" t="s">
        <v>546</v>
      </c>
      <c r="G1322" s="1">
        <v>8</v>
      </c>
      <c r="H1322" s="1">
        <f t="shared" si="291"/>
        <v>0.40041067761806981</v>
      </c>
      <c r="I1322" s="1">
        <f t="shared" si="299"/>
        <v>0.48699999999999999</v>
      </c>
      <c r="J1322" s="1">
        <f t="shared" si="300"/>
        <v>1.749999999999996E-2</v>
      </c>
      <c r="K1322" s="1">
        <f t="shared" si="292"/>
        <v>2.0775799999999998</v>
      </c>
      <c r="L1322" s="1">
        <f t="shared" si="293"/>
        <v>1.59259</v>
      </c>
      <c r="M1322" s="49">
        <v>0</v>
      </c>
      <c r="N1322" s="49">
        <v>0.10890000000000001</v>
      </c>
      <c r="O1322" s="1">
        <v>1109</v>
      </c>
      <c r="P1322" s="51">
        <v>0.05</v>
      </c>
      <c r="Q1322" s="51">
        <v>11</v>
      </c>
      <c r="R1322" s="51">
        <v>0</v>
      </c>
      <c r="S1322" s="1">
        <v>1</v>
      </c>
      <c r="T1322" s="1">
        <v>0</v>
      </c>
      <c r="U1322" s="47">
        <v>0</v>
      </c>
      <c r="V1322" s="47"/>
      <c r="W1322" s="41">
        <v>195</v>
      </c>
      <c r="X1322">
        <v>487</v>
      </c>
      <c r="Y1322">
        <v>0.98250000000000004</v>
      </c>
      <c r="Z1322">
        <v>2077.58</v>
      </c>
      <c r="AA1322">
        <v>1592.59</v>
      </c>
      <c r="AB1322">
        <v>145.6</v>
      </c>
      <c r="AC1322">
        <v>36</v>
      </c>
      <c r="AD1322" s="41">
        <f t="shared" si="294"/>
        <v>0.41394314539030991</v>
      </c>
      <c r="AE1322" s="41">
        <f t="shared" si="295"/>
        <v>0.54000087907119854</v>
      </c>
      <c r="AF1322">
        <f t="shared" si="296"/>
        <v>1.268709691780822</v>
      </c>
      <c r="AG1322">
        <f t="shared" si="297"/>
        <v>0.15772971010273965</v>
      </c>
      <c r="AH1322">
        <f t="shared" si="298"/>
        <v>1.456</v>
      </c>
      <c r="AI1322">
        <f>HLOOKUP(HLOOKUP(G1322,'THP2'!$B$4:$J$8,5,FALSE),'Fuel &amp; Resister'!$B$3:$G$6,4,FALSE)</f>
        <v>2.7360666666666664</v>
      </c>
      <c r="AJ1322" s="41">
        <f>HLOOKUP(HLOOKUP(G1322,'THP2'!$B$4:$J$8,5,FALSE),'Fuel &amp; Resister'!$B$3:$G$6,3,FALSE)</f>
        <v>13.019</v>
      </c>
    </row>
    <row r="1323" spans="2:36" x14ac:dyDescent="0.15">
      <c r="B1323" s="81" t="s">
        <v>604</v>
      </c>
      <c r="C1323" s="61">
        <f>VLOOKUP(B1323,[1]SYS!$F$5:$G$359,2,FALSE)</f>
        <v>226</v>
      </c>
      <c r="D1323" s="1" t="s">
        <v>50</v>
      </c>
      <c r="E1323" s="65" t="s">
        <v>540</v>
      </c>
      <c r="F1323" s="63" t="s">
        <v>546</v>
      </c>
      <c r="G1323" s="1">
        <v>8</v>
      </c>
      <c r="H1323" s="1">
        <f t="shared" si="291"/>
        <v>0.40041067761806981</v>
      </c>
      <c r="I1323" s="1">
        <f t="shared" si="299"/>
        <v>0.48699999999999999</v>
      </c>
      <c r="J1323" s="1">
        <f t="shared" si="300"/>
        <v>1.749999999999996E-2</v>
      </c>
      <c r="K1323" s="1">
        <f t="shared" si="292"/>
        <v>2.0775799999999998</v>
      </c>
      <c r="L1323" s="1">
        <f t="shared" si="293"/>
        <v>1.59259</v>
      </c>
      <c r="M1323" s="49">
        <v>0</v>
      </c>
      <c r="N1323" s="49">
        <v>0.10890000000000001</v>
      </c>
      <c r="O1323" s="1">
        <v>401</v>
      </c>
      <c r="P1323" s="51">
        <v>0.05</v>
      </c>
      <c r="Q1323" s="51">
        <v>11</v>
      </c>
      <c r="R1323" s="51">
        <v>0</v>
      </c>
      <c r="S1323" s="1">
        <v>1</v>
      </c>
      <c r="T1323" s="1">
        <v>0</v>
      </c>
      <c r="U1323" s="47">
        <v>0</v>
      </c>
      <c r="V1323" s="47"/>
      <c r="W1323" s="41">
        <v>195</v>
      </c>
      <c r="X1323">
        <v>487</v>
      </c>
      <c r="Y1323">
        <v>0.98250000000000004</v>
      </c>
      <c r="Z1323">
        <v>2077.58</v>
      </c>
      <c r="AA1323">
        <v>1592.59</v>
      </c>
      <c r="AB1323">
        <v>145.6</v>
      </c>
      <c r="AC1323">
        <v>36</v>
      </c>
      <c r="AD1323" s="41">
        <f t="shared" si="294"/>
        <v>0.41394314539030991</v>
      </c>
      <c r="AE1323" s="41">
        <f t="shared" si="295"/>
        <v>0.54000087907119854</v>
      </c>
      <c r="AF1323">
        <f t="shared" si="296"/>
        <v>1.268709691780822</v>
      </c>
      <c r="AG1323">
        <f t="shared" si="297"/>
        <v>0.15772971010273965</v>
      </c>
      <c r="AH1323">
        <f t="shared" si="298"/>
        <v>1.456</v>
      </c>
      <c r="AI1323">
        <f>HLOOKUP(HLOOKUP(G1323,'THP2'!$B$4:$J$8,5,FALSE),'Fuel &amp; Resister'!$B$3:$G$6,4,FALSE)</f>
        <v>2.7360666666666664</v>
      </c>
      <c r="AJ1323" s="41">
        <f>HLOOKUP(HLOOKUP(G1323,'THP2'!$B$4:$J$8,5,FALSE),'Fuel &amp; Resister'!$B$3:$G$6,3,FALSE)</f>
        <v>13.019</v>
      </c>
    </row>
    <row r="1324" spans="2:36" x14ac:dyDescent="0.15">
      <c r="B1324" s="81" t="s">
        <v>604</v>
      </c>
      <c r="C1324" s="61">
        <f>VLOOKUP(B1324,[1]SYS!$F$5:$G$359,2,FALSE)</f>
        <v>226</v>
      </c>
      <c r="D1324" s="1" t="s">
        <v>50</v>
      </c>
      <c r="E1324" s="65" t="s">
        <v>540</v>
      </c>
      <c r="F1324" s="63" t="s">
        <v>546</v>
      </c>
      <c r="G1324" s="1">
        <v>8</v>
      </c>
      <c r="H1324" s="1">
        <f t="shared" si="291"/>
        <v>0.40041067761806981</v>
      </c>
      <c r="I1324" s="1">
        <f t="shared" si="299"/>
        <v>0.48699999999999999</v>
      </c>
      <c r="J1324" s="1">
        <f t="shared" si="300"/>
        <v>1.749999999999996E-2</v>
      </c>
      <c r="K1324" s="1">
        <f t="shared" si="292"/>
        <v>2.0775799999999998</v>
      </c>
      <c r="L1324" s="1">
        <f t="shared" si="293"/>
        <v>1.59259</v>
      </c>
      <c r="M1324" s="49">
        <v>0</v>
      </c>
      <c r="N1324" s="49">
        <v>0.10890000000000001</v>
      </c>
      <c r="O1324" s="1">
        <v>507</v>
      </c>
      <c r="P1324" s="51">
        <v>0.05</v>
      </c>
      <c r="Q1324" s="51">
        <v>11</v>
      </c>
      <c r="R1324" s="51">
        <v>0</v>
      </c>
      <c r="S1324" s="1">
        <v>1</v>
      </c>
      <c r="T1324" s="1">
        <v>0</v>
      </c>
      <c r="U1324" s="47">
        <v>0</v>
      </c>
      <c r="V1324" s="47"/>
      <c r="W1324" s="41">
        <v>195</v>
      </c>
      <c r="X1324">
        <v>487</v>
      </c>
      <c r="Y1324">
        <v>0.98250000000000004</v>
      </c>
      <c r="Z1324">
        <v>2077.58</v>
      </c>
      <c r="AA1324">
        <v>1592.59</v>
      </c>
      <c r="AB1324">
        <v>145.6</v>
      </c>
      <c r="AC1324">
        <v>36</v>
      </c>
      <c r="AD1324" s="41">
        <f t="shared" si="294"/>
        <v>0.41394314539030991</v>
      </c>
      <c r="AE1324" s="41">
        <f t="shared" si="295"/>
        <v>0.54000087907119854</v>
      </c>
      <c r="AF1324">
        <f t="shared" si="296"/>
        <v>1.268709691780822</v>
      </c>
      <c r="AG1324">
        <f t="shared" si="297"/>
        <v>0.15772971010273965</v>
      </c>
      <c r="AH1324">
        <f t="shared" si="298"/>
        <v>1.456</v>
      </c>
      <c r="AI1324">
        <f>HLOOKUP(HLOOKUP(G1324,'THP2'!$B$4:$J$8,5,FALSE),'Fuel &amp; Resister'!$B$3:$G$6,4,FALSE)</f>
        <v>2.7360666666666664</v>
      </c>
      <c r="AJ1324" s="41">
        <f>HLOOKUP(HLOOKUP(G1324,'THP2'!$B$4:$J$8,5,FALSE),'Fuel &amp; Resister'!$B$3:$G$6,3,FALSE)</f>
        <v>13.019</v>
      </c>
    </row>
    <row r="1325" spans="2:36" x14ac:dyDescent="0.15">
      <c r="B1325" s="81" t="s">
        <v>637</v>
      </c>
      <c r="C1325" s="61">
        <f>VLOOKUP(B1325,[1]SYS!$F$5:$G$359,2,FALSE)</f>
        <v>258</v>
      </c>
      <c r="D1325" s="1" t="s">
        <v>50</v>
      </c>
      <c r="E1325" s="65" t="s">
        <v>274</v>
      </c>
      <c r="F1325" s="63" t="s">
        <v>495</v>
      </c>
      <c r="G1325" s="1">
        <v>8</v>
      </c>
      <c r="H1325" s="1">
        <f t="shared" si="291"/>
        <v>0.48442906574394462</v>
      </c>
      <c r="I1325" s="1">
        <f t="shared" si="299"/>
        <v>0.28899999999999998</v>
      </c>
      <c r="J1325" s="1">
        <f t="shared" si="300"/>
        <v>2.0000000000000018E-2</v>
      </c>
      <c r="K1325" s="1">
        <f t="shared" si="292"/>
        <v>1.7941500000000001</v>
      </c>
      <c r="L1325" s="1">
        <f t="shared" si="293"/>
        <v>1.6764100000000002</v>
      </c>
      <c r="M1325" s="49">
        <v>0</v>
      </c>
      <c r="N1325" s="49">
        <v>1.2421</v>
      </c>
      <c r="O1325" s="1">
        <v>125</v>
      </c>
      <c r="P1325" s="51">
        <v>0.05</v>
      </c>
      <c r="Q1325" s="51">
        <v>11</v>
      </c>
      <c r="R1325" s="51">
        <v>0</v>
      </c>
      <c r="S1325" s="1">
        <v>1</v>
      </c>
      <c r="T1325" s="1">
        <v>0</v>
      </c>
      <c r="U1325" s="47">
        <v>1</v>
      </c>
      <c r="V1325" s="47">
        <v>297</v>
      </c>
      <c r="W1325" s="41">
        <v>140</v>
      </c>
      <c r="X1325">
        <v>289</v>
      </c>
      <c r="Y1325">
        <v>0.98</v>
      </c>
      <c r="Z1325">
        <v>1794.15</v>
      </c>
      <c r="AA1325">
        <v>1676.41</v>
      </c>
      <c r="AB1325">
        <v>124.21</v>
      </c>
      <c r="AC1325">
        <v>36</v>
      </c>
      <c r="AD1325" s="41">
        <f t="shared" si="294"/>
        <v>0.47933561853802636</v>
      </c>
      <c r="AE1325" s="41">
        <f t="shared" si="295"/>
        <v>0.51300099617635297</v>
      </c>
      <c r="AF1325">
        <f t="shared" si="296"/>
        <v>1.5657818120805371</v>
      </c>
      <c r="AG1325">
        <f t="shared" si="297"/>
        <v>3.197154630872482E-2</v>
      </c>
      <c r="AH1325">
        <f t="shared" si="298"/>
        <v>1.2421</v>
      </c>
      <c r="AI1325">
        <f>HLOOKUP(HLOOKUP(G1325,'THP2'!$B$4:$J$8,5,FALSE),'Fuel &amp; Resister'!$B$3:$G$6,4,FALSE)</f>
        <v>2.7360666666666664</v>
      </c>
      <c r="AJ1325" s="41">
        <f>HLOOKUP(HLOOKUP(G1325,'THP2'!$B$4:$J$8,5,FALSE),'Fuel &amp; Resister'!$B$3:$G$6,3,FALSE)</f>
        <v>13.019</v>
      </c>
    </row>
    <row r="1326" spans="2:36" x14ac:dyDescent="0.15">
      <c r="B1326" s="81" t="s">
        <v>638</v>
      </c>
      <c r="C1326" s="61">
        <f>VLOOKUP(B1326,[1]SYS!$F$5:$G$359,2,FALSE)</f>
        <v>272</v>
      </c>
      <c r="D1326" s="1" t="s">
        <v>50</v>
      </c>
      <c r="E1326" s="65" t="s">
        <v>275</v>
      </c>
      <c r="F1326" s="63" t="s">
        <v>495</v>
      </c>
      <c r="G1326" s="1">
        <v>8</v>
      </c>
      <c r="H1326" s="1">
        <f t="shared" si="291"/>
        <v>0.30405405405405406</v>
      </c>
      <c r="I1326" s="1">
        <f t="shared" si="299"/>
        <v>0.29599999999999999</v>
      </c>
      <c r="J1326" s="1">
        <f t="shared" si="300"/>
        <v>2.0000000000000018E-2</v>
      </c>
      <c r="K1326" s="1">
        <f t="shared" si="292"/>
        <v>2.0613000000000001</v>
      </c>
      <c r="L1326" s="1">
        <f t="shared" si="293"/>
        <v>1.7199</v>
      </c>
      <c r="M1326" s="49">
        <v>0</v>
      </c>
      <c r="N1326" s="49">
        <v>1.2497</v>
      </c>
      <c r="O1326" s="6">
        <v>314</v>
      </c>
      <c r="P1326" s="51">
        <v>0.05</v>
      </c>
      <c r="Q1326" s="51">
        <v>11</v>
      </c>
      <c r="R1326" s="51">
        <v>0</v>
      </c>
      <c r="S1326" s="1">
        <v>1</v>
      </c>
      <c r="T1326" s="1">
        <v>0</v>
      </c>
      <c r="U1326" s="47">
        <v>1</v>
      </c>
      <c r="V1326" s="47">
        <v>298</v>
      </c>
      <c r="W1326" s="41">
        <v>90</v>
      </c>
      <c r="X1326">
        <v>296</v>
      </c>
      <c r="Y1326">
        <v>0.98</v>
      </c>
      <c r="Z1326">
        <v>2061.3000000000002</v>
      </c>
      <c r="AA1326">
        <v>1719.9</v>
      </c>
      <c r="AB1326">
        <v>124.97</v>
      </c>
      <c r="AC1326">
        <v>36</v>
      </c>
      <c r="AD1326" s="41">
        <f t="shared" si="294"/>
        <v>0.41721243875224373</v>
      </c>
      <c r="AE1326" s="41">
        <f t="shared" si="295"/>
        <v>0.50002907145764286</v>
      </c>
      <c r="AF1326">
        <f t="shared" si="296"/>
        <v>1.5707446601941748</v>
      </c>
      <c r="AG1326">
        <f t="shared" si="297"/>
        <v>4.4149980582524249E-2</v>
      </c>
      <c r="AH1326">
        <f t="shared" si="298"/>
        <v>1.2497</v>
      </c>
      <c r="AI1326">
        <f>HLOOKUP(HLOOKUP(G1326,'THP2'!$B$4:$J$8,5,FALSE),'Fuel &amp; Resister'!$B$3:$G$6,4,FALSE)</f>
        <v>2.7360666666666664</v>
      </c>
      <c r="AJ1326" s="41">
        <f>HLOOKUP(HLOOKUP(G1326,'THP2'!$B$4:$J$8,5,FALSE),'Fuel &amp; Resister'!$B$3:$G$6,3,FALSE)</f>
        <v>13.019</v>
      </c>
    </row>
    <row r="1327" spans="2:36" x14ac:dyDescent="0.15">
      <c r="B1327" s="81" t="s">
        <v>639</v>
      </c>
      <c r="C1327" s="61">
        <f>VLOOKUP(B1327,[1]SYS!$F$5:$G$359,2,FALSE)</f>
        <v>256</v>
      </c>
      <c r="D1327" s="1" t="s">
        <v>50</v>
      </c>
      <c r="E1327" s="65" t="s">
        <v>276</v>
      </c>
      <c r="F1327" s="63" t="s">
        <v>526</v>
      </c>
      <c r="G1327" s="1">
        <v>8</v>
      </c>
      <c r="H1327" s="1">
        <f t="shared" si="291"/>
        <v>0.4</v>
      </c>
      <c r="I1327" s="1">
        <f t="shared" si="299"/>
        <v>0.15</v>
      </c>
      <c r="J1327" s="1">
        <f t="shared" si="300"/>
        <v>2.0000000000000018E-2</v>
      </c>
      <c r="K1327" s="1">
        <f t="shared" si="292"/>
        <v>2.49309</v>
      </c>
      <c r="L1327" s="1">
        <f t="shared" si="293"/>
        <v>1.9111099999999999</v>
      </c>
      <c r="M1327" s="49">
        <v>0</v>
      </c>
      <c r="N1327" s="49">
        <v>0.495</v>
      </c>
      <c r="O1327" s="1">
        <v>613</v>
      </c>
      <c r="P1327" s="51">
        <v>0.05</v>
      </c>
      <c r="Q1327" s="51">
        <v>11</v>
      </c>
      <c r="R1327" s="51">
        <v>0</v>
      </c>
      <c r="S1327" s="1">
        <v>1</v>
      </c>
      <c r="T1327" s="1">
        <v>0</v>
      </c>
      <c r="U1327" s="47">
        <v>1</v>
      </c>
      <c r="V1327" s="47">
        <v>299</v>
      </c>
      <c r="W1327" s="41">
        <v>60</v>
      </c>
      <c r="X1327">
        <v>150</v>
      </c>
      <c r="Y1327">
        <v>0.98</v>
      </c>
      <c r="Z1327">
        <v>2493.09</v>
      </c>
      <c r="AA1327">
        <v>1911.11</v>
      </c>
      <c r="AB1327">
        <v>49.5</v>
      </c>
      <c r="AC1327">
        <v>36</v>
      </c>
      <c r="AD1327" s="41">
        <f t="shared" si="294"/>
        <v>0.34495345133950234</v>
      </c>
      <c r="AE1327" s="41">
        <f t="shared" si="295"/>
        <v>0.45000026162805912</v>
      </c>
      <c r="AF1327">
        <f t="shared" si="296"/>
        <v>1.5231233333333332</v>
      </c>
      <c r="AG1327">
        <f t="shared" si="297"/>
        <v>5.8198E-2</v>
      </c>
      <c r="AH1327">
        <f t="shared" si="298"/>
        <v>0.495</v>
      </c>
      <c r="AI1327">
        <f>HLOOKUP(HLOOKUP(G1327,'THP2'!$B$4:$J$8,5,FALSE),'Fuel &amp; Resister'!$B$3:$G$6,4,FALSE)</f>
        <v>2.7360666666666664</v>
      </c>
      <c r="AJ1327" s="41">
        <f>HLOOKUP(HLOOKUP(G1327,'THP2'!$B$4:$J$8,5,FALSE),'Fuel &amp; Resister'!$B$3:$G$6,3,FALSE)</f>
        <v>13.019</v>
      </c>
    </row>
    <row r="1328" spans="2:36" x14ac:dyDescent="0.15">
      <c r="B1328" s="81" t="s">
        <v>606</v>
      </c>
      <c r="C1328" s="61">
        <f>VLOOKUP(B1328,[1]SYS!$F$5:$G$359,2,FALSE)</f>
        <v>260</v>
      </c>
      <c r="D1328" s="1" t="s">
        <v>50</v>
      </c>
      <c r="E1328" s="65" t="s">
        <v>538</v>
      </c>
      <c r="F1328" s="63" t="s">
        <v>548</v>
      </c>
      <c r="G1328" s="1">
        <v>8</v>
      </c>
      <c r="H1328" s="1">
        <f t="shared" si="291"/>
        <v>0.48442906574394462</v>
      </c>
      <c r="I1328" s="1">
        <f t="shared" si="299"/>
        <v>0.28899999999999998</v>
      </c>
      <c r="J1328" s="1">
        <f t="shared" si="300"/>
        <v>2.0000000000000018E-2</v>
      </c>
      <c r="K1328" s="1">
        <f t="shared" si="292"/>
        <v>1.7941500000000001</v>
      </c>
      <c r="L1328" s="1">
        <f t="shared" si="293"/>
        <v>1.6764100000000002</v>
      </c>
      <c r="M1328" s="49">
        <v>0</v>
      </c>
      <c r="N1328" s="49">
        <f>AB1328/100</f>
        <v>1.2421</v>
      </c>
      <c r="O1328" s="1">
        <v>413</v>
      </c>
      <c r="P1328" s="51">
        <v>0.05</v>
      </c>
      <c r="Q1328" s="51">
        <v>11</v>
      </c>
      <c r="R1328" s="51">
        <v>0</v>
      </c>
      <c r="S1328" s="1">
        <v>1</v>
      </c>
      <c r="T1328" s="1">
        <v>0</v>
      </c>
      <c r="U1328" s="47">
        <v>0</v>
      </c>
      <c r="V1328" s="47"/>
      <c r="W1328">
        <v>140</v>
      </c>
      <c r="X1328">
        <v>289</v>
      </c>
      <c r="Y1328">
        <v>0.98</v>
      </c>
      <c r="Z1328">
        <v>1794.15</v>
      </c>
      <c r="AA1328" s="41">
        <v>1676.41</v>
      </c>
      <c r="AB1328" s="41">
        <v>124.21</v>
      </c>
      <c r="AC1328">
        <v>36</v>
      </c>
      <c r="AD1328" s="41">
        <f t="shared" si="294"/>
        <v>0.47933561853802636</v>
      </c>
      <c r="AE1328" s="41">
        <f t="shared" si="295"/>
        <v>0.51300099617635297</v>
      </c>
      <c r="AF1328">
        <f t="shared" si="296"/>
        <v>1.5657818120805371</v>
      </c>
      <c r="AG1328">
        <f t="shared" si="297"/>
        <v>3.197154630872482E-2</v>
      </c>
      <c r="AH1328">
        <f t="shared" si="298"/>
        <v>1.2421</v>
      </c>
      <c r="AI1328">
        <f>HLOOKUP(HLOOKUP(G1328,'THP2'!$B$4:$J$8,5,FALSE),'Fuel &amp; Resister'!$B$3:$G$6,4,FALSE)</f>
        <v>2.7360666666666664</v>
      </c>
      <c r="AJ1328" s="41">
        <f>HLOOKUP(HLOOKUP(G1328,'THP2'!$B$4:$J$8,5,FALSE),'Fuel &amp; Resister'!$B$3:$G$6,3,FALSE)</f>
        <v>13.019</v>
      </c>
    </row>
    <row r="1329" spans="2:36" x14ac:dyDescent="0.15">
      <c r="B1329" s="81" t="s">
        <v>606</v>
      </c>
      <c r="C1329" s="61">
        <f>VLOOKUP(B1329,[1]SYS!$F$5:$G$359,2,FALSE)</f>
        <v>260</v>
      </c>
      <c r="D1329" s="1" t="s">
        <v>50</v>
      </c>
      <c r="E1329" s="65" t="s">
        <v>538</v>
      </c>
      <c r="F1329" s="63" t="s">
        <v>548</v>
      </c>
      <c r="G1329" s="1">
        <v>8</v>
      </c>
      <c r="H1329" s="1">
        <f t="shared" si="291"/>
        <v>0.48442906574394462</v>
      </c>
      <c r="I1329" s="1">
        <f t="shared" si="299"/>
        <v>0.28899999999999998</v>
      </c>
      <c r="J1329" s="1">
        <f t="shared" si="300"/>
        <v>2.0000000000000018E-2</v>
      </c>
      <c r="K1329" s="1">
        <f t="shared" si="292"/>
        <v>1.7941500000000001</v>
      </c>
      <c r="L1329" s="1">
        <f t="shared" si="293"/>
        <v>1.6764100000000002</v>
      </c>
      <c r="M1329" s="49">
        <v>0</v>
      </c>
      <c r="N1329" s="49">
        <f t="shared" ref="N1329:N1334" si="301">AB1329/100</f>
        <v>1.2421</v>
      </c>
      <c r="O1329" s="1">
        <v>613</v>
      </c>
      <c r="P1329" s="51">
        <v>0.05</v>
      </c>
      <c r="Q1329" s="51">
        <v>11</v>
      </c>
      <c r="R1329" s="51">
        <v>0</v>
      </c>
      <c r="S1329" s="1">
        <v>1</v>
      </c>
      <c r="T1329" s="1">
        <v>0</v>
      </c>
      <c r="U1329" s="47">
        <v>0</v>
      </c>
      <c r="V1329" s="47"/>
      <c r="W1329">
        <v>140</v>
      </c>
      <c r="X1329">
        <v>289</v>
      </c>
      <c r="Y1329">
        <v>0.98</v>
      </c>
      <c r="Z1329">
        <v>1794.15</v>
      </c>
      <c r="AA1329" s="41">
        <v>1676.41</v>
      </c>
      <c r="AB1329" s="41">
        <v>124.21</v>
      </c>
      <c r="AC1329">
        <v>36</v>
      </c>
      <c r="AD1329" s="41">
        <f t="shared" si="294"/>
        <v>0.47933561853802636</v>
      </c>
      <c r="AE1329" s="41">
        <f t="shared" si="295"/>
        <v>0.51300099617635297</v>
      </c>
      <c r="AF1329">
        <f t="shared" si="296"/>
        <v>1.5657818120805371</v>
      </c>
      <c r="AG1329">
        <f t="shared" si="297"/>
        <v>3.197154630872482E-2</v>
      </c>
      <c r="AH1329">
        <f t="shared" si="298"/>
        <v>1.2421</v>
      </c>
      <c r="AI1329">
        <f>HLOOKUP(HLOOKUP(G1329,'THP2'!$B$4:$J$8,5,FALSE),'Fuel &amp; Resister'!$B$3:$G$6,4,FALSE)</f>
        <v>2.7360666666666664</v>
      </c>
      <c r="AJ1329" s="41">
        <f>HLOOKUP(HLOOKUP(G1329,'THP2'!$B$4:$J$8,5,FALSE),'Fuel &amp; Resister'!$B$3:$G$6,3,FALSE)</f>
        <v>13.019</v>
      </c>
    </row>
    <row r="1330" spans="2:36" x14ac:dyDescent="0.15">
      <c r="B1330" s="81" t="s">
        <v>606</v>
      </c>
      <c r="C1330" s="61">
        <f>VLOOKUP(B1330,[1]SYS!$F$5:$G$359,2,FALSE)</f>
        <v>260</v>
      </c>
      <c r="D1330" s="1" t="s">
        <v>50</v>
      </c>
      <c r="E1330" s="65" t="s">
        <v>538</v>
      </c>
      <c r="F1330" s="63" t="s">
        <v>548</v>
      </c>
      <c r="G1330" s="1">
        <v>8</v>
      </c>
      <c r="H1330" s="1">
        <f t="shared" si="291"/>
        <v>0.48442906574394462</v>
      </c>
      <c r="I1330" s="1">
        <f t="shared" si="299"/>
        <v>0.28899999999999998</v>
      </c>
      <c r="J1330" s="1">
        <f t="shared" si="300"/>
        <v>2.0000000000000018E-2</v>
      </c>
      <c r="K1330" s="1">
        <f t="shared" si="292"/>
        <v>1.7941500000000001</v>
      </c>
      <c r="L1330" s="1">
        <f t="shared" si="293"/>
        <v>1.6764100000000002</v>
      </c>
      <c r="M1330" s="49">
        <v>0</v>
      </c>
      <c r="N1330" s="49">
        <f t="shared" si="301"/>
        <v>1.2421</v>
      </c>
      <c r="O1330" s="1">
        <v>1113</v>
      </c>
      <c r="P1330" s="51">
        <v>0.05</v>
      </c>
      <c r="Q1330" s="51">
        <v>11</v>
      </c>
      <c r="R1330" s="51">
        <v>0</v>
      </c>
      <c r="S1330" s="1">
        <v>1</v>
      </c>
      <c r="T1330" s="1">
        <v>0</v>
      </c>
      <c r="U1330" s="47">
        <v>0</v>
      </c>
      <c r="V1330" s="47"/>
      <c r="W1330">
        <v>140</v>
      </c>
      <c r="X1330">
        <v>289</v>
      </c>
      <c r="Y1330">
        <v>0.98</v>
      </c>
      <c r="Z1330">
        <v>1794.15</v>
      </c>
      <c r="AA1330" s="41">
        <v>1676.41</v>
      </c>
      <c r="AB1330" s="41">
        <v>124.21</v>
      </c>
      <c r="AC1330">
        <v>36</v>
      </c>
      <c r="AD1330" s="41">
        <f t="shared" si="294"/>
        <v>0.47933561853802636</v>
      </c>
      <c r="AE1330" s="41">
        <f t="shared" si="295"/>
        <v>0.51300099617635297</v>
      </c>
      <c r="AF1330">
        <f t="shared" si="296"/>
        <v>1.5657818120805371</v>
      </c>
      <c r="AG1330">
        <f t="shared" si="297"/>
        <v>3.197154630872482E-2</v>
      </c>
      <c r="AH1330">
        <f t="shared" si="298"/>
        <v>1.2421</v>
      </c>
      <c r="AI1330">
        <f>HLOOKUP(HLOOKUP(G1330,'THP2'!$B$4:$J$8,5,FALSE),'Fuel &amp; Resister'!$B$3:$G$6,4,FALSE)</f>
        <v>2.7360666666666664</v>
      </c>
      <c r="AJ1330" s="41">
        <f>HLOOKUP(HLOOKUP(G1330,'THP2'!$B$4:$J$8,5,FALSE),'Fuel &amp; Resister'!$B$3:$G$6,3,FALSE)</f>
        <v>13.019</v>
      </c>
    </row>
    <row r="1331" spans="2:36" x14ac:dyDescent="0.15">
      <c r="B1331" s="81" t="s">
        <v>606</v>
      </c>
      <c r="C1331" s="61">
        <f>VLOOKUP(B1331,[1]SYS!$F$5:$G$359,2,FALSE)</f>
        <v>260</v>
      </c>
      <c r="D1331" s="1" t="s">
        <v>50</v>
      </c>
      <c r="E1331" s="65" t="s">
        <v>538</v>
      </c>
      <c r="F1331" s="63" t="s">
        <v>548</v>
      </c>
      <c r="G1331" s="1">
        <v>8</v>
      </c>
      <c r="H1331" s="1">
        <f t="shared" si="291"/>
        <v>0.48442906574394462</v>
      </c>
      <c r="I1331" s="1">
        <f t="shared" si="299"/>
        <v>0.28899999999999998</v>
      </c>
      <c r="J1331" s="1">
        <f t="shared" si="300"/>
        <v>2.0000000000000018E-2</v>
      </c>
      <c r="K1331" s="1">
        <f t="shared" si="292"/>
        <v>1.7941500000000001</v>
      </c>
      <c r="L1331" s="1">
        <f t="shared" si="293"/>
        <v>1.6764100000000002</v>
      </c>
      <c r="M1331" s="49">
        <v>0</v>
      </c>
      <c r="N1331" s="49">
        <f t="shared" si="301"/>
        <v>1.2421</v>
      </c>
      <c r="O1331" s="1">
        <v>403</v>
      </c>
      <c r="P1331" s="51">
        <v>0.05</v>
      </c>
      <c r="Q1331" s="51">
        <v>11</v>
      </c>
      <c r="R1331" s="51">
        <v>0</v>
      </c>
      <c r="S1331" s="1">
        <v>1</v>
      </c>
      <c r="T1331" s="1">
        <v>0</v>
      </c>
      <c r="U1331" s="47">
        <v>0</v>
      </c>
      <c r="V1331" s="47"/>
      <c r="W1331">
        <v>140</v>
      </c>
      <c r="X1331">
        <v>289</v>
      </c>
      <c r="Y1331">
        <v>0.98</v>
      </c>
      <c r="Z1331">
        <v>1794.15</v>
      </c>
      <c r="AA1331" s="41">
        <v>1676.41</v>
      </c>
      <c r="AB1331" s="41">
        <v>124.21</v>
      </c>
      <c r="AC1331">
        <v>36</v>
      </c>
      <c r="AD1331" s="41">
        <f t="shared" si="294"/>
        <v>0.47933561853802636</v>
      </c>
      <c r="AE1331" s="41">
        <f t="shared" si="295"/>
        <v>0.51300099617635297</v>
      </c>
      <c r="AF1331">
        <f t="shared" si="296"/>
        <v>1.5657818120805371</v>
      </c>
      <c r="AG1331">
        <f t="shared" si="297"/>
        <v>3.197154630872482E-2</v>
      </c>
      <c r="AH1331">
        <f t="shared" si="298"/>
        <v>1.2421</v>
      </c>
      <c r="AI1331">
        <f>HLOOKUP(HLOOKUP(G1331,'THP2'!$B$4:$J$8,5,FALSE),'Fuel &amp; Resister'!$B$3:$G$6,4,FALSE)</f>
        <v>2.7360666666666664</v>
      </c>
      <c r="AJ1331" s="41">
        <f>HLOOKUP(HLOOKUP(G1331,'THP2'!$B$4:$J$8,5,FALSE),'Fuel &amp; Resister'!$B$3:$G$6,3,FALSE)</f>
        <v>13.019</v>
      </c>
    </row>
    <row r="1332" spans="2:36" x14ac:dyDescent="0.15">
      <c r="B1332" s="81" t="s">
        <v>606</v>
      </c>
      <c r="C1332" s="61">
        <f>VLOOKUP(B1332,[1]SYS!$F$5:$G$359,2,FALSE)</f>
        <v>260</v>
      </c>
      <c r="D1332" s="1" t="s">
        <v>50</v>
      </c>
      <c r="E1332" s="65" t="s">
        <v>538</v>
      </c>
      <c r="F1332" s="63" t="s">
        <v>548</v>
      </c>
      <c r="G1332" s="1">
        <v>8</v>
      </c>
      <c r="H1332" s="1">
        <f t="shared" si="291"/>
        <v>0.48442906574394462</v>
      </c>
      <c r="I1332" s="1">
        <f t="shared" si="299"/>
        <v>0.28899999999999998</v>
      </c>
      <c r="J1332" s="1">
        <f t="shared" si="300"/>
        <v>2.0000000000000018E-2</v>
      </c>
      <c r="K1332" s="1">
        <f t="shared" si="292"/>
        <v>1.7941500000000001</v>
      </c>
      <c r="L1332" s="1">
        <f t="shared" si="293"/>
        <v>1.6764100000000002</v>
      </c>
      <c r="M1332" s="49">
        <v>0</v>
      </c>
      <c r="N1332" s="49">
        <f t="shared" si="301"/>
        <v>1.2421</v>
      </c>
      <c r="O1332" s="1">
        <v>509</v>
      </c>
      <c r="P1332" s="51">
        <v>0.05</v>
      </c>
      <c r="Q1332" s="51">
        <v>11</v>
      </c>
      <c r="R1332" s="51">
        <v>0</v>
      </c>
      <c r="S1332" s="1">
        <v>1</v>
      </c>
      <c r="T1332" s="1">
        <v>0</v>
      </c>
      <c r="U1332" s="47">
        <v>0</v>
      </c>
      <c r="V1332" s="47"/>
      <c r="W1332">
        <v>140</v>
      </c>
      <c r="X1332">
        <v>289</v>
      </c>
      <c r="Y1332">
        <v>0.98</v>
      </c>
      <c r="Z1332">
        <v>1794.15</v>
      </c>
      <c r="AA1332" s="41">
        <v>1676.41</v>
      </c>
      <c r="AB1332" s="41">
        <v>124.21</v>
      </c>
      <c r="AC1332">
        <v>36</v>
      </c>
      <c r="AD1332" s="41">
        <f t="shared" si="294"/>
        <v>0.47933561853802636</v>
      </c>
      <c r="AE1332" s="41">
        <f t="shared" si="295"/>
        <v>0.51300099617635297</v>
      </c>
      <c r="AF1332">
        <f t="shared" si="296"/>
        <v>1.5657818120805371</v>
      </c>
      <c r="AG1332">
        <f t="shared" si="297"/>
        <v>3.197154630872482E-2</v>
      </c>
      <c r="AH1332">
        <f t="shared" si="298"/>
        <v>1.2421</v>
      </c>
      <c r="AI1332">
        <f>HLOOKUP(HLOOKUP(G1332,'THP2'!$B$4:$J$8,5,FALSE),'Fuel &amp; Resister'!$B$3:$G$6,4,FALSE)</f>
        <v>2.7360666666666664</v>
      </c>
      <c r="AJ1332" s="41">
        <f>HLOOKUP(HLOOKUP(G1332,'THP2'!$B$4:$J$8,5,FALSE),'Fuel &amp; Resister'!$B$3:$G$6,3,FALSE)</f>
        <v>13.019</v>
      </c>
    </row>
    <row r="1333" spans="2:36" x14ac:dyDescent="0.15">
      <c r="B1333" s="81" t="s">
        <v>606</v>
      </c>
      <c r="C1333" s="61">
        <f>VLOOKUP(B1333,[1]SYS!$F$5:$G$359,2,FALSE)</f>
        <v>260</v>
      </c>
      <c r="D1333" s="1" t="s">
        <v>50</v>
      </c>
      <c r="E1333" s="65" t="s">
        <v>538</v>
      </c>
      <c r="F1333" s="63" t="s">
        <v>548</v>
      </c>
      <c r="G1333" s="1">
        <v>8</v>
      </c>
      <c r="H1333" s="1">
        <f t="shared" si="291"/>
        <v>0.48442906574394462</v>
      </c>
      <c r="I1333" s="1">
        <f t="shared" si="299"/>
        <v>0.28899999999999998</v>
      </c>
      <c r="J1333" s="1">
        <f t="shared" si="300"/>
        <v>2.0000000000000018E-2</v>
      </c>
      <c r="K1333" s="1">
        <f t="shared" si="292"/>
        <v>1.7941500000000001</v>
      </c>
      <c r="L1333" s="1">
        <f t="shared" si="293"/>
        <v>1.6764100000000002</v>
      </c>
      <c r="M1333" s="49">
        <v>0</v>
      </c>
      <c r="N1333" s="49">
        <f t="shared" si="301"/>
        <v>1.2421</v>
      </c>
      <c r="O1333" s="1">
        <v>827</v>
      </c>
      <c r="P1333" s="51">
        <v>0.05</v>
      </c>
      <c r="Q1333" s="51">
        <v>11</v>
      </c>
      <c r="R1333" s="51">
        <v>0</v>
      </c>
      <c r="S1333" s="1">
        <v>1</v>
      </c>
      <c r="T1333" s="1">
        <v>0</v>
      </c>
      <c r="U1333" s="47">
        <v>0</v>
      </c>
      <c r="V1333" s="47"/>
      <c r="W1333">
        <v>140</v>
      </c>
      <c r="X1333">
        <v>289</v>
      </c>
      <c r="Y1333">
        <v>0.98</v>
      </c>
      <c r="Z1333">
        <v>1794.15</v>
      </c>
      <c r="AA1333" s="41">
        <v>1676.41</v>
      </c>
      <c r="AB1333" s="41">
        <v>124.21</v>
      </c>
      <c r="AC1333">
        <v>36</v>
      </c>
      <c r="AD1333" s="41">
        <f t="shared" si="294"/>
        <v>0.47933561853802636</v>
      </c>
      <c r="AE1333" s="41">
        <f t="shared" si="295"/>
        <v>0.51300099617635297</v>
      </c>
      <c r="AF1333">
        <f t="shared" si="296"/>
        <v>1.5657818120805371</v>
      </c>
      <c r="AG1333">
        <f t="shared" si="297"/>
        <v>3.197154630872482E-2</v>
      </c>
      <c r="AH1333">
        <f t="shared" si="298"/>
        <v>1.2421</v>
      </c>
      <c r="AI1333">
        <f>HLOOKUP(HLOOKUP(G1333,'THP2'!$B$4:$J$8,5,FALSE),'Fuel &amp; Resister'!$B$3:$G$6,4,FALSE)</f>
        <v>2.7360666666666664</v>
      </c>
      <c r="AJ1333" s="41">
        <f>HLOOKUP(HLOOKUP(G1333,'THP2'!$B$4:$J$8,5,FALSE),'Fuel &amp; Resister'!$B$3:$G$6,3,FALSE)</f>
        <v>13.019</v>
      </c>
    </row>
    <row r="1334" spans="2:36" x14ac:dyDescent="0.15">
      <c r="B1334" s="81" t="s">
        <v>606</v>
      </c>
      <c r="C1334" s="61">
        <f>VLOOKUP(B1334,[1]SYS!$F$5:$G$359,2,FALSE)</f>
        <v>260</v>
      </c>
      <c r="D1334" s="1" t="s">
        <v>50</v>
      </c>
      <c r="E1334" s="65" t="s">
        <v>538</v>
      </c>
      <c r="F1334" s="63" t="s">
        <v>548</v>
      </c>
      <c r="G1334" s="1">
        <v>8</v>
      </c>
      <c r="H1334" s="1">
        <f t="shared" si="291"/>
        <v>0.48442906574394462</v>
      </c>
      <c r="I1334" s="1">
        <f t="shared" si="299"/>
        <v>0.28899999999999998</v>
      </c>
      <c r="J1334" s="1">
        <f t="shared" si="300"/>
        <v>2.0000000000000018E-2</v>
      </c>
      <c r="K1334" s="1">
        <f t="shared" si="292"/>
        <v>1.7941500000000001</v>
      </c>
      <c r="L1334" s="1">
        <f t="shared" si="293"/>
        <v>1.6764100000000002</v>
      </c>
      <c r="M1334" s="49">
        <v>0</v>
      </c>
      <c r="N1334" s="49">
        <f t="shared" si="301"/>
        <v>1.2421</v>
      </c>
      <c r="O1334" s="1">
        <v>401</v>
      </c>
      <c r="P1334" s="51">
        <v>0.05</v>
      </c>
      <c r="Q1334" s="51">
        <v>11</v>
      </c>
      <c r="R1334" s="51">
        <v>0</v>
      </c>
      <c r="S1334" s="1">
        <v>1</v>
      </c>
      <c r="T1334" s="1">
        <v>0</v>
      </c>
      <c r="U1334" s="47">
        <v>0</v>
      </c>
      <c r="V1334" s="47"/>
      <c r="W1334">
        <v>140</v>
      </c>
      <c r="X1334">
        <v>289</v>
      </c>
      <c r="Y1334">
        <v>0.98</v>
      </c>
      <c r="Z1334">
        <v>1794.15</v>
      </c>
      <c r="AA1334" s="41">
        <v>1676.41</v>
      </c>
      <c r="AB1334" s="41">
        <v>124.21</v>
      </c>
      <c r="AC1334">
        <v>36</v>
      </c>
      <c r="AD1334" s="41">
        <f t="shared" si="294"/>
        <v>0.47933561853802636</v>
      </c>
      <c r="AE1334" s="41">
        <f t="shared" si="295"/>
        <v>0.51300099617635297</v>
      </c>
      <c r="AF1334">
        <f t="shared" si="296"/>
        <v>1.5657818120805371</v>
      </c>
      <c r="AG1334">
        <f t="shared" si="297"/>
        <v>3.197154630872482E-2</v>
      </c>
      <c r="AH1334">
        <f t="shared" si="298"/>
        <v>1.2421</v>
      </c>
      <c r="AI1334">
        <f>HLOOKUP(HLOOKUP(G1334,'THP2'!$B$4:$J$8,5,FALSE),'Fuel &amp; Resister'!$B$3:$G$6,4,FALSE)</f>
        <v>2.7360666666666664</v>
      </c>
      <c r="AJ1334" s="41">
        <f>HLOOKUP(HLOOKUP(G1334,'THP2'!$B$4:$J$8,5,FALSE),'Fuel &amp; Resister'!$B$3:$G$6,3,FALSE)</f>
        <v>13.019</v>
      </c>
    </row>
    <row r="1335" spans="2:36" x14ac:dyDescent="0.15">
      <c r="B1335" s="81" t="s">
        <v>640</v>
      </c>
      <c r="C1335" s="61">
        <f>VLOOKUP(B1335,[1]SYS!$F$5:$G$359,2,FALSE)</f>
        <v>297</v>
      </c>
      <c r="D1335" s="1" t="s">
        <v>50</v>
      </c>
      <c r="E1335" s="65" t="s">
        <v>277</v>
      </c>
      <c r="F1335" s="63" t="s">
        <v>451</v>
      </c>
      <c r="G1335" s="1">
        <v>8</v>
      </c>
      <c r="H1335" s="1">
        <f t="shared" si="291"/>
        <v>0.49122807017543857</v>
      </c>
      <c r="I1335" s="1">
        <f t="shared" si="299"/>
        <v>0.28499999999999998</v>
      </c>
      <c r="J1335" s="1">
        <f t="shared" si="300"/>
        <v>2.0000000000000018E-2</v>
      </c>
      <c r="K1335" s="1">
        <f t="shared" si="292"/>
        <v>1.9819800000000001</v>
      </c>
      <c r="L1335" s="1">
        <f t="shared" si="293"/>
        <v>1.72</v>
      </c>
      <c r="M1335" s="49">
        <v>0</v>
      </c>
      <c r="N1335" s="49">
        <v>1.2378</v>
      </c>
      <c r="O1335" s="1">
        <v>613</v>
      </c>
      <c r="P1335" s="51">
        <v>0.05</v>
      </c>
      <c r="Q1335" s="51">
        <v>11</v>
      </c>
      <c r="R1335" s="51">
        <v>0</v>
      </c>
      <c r="S1335" s="1">
        <v>1</v>
      </c>
      <c r="T1335" s="1">
        <v>0</v>
      </c>
      <c r="U1335" s="47">
        <v>1</v>
      </c>
      <c r="V1335" s="47">
        <v>300</v>
      </c>
      <c r="W1335" s="41">
        <v>140</v>
      </c>
      <c r="X1335">
        <v>285</v>
      </c>
      <c r="Y1335">
        <v>0.98</v>
      </c>
      <c r="Z1335">
        <v>1981.98</v>
      </c>
      <c r="AA1335">
        <v>1720</v>
      </c>
      <c r="AB1335">
        <v>123.78</v>
      </c>
      <c r="AC1335">
        <v>36</v>
      </c>
      <c r="AD1335" s="41">
        <f t="shared" si="294"/>
        <v>0.43390952481861572</v>
      </c>
      <c r="AE1335" s="41">
        <f t="shared" si="295"/>
        <v>0.5</v>
      </c>
      <c r="AF1335">
        <f t="shared" si="296"/>
        <v>1.4670537931034482</v>
      </c>
      <c r="AG1335">
        <f t="shared" si="297"/>
        <v>7.2089668965517259E-2</v>
      </c>
      <c r="AH1335">
        <f t="shared" si="298"/>
        <v>1.2378</v>
      </c>
      <c r="AI1335">
        <f>HLOOKUP(HLOOKUP(G1335,'THP2'!$B$4:$J$8,5,FALSE),'Fuel &amp; Resister'!$B$3:$G$6,4,FALSE)</f>
        <v>2.7360666666666664</v>
      </c>
      <c r="AJ1335" s="41">
        <f>HLOOKUP(HLOOKUP(G1335,'THP2'!$B$4:$J$8,5,FALSE),'Fuel &amp; Resister'!$B$3:$G$6,3,FALSE)</f>
        <v>13.019</v>
      </c>
    </row>
    <row r="1336" spans="2:36" x14ac:dyDescent="0.15">
      <c r="B1336" s="81" t="s">
        <v>641</v>
      </c>
      <c r="C1336" s="61">
        <f>VLOOKUP(B1336,[1]SYS!$F$5:$G$359,2,FALSE)</f>
        <v>295</v>
      </c>
      <c r="D1336" s="1" t="s">
        <v>50</v>
      </c>
      <c r="E1336" s="65" t="s">
        <v>278</v>
      </c>
      <c r="F1336" s="63" t="s">
        <v>452</v>
      </c>
      <c r="G1336" s="1">
        <v>8</v>
      </c>
      <c r="H1336" s="1">
        <f t="shared" si="291"/>
        <v>0.4</v>
      </c>
      <c r="I1336" s="1">
        <f t="shared" si="299"/>
        <v>0.23</v>
      </c>
      <c r="J1336" s="1">
        <f t="shared" si="300"/>
        <v>2.0000000000000018E-2</v>
      </c>
      <c r="K1336" s="1">
        <f t="shared" si="292"/>
        <v>2.2903099999999998</v>
      </c>
      <c r="L1336" s="1">
        <f t="shared" si="293"/>
        <v>1.75566</v>
      </c>
      <c r="M1336" s="49">
        <v>0</v>
      </c>
      <c r="N1336" s="49">
        <v>1.1787000000000001</v>
      </c>
      <c r="O1336" s="1">
        <v>401</v>
      </c>
      <c r="P1336" s="51">
        <v>0.05</v>
      </c>
      <c r="Q1336" s="51">
        <v>11</v>
      </c>
      <c r="R1336" s="51">
        <v>0</v>
      </c>
      <c r="S1336" s="1">
        <v>1</v>
      </c>
      <c r="T1336" s="1">
        <v>0</v>
      </c>
      <c r="U1336" s="47">
        <v>1</v>
      </c>
      <c r="V1336" s="47">
        <v>301</v>
      </c>
      <c r="W1336" s="41">
        <v>92</v>
      </c>
      <c r="X1336">
        <v>230</v>
      </c>
      <c r="Y1336">
        <v>0.98</v>
      </c>
      <c r="Z1336">
        <v>2290.31</v>
      </c>
      <c r="AA1336">
        <v>1755.66</v>
      </c>
      <c r="AB1336">
        <v>117.87</v>
      </c>
      <c r="AC1336">
        <v>36</v>
      </c>
      <c r="AD1336" s="41">
        <f t="shared" si="294"/>
        <v>0.37549502032475951</v>
      </c>
      <c r="AE1336" s="41">
        <f t="shared" si="295"/>
        <v>0.4898442750874315</v>
      </c>
      <c r="AF1336">
        <f t="shared" si="296"/>
        <v>1.3992266666666668</v>
      </c>
      <c r="AG1336">
        <f t="shared" si="297"/>
        <v>8.1979666666666631E-2</v>
      </c>
      <c r="AH1336">
        <f t="shared" si="298"/>
        <v>1.1787000000000001</v>
      </c>
      <c r="AI1336">
        <f>HLOOKUP(HLOOKUP(G1336,'THP2'!$B$4:$J$8,5,FALSE),'Fuel &amp; Resister'!$B$3:$G$6,4,FALSE)</f>
        <v>2.7360666666666664</v>
      </c>
      <c r="AJ1336" s="41">
        <f>HLOOKUP(HLOOKUP(G1336,'THP2'!$B$4:$J$8,5,FALSE),'Fuel &amp; Resister'!$B$3:$G$6,3,FALSE)</f>
        <v>13.019</v>
      </c>
    </row>
    <row r="1337" spans="2:36" x14ac:dyDescent="0.15">
      <c r="B1337" s="81" t="s">
        <v>642</v>
      </c>
      <c r="C1337" s="61">
        <f>VLOOKUP(B1337,[1]SYS!$F$5:$G$359,2,FALSE)</f>
        <v>278</v>
      </c>
      <c r="D1337" s="1" t="s">
        <v>50</v>
      </c>
      <c r="E1337" s="42" t="s">
        <v>279</v>
      </c>
      <c r="F1337" s="63" t="s">
        <v>449</v>
      </c>
      <c r="G1337" s="1">
        <v>8</v>
      </c>
      <c r="H1337" s="1">
        <f t="shared" si="291"/>
        <v>0.44444444444444442</v>
      </c>
      <c r="I1337" s="1">
        <f t="shared" si="299"/>
        <v>0.18</v>
      </c>
      <c r="J1337" s="1">
        <f t="shared" si="300"/>
        <v>2.2700000000000053E-2</v>
      </c>
      <c r="K1337" s="1">
        <f t="shared" si="292"/>
        <v>2.3353299999999999</v>
      </c>
      <c r="L1337" s="1">
        <f t="shared" si="293"/>
        <v>1.9084100000000002</v>
      </c>
      <c r="M1337" s="49">
        <v>0</v>
      </c>
      <c r="N1337" s="49">
        <v>1.1253</v>
      </c>
      <c r="O1337" s="1">
        <v>211</v>
      </c>
      <c r="P1337" s="51">
        <v>0.05</v>
      </c>
      <c r="Q1337" s="51">
        <v>11</v>
      </c>
      <c r="R1337" s="51">
        <v>0</v>
      </c>
      <c r="S1337" s="1">
        <v>1</v>
      </c>
      <c r="T1337" s="1">
        <v>0</v>
      </c>
      <c r="U1337" s="47">
        <v>0</v>
      </c>
      <c r="V1337" s="47">
        <v>302</v>
      </c>
      <c r="W1337" s="41">
        <v>80</v>
      </c>
      <c r="X1337">
        <v>180</v>
      </c>
      <c r="Y1337">
        <v>0.97729999999999995</v>
      </c>
      <c r="Z1337">
        <v>2335.33</v>
      </c>
      <c r="AA1337">
        <v>1908.41</v>
      </c>
      <c r="AB1337">
        <v>112.53</v>
      </c>
      <c r="AC1337">
        <v>36</v>
      </c>
      <c r="AD1337" s="41">
        <f t="shared" si="294"/>
        <v>0.36825630638924695</v>
      </c>
      <c r="AE1337" s="41">
        <f t="shared" si="295"/>
        <v>0.45063691764348329</v>
      </c>
      <c r="AF1337">
        <f t="shared" si="296"/>
        <v>1.5668740000000003</v>
      </c>
      <c r="AG1337">
        <f t="shared" si="297"/>
        <v>6.1476479999999972E-2</v>
      </c>
      <c r="AH1337">
        <f t="shared" si="298"/>
        <v>1.1253</v>
      </c>
      <c r="AI1337">
        <f>HLOOKUP(HLOOKUP(G1337,'THP2'!$B$4:$J$8,5,FALSE),'Fuel &amp; Resister'!$B$3:$G$6,4,FALSE)</f>
        <v>2.7360666666666664</v>
      </c>
      <c r="AJ1337" s="41">
        <f>HLOOKUP(HLOOKUP(G1337,'THP2'!$B$4:$J$8,5,FALSE),'Fuel &amp; Resister'!$B$3:$G$6,3,FALSE)</f>
        <v>13.019</v>
      </c>
    </row>
    <row r="1338" spans="2:36" x14ac:dyDescent="0.15">
      <c r="B1338" s="81" t="s">
        <v>642</v>
      </c>
      <c r="C1338" s="61">
        <f>VLOOKUP(B1338,[1]SYS!$F$5:$G$359,2,FALSE)</f>
        <v>278</v>
      </c>
      <c r="D1338" s="1" t="s">
        <v>50</v>
      </c>
      <c r="E1338" s="42" t="s">
        <v>280</v>
      </c>
      <c r="F1338" s="63" t="s">
        <v>449</v>
      </c>
      <c r="G1338" s="1">
        <v>8</v>
      </c>
      <c r="H1338" s="1">
        <f t="shared" si="291"/>
        <v>0.44444444444444442</v>
      </c>
      <c r="I1338" s="1">
        <f t="shared" si="299"/>
        <v>0.18</v>
      </c>
      <c r="J1338" s="1">
        <f t="shared" si="300"/>
        <v>2.2700000000000053E-2</v>
      </c>
      <c r="K1338" s="1">
        <f t="shared" si="292"/>
        <v>2.3353299999999999</v>
      </c>
      <c r="L1338" s="1">
        <f t="shared" si="293"/>
        <v>1.9084100000000002</v>
      </c>
      <c r="M1338" s="49">
        <v>0</v>
      </c>
      <c r="N1338" s="49">
        <v>1.1253</v>
      </c>
      <c r="O1338" s="1">
        <v>913</v>
      </c>
      <c r="P1338" s="51">
        <v>0.05</v>
      </c>
      <c r="Q1338" s="51">
        <v>11</v>
      </c>
      <c r="R1338" s="51">
        <v>0</v>
      </c>
      <c r="S1338" s="1">
        <v>1</v>
      </c>
      <c r="T1338" s="1">
        <v>0</v>
      </c>
      <c r="U1338" s="47">
        <v>0</v>
      </c>
      <c r="V1338" s="47">
        <v>303</v>
      </c>
      <c r="W1338" s="41">
        <v>80</v>
      </c>
      <c r="X1338">
        <v>180</v>
      </c>
      <c r="Y1338">
        <v>0.97729999999999995</v>
      </c>
      <c r="Z1338">
        <v>2335.33</v>
      </c>
      <c r="AA1338">
        <v>1908.41</v>
      </c>
      <c r="AB1338">
        <v>112.53</v>
      </c>
      <c r="AC1338">
        <v>36</v>
      </c>
      <c r="AD1338" s="41">
        <f t="shared" si="294"/>
        <v>0.36825630638924695</v>
      </c>
      <c r="AE1338" s="41">
        <f t="shared" si="295"/>
        <v>0.45063691764348329</v>
      </c>
      <c r="AF1338">
        <f t="shared" si="296"/>
        <v>1.5668740000000003</v>
      </c>
      <c r="AG1338">
        <f t="shared" si="297"/>
        <v>6.1476479999999972E-2</v>
      </c>
      <c r="AH1338">
        <f t="shared" si="298"/>
        <v>1.1253</v>
      </c>
      <c r="AI1338">
        <f>HLOOKUP(HLOOKUP(G1338,'THP2'!$B$4:$J$8,5,FALSE),'Fuel &amp; Resister'!$B$3:$G$6,4,FALSE)</f>
        <v>2.7360666666666664</v>
      </c>
      <c r="AJ1338" s="41">
        <f>HLOOKUP(HLOOKUP(G1338,'THP2'!$B$4:$J$8,5,FALSE),'Fuel &amp; Resister'!$B$3:$G$6,3,FALSE)</f>
        <v>13.019</v>
      </c>
    </row>
    <row r="1339" spans="2:36" x14ac:dyDescent="0.15">
      <c r="B1339" s="81" t="s">
        <v>642</v>
      </c>
      <c r="C1339" s="61">
        <f>VLOOKUP(B1339,[1]SYS!$F$5:$G$359,2,FALSE)</f>
        <v>278</v>
      </c>
      <c r="D1339" s="1" t="s">
        <v>50</v>
      </c>
      <c r="E1339" s="42" t="s">
        <v>281</v>
      </c>
      <c r="F1339" s="63" t="s">
        <v>449</v>
      </c>
      <c r="G1339" s="1">
        <v>8</v>
      </c>
      <c r="H1339" s="1">
        <f t="shared" si="291"/>
        <v>0.44444444444444442</v>
      </c>
      <c r="I1339" s="1">
        <f t="shared" si="299"/>
        <v>0.18</v>
      </c>
      <c r="J1339" s="1">
        <f t="shared" si="300"/>
        <v>2.3599999999999954E-2</v>
      </c>
      <c r="K1339" s="1">
        <f t="shared" si="292"/>
        <v>2.3826700000000001</v>
      </c>
      <c r="L1339" s="1">
        <f t="shared" si="293"/>
        <v>1.9470999999999998</v>
      </c>
      <c r="M1339" s="49">
        <v>0</v>
      </c>
      <c r="N1339" s="49">
        <v>1.1253</v>
      </c>
      <c r="O1339" s="1">
        <v>401</v>
      </c>
      <c r="P1339" s="51">
        <v>0.05</v>
      </c>
      <c r="Q1339" s="51">
        <v>11</v>
      </c>
      <c r="R1339" s="51">
        <v>0</v>
      </c>
      <c r="S1339" s="1">
        <v>1</v>
      </c>
      <c r="T1339" s="1">
        <v>0</v>
      </c>
      <c r="U1339" s="47">
        <v>0</v>
      </c>
      <c r="V1339" s="47">
        <v>304</v>
      </c>
      <c r="W1339" s="41">
        <v>80</v>
      </c>
      <c r="X1339">
        <v>180</v>
      </c>
      <c r="Y1339">
        <v>0.97640000000000005</v>
      </c>
      <c r="Z1339">
        <v>2382.67</v>
      </c>
      <c r="AA1339">
        <v>1947.1</v>
      </c>
      <c r="AB1339">
        <v>112.53</v>
      </c>
      <c r="AC1339">
        <v>36</v>
      </c>
      <c r="AD1339" s="41">
        <f t="shared" si="294"/>
        <v>0.36093961815945974</v>
      </c>
      <c r="AE1339" s="41">
        <f t="shared" si="295"/>
        <v>0.44168250218273336</v>
      </c>
      <c r="AF1339">
        <f t="shared" si="296"/>
        <v>1.5986439999999997</v>
      </c>
      <c r="AG1339">
        <f t="shared" si="297"/>
        <v>6.2722080000000013E-2</v>
      </c>
      <c r="AH1339">
        <f t="shared" si="298"/>
        <v>1.1253</v>
      </c>
      <c r="AI1339">
        <f>HLOOKUP(HLOOKUP(G1339,'THP2'!$B$4:$J$8,5,FALSE),'Fuel &amp; Resister'!$B$3:$G$6,4,FALSE)</f>
        <v>2.7360666666666664</v>
      </c>
      <c r="AJ1339" s="41">
        <f>HLOOKUP(HLOOKUP(G1339,'THP2'!$B$4:$J$8,5,FALSE),'Fuel &amp; Resister'!$B$3:$G$6,3,FALSE)</f>
        <v>13.019</v>
      </c>
    </row>
    <row r="1340" spans="2:36" x14ac:dyDescent="0.15">
      <c r="B1340" s="81" t="s">
        <v>642</v>
      </c>
      <c r="C1340" s="61">
        <f>VLOOKUP(B1340,[1]SYS!$F$5:$G$359,2,FALSE)</f>
        <v>278</v>
      </c>
      <c r="D1340" s="1" t="s">
        <v>50</v>
      </c>
      <c r="E1340" s="42" t="s">
        <v>282</v>
      </c>
      <c r="F1340" s="63" t="s">
        <v>449</v>
      </c>
      <c r="G1340" s="1">
        <v>8</v>
      </c>
      <c r="H1340" s="1">
        <f t="shared" si="291"/>
        <v>0.44444444444444442</v>
      </c>
      <c r="I1340" s="1">
        <f t="shared" si="299"/>
        <v>0.18</v>
      </c>
      <c r="J1340" s="1">
        <f t="shared" si="300"/>
        <v>2.3599999999999954E-2</v>
      </c>
      <c r="K1340" s="1">
        <f t="shared" si="292"/>
        <v>2.3826700000000001</v>
      </c>
      <c r="L1340" s="1">
        <f t="shared" si="293"/>
        <v>1.9470999999999998</v>
      </c>
      <c r="M1340" s="49">
        <v>0</v>
      </c>
      <c r="N1340" s="49">
        <v>1.1253</v>
      </c>
      <c r="O1340" s="1">
        <v>613</v>
      </c>
      <c r="P1340" s="51">
        <v>0.05</v>
      </c>
      <c r="Q1340" s="51">
        <v>11</v>
      </c>
      <c r="R1340" s="51">
        <v>0</v>
      </c>
      <c r="S1340" s="1">
        <v>1</v>
      </c>
      <c r="T1340" s="1">
        <v>0</v>
      </c>
      <c r="U1340" s="47">
        <v>0</v>
      </c>
      <c r="V1340" s="47">
        <v>305</v>
      </c>
      <c r="W1340" s="41">
        <v>80</v>
      </c>
      <c r="X1340">
        <v>180</v>
      </c>
      <c r="Y1340">
        <v>0.97640000000000005</v>
      </c>
      <c r="Z1340">
        <v>2382.67</v>
      </c>
      <c r="AA1340">
        <v>1947.1</v>
      </c>
      <c r="AB1340">
        <v>112.53</v>
      </c>
      <c r="AC1340">
        <v>36</v>
      </c>
      <c r="AD1340" s="41">
        <f t="shared" si="294"/>
        <v>0.36093961815945974</v>
      </c>
      <c r="AE1340" s="41">
        <f t="shared" si="295"/>
        <v>0.44168250218273336</v>
      </c>
      <c r="AF1340">
        <f t="shared" si="296"/>
        <v>1.5986439999999997</v>
      </c>
      <c r="AG1340">
        <f t="shared" si="297"/>
        <v>6.2722080000000013E-2</v>
      </c>
      <c r="AH1340">
        <f t="shared" si="298"/>
        <v>1.1253</v>
      </c>
      <c r="AI1340">
        <f>HLOOKUP(HLOOKUP(G1340,'THP2'!$B$4:$J$8,5,FALSE),'Fuel &amp; Resister'!$B$3:$G$6,4,FALSE)</f>
        <v>2.7360666666666664</v>
      </c>
      <c r="AJ1340" s="41">
        <f>HLOOKUP(HLOOKUP(G1340,'THP2'!$B$4:$J$8,5,FALSE),'Fuel &amp; Resister'!$B$3:$G$6,3,FALSE)</f>
        <v>13.019</v>
      </c>
    </row>
    <row r="1341" spans="2:36" x14ac:dyDescent="0.15">
      <c r="B1341" s="81" t="s">
        <v>642</v>
      </c>
      <c r="C1341" s="61">
        <f>VLOOKUP(B1341,[1]SYS!$F$5:$G$359,2,FALSE)</f>
        <v>278</v>
      </c>
      <c r="D1341" s="1" t="s">
        <v>50</v>
      </c>
      <c r="E1341" s="42" t="s">
        <v>283</v>
      </c>
      <c r="F1341" s="63" t="s">
        <v>449</v>
      </c>
      <c r="G1341" s="1">
        <v>8</v>
      </c>
      <c r="H1341" s="1">
        <f t="shared" si="291"/>
        <v>0.35087719298245612</v>
      </c>
      <c r="I1341" s="1">
        <f t="shared" si="299"/>
        <v>0.114</v>
      </c>
      <c r="J1341" s="1">
        <f t="shared" si="300"/>
        <v>2.410000000000001E-2</v>
      </c>
      <c r="K1341" s="1">
        <f t="shared" si="292"/>
        <v>2.74668</v>
      </c>
      <c r="L1341" s="1">
        <f t="shared" si="293"/>
        <v>1.96644</v>
      </c>
      <c r="M1341" s="49">
        <v>0</v>
      </c>
      <c r="N1341" s="49">
        <v>1.0548999999999999</v>
      </c>
      <c r="O1341" s="1">
        <v>901</v>
      </c>
      <c r="P1341" s="51">
        <v>0.05</v>
      </c>
      <c r="Q1341" s="51">
        <v>11</v>
      </c>
      <c r="R1341" s="51">
        <v>0</v>
      </c>
      <c r="S1341" s="1">
        <v>1</v>
      </c>
      <c r="T1341" s="1">
        <v>0</v>
      </c>
      <c r="U1341" s="47">
        <v>0</v>
      </c>
      <c r="V1341" s="47">
        <v>306</v>
      </c>
      <c r="W1341" s="41">
        <v>40</v>
      </c>
      <c r="X1341">
        <v>114</v>
      </c>
      <c r="Y1341">
        <v>0.97589999999999999</v>
      </c>
      <c r="Z1341">
        <v>2746.68</v>
      </c>
      <c r="AA1341">
        <v>1966.44</v>
      </c>
      <c r="AB1341">
        <v>105.49</v>
      </c>
      <c r="AC1341">
        <v>36</v>
      </c>
      <c r="AD1341" s="41">
        <f t="shared" si="294"/>
        <v>0.31310527618797973</v>
      </c>
      <c r="AE1341" s="41">
        <f t="shared" si="295"/>
        <v>0.43733854071316697</v>
      </c>
      <c r="AF1341">
        <f t="shared" si="296"/>
        <v>1.5446886486486489</v>
      </c>
      <c r="AG1341">
        <f t="shared" si="297"/>
        <v>4.8079654054054032E-2</v>
      </c>
      <c r="AH1341">
        <f t="shared" si="298"/>
        <v>1.0548999999999999</v>
      </c>
      <c r="AI1341">
        <f>HLOOKUP(HLOOKUP(G1341,'THP2'!$B$4:$J$8,5,FALSE),'Fuel &amp; Resister'!$B$3:$G$6,4,FALSE)</f>
        <v>2.7360666666666664</v>
      </c>
      <c r="AJ1341" s="41">
        <f>HLOOKUP(HLOOKUP(G1341,'THP2'!$B$4:$J$8,5,FALSE),'Fuel &amp; Resister'!$B$3:$G$6,3,FALSE)</f>
        <v>13.019</v>
      </c>
    </row>
    <row r="1342" spans="2:36" x14ac:dyDescent="0.15">
      <c r="B1342" s="81" t="s">
        <v>642</v>
      </c>
      <c r="C1342" s="61">
        <f>VLOOKUP(B1342,[1]SYS!$F$5:$G$359,2,FALSE)</f>
        <v>278</v>
      </c>
      <c r="D1342" s="1" t="s">
        <v>50</v>
      </c>
      <c r="E1342" s="42" t="s">
        <v>284</v>
      </c>
      <c r="F1342" s="63" t="s">
        <v>449</v>
      </c>
      <c r="G1342" s="1">
        <v>8</v>
      </c>
      <c r="H1342" s="1">
        <f t="shared" si="291"/>
        <v>0.35087719298245612</v>
      </c>
      <c r="I1342" s="1">
        <f t="shared" si="299"/>
        <v>0.114</v>
      </c>
      <c r="J1342" s="1">
        <f t="shared" si="300"/>
        <v>2.410000000000001E-2</v>
      </c>
      <c r="K1342" s="1">
        <f t="shared" si="292"/>
        <v>2.74668</v>
      </c>
      <c r="L1342" s="1">
        <f t="shared" si="293"/>
        <v>1.96644</v>
      </c>
      <c r="M1342" s="49">
        <v>0</v>
      </c>
      <c r="N1342" s="49">
        <v>1.0548999999999999</v>
      </c>
      <c r="O1342" s="1">
        <v>1014</v>
      </c>
      <c r="P1342" s="51">
        <v>0.05</v>
      </c>
      <c r="Q1342" s="51">
        <v>11</v>
      </c>
      <c r="R1342" s="51">
        <v>0</v>
      </c>
      <c r="S1342" s="1">
        <v>1</v>
      </c>
      <c r="T1342" s="1">
        <v>0</v>
      </c>
      <c r="U1342" s="47">
        <v>0</v>
      </c>
      <c r="V1342" s="47">
        <v>307</v>
      </c>
      <c r="W1342" s="41">
        <v>40</v>
      </c>
      <c r="X1342">
        <v>114</v>
      </c>
      <c r="Y1342">
        <v>0.97589999999999999</v>
      </c>
      <c r="Z1342">
        <v>2746.68</v>
      </c>
      <c r="AA1342">
        <v>1966.44</v>
      </c>
      <c r="AB1342">
        <v>105.49</v>
      </c>
      <c r="AC1342">
        <v>36</v>
      </c>
      <c r="AD1342" s="41">
        <f t="shared" si="294"/>
        <v>0.31310527618797973</v>
      </c>
      <c r="AE1342" s="41">
        <f t="shared" si="295"/>
        <v>0.43733854071316697</v>
      </c>
      <c r="AF1342">
        <f t="shared" si="296"/>
        <v>1.5446886486486489</v>
      </c>
      <c r="AG1342">
        <f t="shared" si="297"/>
        <v>4.8079654054054032E-2</v>
      </c>
      <c r="AH1342">
        <f t="shared" si="298"/>
        <v>1.0548999999999999</v>
      </c>
      <c r="AI1342">
        <f>HLOOKUP(HLOOKUP(G1342,'THP2'!$B$4:$J$8,5,FALSE),'Fuel &amp; Resister'!$B$3:$G$6,4,FALSE)</f>
        <v>2.7360666666666664</v>
      </c>
      <c r="AJ1342" s="41">
        <f>HLOOKUP(HLOOKUP(G1342,'THP2'!$B$4:$J$8,5,FALSE),'Fuel &amp; Resister'!$B$3:$G$6,3,FALSE)</f>
        <v>13.019</v>
      </c>
    </row>
    <row r="1343" spans="2:36" x14ac:dyDescent="0.15">
      <c r="B1343" s="81" t="s">
        <v>642</v>
      </c>
      <c r="C1343" s="61">
        <f>VLOOKUP(B1343,[1]SYS!$F$5:$G$359,2,FALSE)</f>
        <v>278</v>
      </c>
      <c r="D1343" s="1" t="s">
        <v>50</v>
      </c>
      <c r="E1343" s="42" t="s">
        <v>285</v>
      </c>
      <c r="F1343" s="63" t="s">
        <v>449</v>
      </c>
      <c r="G1343" s="1">
        <v>8</v>
      </c>
      <c r="H1343" s="1">
        <f t="shared" si="291"/>
        <v>0.35398230088495575</v>
      </c>
      <c r="I1343" s="1">
        <f t="shared" si="299"/>
        <v>0.113</v>
      </c>
      <c r="J1343" s="1">
        <f t="shared" si="300"/>
        <v>2.410000000000001E-2</v>
      </c>
      <c r="K1343" s="1">
        <f t="shared" si="292"/>
        <v>2.74668</v>
      </c>
      <c r="L1343" s="1">
        <f t="shared" si="293"/>
        <v>1.96644</v>
      </c>
      <c r="M1343" s="49">
        <v>0</v>
      </c>
      <c r="N1343" s="49">
        <v>1.0539000000000001</v>
      </c>
      <c r="O1343" s="6">
        <v>326</v>
      </c>
      <c r="P1343" s="51">
        <v>0.05</v>
      </c>
      <c r="Q1343" s="51">
        <v>11</v>
      </c>
      <c r="R1343" s="51">
        <v>0</v>
      </c>
      <c r="S1343" s="1">
        <v>1</v>
      </c>
      <c r="T1343" s="1">
        <v>0</v>
      </c>
      <c r="U1343" s="47">
        <v>0</v>
      </c>
      <c r="V1343" s="47">
        <v>308</v>
      </c>
      <c r="W1343" s="41">
        <v>40</v>
      </c>
      <c r="X1343">
        <v>113</v>
      </c>
      <c r="Y1343">
        <v>0.97589999999999999</v>
      </c>
      <c r="Z1343">
        <v>2746.68</v>
      </c>
      <c r="AA1343">
        <v>1966.44</v>
      </c>
      <c r="AB1343">
        <v>105.39</v>
      </c>
      <c r="AC1343">
        <v>36</v>
      </c>
      <c r="AD1343" s="41">
        <f t="shared" si="294"/>
        <v>0.31310527618797973</v>
      </c>
      <c r="AE1343" s="41">
        <f t="shared" si="295"/>
        <v>0.43733854071316697</v>
      </c>
      <c r="AF1343">
        <f t="shared" si="296"/>
        <v>1.5389112328767123</v>
      </c>
      <c r="AG1343">
        <f t="shared" si="297"/>
        <v>4.8310750684931507E-2</v>
      </c>
      <c r="AH1343">
        <f t="shared" si="298"/>
        <v>1.0539000000000001</v>
      </c>
      <c r="AI1343">
        <f>HLOOKUP(HLOOKUP(G1343,'THP2'!$B$4:$J$8,5,FALSE),'Fuel &amp; Resister'!$B$3:$G$6,4,FALSE)</f>
        <v>2.7360666666666664</v>
      </c>
      <c r="AJ1343" s="41">
        <f>HLOOKUP(HLOOKUP(G1343,'THP2'!$B$4:$J$8,5,FALSE),'Fuel &amp; Resister'!$B$3:$G$6,3,FALSE)</f>
        <v>13.019</v>
      </c>
    </row>
    <row r="1344" spans="2:36" x14ac:dyDescent="0.15">
      <c r="B1344" s="81" t="s">
        <v>642</v>
      </c>
      <c r="C1344" s="61">
        <f>VLOOKUP(B1344,[1]SYS!$F$5:$G$359,2,FALSE)</f>
        <v>278</v>
      </c>
      <c r="D1344" s="1" t="s">
        <v>50</v>
      </c>
      <c r="E1344" s="42" t="s">
        <v>286</v>
      </c>
      <c r="F1344" s="63" t="s">
        <v>449</v>
      </c>
      <c r="G1344" s="1">
        <v>8</v>
      </c>
      <c r="H1344" s="1">
        <f t="shared" si="291"/>
        <v>0.35398230088495575</v>
      </c>
      <c r="I1344" s="1">
        <f t="shared" si="299"/>
        <v>0.113</v>
      </c>
      <c r="J1344" s="1">
        <f t="shared" si="300"/>
        <v>2.5000000000000022E-2</v>
      </c>
      <c r="K1344" s="1">
        <f t="shared" si="292"/>
        <v>2.8007199999999997</v>
      </c>
      <c r="L1344" s="1">
        <f t="shared" si="293"/>
        <v>2.0051300000000003</v>
      </c>
      <c r="M1344" s="49">
        <v>0</v>
      </c>
      <c r="N1344" s="49">
        <v>1.0539000000000001</v>
      </c>
      <c r="O1344" s="1">
        <v>1113</v>
      </c>
      <c r="P1344" s="51">
        <v>0.05</v>
      </c>
      <c r="Q1344" s="51">
        <v>11</v>
      </c>
      <c r="R1344" s="51">
        <v>0</v>
      </c>
      <c r="S1344" s="1">
        <v>1</v>
      </c>
      <c r="T1344" s="1">
        <v>0</v>
      </c>
      <c r="U1344" s="47">
        <v>0</v>
      </c>
      <c r="V1344" s="47">
        <v>309</v>
      </c>
      <c r="W1344" s="41">
        <v>40</v>
      </c>
      <c r="X1344">
        <v>113</v>
      </c>
      <c r="Y1344">
        <v>0.97499999999999998</v>
      </c>
      <c r="Z1344">
        <v>2800.72</v>
      </c>
      <c r="AA1344">
        <v>2005.13</v>
      </c>
      <c r="AB1344">
        <v>105.39</v>
      </c>
      <c r="AC1344">
        <v>36</v>
      </c>
      <c r="AD1344" s="41">
        <f t="shared" si="294"/>
        <v>0.30706389785483734</v>
      </c>
      <c r="AE1344" s="41">
        <f t="shared" si="295"/>
        <v>0.42889987182875922</v>
      </c>
      <c r="AF1344">
        <f t="shared" si="296"/>
        <v>1.5691902739726036</v>
      </c>
      <c r="AG1344">
        <f t="shared" si="297"/>
        <v>4.9261189041095832E-2</v>
      </c>
      <c r="AH1344">
        <f t="shared" si="298"/>
        <v>1.0539000000000001</v>
      </c>
      <c r="AI1344">
        <f>HLOOKUP(HLOOKUP(G1344,'THP2'!$B$4:$J$8,5,FALSE),'Fuel &amp; Resister'!$B$3:$G$6,4,FALSE)</f>
        <v>2.7360666666666664</v>
      </c>
      <c r="AJ1344" s="41">
        <f>HLOOKUP(HLOOKUP(G1344,'THP2'!$B$4:$J$8,5,FALSE),'Fuel &amp; Resister'!$B$3:$G$6,3,FALSE)</f>
        <v>13.019</v>
      </c>
    </row>
    <row r="1345" spans="2:36" x14ac:dyDescent="0.15">
      <c r="B1345" s="81" t="s">
        <v>642</v>
      </c>
      <c r="C1345" s="61">
        <f>VLOOKUP(B1345,[1]SYS!$F$5:$G$359,2,FALSE)</f>
        <v>278</v>
      </c>
      <c r="D1345" s="1" t="s">
        <v>50</v>
      </c>
      <c r="E1345" s="42" t="s">
        <v>287</v>
      </c>
      <c r="F1345" s="63" t="s">
        <v>449</v>
      </c>
      <c r="G1345" s="1">
        <v>8</v>
      </c>
      <c r="H1345" s="1">
        <f t="shared" si="291"/>
        <v>0.35398230088495575</v>
      </c>
      <c r="I1345" s="1">
        <f t="shared" si="299"/>
        <v>0.113</v>
      </c>
      <c r="J1345" s="1">
        <f t="shared" si="300"/>
        <v>2.5000000000000022E-2</v>
      </c>
      <c r="K1345" s="1">
        <f t="shared" si="292"/>
        <v>2.8007199999999997</v>
      </c>
      <c r="L1345" s="1">
        <f t="shared" si="293"/>
        <v>2.0051300000000003</v>
      </c>
      <c r="M1345" s="49">
        <v>0</v>
      </c>
      <c r="N1345" s="49">
        <v>1.0539000000000001</v>
      </c>
      <c r="O1345" s="1">
        <v>702</v>
      </c>
      <c r="P1345" s="51">
        <v>0.05</v>
      </c>
      <c r="Q1345" s="51">
        <v>11</v>
      </c>
      <c r="R1345" s="51">
        <v>0</v>
      </c>
      <c r="S1345" s="1">
        <v>1</v>
      </c>
      <c r="T1345" s="1">
        <v>0</v>
      </c>
      <c r="U1345" s="47">
        <v>0</v>
      </c>
      <c r="V1345" s="47">
        <v>310</v>
      </c>
      <c r="W1345" s="41">
        <v>40</v>
      </c>
      <c r="X1345">
        <v>113</v>
      </c>
      <c r="Y1345">
        <v>0.97499999999999998</v>
      </c>
      <c r="Z1345">
        <v>2800.72</v>
      </c>
      <c r="AA1345">
        <v>2005.13</v>
      </c>
      <c r="AB1345">
        <v>105.39</v>
      </c>
      <c r="AC1345">
        <v>36</v>
      </c>
      <c r="AD1345" s="41">
        <f t="shared" si="294"/>
        <v>0.30706389785483734</v>
      </c>
      <c r="AE1345" s="41">
        <f t="shared" si="295"/>
        <v>0.42889987182875922</v>
      </c>
      <c r="AF1345">
        <f t="shared" si="296"/>
        <v>1.5691902739726036</v>
      </c>
      <c r="AG1345">
        <f t="shared" si="297"/>
        <v>4.9261189041095832E-2</v>
      </c>
      <c r="AH1345">
        <f t="shared" si="298"/>
        <v>1.0539000000000001</v>
      </c>
      <c r="AI1345">
        <f>HLOOKUP(HLOOKUP(G1345,'THP2'!$B$4:$J$8,5,FALSE),'Fuel &amp; Resister'!$B$3:$G$6,4,FALSE)</f>
        <v>2.7360666666666664</v>
      </c>
      <c r="AJ1345" s="41">
        <f>HLOOKUP(HLOOKUP(G1345,'THP2'!$B$4:$J$8,5,FALSE),'Fuel &amp; Resister'!$B$3:$G$6,3,FALSE)</f>
        <v>13.019</v>
      </c>
    </row>
    <row r="1346" spans="2:36" x14ac:dyDescent="0.15">
      <c r="B1346" s="81" t="s">
        <v>642</v>
      </c>
      <c r="C1346" s="61">
        <f>VLOOKUP(B1346,[1]SYS!$F$5:$G$359,2,FALSE)</f>
        <v>278</v>
      </c>
      <c r="D1346" s="1" t="s">
        <v>50</v>
      </c>
      <c r="E1346" s="42" t="s">
        <v>288</v>
      </c>
      <c r="F1346" s="63" t="s">
        <v>449</v>
      </c>
      <c r="G1346" s="1">
        <v>8</v>
      </c>
      <c r="H1346" s="1">
        <f t="shared" si="291"/>
        <v>0.35398230088495575</v>
      </c>
      <c r="I1346" s="1">
        <f t="shared" si="299"/>
        <v>0.113</v>
      </c>
      <c r="J1346" s="1">
        <f t="shared" si="300"/>
        <v>2.5000000000000022E-2</v>
      </c>
      <c r="K1346" s="1">
        <f t="shared" si="292"/>
        <v>2.8007199999999997</v>
      </c>
      <c r="L1346" s="1">
        <f t="shared" si="293"/>
        <v>2.0051300000000003</v>
      </c>
      <c r="M1346" s="49">
        <v>0</v>
      </c>
      <c r="N1346" s="49">
        <v>1.0539000000000001</v>
      </c>
      <c r="O1346" s="1">
        <v>625</v>
      </c>
      <c r="P1346" s="51">
        <v>0.05</v>
      </c>
      <c r="Q1346" s="51">
        <v>11</v>
      </c>
      <c r="R1346" s="51">
        <v>0</v>
      </c>
      <c r="S1346" s="1">
        <v>1</v>
      </c>
      <c r="T1346" s="1">
        <v>0</v>
      </c>
      <c r="U1346" s="47">
        <v>0</v>
      </c>
      <c r="V1346" s="47">
        <v>311</v>
      </c>
      <c r="W1346" s="41">
        <v>40</v>
      </c>
      <c r="X1346">
        <v>113</v>
      </c>
      <c r="Y1346">
        <v>0.97499999999999998</v>
      </c>
      <c r="Z1346">
        <v>2800.72</v>
      </c>
      <c r="AA1346">
        <v>2005.13</v>
      </c>
      <c r="AB1346">
        <v>105.39</v>
      </c>
      <c r="AC1346">
        <v>36</v>
      </c>
      <c r="AD1346" s="41">
        <f t="shared" si="294"/>
        <v>0.30706389785483734</v>
      </c>
      <c r="AE1346" s="41">
        <f t="shared" si="295"/>
        <v>0.42889987182875922</v>
      </c>
      <c r="AF1346">
        <f t="shared" si="296"/>
        <v>1.5691902739726036</v>
      </c>
      <c r="AG1346">
        <f t="shared" si="297"/>
        <v>4.9261189041095832E-2</v>
      </c>
      <c r="AH1346">
        <f t="shared" si="298"/>
        <v>1.0539000000000001</v>
      </c>
      <c r="AI1346">
        <f>HLOOKUP(HLOOKUP(G1346,'THP2'!$B$4:$J$8,5,FALSE),'Fuel &amp; Resister'!$B$3:$G$6,4,FALSE)</f>
        <v>2.7360666666666664</v>
      </c>
      <c r="AJ1346" s="41">
        <f>HLOOKUP(HLOOKUP(G1346,'THP2'!$B$4:$J$8,5,FALSE),'Fuel &amp; Resister'!$B$3:$G$6,3,FALSE)</f>
        <v>13.019</v>
      </c>
    </row>
    <row r="1347" spans="2:36" x14ac:dyDescent="0.15">
      <c r="B1347" s="81" t="s">
        <v>642</v>
      </c>
      <c r="C1347" s="61">
        <f>VLOOKUP(B1347,[1]SYS!$F$5:$G$359,2,FALSE)</f>
        <v>278</v>
      </c>
      <c r="D1347" s="1" t="s">
        <v>50</v>
      </c>
      <c r="E1347" s="65" t="s">
        <v>539</v>
      </c>
      <c r="F1347" s="63" t="s">
        <v>549</v>
      </c>
      <c r="G1347" s="1">
        <v>8</v>
      </c>
      <c r="H1347" s="1">
        <f t="shared" si="291"/>
        <v>0.49122807017543857</v>
      </c>
      <c r="I1347" s="1">
        <f t="shared" si="299"/>
        <v>0.28499999999999998</v>
      </c>
      <c r="J1347" s="1">
        <f t="shared" si="300"/>
        <v>2.0000000000000018E-2</v>
      </c>
      <c r="K1347" s="1">
        <f t="shared" si="292"/>
        <v>1.9819800000000001</v>
      </c>
      <c r="L1347" s="1">
        <f t="shared" si="293"/>
        <v>1.72</v>
      </c>
      <c r="M1347" s="49">
        <v>0</v>
      </c>
      <c r="N1347" s="49">
        <f>AB1347/100</f>
        <v>1.2378</v>
      </c>
      <c r="O1347" s="1">
        <v>314</v>
      </c>
      <c r="P1347" s="51">
        <v>0.05</v>
      </c>
      <c r="Q1347" s="51">
        <v>11</v>
      </c>
      <c r="R1347" s="51">
        <v>0</v>
      </c>
      <c r="S1347" s="1">
        <v>1</v>
      </c>
      <c r="T1347" s="1">
        <v>0</v>
      </c>
      <c r="U1347" s="47">
        <v>0</v>
      </c>
      <c r="V1347" s="47"/>
      <c r="W1347" s="41">
        <v>140</v>
      </c>
      <c r="X1347">
        <v>285</v>
      </c>
      <c r="Y1347">
        <v>0.98</v>
      </c>
      <c r="Z1347">
        <v>1981.98</v>
      </c>
      <c r="AA1347">
        <v>1720</v>
      </c>
      <c r="AB1347">
        <v>123.78</v>
      </c>
      <c r="AC1347">
        <v>36</v>
      </c>
      <c r="AD1347" s="41">
        <f t="shared" si="294"/>
        <v>0.43390952481861572</v>
      </c>
      <c r="AE1347" s="41">
        <f t="shared" si="295"/>
        <v>0.5</v>
      </c>
      <c r="AF1347">
        <f t="shared" si="296"/>
        <v>1.4670537931034482</v>
      </c>
      <c r="AG1347">
        <f t="shared" si="297"/>
        <v>7.2089668965517259E-2</v>
      </c>
      <c r="AH1347">
        <f t="shared" si="298"/>
        <v>1.2378</v>
      </c>
      <c r="AI1347">
        <f>HLOOKUP(HLOOKUP(G1347,'THP2'!$B$4:$J$8,5,FALSE),'Fuel &amp; Resister'!$B$3:$G$6,4,FALSE)</f>
        <v>2.7360666666666664</v>
      </c>
      <c r="AJ1347" s="41">
        <f>HLOOKUP(HLOOKUP(G1347,'THP2'!$B$4:$J$8,5,FALSE),'Fuel &amp; Resister'!$B$3:$G$6,3,FALSE)</f>
        <v>13.019</v>
      </c>
    </row>
    <row r="1348" spans="2:36" x14ac:dyDescent="0.15">
      <c r="B1348" s="81" t="s">
        <v>642</v>
      </c>
      <c r="C1348" s="61">
        <f>VLOOKUP(B1348,[1]SYS!$F$5:$G$359,2,FALSE)</f>
        <v>278</v>
      </c>
      <c r="D1348" s="1" t="s">
        <v>50</v>
      </c>
      <c r="E1348" s="65" t="s">
        <v>539</v>
      </c>
      <c r="F1348" s="63" t="s">
        <v>549</v>
      </c>
      <c r="G1348" s="1">
        <v>8</v>
      </c>
      <c r="H1348" s="1">
        <f t="shared" si="291"/>
        <v>0.49122807017543857</v>
      </c>
      <c r="I1348" s="1">
        <f t="shared" si="299"/>
        <v>0.28499999999999998</v>
      </c>
      <c r="J1348" s="1">
        <f t="shared" si="300"/>
        <v>2.0000000000000018E-2</v>
      </c>
      <c r="K1348" s="1">
        <f t="shared" si="292"/>
        <v>1.9819800000000001</v>
      </c>
      <c r="L1348" s="1">
        <f t="shared" si="293"/>
        <v>1.72</v>
      </c>
      <c r="M1348" s="49">
        <v>0</v>
      </c>
      <c r="N1348" s="49">
        <f t="shared" ref="N1348:N1359" si="302">AB1348/100</f>
        <v>1.2378</v>
      </c>
      <c r="O1348" s="1">
        <v>1113</v>
      </c>
      <c r="P1348" s="51">
        <v>0.05</v>
      </c>
      <c r="Q1348" s="51">
        <v>11</v>
      </c>
      <c r="R1348" s="51">
        <v>0</v>
      </c>
      <c r="S1348" s="1">
        <v>1</v>
      </c>
      <c r="T1348" s="1">
        <v>0</v>
      </c>
      <c r="U1348" s="47">
        <v>0</v>
      </c>
      <c r="V1348" s="47"/>
      <c r="W1348" s="41">
        <v>140</v>
      </c>
      <c r="X1348">
        <v>285</v>
      </c>
      <c r="Y1348">
        <v>0.98</v>
      </c>
      <c r="Z1348">
        <v>1981.98</v>
      </c>
      <c r="AA1348">
        <v>1720</v>
      </c>
      <c r="AB1348">
        <v>123.78</v>
      </c>
      <c r="AC1348">
        <v>36</v>
      </c>
      <c r="AD1348" s="41">
        <f t="shared" si="294"/>
        <v>0.43390952481861572</v>
      </c>
      <c r="AE1348" s="41">
        <f t="shared" si="295"/>
        <v>0.5</v>
      </c>
      <c r="AF1348">
        <f t="shared" si="296"/>
        <v>1.4670537931034482</v>
      </c>
      <c r="AG1348">
        <f t="shared" si="297"/>
        <v>7.2089668965517259E-2</v>
      </c>
      <c r="AH1348">
        <f t="shared" si="298"/>
        <v>1.2378</v>
      </c>
      <c r="AI1348">
        <f>HLOOKUP(HLOOKUP(G1348,'THP2'!$B$4:$J$8,5,FALSE),'Fuel &amp; Resister'!$B$3:$G$6,4,FALSE)</f>
        <v>2.7360666666666664</v>
      </c>
      <c r="AJ1348" s="41">
        <f>HLOOKUP(HLOOKUP(G1348,'THP2'!$B$4:$J$8,5,FALSE),'Fuel &amp; Resister'!$B$3:$G$6,3,FALSE)</f>
        <v>13.019</v>
      </c>
    </row>
    <row r="1349" spans="2:36" x14ac:dyDescent="0.15">
      <c r="B1349" s="81" t="s">
        <v>642</v>
      </c>
      <c r="C1349" s="61">
        <f>VLOOKUP(B1349,[1]SYS!$F$5:$G$359,2,FALSE)</f>
        <v>278</v>
      </c>
      <c r="D1349" s="1" t="s">
        <v>50</v>
      </c>
      <c r="E1349" s="65" t="s">
        <v>539</v>
      </c>
      <c r="F1349" s="63" t="s">
        <v>549</v>
      </c>
      <c r="G1349" s="1">
        <v>8</v>
      </c>
      <c r="H1349" s="1">
        <f t="shared" si="291"/>
        <v>0.49122807017543857</v>
      </c>
      <c r="I1349" s="1">
        <f t="shared" si="299"/>
        <v>0.28499999999999998</v>
      </c>
      <c r="J1349" s="1">
        <f t="shared" si="300"/>
        <v>2.0000000000000018E-2</v>
      </c>
      <c r="K1349" s="1">
        <f t="shared" si="292"/>
        <v>1.9819800000000001</v>
      </c>
      <c r="L1349" s="1">
        <f t="shared" si="293"/>
        <v>1.72</v>
      </c>
      <c r="M1349" s="49">
        <v>0</v>
      </c>
      <c r="N1349" s="49">
        <f t="shared" si="302"/>
        <v>1.2378</v>
      </c>
      <c r="O1349" s="1">
        <v>903</v>
      </c>
      <c r="P1349" s="51">
        <v>0.05</v>
      </c>
      <c r="Q1349" s="51">
        <v>11</v>
      </c>
      <c r="R1349" s="51">
        <v>0</v>
      </c>
      <c r="S1349" s="1">
        <v>1</v>
      </c>
      <c r="T1349" s="1">
        <v>0</v>
      </c>
      <c r="U1349" s="47">
        <v>0</v>
      </c>
      <c r="V1349" s="47"/>
      <c r="W1349" s="41">
        <v>140</v>
      </c>
      <c r="X1349">
        <v>285</v>
      </c>
      <c r="Y1349">
        <v>0.98</v>
      </c>
      <c r="Z1349">
        <v>1981.98</v>
      </c>
      <c r="AA1349">
        <v>1720</v>
      </c>
      <c r="AB1349">
        <v>123.78</v>
      </c>
      <c r="AC1349">
        <v>36</v>
      </c>
      <c r="AD1349" s="41">
        <f t="shared" si="294"/>
        <v>0.43390952481861572</v>
      </c>
      <c r="AE1349" s="41">
        <f t="shared" si="295"/>
        <v>0.5</v>
      </c>
      <c r="AF1349">
        <f t="shared" si="296"/>
        <v>1.4670537931034482</v>
      </c>
      <c r="AG1349">
        <f t="shared" si="297"/>
        <v>7.2089668965517259E-2</v>
      </c>
      <c r="AH1349">
        <f t="shared" si="298"/>
        <v>1.2378</v>
      </c>
      <c r="AI1349">
        <f>HLOOKUP(HLOOKUP(G1349,'THP2'!$B$4:$J$8,5,FALSE),'Fuel &amp; Resister'!$B$3:$G$6,4,FALSE)</f>
        <v>2.7360666666666664</v>
      </c>
      <c r="AJ1349" s="41">
        <f>HLOOKUP(HLOOKUP(G1349,'THP2'!$B$4:$J$8,5,FALSE),'Fuel &amp; Resister'!$B$3:$G$6,3,FALSE)</f>
        <v>13.019</v>
      </c>
    </row>
    <row r="1350" spans="2:36" x14ac:dyDescent="0.15">
      <c r="B1350" s="81" t="s">
        <v>642</v>
      </c>
      <c r="C1350" s="61">
        <f>VLOOKUP(B1350,[1]SYS!$F$5:$G$359,2,FALSE)</f>
        <v>278</v>
      </c>
      <c r="D1350" s="1" t="s">
        <v>50</v>
      </c>
      <c r="E1350" s="65" t="s">
        <v>539</v>
      </c>
      <c r="F1350" s="63" t="s">
        <v>549</v>
      </c>
      <c r="G1350" s="1">
        <v>8</v>
      </c>
      <c r="H1350" s="1">
        <f t="shared" si="291"/>
        <v>0.49122807017543857</v>
      </c>
      <c r="I1350" s="1">
        <f t="shared" si="299"/>
        <v>0.28499999999999998</v>
      </c>
      <c r="J1350" s="1">
        <f t="shared" si="300"/>
        <v>2.0000000000000018E-2</v>
      </c>
      <c r="K1350" s="1">
        <f t="shared" si="292"/>
        <v>1.9819800000000001</v>
      </c>
      <c r="L1350" s="1">
        <f t="shared" si="293"/>
        <v>1.72</v>
      </c>
      <c r="M1350" s="49">
        <v>0</v>
      </c>
      <c r="N1350" s="49">
        <f t="shared" si="302"/>
        <v>1.2378</v>
      </c>
      <c r="O1350" s="1">
        <v>1009</v>
      </c>
      <c r="P1350" s="51">
        <v>0.05</v>
      </c>
      <c r="Q1350" s="51">
        <v>11</v>
      </c>
      <c r="R1350" s="51">
        <v>0</v>
      </c>
      <c r="S1350" s="1">
        <v>1</v>
      </c>
      <c r="T1350" s="1">
        <v>0</v>
      </c>
      <c r="U1350" s="47">
        <v>0</v>
      </c>
      <c r="V1350" s="47"/>
      <c r="W1350" s="41">
        <v>140</v>
      </c>
      <c r="X1350">
        <v>285</v>
      </c>
      <c r="Y1350">
        <v>0.98</v>
      </c>
      <c r="Z1350">
        <v>1981.98</v>
      </c>
      <c r="AA1350">
        <v>1720</v>
      </c>
      <c r="AB1350">
        <v>123.78</v>
      </c>
      <c r="AC1350">
        <v>36</v>
      </c>
      <c r="AD1350" s="41">
        <f t="shared" si="294"/>
        <v>0.43390952481861572</v>
      </c>
      <c r="AE1350" s="41">
        <f t="shared" si="295"/>
        <v>0.5</v>
      </c>
      <c r="AF1350">
        <f t="shared" si="296"/>
        <v>1.4670537931034482</v>
      </c>
      <c r="AG1350">
        <f t="shared" si="297"/>
        <v>7.2089668965517259E-2</v>
      </c>
      <c r="AH1350">
        <f t="shared" si="298"/>
        <v>1.2378</v>
      </c>
      <c r="AI1350">
        <f>HLOOKUP(HLOOKUP(G1350,'THP2'!$B$4:$J$8,5,FALSE),'Fuel &amp; Resister'!$B$3:$G$6,4,FALSE)</f>
        <v>2.7360666666666664</v>
      </c>
      <c r="AJ1350" s="41">
        <f>HLOOKUP(HLOOKUP(G1350,'THP2'!$B$4:$J$8,5,FALSE),'Fuel &amp; Resister'!$B$3:$G$6,3,FALSE)</f>
        <v>13.019</v>
      </c>
    </row>
    <row r="1351" spans="2:36" x14ac:dyDescent="0.15">
      <c r="B1351" s="81" t="s">
        <v>642</v>
      </c>
      <c r="C1351" s="61">
        <f>VLOOKUP(B1351,[1]SYS!$F$5:$G$359,2,FALSE)</f>
        <v>278</v>
      </c>
      <c r="D1351" s="1" t="s">
        <v>50</v>
      </c>
      <c r="E1351" s="65" t="s">
        <v>539</v>
      </c>
      <c r="F1351" s="63" t="s">
        <v>549</v>
      </c>
      <c r="G1351" s="1">
        <v>8</v>
      </c>
      <c r="H1351" s="1">
        <f t="shared" si="291"/>
        <v>0.49122807017543857</v>
      </c>
      <c r="I1351" s="1">
        <f t="shared" si="299"/>
        <v>0.28499999999999998</v>
      </c>
      <c r="J1351" s="1">
        <f t="shared" si="300"/>
        <v>2.0000000000000018E-2</v>
      </c>
      <c r="K1351" s="1">
        <f t="shared" si="292"/>
        <v>1.9819800000000001</v>
      </c>
      <c r="L1351" s="1">
        <f t="shared" si="293"/>
        <v>1.72</v>
      </c>
      <c r="M1351" s="49">
        <v>0</v>
      </c>
      <c r="N1351" s="49">
        <f t="shared" si="302"/>
        <v>1.2378</v>
      </c>
      <c r="O1351" s="1">
        <v>507</v>
      </c>
      <c r="P1351" s="51">
        <v>0.05</v>
      </c>
      <c r="Q1351" s="51">
        <v>11</v>
      </c>
      <c r="R1351" s="51">
        <v>0</v>
      </c>
      <c r="S1351" s="1">
        <v>1</v>
      </c>
      <c r="T1351" s="1">
        <v>0</v>
      </c>
      <c r="U1351" s="47">
        <v>0</v>
      </c>
      <c r="V1351" s="47"/>
      <c r="W1351" s="41">
        <v>140</v>
      </c>
      <c r="X1351">
        <v>285</v>
      </c>
      <c r="Y1351">
        <v>0.98</v>
      </c>
      <c r="Z1351">
        <v>1981.98</v>
      </c>
      <c r="AA1351">
        <v>1720</v>
      </c>
      <c r="AB1351">
        <v>123.78</v>
      </c>
      <c r="AC1351">
        <v>36</v>
      </c>
      <c r="AD1351" s="41">
        <f t="shared" si="294"/>
        <v>0.43390952481861572</v>
      </c>
      <c r="AE1351" s="41">
        <f t="shared" si="295"/>
        <v>0.5</v>
      </c>
      <c r="AF1351">
        <f t="shared" si="296"/>
        <v>1.4670537931034482</v>
      </c>
      <c r="AG1351">
        <f t="shared" si="297"/>
        <v>7.2089668965517259E-2</v>
      </c>
      <c r="AH1351">
        <f t="shared" si="298"/>
        <v>1.2378</v>
      </c>
      <c r="AI1351">
        <f>HLOOKUP(HLOOKUP(G1351,'THP2'!$B$4:$J$8,5,FALSE),'Fuel &amp; Resister'!$B$3:$G$6,4,FALSE)</f>
        <v>2.7360666666666664</v>
      </c>
      <c r="AJ1351" s="41">
        <f>HLOOKUP(HLOOKUP(G1351,'THP2'!$B$4:$J$8,5,FALSE),'Fuel &amp; Resister'!$B$3:$G$6,3,FALSE)</f>
        <v>13.019</v>
      </c>
    </row>
    <row r="1352" spans="2:36" x14ac:dyDescent="0.15">
      <c r="B1352" s="81" t="s">
        <v>642</v>
      </c>
      <c r="C1352" s="61">
        <f>VLOOKUP(B1352,[1]SYS!$F$5:$G$359,2,FALSE)</f>
        <v>278</v>
      </c>
      <c r="D1352" s="1" t="s">
        <v>50</v>
      </c>
      <c r="E1352" s="65" t="s">
        <v>539</v>
      </c>
      <c r="F1352" s="63" t="s">
        <v>549</v>
      </c>
      <c r="G1352" s="1">
        <v>8</v>
      </c>
      <c r="H1352" s="1">
        <f t="shared" si="291"/>
        <v>0.49122807017543857</v>
      </c>
      <c r="I1352" s="1">
        <f t="shared" si="299"/>
        <v>0.28499999999999998</v>
      </c>
      <c r="J1352" s="1">
        <f t="shared" si="300"/>
        <v>2.0000000000000018E-2</v>
      </c>
      <c r="K1352" s="1">
        <f t="shared" si="292"/>
        <v>1.9819800000000001</v>
      </c>
      <c r="L1352" s="1">
        <f t="shared" si="293"/>
        <v>1.72</v>
      </c>
      <c r="M1352" s="49">
        <v>0</v>
      </c>
      <c r="N1352" s="49">
        <f t="shared" si="302"/>
        <v>1.2378</v>
      </c>
      <c r="O1352" s="1">
        <v>612</v>
      </c>
      <c r="P1352" s="51">
        <v>0.05</v>
      </c>
      <c r="Q1352" s="51">
        <v>11</v>
      </c>
      <c r="R1352" s="51">
        <v>0</v>
      </c>
      <c r="S1352" s="1">
        <v>1</v>
      </c>
      <c r="T1352" s="1">
        <v>0</v>
      </c>
      <c r="U1352" s="47">
        <v>0</v>
      </c>
      <c r="V1352" s="47"/>
      <c r="W1352" s="41">
        <v>140</v>
      </c>
      <c r="X1352">
        <v>285</v>
      </c>
      <c r="Y1352">
        <v>0.98</v>
      </c>
      <c r="Z1352">
        <v>1981.98</v>
      </c>
      <c r="AA1352">
        <v>1720</v>
      </c>
      <c r="AB1352">
        <v>123.78</v>
      </c>
      <c r="AC1352">
        <v>36</v>
      </c>
      <c r="AD1352" s="41">
        <f t="shared" si="294"/>
        <v>0.43390952481861572</v>
      </c>
      <c r="AE1352" s="41">
        <f t="shared" si="295"/>
        <v>0.5</v>
      </c>
      <c r="AF1352">
        <f t="shared" si="296"/>
        <v>1.4670537931034482</v>
      </c>
      <c r="AG1352">
        <f t="shared" si="297"/>
        <v>7.2089668965517259E-2</v>
      </c>
      <c r="AH1352">
        <f t="shared" si="298"/>
        <v>1.2378</v>
      </c>
      <c r="AI1352">
        <f>HLOOKUP(HLOOKUP(G1352,'THP2'!$B$4:$J$8,5,FALSE),'Fuel &amp; Resister'!$B$3:$G$6,4,FALSE)</f>
        <v>2.7360666666666664</v>
      </c>
      <c r="AJ1352" s="41">
        <f>HLOOKUP(HLOOKUP(G1352,'THP2'!$B$4:$J$8,5,FALSE),'Fuel &amp; Resister'!$B$3:$G$6,3,FALSE)</f>
        <v>13.019</v>
      </c>
    </row>
    <row r="1353" spans="2:36" x14ac:dyDescent="0.15">
      <c r="B1353" s="81" t="s">
        <v>642</v>
      </c>
      <c r="C1353" s="61">
        <f>VLOOKUP(B1353,[1]SYS!$F$5:$G$359,2,FALSE)</f>
        <v>278</v>
      </c>
      <c r="D1353" s="1" t="s">
        <v>50</v>
      </c>
      <c r="E1353" s="65" t="s">
        <v>539</v>
      </c>
      <c r="F1353" s="63" t="s">
        <v>549</v>
      </c>
      <c r="G1353" s="1">
        <v>8</v>
      </c>
      <c r="H1353" s="1">
        <f t="shared" si="291"/>
        <v>0.49122807017543857</v>
      </c>
      <c r="I1353" s="1">
        <f t="shared" si="299"/>
        <v>0.28499999999999998</v>
      </c>
      <c r="J1353" s="1">
        <f t="shared" si="300"/>
        <v>2.0000000000000018E-2</v>
      </c>
      <c r="K1353" s="1">
        <f t="shared" si="292"/>
        <v>1.9819800000000001</v>
      </c>
      <c r="L1353" s="1">
        <f t="shared" si="293"/>
        <v>1.72</v>
      </c>
      <c r="M1353" s="49">
        <v>0</v>
      </c>
      <c r="N1353" s="49">
        <f t="shared" si="302"/>
        <v>1.2378</v>
      </c>
      <c r="O1353" s="1">
        <v>401</v>
      </c>
      <c r="P1353" s="51">
        <v>0.05</v>
      </c>
      <c r="Q1353" s="51">
        <v>11</v>
      </c>
      <c r="R1353" s="51">
        <v>0</v>
      </c>
      <c r="S1353" s="1">
        <v>1</v>
      </c>
      <c r="T1353" s="1">
        <v>0</v>
      </c>
      <c r="U1353" s="47">
        <v>0</v>
      </c>
      <c r="V1353" s="47"/>
      <c r="W1353" s="41">
        <v>140</v>
      </c>
      <c r="X1353">
        <v>285</v>
      </c>
      <c r="Y1353">
        <v>0.98</v>
      </c>
      <c r="Z1353">
        <v>1981.98</v>
      </c>
      <c r="AA1353">
        <v>1720</v>
      </c>
      <c r="AB1353">
        <v>123.78</v>
      </c>
      <c r="AC1353">
        <v>36</v>
      </c>
      <c r="AD1353" s="41">
        <f t="shared" si="294"/>
        <v>0.43390952481861572</v>
      </c>
      <c r="AE1353" s="41">
        <f t="shared" si="295"/>
        <v>0.5</v>
      </c>
      <c r="AF1353">
        <f t="shared" si="296"/>
        <v>1.4670537931034482</v>
      </c>
      <c r="AG1353">
        <f t="shared" si="297"/>
        <v>7.2089668965517259E-2</v>
      </c>
      <c r="AH1353">
        <f t="shared" si="298"/>
        <v>1.2378</v>
      </c>
      <c r="AI1353">
        <f>HLOOKUP(HLOOKUP(G1353,'THP2'!$B$4:$J$8,5,FALSE),'Fuel &amp; Resister'!$B$3:$G$6,4,FALSE)</f>
        <v>2.7360666666666664</v>
      </c>
      <c r="AJ1353" s="41">
        <f>HLOOKUP(HLOOKUP(G1353,'THP2'!$B$4:$J$8,5,FALSE),'Fuel &amp; Resister'!$B$3:$G$6,3,FALSE)</f>
        <v>13.019</v>
      </c>
    </row>
    <row r="1354" spans="2:36" x14ac:dyDescent="0.15">
      <c r="B1354" s="81" t="s">
        <v>642</v>
      </c>
      <c r="C1354" s="61">
        <f>VLOOKUP(B1354,[1]SYS!$F$5:$G$359,2,FALSE)</f>
        <v>278</v>
      </c>
      <c r="D1354" s="1" t="s">
        <v>50</v>
      </c>
      <c r="E1354" s="65" t="s">
        <v>539</v>
      </c>
      <c r="F1354" s="63" t="s">
        <v>549</v>
      </c>
      <c r="G1354" s="1">
        <v>8</v>
      </c>
      <c r="H1354" s="1">
        <f t="shared" si="291"/>
        <v>0.49122807017543857</v>
      </c>
      <c r="I1354" s="1">
        <f t="shared" si="299"/>
        <v>0.28499999999999998</v>
      </c>
      <c r="J1354" s="1">
        <f t="shared" si="300"/>
        <v>2.0000000000000018E-2</v>
      </c>
      <c r="K1354" s="1">
        <f t="shared" si="292"/>
        <v>1.9819800000000001</v>
      </c>
      <c r="L1354" s="1">
        <f t="shared" si="293"/>
        <v>1.72</v>
      </c>
      <c r="M1354" s="49">
        <v>0</v>
      </c>
      <c r="N1354" s="49">
        <f t="shared" si="302"/>
        <v>1.2378</v>
      </c>
      <c r="O1354" s="1">
        <v>507</v>
      </c>
      <c r="P1354" s="51">
        <v>0.05</v>
      </c>
      <c r="Q1354" s="51">
        <v>11</v>
      </c>
      <c r="R1354" s="51">
        <v>0</v>
      </c>
      <c r="S1354" s="1">
        <v>1</v>
      </c>
      <c r="T1354" s="1">
        <v>0</v>
      </c>
      <c r="U1354" s="47">
        <v>0</v>
      </c>
      <c r="V1354" s="47"/>
      <c r="W1354" s="41">
        <v>140</v>
      </c>
      <c r="X1354">
        <v>285</v>
      </c>
      <c r="Y1354">
        <v>0.98</v>
      </c>
      <c r="Z1354">
        <v>1981.98</v>
      </c>
      <c r="AA1354">
        <v>1720</v>
      </c>
      <c r="AB1354">
        <v>123.78</v>
      </c>
      <c r="AC1354">
        <v>36</v>
      </c>
      <c r="AD1354" s="41">
        <f t="shared" si="294"/>
        <v>0.43390952481861572</v>
      </c>
      <c r="AE1354" s="41">
        <f t="shared" si="295"/>
        <v>0.5</v>
      </c>
      <c r="AF1354">
        <f t="shared" si="296"/>
        <v>1.4670537931034482</v>
      </c>
      <c r="AG1354">
        <f t="shared" si="297"/>
        <v>7.2089668965517259E-2</v>
      </c>
      <c r="AH1354">
        <f t="shared" si="298"/>
        <v>1.2378</v>
      </c>
      <c r="AI1354">
        <f>HLOOKUP(HLOOKUP(G1354,'THP2'!$B$4:$J$8,5,FALSE),'Fuel &amp; Resister'!$B$3:$G$6,4,FALSE)</f>
        <v>2.7360666666666664</v>
      </c>
      <c r="AJ1354" s="41">
        <f>HLOOKUP(HLOOKUP(G1354,'THP2'!$B$4:$J$8,5,FALSE),'Fuel &amp; Resister'!$B$3:$G$6,3,FALSE)</f>
        <v>13.019</v>
      </c>
    </row>
    <row r="1355" spans="2:36" x14ac:dyDescent="0.15">
      <c r="B1355" s="81" t="s">
        <v>643</v>
      </c>
      <c r="C1355" s="61">
        <f>VLOOKUP(B1355,[1]SYS!$F$5:$G$359,2,FALSE)</f>
        <v>289</v>
      </c>
      <c r="D1355" s="1" t="s">
        <v>50</v>
      </c>
      <c r="E1355" s="65" t="s">
        <v>539</v>
      </c>
      <c r="F1355" s="63" t="s">
        <v>566</v>
      </c>
      <c r="G1355" s="1">
        <v>8</v>
      </c>
      <c r="H1355" s="1">
        <f t="shared" si="291"/>
        <v>0.49122807017543857</v>
      </c>
      <c r="I1355" s="1">
        <f t="shared" si="299"/>
        <v>0.28499999999999998</v>
      </c>
      <c r="J1355" s="1">
        <f t="shared" si="300"/>
        <v>2.0000000000000018E-2</v>
      </c>
      <c r="K1355" s="1">
        <f t="shared" si="292"/>
        <v>1.9819800000000001</v>
      </c>
      <c r="L1355" s="1">
        <f t="shared" si="293"/>
        <v>1.72</v>
      </c>
      <c r="M1355" s="49">
        <v>0</v>
      </c>
      <c r="N1355" s="49">
        <f t="shared" si="302"/>
        <v>1.2378</v>
      </c>
      <c r="O1355" s="1">
        <v>825</v>
      </c>
      <c r="P1355" s="51">
        <v>0.05</v>
      </c>
      <c r="Q1355" s="51">
        <v>11</v>
      </c>
      <c r="R1355" s="51">
        <v>0</v>
      </c>
      <c r="S1355" s="1">
        <v>1</v>
      </c>
      <c r="T1355" s="1">
        <v>0</v>
      </c>
      <c r="U1355" s="47">
        <v>0</v>
      </c>
      <c r="V1355" s="47"/>
      <c r="W1355" s="41">
        <v>140</v>
      </c>
      <c r="X1355">
        <v>285</v>
      </c>
      <c r="Y1355">
        <v>0.98</v>
      </c>
      <c r="Z1355">
        <v>1981.98</v>
      </c>
      <c r="AA1355">
        <v>1720</v>
      </c>
      <c r="AB1355">
        <v>123.78</v>
      </c>
      <c r="AC1355">
        <v>36</v>
      </c>
      <c r="AD1355" s="41">
        <f t="shared" si="294"/>
        <v>0.43390952481861572</v>
      </c>
      <c r="AE1355" s="41">
        <f t="shared" si="295"/>
        <v>0.5</v>
      </c>
      <c r="AF1355">
        <f t="shared" si="296"/>
        <v>1.4670537931034482</v>
      </c>
      <c r="AG1355">
        <f t="shared" si="297"/>
        <v>7.2089668965517259E-2</v>
      </c>
      <c r="AH1355">
        <f t="shared" si="298"/>
        <v>1.2378</v>
      </c>
      <c r="AI1355">
        <f>HLOOKUP(HLOOKUP(G1355,'THP2'!$B$4:$J$8,5,FALSE),'Fuel &amp; Resister'!$B$3:$G$6,4,FALSE)</f>
        <v>2.7360666666666664</v>
      </c>
      <c r="AJ1355" s="41">
        <f>HLOOKUP(HLOOKUP(G1355,'THP2'!$B$4:$J$8,5,FALSE),'Fuel &amp; Resister'!$B$3:$G$6,3,FALSE)</f>
        <v>13.019</v>
      </c>
    </row>
    <row r="1356" spans="2:36" x14ac:dyDescent="0.15">
      <c r="B1356" s="81" t="s">
        <v>609</v>
      </c>
      <c r="C1356" s="61">
        <f>VLOOKUP(B1356,[1]SYS!$F$5:$G$359,2,FALSE)</f>
        <v>279</v>
      </c>
      <c r="D1356" s="1" t="s">
        <v>50</v>
      </c>
      <c r="E1356" s="65" t="s">
        <v>539</v>
      </c>
      <c r="F1356" s="63" t="s">
        <v>564</v>
      </c>
      <c r="G1356" s="1">
        <v>8</v>
      </c>
      <c r="H1356" s="1">
        <f t="shared" si="291"/>
        <v>0.49122807017543857</v>
      </c>
      <c r="I1356" s="1">
        <f t="shared" si="299"/>
        <v>0.28499999999999998</v>
      </c>
      <c r="J1356" s="1">
        <f t="shared" si="300"/>
        <v>2.0000000000000018E-2</v>
      </c>
      <c r="K1356" s="1">
        <f t="shared" si="292"/>
        <v>1.9819800000000001</v>
      </c>
      <c r="L1356" s="1">
        <f t="shared" si="293"/>
        <v>1.72</v>
      </c>
      <c r="M1356" s="49">
        <v>0</v>
      </c>
      <c r="N1356" s="49">
        <f t="shared" si="302"/>
        <v>1.2378</v>
      </c>
      <c r="O1356" s="1">
        <v>827</v>
      </c>
      <c r="P1356" s="51">
        <v>0.05</v>
      </c>
      <c r="Q1356" s="51">
        <v>11</v>
      </c>
      <c r="R1356" s="51">
        <v>0</v>
      </c>
      <c r="S1356" s="1">
        <v>1</v>
      </c>
      <c r="T1356" s="1">
        <v>0</v>
      </c>
      <c r="U1356" s="47">
        <v>0</v>
      </c>
      <c r="V1356" s="47"/>
      <c r="W1356" s="41">
        <v>140</v>
      </c>
      <c r="X1356">
        <v>285</v>
      </c>
      <c r="Y1356">
        <v>0.98</v>
      </c>
      <c r="Z1356">
        <v>1981.98</v>
      </c>
      <c r="AA1356">
        <v>1720</v>
      </c>
      <c r="AB1356">
        <v>123.78</v>
      </c>
      <c r="AC1356">
        <v>36</v>
      </c>
      <c r="AD1356" s="41">
        <f t="shared" si="294"/>
        <v>0.43390952481861572</v>
      </c>
      <c r="AE1356" s="41">
        <f t="shared" si="295"/>
        <v>0.5</v>
      </c>
      <c r="AF1356">
        <f t="shared" si="296"/>
        <v>1.4670537931034482</v>
      </c>
      <c r="AG1356">
        <f t="shared" si="297"/>
        <v>7.2089668965517259E-2</v>
      </c>
      <c r="AH1356">
        <f t="shared" si="298"/>
        <v>1.2378</v>
      </c>
      <c r="AI1356">
        <f>HLOOKUP(HLOOKUP(G1356,'THP2'!$B$4:$J$8,5,FALSE),'Fuel &amp; Resister'!$B$3:$G$6,4,FALSE)</f>
        <v>2.7360666666666664</v>
      </c>
      <c r="AJ1356" s="41">
        <f>HLOOKUP(HLOOKUP(G1356,'THP2'!$B$4:$J$8,5,FALSE),'Fuel &amp; Resister'!$B$3:$G$6,3,FALSE)</f>
        <v>13.019</v>
      </c>
    </row>
    <row r="1357" spans="2:36" x14ac:dyDescent="0.15">
      <c r="B1357" s="81" t="s">
        <v>609</v>
      </c>
      <c r="C1357" s="61">
        <f>VLOOKUP(B1357,[1]SYS!$F$5:$G$359,2,FALSE)</f>
        <v>279</v>
      </c>
      <c r="D1357" s="1" t="s">
        <v>50</v>
      </c>
      <c r="E1357" s="65" t="s">
        <v>539</v>
      </c>
      <c r="F1357" s="63" t="s">
        <v>565</v>
      </c>
      <c r="G1357" s="1">
        <v>8</v>
      </c>
      <c r="H1357" s="1">
        <f t="shared" si="291"/>
        <v>0.49122807017543857</v>
      </c>
      <c r="I1357" s="1">
        <f t="shared" si="299"/>
        <v>0.28499999999999998</v>
      </c>
      <c r="J1357" s="1">
        <f t="shared" si="300"/>
        <v>2.0000000000000018E-2</v>
      </c>
      <c r="K1357" s="1">
        <f t="shared" si="292"/>
        <v>1.9819800000000001</v>
      </c>
      <c r="L1357" s="1">
        <f t="shared" si="293"/>
        <v>1.72</v>
      </c>
      <c r="M1357" s="49">
        <v>0</v>
      </c>
      <c r="N1357" s="49">
        <f t="shared" si="302"/>
        <v>1.2378</v>
      </c>
      <c r="O1357" s="1">
        <v>908</v>
      </c>
      <c r="P1357" s="51">
        <v>0.05</v>
      </c>
      <c r="Q1357" s="51">
        <v>11</v>
      </c>
      <c r="R1357" s="51">
        <v>0</v>
      </c>
      <c r="S1357" s="1">
        <v>1</v>
      </c>
      <c r="T1357" s="1">
        <v>0</v>
      </c>
      <c r="U1357" s="47">
        <v>0</v>
      </c>
      <c r="V1357" s="47"/>
      <c r="W1357" s="41">
        <v>140</v>
      </c>
      <c r="X1357">
        <v>285</v>
      </c>
      <c r="Y1357">
        <v>0.98</v>
      </c>
      <c r="Z1357">
        <v>1981.98</v>
      </c>
      <c r="AA1357">
        <v>1720</v>
      </c>
      <c r="AB1357">
        <v>123.78</v>
      </c>
      <c r="AC1357">
        <v>36</v>
      </c>
      <c r="AD1357" s="41">
        <f t="shared" si="294"/>
        <v>0.43390952481861572</v>
      </c>
      <c r="AE1357" s="41">
        <f t="shared" si="295"/>
        <v>0.5</v>
      </c>
      <c r="AF1357">
        <f t="shared" si="296"/>
        <v>1.4670537931034482</v>
      </c>
      <c r="AG1357">
        <f t="shared" si="297"/>
        <v>7.2089668965517259E-2</v>
      </c>
      <c r="AH1357">
        <f t="shared" si="298"/>
        <v>1.2378</v>
      </c>
      <c r="AI1357">
        <f>HLOOKUP(HLOOKUP(G1357,'THP2'!$B$4:$J$8,5,FALSE),'Fuel &amp; Resister'!$B$3:$G$6,4,FALSE)</f>
        <v>2.7360666666666664</v>
      </c>
      <c r="AJ1357" s="41">
        <f>HLOOKUP(HLOOKUP(G1357,'THP2'!$B$4:$J$8,5,FALSE),'Fuel &amp; Resister'!$B$3:$G$6,3,FALSE)</f>
        <v>13.019</v>
      </c>
    </row>
    <row r="1358" spans="2:36" x14ac:dyDescent="0.15">
      <c r="B1358" s="81" t="s">
        <v>609</v>
      </c>
      <c r="C1358" s="61">
        <f>VLOOKUP(B1358,[1]SYS!$F$5:$G$359,2,FALSE)</f>
        <v>279</v>
      </c>
      <c r="D1358" s="1" t="s">
        <v>50</v>
      </c>
      <c r="E1358" s="65" t="s">
        <v>539</v>
      </c>
      <c r="F1358" s="63" t="s">
        <v>564</v>
      </c>
      <c r="G1358" s="1">
        <v>8</v>
      </c>
      <c r="H1358" s="1">
        <f t="shared" si="291"/>
        <v>0.49122807017543857</v>
      </c>
      <c r="I1358" s="1">
        <f t="shared" si="299"/>
        <v>0.28499999999999998</v>
      </c>
      <c r="J1358" s="1">
        <f t="shared" si="300"/>
        <v>2.0000000000000018E-2</v>
      </c>
      <c r="K1358" s="1">
        <f t="shared" si="292"/>
        <v>1.9819800000000001</v>
      </c>
      <c r="L1358" s="1">
        <f t="shared" si="293"/>
        <v>1.72</v>
      </c>
      <c r="M1358" s="49">
        <v>0</v>
      </c>
      <c r="N1358" s="49">
        <f t="shared" si="302"/>
        <v>1.2378</v>
      </c>
      <c r="O1358" s="1">
        <v>211</v>
      </c>
      <c r="P1358" s="51">
        <v>0.05</v>
      </c>
      <c r="Q1358" s="51">
        <v>11</v>
      </c>
      <c r="R1358" s="51">
        <v>0</v>
      </c>
      <c r="S1358" s="1">
        <v>1</v>
      </c>
      <c r="T1358" s="1">
        <v>0</v>
      </c>
      <c r="U1358" s="47">
        <v>0</v>
      </c>
      <c r="V1358" s="47"/>
      <c r="W1358" s="41">
        <v>140</v>
      </c>
      <c r="X1358">
        <v>285</v>
      </c>
      <c r="Y1358">
        <v>0.98</v>
      </c>
      <c r="Z1358">
        <v>1981.98</v>
      </c>
      <c r="AA1358">
        <v>1720</v>
      </c>
      <c r="AB1358">
        <v>123.78</v>
      </c>
      <c r="AC1358">
        <v>36</v>
      </c>
      <c r="AD1358" s="41">
        <f t="shared" si="294"/>
        <v>0.43390952481861572</v>
      </c>
      <c r="AE1358" s="41">
        <f t="shared" si="295"/>
        <v>0.5</v>
      </c>
      <c r="AF1358">
        <f t="shared" si="296"/>
        <v>1.4670537931034482</v>
      </c>
      <c r="AG1358">
        <f t="shared" si="297"/>
        <v>7.2089668965517259E-2</v>
      </c>
      <c r="AH1358">
        <f t="shared" si="298"/>
        <v>1.2378</v>
      </c>
      <c r="AI1358">
        <f>HLOOKUP(HLOOKUP(G1358,'THP2'!$B$4:$J$8,5,FALSE),'Fuel &amp; Resister'!$B$3:$G$6,4,FALSE)</f>
        <v>2.7360666666666664</v>
      </c>
      <c r="AJ1358" s="41">
        <f>HLOOKUP(HLOOKUP(G1358,'THP2'!$B$4:$J$8,5,FALSE),'Fuel &amp; Resister'!$B$3:$G$6,3,FALSE)</f>
        <v>13.019</v>
      </c>
    </row>
    <row r="1359" spans="2:36" x14ac:dyDescent="0.15">
      <c r="B1359" s="81" t="s">
        <v>609</v>
      </c>
      <c r="C1359" s="61">
        <f>VLOOKUP(B1359,[1]SYS!$F$5:$G$359,2,FALSE)</f>
        <v>279</v>
      </c>
      <c r="D1359" s="1" t="s">
        <v>50</v>
      </c>
      <c r="E1359" s="65" t="s">
        <v>539</v>
      </c>
      <c r="F1359" s="63" t="s">
        <v>564</v>
      </c>
      <c r="G1359" s="1">
        <v>8</v>
      </c>
      <c r="H1359" s="1">
        <f t="shared" si="291"/>
        <v>0.49122807017543857</v>
      </c>
      <c r="I1359" s="1">
        <f t="shared" si="299"/>
        <v>0.28499999999999998</v>
      </c>
      <c r="J1359" s="1">
        <f t="shared" si="300"/>
        <v>2.0000000000000018E-2</v>
      </c>
      <c r="K1359" s="1">
        <f t="shared" si="292"/>
        <v>1.9819800000000001</v>
      </c>
      <c r="L1359" s="1">
        <f t="shared" si="293"/>
        <v>1.72</v>
      </c>
      <c r="M1359" s="49">
        <v>0</v>
      </c>
      <c r="N1359" s="49">
        <f t="shared" si="302"/>
        <v>1.2378</v>
      </c>
      <c r="O1359" s="1">
        <v>1217</v>
      </c>
      <c r="P1359" s="51">
        <v>0.05</v>
      </c>
      <c r="Q1359" s="51">
        <v>11</v>
      </c>
      <c r="R1359" s="51">
        <v>0</v>
      </c>
      <c r="S1359" s="1">
        <v>1</v>
      </c>
      <c r="T1359" s="1">
        <v>0</v>
      </c>
      <c r="U1359" s="47">
        <v>0</v>
      </c>
      <c r="V1359" s="47"/>
      <c r="W1359" s="41">
        <v>140</v>
      </c>
      <c r="X1359">
        <v>285</v>
      </c>
      <c r="Y1359">
        <v>0.98</v>
      </c>
      <c r="Z1359">
        <v>1981.98</v>
      </c>
      <c r="AA1359">
        <v>1720</v>
      </c>
      <c r="AB1359">
        <v>123.78</v>
      </c>
      <c r="AC1359">
        <v>36</v>
      </c>
      <c r="AD1359" s="41">
        <f t="shared" si="294"/>
        <v>0.43390952481861572</v>
      </c>
      <c r="AE1359" s="41">
        <f t="shared" si="295"/>
        <v>0.5</v>
      </c>
      <c r="AF1359">
        <f t="shared" si="296"/>
        <v>1.4670537931034482</v>
      </c>
      <c r="AG1359">
        <f t="shared" si="297"/>
        <v>7.2089668965517259E-2</v>
      </c>
      <c r="AH1359">
        <f t="shared" si="298"/>
        <v>1.2378</v>
      </c>
      <c r="AI1359">
        <f>HLOOKUP(HLOOKUP(G1359,'THP2'!$B$4:$J$8,5,FALSE),'Fuel &amp; Resister'!$B$3:$G$6,4,FALSE)</f>
        <v>2.7360666666666664</v>
      </c>
      <c r="AJ1359" s="41">
        <f>HLOOKUP(HLOOKUP(G1359,'THP2'!$B$4:$J$8,5,FALSE),'Fuel &amp; Resister'!$B$3:$G$6,3,FALSE)</f>
        <v>13.019</v>
      </c>
    </row>
    <row r="1360" spans="2:36" x14ac:dyDescent="0.15">
      <c r="B1360" s="81" t="s">
        <v>617</v>
      </c>
      <c r="C1360" s="61">
        <f>VLOOKUP(B1360,[1]SYS!$F$5:$G$359,2,FALSE)</f>
        <v>324</v>
      </c>
      <c r="D1360" s="1" t="s">
        <v>50</v>
      </c>
      <c r="E1360" s="65" t="s">
        <v>289</v>
      </c>
      <c r="F1360" s="63" t="s">
        <v>420</v>
      </c>
      <c r="G1360" s="1">
        <v>8</v>
      </c>
      <c r="H1360" s="1">
        <f t="shared" si="291"/>
        <v>0.26143790849673204</v>
      </c>
      <c r="I1360" s="1">
        <f t="shared" si="299"/>
        <v>0.45900000000000002</v>
      </c>
      <c r="J1360" s="1">
        <f t="shared" si="300"/>
        <v>2.0000000000000018E-2</v>
      </c>
      <c r="K1360" s="1">
        <f t="shared" si="292"/>
        <v>2.56718</v>
      </c>
      <c r="L1360" s="1">
        <f t="shared" si="293"/>
        <v>1.5779799999999999</v>
      </c>
      <c r="M1360" s="49">
        <v>0</v>
      </c>
      <c r="N1360" s="49">
        <v>1.4257</v>
      </c>
      <c r="O1360" s="1">
        <v>413</v>
      </c>
      <c r="P1360" s="51">
        <v>0.05</v>
      </c>
      <c r="Q1360" s="51">
        <v>11</v>
      </c>
      <c r="R1360" s="51">
        <v>0</v>
      </c>
      <c r="S1360" s="1">
        <v>1</v>
      </c>
      <c r="T1360" s="1">
        <v>0</v>
      </c>
      <c r="U1360" s="47">
        <v>1</v>
      </c>
      <c r="V1360" s="47">
        <v>312</v>
      </c>
      <c r="W1360" s="41">
        <v>120</v>
      </c>
      <c r="X1360">
        <v>459</v>
      </c>
      <c r="Y1360">
        <v>0.98</v>
      </c>
      <c r="Z1360">
        <v>2567.1799999999998</v>
      </c>
      <c r="AA1360">
        <v>1577.98</v>
      </c>
      <c r="AB1360">
        <v>142.57</v>
      </c>
      <c r="AC1360">
        <v>36</v>
      </c>
      <c r="AD1360" s="41">
        <f t="shared" si="294"/>
        <v>0.33499793547783951</v>
      </c>
      <c r="AE1360" s="41">
        <f t="shared" si="295"/>
        <v>0.54500057034943405</v>
      </c>
      <c r="AF1360">
        <f t="shared" si="296"/>
        <v>1.2278207079646015</v>
      </c>
      <c r="AG1360">
        <f t="shared" si="297"/>
        <v>0.16072311504424788</v>
      </c>
      <c r="AH1360">
        <f t="shared" si="298"/>
        <v>1.4257</v>
      </c>
      <c r="AI1360">
        <f>HLOOKUP(HLOOKUP(G1360,'THP2'!$B$4:$J$8,5,FALSE),'Fuel &amp; Resister'!$B$3:$G$6,4,FALSE)</f>
        <v>2.7360666666666664</v>
      </c>
      <c r="AJ1360" s="41">
        <f>HLOOKUP(HLOOKUP(G1360,'THP2'!$B$4:$J$8,5,FALSE),'Fuel &amp; Resister'!$B$3:$G$6,3,FALSE)</f>
        <v>13.019</v>
      </c>
    </row>
    <row r="1361" spans="2:36" x14ac:dyDescent="0.15">
      <c r="B1361" s="81" t="s">
        <v>618</v>
      </c>
      <c r="C1361" s="61">
        <f>VLOOKUP(B1361,[1]SYS!$F$5:$G$359,2,FALSE)</f>
        <v>308</v>
      </c>
      <c r="D1361" s="1" t="s">
        <v>50</v>
      </c>
      <c r="E1361" s="65" t="s">
        <v>290</v>
      </c>
      <c r="F1361" s="63" t="s">
        <v>450</v>
      </c>
      <c r="G1361" s="1">
        <v>8</v>
      </c>
      <c r="H1361" s="1">
        <f t="shared" si="291"/>
        <v>0.4</v>
      </c>
      <c r="I1361" s="1">
        <f t="shared" si="299"/>
        <v>0.4</v>
      </c>
      <c r="J1361" s="1">
        <f t="shared" si="300"/>
        <v>2.0000000000000018E-2</v>
      </c>
      <c r="K1361" s="1">
        <f t="shared" si="292"/>
        <v>2.1574800000000001</v>
      </c>
      <c r="L1361" s="1">
        <f t="shared" si="293"/>
        <v>1.6538499999999998</v>
      </c>
      <c r="M1361" s="49">
        <v>0</v>
      </c>
      <c r="N1361" s="49">
        <v>1.3619999999999999</v>
      </c>
      <c r="O1361" s="1">
        <v>514</v>
      </c>
      <c r="P1361" s="51">
        <v>0.05</v>
      </c>
      <c r="Q1361" s="51">
        <v>11</v>
      </c>
      <c r="R1361" s="51">
        <v>0</v>
      </c>
      <c r="S1361" s="1">
        <v>1</v>
      </c>
      <c r="T1361" s="1">
        <v>0</v>
      </c>
      <c r="U1361" s="47">
        <v>1</v>
      </c>
      <c r="V1361" s="47">
        <v>313</v>
      </c>
      <c r="W1361" s="41">
        <v>160</v>
      </c>
      <c r="X1361">
        <v>400</v>
      </c>
      <c r="Y1361">
        <v>0.98</v>
      </c>
      <c r="Z1361">
        <v>2157.48</v>
      </c>
      <c r="AA1361">
        <v>1653.85</v>
      </c>
      <c r="AB1361">
        <v>136.19999999999999</v>
      </c>
      <c r="AC1361">
        <v>36</v>
      </c>
      <c r="AD1361" s="41">
        <f t="shared" si="294"/>
        <v>0.39861319687783897</v>
      </c>
      <c r="AE1361" s="41">
        <f t="shared" si="295"/>
        <v>0.51999879070048671</v>
      </c>
      <c r="AF1361">
        <f t="shared" si="296"/>
        <v>1.3180966666666663</v>
      </c>
      <c r="AG1361">
        <f t="shared" si="297"/>
        <v>0.13430133333333344</v>
      </c>
      <c r="AH1361">
        <f t="shared" si="298"/>
        <v>1.3619999999999999</v>
      </c>
      <c r="AI1361">
        <f>HLOOKUP(HLOOKUP(G1361,'THP2'!$B$4:$J$8,5,FALSE),'Fuel &amp; Resister'!$B$3:$G$6,4,FALSE)</f>
        <v>2.7360666666666664</v>
      </c>
      <c r="AJ1361" s="41">
        <f>HLOOKUP(HLOOKUP(G1361,'THP2'!$B$4:$J$8,5,FALSE),'Fuel &amp; Resister'!$B$3:$G$6,3,FALSE)</f>
        <v>13.019</v>
      </c>
    </row>
    <row r="1362" spans="2:36" x14ac:dyDescent="0.15">
      <c r="B1362" s="81" t="s">
        <v>618</v>
      </c>
      <c r="C1362" s="61">
        <f>VLOOKUP(B1362,[1]SYS!$F$5:$G$359,2,FALSE)</f>
        <v>308</v>
      </c>
      <c r="D1362" s="1" t="s">
        <v>50</v>
      </c>
      <c r="E1362" s="65" t="s">
        <v>291</v>
      </c>
      <c r="F1362" s="63" t="s">
        <v>450</v>
      </c>
      <c r="G1362" s="1">
        <v>8</v>
      </c>
      <c r="H1362" s="1">
        <f t="shared" si="291"/>
        <v>0.4</v>
      </c>
      <c r="I1362" s="1">
        <f t="shared" si="299"/>
        <v>0.4</v>
      </c>
      <c r="J1362" s="1">
        <f t="shared" si="300"/>
        <v>2.0000000000000018E-2</v>
      </c>
      <c r="K1362" s="1">
        <f t="shared" si="292"/>
        <v>2.1574800000000001</v>
      </c>
      <c r="L1362" s="1">
        <f t="shared" si="293"/>
        <v>1.6538499999999998</v>
      </c>
      <c r="M1362" s="49">
        <v>0</v>
      </c>
      <c r="N1362" s="49">
        <v>1.3619999999999999</v>
      </c>
      <c r="O1362" s="1">
        <v>1113</v>
      </c>
      <c r="P1362" s="51">
        <v>0.05</v>
      </c>
      <c r="Q1362" s="51">
        <v>11</v>
      </c>
      <c r="R1362" s="51">
        <v>0</v>
      </c>
      <c r="S1362" s="1">
        <v>1</v>
      </c>
      <c r="T1362" s="1">
        <v>0</v>
      </c>
      <c r="U1362" s="47">
        <v>1</v>
      </c>
      <c r="V1362" s="47">
        <v>314</v>
      </c>
      <c r="W1362" s="41">
        <v>160</v>
      </c>
      <c r="X1362">
        <v>400</v>
      </c>
      <c r="Y1362">
        <v>0.98</v>
      </c>
      <c r="Z1362">
        <v>2157.48</v>
      </c>
      <c r="AA1362">
        <v>1653.85</v>
      </c>
      <c r="AB1362">
        <v>136.19999999999999</v>
      </c>
      <c r="AC1362">
        <v>36</v>
      </c>
      <c r="AD1362" s="41">
        <f t="shared" si="294"/>
        <v>0.39861319687783897</v>
      </c>
      <c r="AE1362" s="41">
        <f t="shared" si="295"/>
        <v>0.51999879070048671</v>
      </c>
      <c r="AF1362">
        <f t="shared" si="296"/>
        <v>1.3180966666666663</v>
      </c>
      <c r="AG1362">
        <f t="shared" si="297"/>
        <v>0.13430133333333344</v>
      </c>
      <c r="AH1362">
        <f t="shared" si="298"/>
        <v>1.3619999999999999</v>
      </c>
      <c r="AI1362">
        <f>HLOOKUP(HLOOKUP(G1362,'THP2'!$B$4:$J$8,5,FALSE),'Fuel &amp; Resister'!$B$3:$G$6,4,FALSE)</f>
        <v>2.7360666666666664</v>
      </c>
      <c r="AJ1362" s="41">
        <f>HLOOKUP(HLOOKUP(G1362,'THP2'!$B$4:$J$8,5,FALSE),'Fuel &amp; Resister'!$B$3:$G$6,3,FALSE)</f>
        <v>13.019</v>
      </c>
    </row>
    <row r="1363" spans="2:36" x14ac:dyDescent="0.15">
      <c r="B1363" s="81" t="s">
        <v>618</v>
      </c>
      <c r="C1363" s="61">
        <f>VLOOKUP(B1363,[1]SYS!$F$5:$G$359,2,FALSE)</f>
        <v>308</v>
      </c>
      <c r="D1363" s="1" t="s">
        <v>50</v>
      </c>
      <c r="E1363" s="65" t="s">
        <v>292</v>
      </c>
      <c r="F1363" s="63" t="s">
        <v>450</v>
      </c>
      <c r="G1363" s="1">
        <v>8</v>
      </c>
      <c r="H1363" s="1">
        <f t="shared" si="291"/>
        <v>0.4</v>
      </c>
      <c r="I1363" s="1">
        <f t="shared" si="299"/>
        <v>0.4</v>
      </c>
      <c r="J1363" s="1">
        <f t="shared" si="300"/>
        <v>2.0000000000000018E-2</v>
      </c>
      <c r="K1363" s="1">
        <f t="shared" si="292"/>
        <v>2.1574800000000001</v>
      </c>
      <c r="L1363" s="1">
        <f t="shared" si="293"/>
        <v>1.6538499999999998</v>
      </c>
      <c r="M1363" s="49">
        <v>0</v>
      </c>
      <c r="N1363" s="49">
        <v>1.3619999999999999</v>
      </c>
      <c r="O1363" s="6">
        <v>314</v>
      </c>
      <c r="P1363" s="51">
        <v>0.05</v>
      </c>
      <c r="Q1363" s="51">
        <v>11</v>
      </c>
      <c r="R1363" s="51">
        <v>0</v>
      </c>
      <c r="S1363" s="1">
        <v>1</v>
      </c>
      <c r="T1363" s="1">
        <v>0</v>
      </c>
      <c r="U1363" s="47">
        <v>1</v>
      </c>
      <c r="V1363" s="47">
        <v>315</v>
      </c>
      <c r="W1363" s="41">
        <v>160</v>
      </c>
      <c r="X1363">
        <v>400</v>
      </c>
      <c r="Y1363">
        <v>0.98</v>
      </c>
      <c r="Z1363">
        <v>2157.48</v>
      </c>
      <c r="AA1363">
        <v>1653.85</v>
      </c>
      <c r="AB1363">
        <v>136.19999999999999</v>
      </c>
      <c r="AC1363">
        <v>36</v>
      </c>
      <c r="AD1363" s="41">
        <f t="shared" si="294"/>
        <v>0.39861319687783897</v>
      </c>
      <c r="AE1363" s="41">
        <f t="shared" si="295"/>
        <v>0.51999879070048671</v>
      </c>
      <c r="AF1363">
        <f t="shared" si="296"/>
        <v>1.3180966666666663</v>
      </c>
      <c r="AG1363">
        <f t="shared" si="297"/>
        <v>0.13430133333333344</v>
      </c>
      <c r="AH1363">
        <f t="shared" si="298"/>
        <v>1.3619999999999999</v>
      </c>
      <c r="AI1363">
        <f>HLOOKUP(HLOOKUP(G1363,'THP2'!$B$4:$J$8,5,FALSE),'Fuel &amp; Resister'!$B$3:$G$6,4,FALSE)</f>
        <v>2.7360666666666664</v>
      </c>
      <c r="AJ1363" s="41">
        <f>HLOOKUP(HLOOKUP(G1363,'THP2'!$B$4:$J$8,5,FALSE),'Fuel &amp; Resister'!$B$3:$G$6,3,FALSE)</f>
        <v>13.019</v>
      </c>
    </row>
    <row r="1364" spans="2:36" x14ac:dyDescent="0.15">
      <c r="B1364" s="81" t="s">
        <v>618</v>
      </c>
      <c r="C1364" s="61">
        <f>VLOOKUP(B1364,[1]SYS!$F$5:$G$359,2,FALSE)</f>
        <v>308</v>
      </c>
      <c r="D1364" s="1" t="s">
        <v>50</v>
      </c>
      <c r="E1364" s="65" t="s">
        <v>293</v>
      </c>
      <c r="F1364" s="63" t="s">
        <v>450</v>
      </c>
      <c r="G1364" s="1">
        <v>8</v>
      </c>
      <c r="H1364" s="1">
        <f t="shared" si="291"/>
        <v>0.4</v>
      </c>
      <c r="I1364" s="1">
        <f t="shared" si="299"/>
        <v>0.4</v>
      </c>
      <c r="J1364" s="1">
        <f t="shared" si="300"/>
        <v>2.0000000000000018E-2</v>
      </c>
      <c r="K1364" s="1">
        <f t="shared" si="292"/>
        <v>2.1574800000000001</v>
      </c>
      <c r="L1364" s="1">
        <f t="shared" si="293"/>
        <v>1.6538499999999998</v>
      </c>
      <c r="M1364" s="49">
        <v>0</v>
      </c>
      <c r="N1364" s="49">
        <v>1.3619999999999999</v>
      </c>
      <c r="O1364" s="1">
        <v>514</v>
      </c>
      <c r="P1364" s="51">
        <v>0.05</v>
      </c>
      <c r="Q1364" s="51">
        <v>11</v>
      </c>
      <c r="R1364" s="51">
        <v>0</v>
      </c>
      <c r="S1364" s="1">
        <v>1</v>
      </c>
      <c r="T1364" s="1">
        <v>0</v>
      </c>
      <c r="U1364" s="47">
        <v>1</v>
      </c>
      <c r="V1364" s="47">
        <v>316</v>
      </c>
      <c r="W1364" s="41">
        <v>160</v>
      </c>
      <c r="X1364">
        <v>400</v>
      </c>
      <c r="Y1364">
        <v>0.98</v>
      </c>
      <c r="Z1364">
        <v>2157.48</v>
      </c>
      <c r="AA1364">
        <v>1653.85</v>
      </c>
      <c r="AB1364">
        <v>136.19999999999999</v>
      </c>
      <c r="AC1364">
        <v>36</v>
      </c>
      <c r="AD1364" s="41">
        <f t="shared" si="294"/>
        <v>0.39861319687783897</v>
      </c>
      <c r="AE1364" s="41">
        <f t="shared" si="295"/>
        <v>0.51999879070048671</v>
      </c>
      <c r="AF1364">
        <f t="shared" si="296"/>
        <v>1.3180966666666663</v>
      </c>
      <c r="AG1364">
        <f t="shared" si="297"/>
        <v>0.13430133333333344</v>
      </c>
      <c r="AH1364">
        <f t="shared" si="298"/>
        <v>1.3619999999999999</v>
      </c>
      <c r="AI1364">
        <f>HLOOKUP(HLOOKUP(G1364,'THP2'!$B$4:$J$8,5,FALSE),'Fuel &amp; Resister'!$B$3:$G$6,4,FALSE)</f>
        <v>2.7360666666666664</v>
      </c>
      <c r="AJ1364" s="41">
        <f>HLOOKUP(HLOOKUP(G1364,'THP2'!$B$4:$J$8,5,FALSE),'Fuel &amp; Resister'!$B$3:$G$6,3,FALSE)</f>
        <v>13.019</v>
      </c>
    </row>
    <row r="1365" spans="2:36" x14ac:dyDescent="0.15">
      <c r="B1365" s="81" t="s">
        <v>617</v>
      </c>
      <c r="C1365" s="61">
        <f>VLOOKUP(B1365,[1]SYS!$F$5:$G$359,2,FALSE)</f>
        <v>324</v>
      </c>
      <c r="D1365" s="1" t="s">
        <v>50</v>
      </c>
      <c r="E1365" s="42" t="s">
        <v>294</v>
      </c>
      <c r="F1365" s="63" t="s">
        <v>420</v>
      </c>
      <c r="G1365" s="1">
        <v>8</v>
      </c>
      <c r="H1365" s="1">
        <f t="shared" si="291"/>
        <v>0.24897959183673468</v>
      </c>
      <c r="I1365" s="1">
        <f t="shared" si="299"/>
        <v>0.245</v>
      </c>
      <c r="J1365" s="1">
        <f t="shared" si="300"/>
        <v>2.3399999999999976E-2</v>
      </c>
      <c r="K1365" s="1">
        <f t="shared" si="292"/>
        <v>2.9363699999999997</v>
      </c>
      <c r="L1365" s="1">
        <f t="shared" si="293"/>
        <v>1.80491</v>
      </c>
      <c r="M1365" s="49">
        <v>0</v>
      </c>
      <c r="N1365" s="49">
        <v>1.1947000000000001</v>
      </c>
      <c r="O1365" s="6">
        <v>314</v>
      </c>
      <c r="P1365" s="51">
        <v>0.05</v>
      </c>
      <c r="Q1365" s="51">
        <v>11</v>
      </c>
      <c r="R1365" s="51">
        <v>0</v>
      </c>
      <c r="S1365" s="1">
        <v>1</v>
      </c>
      <c r="T1365" s="1">
        <v>0</v>
      </c>
      <c r="U1365" s="47">
        <v>0</v>
      </c>
      <c r="V1365" s="47">
        <v>317</v>
      </c>
      <c r="W1365" s="41">
        <v>61</v>
      </c>
      <c r="X1365">
        <v>245</v>
      </c>
      <c r="Y1365">
        <v>0.97660000000000002</v>
      </c>
      <c r="Z1365">
        <v>2936.37</v>
      </c>
      <c r="AA1365">
        <v>1804.91</v>
      </c>
      <c r="AB1365">
        <v>119.47</v>
      </c>
      <c r="AC1365">
        <v>36</v>
      </c>
      <c r="AD1365" s="41">
        <f t="shared" si="294"/>
        <v>0.29287862224447192</v>
      </c>
      <c r="AE1365" s="41">
        <f t="shared" si="295"/>
        <v>0.47647805153719575</v>
      </c>
      <c r="AF1365">
        <f t="shared" si="296"/>
        <v>1.4298064130434784</v>
      </c>
      <c r="AG1365">
        <f t="shared" si="297"/>
        <v>9.1900378804347788E-2</v>
      </c>
      <c r="AH1365">
        <f t="shared" si="298"/>
        <v>1.1947000000000001</v>
      </c>
      <c r="AI1365">
        <f>HLOOKUP(HLOOKUP(G1365,'THP2'!$B$4:$J$8,5,FALSE),'Fuel &amp; Resister'!$B$3:$G$6,4,FALSE)</f>
        <v>2.7360666666666664</v>
      </c>
      <c r="AJ1365" s="41">
        <f>HLOOKUP(HLOOKUP(G1365,'THP2'!$B$4:$J$8,5,FALSE),'Fuel &amp; Resister'!$B$3:$G$6,3,FALSE)</f>
        <v>13.019</v>
      </c>
    </row>
    <row r="1366" spans="2:36" x14ac:dyDescent="0.15">
      <c r="B1366" s="81" t="s">
        <v>617</v>
      </c>
      <c r="C1366" s="61">
        <f>VLOOKUP(B1366,[1]SYS!$F$5:$G$359,2,FALSE)</f>
        <v>324</v>
      </c>
      <c r="D1366" s="1" t="s">
        <v>50</v>
      </c>
      <c r="E1366" s="42" t="s">
        <v>295</v>
      </c>
      <c r="F1366" s="63" t="s">
        <v>420</v>
      </c>
      <c r="G1366" s="1">
        <v>8</v>
      </c>
      <c r="H1366" s="1">
        <f t="shared" si="291"/>
        <v>0.24897959183673468</v>
      </c>
      <c r="I1366" s="1">
        <f t="shared" si="299"/>
        <v>0.245</v>
      </c>
      <c r="J1366" s="1">
        <f t="shared" si="300"/>
        <v>2.3399999999999976E-2</v>
      </c>
      <c r="K1366" s="1">
        <f t="shared" si="292"/>
        <v>2.9363699999999997</v>
      </c>
      <c r="L1366" s="1">
        <f t="shared" si="293"/>
        <v>1.80491</v>
      </c>
      <c r="M1366" s="49">
        <v>0</v>
      </c>
      <c r="N1366" s="49">
        <v>1.1947000000000001</v>
      </c>
      <c r="O1366" s="1">
        <v>211</v>
      </c>
      <c r="P1366" s="51">
        <v>0.05</v>
      </c>
      <c r="Q1366" s="51">
        <v>11</v>
      </c>
      <c r="R1366" s="51">
        <v>0</v>
      </c>
      <c r="S1366" s="1">
        <v>1</v>
      </c>
      <c r="T1366" s="1">
        <v>0</v>
      </c>
      <c r="U1366" s="47">
        <v>0</v>
      </c>
      <c r="V1366" s="47">
        <v>318</v>
      </c>
      <c r="W1366" s="41">
        <v>61</v>
      </c>
      <c r="X1366">
        <v>245</v>
      </c>
      <c r="Y1366">
        <v>0.97660000000000002</v>
      </c>
      <c r="Z1366">
        <v>2936.37</v>
      </c>
      <c r="AA1366">
        <v>1804.91</v>
      </c>
      <c r="AB1366">
        <v>119.47</v>
      </c>
      <c r="AC1366">
        <v>36</v>
      </c>
      <c r="AD1366" s="41">
        <f t="shared" si="294"/>
        <v>0.29287862224447192</v>
      </c>
      <c r="AE1366" s="41">
        <f t="shared" si="295"/>
        <v>0.47647805153719575</v>
      </c>
      <c r="AF1366">
        <f t="shared" si="296"/>
        <v>1.4298064130434784</v>
      </c>
      <c r="AG1366">
        <f t="shared" si="297"/>
        <v>9.1900378804347788E-2</v>
      </c>
      <c r="AH1366">
        <f t="shared" si="298"/>
        <v>1.1947000000000001</v>
      </c>
      <c r="AI1366">
        <f>HLOOKUP(HLOOKUP(G1366,'THP2'!$B$4:$J$8,5,FALSE),'Fuel &amp; Resister'!$B$3:$G$6,4,FALSE)</f>
        <v>2.7360666666666664</v>
      </c>
      <c r="AJ1366" s="41">
        <f>HLOOKUP(HLOOKUP(G1366,'THP2'!$B$4:$J$8,5,FALSE),'Fuel &amp; Resister'!$B$3:$G$6,3,FALSE)</f>
        <v>13.019</v>
      </c>
    </row>
    <row r="1367" spans="2:36" x14ac:dyDescent="0.15">
      <c r="B1367" s="81" t="s">
        <v>617</v>
      </c>
      <c r="C1367" s="61">
        <f>VLOOKUP(B1367,[1]SYS!$F$5:$G$359,2,FALSE)</f>
        <v>324</v>
      </c>
      <c r="D1367" s="1" t="s">
        <v>50</v>
      </c>
      <c r="E1367" s="42" t="s">
        <v>296</v>
      </c>
      <c r="F1367" s="63" t="s">
        <v>420</v>
      </c>
      <c r="G1367" s="1">
        <v>8</v>
      </c>
      <c r="H1367" s="1">
        <f t="shared" si="291"/>
        <v>0.24897959183673468</v>
      </c>
      <c r="I1367" s="1">
        <f t="shared" si="299"/>
        <v>0.245</v>
      </c>
      <c r="J1367" s="1">
        <f t="shared" si="300"/>
        <v>2.3399999999999976E-2</v>
      </c>
      <c r="K1367" s="1">
        <f t="shared" si="292"/>
        <v>2.9363699999999997</v>
      </c>
      <c r="L1367" s="1">
        <f t="shared" si="293"/>
        <v>1.80491</v>
      </c>
      <c r="M1367" s="49">
        <v>0</v>
      </c>
      <c r="N1367" s="49">
        <v>1.1947000000000001</v>
      </c>
      <c r="O1367" s="1">
        <v>1113</v>
      </c>
      <c r="P1367" s="51">
        <v>0.05</v>
      </c>
      <c r="Q1367" s="51">
        <v>11</v>
      </c>
      <c r="R1367" s="51">
        <v>0</v>
      </c>
      <c r="S1367" s="1">
        <v>1</v>
      </c>
      <c r="T1367" s="1">
        <v>0</v>
      </c>
      <c r="U1367" s="47">
        <v>0</v>
      </c>
      <c r="V1367" s="47">
        <v>319</v>
      </c>
      <c r="W1367" s="41">
        <v>61</v>
      </c>
      <c r="X1367">
        <v>245</v>
      </c>
      <c r="Y1367">
        <v>0.97660000000000002</v>
      </c>
      <c r="Z1367">
        <v>2936.37</v>
      </c>
      <c r="AA1367">
        <v>1804.91</v>
      </c>
      <c r="AB1367">
        <v>119.47</v>
      </c>
      <c r="AC1367">
        <v>36</v>
      </c>
      <c r="AD1367" s="41">
        <f t="shared" si="294"/>
        <v>0.29287862224447192</v>
      </c>
      <c r="AE1367" s="41">
        <f t="shared" si="295"/>
        <v>0.47647805153719575</v>
      </c>
      <c r="AF1367">
        <f t="shared" si="296"/>
        <v>1.4298064130434784</v>
      </c>
      <c r="AG1367">
        <f t="shared" si="297"/>
        <v>9.1900378804347788E-2</v>
      </c>
      <c r="AH1367">
        <f t="shared" si="298"/>
        <v>1.1947000000000001</v>
      </c>
      <c r="AI1367">
        <f>HLOOKUP(HLOOKUP(G1367,'THP2'!$B$4:$J$8,5,FALSE),'Fuel &amp; Resister'!$B$3:$G$6,4,FALSE)</f>
        <v>2.7360666666666664</v>
      </c>
      <c r="AJ1367" s="41">
        <f>HLOOKUP(HLOOKUP(G1367,'THP2'!$B$4:$J$8,5,FALSE),'Fuel &amp; Resister'!$B$3:$G$6,3,FALSE)</f>
        <v>13.019</v>
      </c>
    </row>
    <row r="1368" spans="2:36" x14ac:dyDescent="0.15">
      <c r="B1368" s="81" t="s">
        <v>617</v>
      </c>
      <c r="C1368" s="61">
        <f>VLOOKUP(B1368,[1]SYS!$F$5:$G$359,2,FALSE)</f>
        <v>324</v>
      </c>
      <c r="D1368" s="1" t="s">
        <v>50</v>
      </c>
      <c r="E1368" s="42" t="s">
        <v>297</v>
      </c>
      <c r="F1368" s="63" t="s">
        <v>420</v>
      </c>
      <c r="G1368" s="1">
        <v>8</v>
      </c>
      <c r="H1368" s="1">
        <f t="shared" si="291"/>
        <v>0.23478260869565218</v>
      </c>
      <c r="I1368" s="1">
        <f t="shared" si="299"/>
        <v>0.23</v>
      </c>
      <c r="J1368" s="1">
        <f t="shared" si="300"/>
        <v>2.4800000000000044E-2</v>
      </c>
      <c r="K1368" s="1">
        <f t="shared" si="292"/>
        <v>3.03078</v>
      </c>
      <c r="L1368" s="1">
        <f t="shared" si="293"/>
        <v>1.86294</v>
      </c>
      <c r="M1368" s="49">
        <v>0</v>
      </c>
      <c r="N1368" s="49">
        <v>1.1787000000000001</v>
      </c>
      <c r="O1368" s="1">
        <v>1113</v>
      </c>
      <c r="P1368" s="51">
        <v>0.05</v>
      </c>
      <c r="Q1368" s="51">
        <v>11</v>
      </c>
      <c r="R1368" s="51">
        <v>0</v>
      </c>
      <c r="S1368" s="1">
        <v>1</v>
      </c>
      <c r="T1368" s="1">
        <v>0</v>
      </c>
      <c r="U1368" s="47">
        <v>0</v>
      </c>
      <c r="V1368" s="47">
        <v>320</v>
      </c>
      <c r="W1368" s="41">
        <v>54</v>
      </c>
      <c r="X1368">
        <v>230</v>
      </c>
      <c r="Y1368">
        <v>0.97519999999999996</v>
      </c>
      <c r="Z1368">
        <v>3030.78</v>
      </c>
      <c r="AA1368">
        <v>1862.94</v>
      </c>
      <c r="AB1368">
        <v>117.87</v>
      </c>
      <c r="AC1368">
        <v>36</v>
      </c>
      <c r="AD1368" s="41">
        <f t="shared" si="294"/>
        <v>0.28375533690997035</v>
      </c>
      <c r="AE1368" s="41">
        <f t="shared" si="295"/>
        <v>0.4616359088322759</v>
      </c>
      <c r="AF1368">
        <f t="shared" si="296"/>
        <v>1.5046254545454545</v>
      </c>
      <c r="AG1368">
        <f t="shared" si="297"/>
        <v>8.2412345454545483E-2</v>
      </c>
      <c r="AH1368">
        <f t="shared" si="298"/>
        <v>1.1787000000000001</v>
      </c>
      <c r="AI1368">
        <f>HLOOKUP(HLOOKUP(G1368,'THP2'!$B$4:$J$8,5,FALSE),'Fuel &amp; Resister'!$B$3:$G$6,4,FALSE)</f>
        <v>2.7360666666666664</v>
      </c>
      <c r="AJ1368" s="41">
        <f>HLOOKUP(HLOOKUP(G1368,'THP2'!$B$4:$J$8,5,FALSE),'Fuel &amp; Resister'!$B$3:$G$6,3,FALSE)</f>
        <v>13.019</v>
      </c>
    </row>
    <row r="1369" spans="2:36" x14ac:dyDescent="0.15">
      <c r="B1369" s="81" t="s">
        <v>617</v>
      </c>
      <c r="C1369" s="61">
        <f>VLOOKUP(B1369,[1]SYS!$F$5:$G$359,2,FALSE)</f>
        <v>324</v>
      </c>
      <c r="D1369" s="1" t="s">
        <v>50</v>
      </c>
      <c r="E1369" s="42" t="s">
        <v>298</v>
      </c>
      <c r="F1369" s="63" t="s">
        <v>420</v>
      </c>
      <c r="G1369" s="1">
        <v>8</v>
      </c>
      <c r="H1369" s="1">
        <f t="shared" si="291"/>
        <v>0.23478260869565218</v>
      </c>
      <c r="I1369" s="1">
        <f t="shared" si="299"/>
        <v>0.23</v>
      </c>
      <c r="J1369" s="1">
        <f t="shared" si="300"/>
        <v>2.4800000000000044E-2</v>
      </c>
      <c r="K1369" s="1">
        <f t="shared" si="292"/>
        <v>3.03078</v>
      </c>
      <c r="L1369" s="1">
        <f t="shared" si="293"/>
        <v>1.86294</v>
      </c>
      <c r="M1369" s="49">
        <v>0</v>
      </c>
      <c r="N1369" s="49">
        <v>1.1787000000000001</v>
      </c>
      <c r="O1369" s="1">
        <v>211</v>
      </c>
      <c r="P1369" s="51">
        <v>0.05</v>
      </c>
      <c r="Q1369" s="51">
        <v>11</v>
      </c>
      <c r="R1369" s="51">
        <v>0</v>
      </c>
      <c r="S1369" s="1">
        <v>1</v>
      </c>
      <c r="T1369" s="1">
        <v>0</v>
      </c>
      <c r="U1369" s="47">
        <v>0</v>
      </c>
      <c r="V1369" s="47">
        <v>321</v>
      </c>
      <c r="W1369" s="41">
        <v>54</v>
      </c>
      <c r="X1369">
        <v>230</v>
      </c>
      <c r="Y1369">
        <v>0.97519999999999996</v>
      </c>
      <c r="Z1369">
        <v>3030.78</v>
      </c>
      <c r="AA1369">
        <v>1862.94</v>
      </c>
      <c r="AB1369">
        <v>117.87</v>
      </c>
      <c r="AC1369">
        <v>36</v>
      </c>
      <c r="AD1369" s="41">
        <f t="shared" si="294"/>
        <v>0.28375533690997035</v>
      </c>
      <c r="AE1369" s="41">
        <f t="shared" si="295"/>
        <v>0.4616359088322759</v>
      </c>
      <c r="AF1369">
        <f t="shared" si="296"/>
        <v>1.5046254545454545</v>
      </c>
      <c r="AG1369">
        <f t="shared" si="297"/>
        <v>8.2412345454545483E-2</v>
      </c>
      <c r="AH1369">
        <f t="shared" si="298"/>
        <v>1.1787000000000001</v>
      </c>
      <c r="AI1369">
        <f>HLOOKUP(HLOOKUP(G1369,'THP2'!$B$4:$J$8,5,FALSE),'Fuel &amp; Resister'!$B$3:$G$6,4,FALSE)</f>
        <v>2.7360666666666664</v>
      </c>
      <c r="AJ1369" s="41">
        <f>HLOOKUP(HLOOKUP(G1369,'THP2'!$B$4:$J$8,5,FALSE),'Fuel &amp; Resister'!$B$3:$G$6,3,FALSE)</f>
        <v>13.019</v>
      </c>
    </row>
    <row r="1370" spans="2:36" x14ac:dyDescent="0.15">
      <c r="B1370" s="81" t="s">
        <v>617</v>
      </c>
      <c r="C1370" s="61">
        <f>VLOOKUP(B1370,[1]SYS!$F$5:$G$359,2,FALSE)</f>
        <v>324</v>
      </c>
      <c r="D1370" s="1" t="s">
        <v>50</v>
      </c>
      <c r="E1370" s="42" t="s">
        <v>299</v>
      </c>
      <c r="F1370" s="63" t="s">
        <v>420</v>
      </c>
      <c r="G1370" s="1">
        <v>8</v>
      </c>
      <c r="H1370" s="1">
        <f t="shared" si="291"/>
        <v>0.23478260869565218</v>
      </c>
      <c r="I1370" s="1">
        <f t="shared" si="299"/>
        <v>0.23</v>
      </c>
      <c r="J1370" s="1">
        <f t="shared" si="300"/>
        <v>2.5299999999999989E-2</v>
      </c>
      <c r="K1370" s="1">
        <f t="shared" si="292"/>
        <v>3.0622600000000002</v>
      </c>
      <c r="L1370" s="1">
        <f t="shared" si="293"/>
        <v>1.88229</v>
      </c>
      <c r="M1370" s="49">
        <v>0</v>
      </c>
      <c r="N1370" s="49">
        <v>1.1787000000000001</v>
      </c>
      <c r="O1370" s="1">
        <v>613</v>
      </c>
      <c r="P1370" s="51">
        <v>0.05</v>
      </c>
      <c r="Q1370" s="51">
        <v>11</v>
      </c>
      <c r="R1370" s="51">
        <v>0</v>
      </c>
      <c r="S1370" s="1">
        <v>1</v>
      </c>
      <c r="T1370" s="1">
        <v>0</v>
      </c>
      <c r="U1370" s="47">
        <v>0</v>
      </c>
      <c r="V1370" s="47">
        <v>322</v>
      </c>
      <c r="W1370" s="41">
        <v>54</v>
      </c>
      <c r="X1370">
        <v>230</v>
      </c>
      <c r="Y1370">
        <v>0.97470000000000001</v>
      </c>
      <c r="Z1370">
        <v>3062.26</v>
      </c>
      <c r="AA1370">
        <v>1882.29</v>
      </c>
      <c r="AB1370">
        <v>117.87</v>
      </c>
      <c r="AC1370">
        <v>36</v>
      </c>
      <c r="AD1370" s="41">
        <f t="shared" si="294"/>
        <v>0.2808383350858516</v>
      </c>
      <c r="AE1370" s="41">
        <f t="shared" si="295"/>
        <v>0.45689027726864623</v>
      </c>
      <c r="AF1370">
        <f t="shared" si="296"/>
        <v>1.52025375</v>
      </c>
      <c r="AG1370">
        <f t="shared" si="297"/>
        <v>8.3268337500000011E-2</v>
      </c>
      <c r="AH1370">
        <f t="shared" si="298"/>
        <v>1.1787000000000001</v>
      </c>
      <c r="AI1370">
        <f>HLOOKUP(HLOOKUP(G1370,'THP2'!$B$4:$J$8,5,FALSE),'Fuel &amp; Resister'!$B$3:$G$6,4,FALSE)</f>
        <v>2.7360666666666664</v>
      </c>
      <c r="AJ1370" s="41">
        <f>HLOOKUP(HLOOKUP(G1370,'THP2'!$B$4:$J$8,5,FALSE),'Fuel &amp; Resister'!$B$3:$G$6,3,FALSE)</f>
        <v>13.019</v>
      </c>
    </row>
    <row r="1371" spans="2:36" x14ac:dyDescent="0.15">
      <c r="B1371" s="81" t="s">
        <v>617</v>
      </c>
      <c r="C1371" s="61">
        <f>VLOOKUP(B1371,[1]SYS!$F$5:$G$359,2,FALSE)</f>
        <v>324</v>
      </c>
      <c r="D1371" s="1" t="s">
        <v>50</v>
      </c>
      <c r="E1371" s="42" t="s">
        <v>300</v>
      </c>
      <c r="F1371" s="63" t="s">
        <v>420</v>
      </c>
      <c r="G1371" s="1">
        <v>8</v>
      </c>
      <c r="H1371" s="1">
        <f t="shared" si="291"/>
        <v>0.23478260869565218</v>
      </c>
      <c r="I1371" s="1">
        <f t="shared" si="299"/>
        <v>0.23</v>
      </c>
      <c r="J1371" s="1">
        <f t="shared" si="300"/>
        <v>2.5299999999999989E-2</v>
      </c>
      <c r="K1371" s="1">
        <f t="shared" si="292"/>
        <v>3.0622600000000002</v>
      </c>
      <c r="L1371" s="1">
        <f t="shared" si="293"/>
        <v>1.88229</v>
      </c>
      <c r="M1371" s="49">
        <v>0</v>
      </c>
      <c r="N1371" s="49">
        <v>1.1787000000000001</v>
      </c>
      <c r="O1371" s="1">
        <v>1113</v>
      </c>
      <c r="P1371" s="51">
        <v>0.05</v>
      </c>
      <c r="Q1371" s="51">
        <v>11</v>
      </c>
      <c r="R1371" s="51">
        <v>0</v>
      </c>
      <c r="S1371" s="1">
        <v>1</v>
      </c>
      <c r="T1371" s="1">
        <v>0</v>
      </c>
      <c r="U1371" s="47">
        <v>0</v>
      </c>
      <c r="V1371" s="47">
        <v>323</v>
      </c>
      <c r="W1371" s="41">
        <v>54</v>
      </c>
      <c r="X1371">
        <v>230</v>
      </c>
      <c r="Y1371">
        <v>0.97470000000000001</v>
      </c>
      <c r="Z1371">
        <v>3062.26</v>
      </c>
      <c r="AA1371">
        <v>1882.29</v>
      </c>
      <c r="AB1371">
        <v>117.87</v>
      </c>
      <c r="AC1371">
        <v>36</v>
      </c>
      <c r="AD1371" s="41">
        <f t="shared" si="294"/>
        <v>0.2808383350858516</v>
      </c>
      <c r="AE1371" s="41">
        <f t="shared" si="295"/>
        <v>0.45689027726864623</v>
      </c>
      <c r="AF1371">
        <f t="shared" si="296"/>
        <v>1.52025375</v>
      </c>
      <c r="AG1371">
        <f t="shared" si="297"/>
        <v>8.3268337500000011E-2</v>
      </c>
      <c r="AH1371">
        <f t="shared" si="298"/>
        <v>1.1787000000000001</v>
      </c>
      <c r="AI1371">
        <f>HLOOKUP(HLOOKUP(G1371,'THP2'!$B$4:$J$8,5,FALSE),'Fuel &amp; Resister'!$B$3:$G$6,4,FALSE)</f>
        <v>2.7360666666666664</v>
      </c>
      <c r="AJ1371" s="41">
        <f>HLOOKUP(HLOOKUP(G1371,'THP2'!$B$4:$J$8,5,FALSE),'Fuel &amp; Resister'!$B$3:$G$6,3,FALSE)</f>
        <v>13.019</v>
      </c>
    </row>
    <row r="1372" spans="2:36" x14ac:dyDescent="0.15">
      <c r="B1372" s="81" t="s">
        <v>617</v>
      </c>
      <c r="C1372" s="61">
        <f>VLOOKUP(B1372,[1]SYS!$F$5:$G$359,2,FALSE)</f>
        <v>324</v>
      </c>
      <c r="D1372" s="1" t="s">
        <v>50</v>
      </c>
      <c r="E1372" s="42" t="s">
        <v>301</v>
      </c>
      <c r="F1372" s="63" t="s">
        <v>420</v>
      </c>
      <c r="G1372" s="1">
        <v>8</v>
      </c>
      <c r="H1372" s="1">
        <f t="shared" si="291"/>
        <v>0.30434782608695654</v>
      </c>
      <c r="I1372" s="1">
        <f t="shared" si="299"/>
        <v>0.115</v>
      </c>
      <c r="J1372" s="1">
        <f t="shared" si="300"/>
        <v>2.6699999999999946E-2</v>
      </c>
      <c r="K1372" s="1">
        <f t="shared" si="292"/>
        <v>2.9164499999999998</v>
      </c>
      <c r="L1372" s="1">
        <f t="shared" si="293"/>
        <v>1.94032</v>
      </c>
      <c r="M1372" s="49">
        <v>0</v>
      </c>
      <c r="N1372" s="49">
        <v>1.056</v>
      </c>
      <c r="O1372" s="1">
        <v>413</v>
      </c>
      <c r="P1372" s="51">
        <v>0.05</v>
      </c>
      <c r="Q1372" s="51">
        <v>11</v>
      </c>
      <c r="R1372" s="51">
        <v>0</v>
      </c>
      <c r="S1372" s="1">
        <v>1</v>
      </c>
      <c r="T1372" s="1">
        <v>0</v>
      </c>
      <c r="U1372" s="47">
        <v>0</v>
      </c>
      <c r="V1372" s="47">
        <v>324</v>
      </c>
      <c r="W1372" s="41">
        <v>35</v>
      </c>
      <c r="X1372">
        <v>115</v>
      </c>
      <c r="Y1372">
        <v>0.97330000000000005</v>
      </c>
      <c r="Z1372">
        <v>2916.45</v>
      </c>
      <c r="AA1372">
        <v>1940.32</v>
      </c>
      <c r="AB1372">
        <v>105.6</v>
      </c>
      <c r="AC1372">
        <v>36</v>
      </c>
      <c r="AD1372" s="41">
        <f t="shared" si="294"/>
        <v>0.2948790481578632</v>
      </c>
      <c r="AE1372" s="41">
        <f t="shared" si="295"/>
        <v>0.44322585965201616</v>
      </c>
      <c r="AF1372">
        <f t="shared" si="296"/>
        <v>1.5132631250000002</v>
      </c>
      <c r="AG1372">
        <f t="shared" si="297"/>
        <v>4.9111540624999991E-2</v>
      </c>
      <c r="AH1372">
        <f t="shared" si="298"/>
        <v>1.056</v>
      </c>
      <c r="AI1372">
        <f>HLOOKUP(HLOOKUP(G1372,'THP2'!$B$4:$J$8,5,FALSE),'Fuel &amp; Resister'!$B$3:$G$6,4,FALSE)</f>
        <v>2.7360666666666664</v>
      </c>
      <c r="AJ1372" s="41">
        <f>HLOOKUP(HLOOKUP(G1372,'THP2'!$B$4:$J$8,5,FALSE),'Fuel &amp; Resister'!$B$3:$G$6,3,FALSE)</f>
        <v>13.019</v>
      </c>
    </row>
    <row r="1373" spans="2:36" x14ac:dyDescent="0.15">
      <c r="B1373" s="81" t="s">
        <v>617</v>
      </c>
      <c r="C1373" s="61">
        <f>VLOOKUP(B1373,[1]SYS!$F$5:$G$359,2,FALSE)</f>
        <v>324</v>
      </c>
      <c r="D1373" s="1" t="s">
        <v>50</v>
      </c>
      <c r="E1373" s="42" t="s">
        <v>302</v>
      </c>
      <c r="F1373" s="63" t="s">
        <v>420</v>
      </c>
      <c r="G1373" s="1">
        <v>8</v>
      </c>
      <c r="H1373" s="1">
        <f t="shared" si="291"/>
        <v>0.30434782608695654</v>
      </c>
      <c r="I1373" s="1">
        <f t="shared" si="299"/>
        <v>0.115</v>
      </c>
      <c r="J1373" s="1">
        <f t="shared" si="300"/>
        <v>2.6699999999999946E-2</v>
      </c>
      <c r="K1373" s="1">
        <f t="shared" si="292"/>
        <v>2.9164499999999998</v>
      </c>
      <c r="L1373" s="1">
        <f t="shared" si="293"/>
        <v>1.94032</v>
      </c>
      <c r="M1373" s="49">
        <v>0</v>
      </c>
      <c r="N1373" s="49">
        <v>1.056</v>
      </c>
      <c r="O1373" s="1">
        <v>413</v>
      </c>
      <c r="P1373" s="51">
        <v>0.05</v>
      </c>
      <c r="Q1373" s="51">
        <v>11</v>
      </c>
      <c r="R1373" s="51">
        <v>0</v>
      </c>
      <c r="S1373" s="1">
        <v>1</v>
      </c>
      <c r="T1373" s="1">
        <v>0</v>
      </c>
      <c r="U1373" s="47">
        <v>0</v>
      </c>
      <c r="V1373" s="47">
        <v>325</v>
      </c>
      <c r="W1373" s="41">
        <v>35</v>
      </c>
      <c r="X1373">
        <v>115</v>
      </c>
      <c r="Y1373">
        <v>0.97330000000000005</v>
      </c>
      <c r="Z1373">
        <v>2916.45</v>
      </c>
      <c r="AA1373">
        <v>1940.32</v>
      </c>
      <c r="AB1373">
        <v>105.6</v>
      </c>
      <c r="AC1373">
        <v>36</v>
      </c>
      <c r="AD1373" s="41">
        <f t="shared" si="294"/>
        <v>0.2948790481578632</v>
      </c>
      <c r="AE1373" s="41">
        <f t="shared" si="295"/>
        <v>0.44322585965201616</v>
      </c>
      <c r="AF1373">
        <f t="shared" si="296"/>
        <v>1.5132631250000002</v>
      </c>
      <c r="AG1373">
        <f t="shared" si="297"/>
        <v>4.9111540624999991E-2</v>
      </c>
      <c r="AH1373">
        <f t="shared" si="298"/>
        <v>1.056</v>
      </c>
      <c r="AI1373">
        <f>HLOOKUP(HLOOKUP(G1373,'THP2'!$B$4:$J$8,5,FALSE),'Fuel &amp; Resister'!$B$3:$G$6,4,FALSE)</f>
        <v>2.7360666666666664</v>
      </c>
      <c r="AJ1373" s="41">
        <f>HLOOKUP(HLOOKUP(G1373,'THP2'!$B$4:$J$8,5,FALSE),'Fuel &amp; Resister'!$B$3:$G$6,3,FALSE)</f>
        <v>13.019</v>
      </c>
    </row>
    <row r="1374" spans="2:36" x14ac:dyDescent="0.15">
      <c r="B1374" s="81" t="s">
        <v>617</v>
      </c>
      <c r="C1374" s="61">
        <f>VLOOKUP(B1374,[1]SYS!$F$5:$G$359,2,FALSE)</f>
        <v>324</v>
      </c>
      <c r="D1374" s="1" t="s">
        <v>50</v>
      </c>
      <c r="E1374" s="42" t="s">
        <v>303</v>
      </c>
      <c r="F1374" s="63" t="s">
        <v>420</v>
      </c>
      <c r="G1374" s="1">
        <v>8</v>
      </c>
      <c r="H1374" s="1">
        <f t="shared" si="291"/>
        <v>0.30434782608695654</v>
      </c>
      <c r="I1374" s="1">
        <f t="shared" si="299"/>
        <v>0.115</v>
      </c>
      <c r="J1374" s="1">
        <f t="shared" si="300"/>
        <v>2.6699999999999946E-2</v>
      </c>
      <c r="K1374" s="1">
        <f t="shared" si="292"/>
        <v>2.9164499999999998</v>
      </c>
      <c r="L1374" s="1">
        <f t="shared" si="293"/>
        <v>1.94032</v>
      </c>
      <c r="M1374" s="49">
        <v>0</v>
      </c>
      <c r="N1374" s="49">
        <v>1.056</v>
      </c>
      <c r="O1374" s="1">
        <v>613</v>
      </c>
      <c r="P1374" s="51">
        <v>0.05</v>
      </c>
      <c r="Q1374" s="51">
        <v>11</v>
      </c>
      <c r="R1374" s="51">
        <v>0</v>
      </c>
      <c r="S1374" s="1">
        <v>1</v>
      </c>
      <c r="T1374" s="1">
        <v>0</v>
      </c>
      <c r="U1374" s="47">
        <v>0</v>
      </c>
      <c r="V1374" s="47">
        <v>326</v>
      </c>
      <c r="W1374" s="41">
        <v>35</v>
      </c>
      <c r="X1374">
        <v>115</v>
      </c>
      <c r="Y1374">
        <v>0.97330000000000005</v>
      </c>
      <c r="Z1374">
        <v>2916.45</v>
      </c>
      <c r="AA1374">
        <v>1940.32</v>
      </c>
      <c r="AB1374">
        <v>105.6</v>
      </c>
      <c r="AC1374">
        <v>36</v>
      </c>
      <c r="AD1374" s="41">
        <f t="shared" si="294"/>
        <v>0.2948790481578632</v>
      </c>
      <c r="AE1374" s="41">
        <f t="shared" si="295"/>
        <v>0.44322585965201616</v>
      </c>
      <c r="AF1374">
        <f t="shared" si="296"/>
        <v>1.5132631250000002</v>
      </c>
      <c r="AG1374">
        <f t="shared" si="297"/>
        <v>4.9111540624999991E-2</v>
      </c>
      <c r="AH1374">
        <f t="shared" si="298"/>
        <v>1.056</v>
      </c>
      <c r="AI1374">
        <f>HLOOKUP(HLOOKUP(G1374,'THP2'!$B$4:$J$8,5,FALSE),'Fuel &amp; Resister'!$B$3:$G$6,4,FALSE)</f>
        <v>2.7360666666666664</v>
      </c>
      <c r="AJ1374" s="41">
        <f>HLOOKUP(HLOOKUP(G1374,'THP2'!$B$4:$J$8,5,FALSE),'Fuel &amp; Resister'!$B$3:$G$6,3,FALSE)</f>
        <v>13.019</v>
      </c>
    </row>
    <row r="1375" spans="2:36" x14ac:dyDescent="0.15">
      <c r="B1375" s="81" t="s">
        <v>617</v>
      </c>
      <c r="C1375" s="61">
        <f>VLOOKUP(B1375,[1]SYS!$F$5:$G$359,2,FALSE)</f>
        <v>324</v>
      </c>
      <c r="D1375" s="1" t="s">
        <v>50</v>
      </c>
      <c r="E1375" s="42" t="s">
        <v>304</v>
      </c>
      <c r="F1375" s="63" t="s">
        <v>420</v>
      </c>
      <c r="G1375" s="1">
        <v>8</v>
      </c>
      <c r="H1375" s="1">
        <f t="shared" ref="H1375:H1393" si="303">W1375/X1375</f>
        <v>0.30434782608695654</v>
      </c>
      <c r="I1375" s="1">
        <f t="shared" si="299"/>
        <v>0.115</v>
      </c>
      <c r="J1375" s="1">
        <f t="shared" si="300"/>
        <v>2.6699999999999946E-2</v>
      </c>
      <c r="K1375" s="1">
        <f t="shared" ref="K1375:K1393" si="304">Z1375/1000</f>
        <v>2.9164499999999998</v>
      </c>
      <c r="L1375" s="1">
        <f t="shared" ref="L1375:L1393" si="305">AA1375/1000</f>
        <v>1.94032</v>
      </c>
      <c r="M1375" s="49">
        <v>0</v>
      </c>
      <c r="N1375" s="49">
        <v>1.056</v>
      </c>
      <c r="O1375" s="1">
        <v>1113</v>
      </c>
      <c r="P1375" s="51">
        <v>0.05</v>
      </c>
      <c r="Q1375" s="51">
        <v>11</v>
      </c>
      <c r="R1375" s="51">
        <v>0</v>
      </c>
      <c r="S1375" s="1">
        <v>1</v>
      </c>
      <c r="T1375" s="1">
        <v>0</v>
      </c>
      <c r="U1375" s="47">
        <v>0</v>
      </c>
      <c r="V1375" s="47">
        <v>327</v>
      </c>
      <c r="W1375" s="41">
        <v>35</v>
      </c>
      <c r="X1375">
        <v>115</v>
      </c>
      <c r="Y1375">
        <v>0.97330000000000005</v>
      </c>
      <c r="Z1375">
        <v>2916.45</v>
      </c>
      <c r="AA1375">
        <v>1940.32</v>
      </c>
      <c r="AB1375">
        <v>105.6</v>
      </c>
      <c r="AC1375">
        <v>36</v>
      </c>
      <c r="AD1375" s="41">
        <f t="shared" si="294"/>
        <v>0.2948790481578632</v>
      </c>
      <c r="AE1375" s="41">
        <f t="shared" si="295"/>
        <v>0.44322585965201616</v>
      </c>
      <c r="AF1375">
        <f t="shared" si="296"/>
        <v>1.5132631250000002</v>
      </c>
      <c r="AG1375">
        <f t="shared" si="297"/>
        <v>4.9111540624999991E-2</v>
      </c>
      <c r="AH1375">
        <f t="shared" si="298"/>
        <v>1.056</v>
      </c>
      <c r="AI1375">
        <f>HLOOKUP(HLOOKUP(G1375,'THP2'!$B$4:$J$8,5,FALSE),'Fuel &amp; Resister'!$B$3:$G$6,4,FALSE)</f>
        <v>2.7360666666666664</v>
      </c>
      <c r="AJ1375" s="41">
        <f>HLOOKUP(HLOOKUP(G1375,'THP2'!$B$4:$J$8,5,FALSE),'Fuel &amp; Resister'!$B$3:$G$6,3,FALSE)</f>
        <v>13.019</v>
      </c>
    </row>
    <row r="1376" spans="2:36" x14ac:dyDescent="0.15">
      <c r="B1376" s="81" t="s">
        <v>617</v>
      </c>
      <c r="C1376" s="61">
        <f>VLOOKUP(B1376,[1]SYS!$F$5:$G$359,2,FALSE)</f>
        <v>324</v>
      </c>
      <c r="D1376" s="1" t="s">
        <v>50</v>
      </c>
      <c r="E1376" s="42" t="s">
        <v>305</v>
      </c>
      <c r="F1376" s="63" t="s">
        <v>420</v>
      </c>
      <c r="G1376" s="1">
        <v>8</v>
      </c>
      <c r="H1376" s="1">
        <f t="shared" si="303"/>
        <v>0.30434782608695654</v>
      </c>
      <c r="I1376" s="1">
        <f t="shared" si="299"/>
        <v>0.115</v>
      </c>
      <c r="J1376" s="1">
        <f t="shared" si="300"/>
        <v>2.6699999999999946E-2</v>
      </c>
      <c r="K1376" s="1">
        <f t="shared" si="304"/>
        <v>2.9164499999999998</v>
      </c>
      <c r="L1376" s="1">
        <f t="shared" si="305"/>
        <v>1.94032</v>
      </c>
      <c r="M1376" s="49">
        <v>0</v>
      </c>
      <c r="N1376" s="49">
        <v>1.056</v>
      </c>
      <c r="O1376" s="1">
        <v>211</v>
      </c>
      <c r="P1376" s="51">
        <v>0.05</v>
      </c>
      <c r="Q1376" s="51">
        <v>11</v>
      </c>
      <c r="R1376" s="51">
        <v>0</v>
      </c>
      <c r="S1376" s="1">
        <v>1</v>
      </c>
      <c r="T1376" s="1">
        <v>0</v>
      </c>
      <c r="U1376" s="47">
        <v>0</v>
      </c>
      <c r="V1376" s="47">
        <v>328</v>
      </c>
      <c r="W1376" s="41">
        <v>35</v>
      </c>
      <c r="X1376">
        <v>115</v>
      </c>
      <c r="Y1376">
        <v>0.97330000000000005</v>
      </c>
      <c r="Z1376">
        <v>2916.45</v>
      </c>
      <c r="AA1376">
        <v>1940.32</v>
      </c>
      <c r="AB1376">
        <v>105.6</v>
      </c>
      <c r="AC1376">
        <v>36</v>
      </c>
      <c r="AD1376" s="41">
        <f t="shared" si="294"/>
        <v>0.2948790481578632</v>
      </c>
      <c r="AE1376" s="41">
        <f t="shared" si="295"/>
        <v>0.44322585965201616</v>
      </c>
      <c r="AF1376">
        <f t="shared" si="296"/>
        <v>1.5132631250000002</v>
      </c>
      <c r="AG1376">
        <f t="shared" si="297"/>
        <v>4.9111540624999991E-2</v>
      </c>
      <c r="AH1376">
        <f t="shared" si="298"/>
        <v>1.056</v>
      </c>
      <c r="AI1376">
        <f>HLOOKUP(HLOOKUP(G1376,'THP2'!$B$4:$J$8,5,FALSE),'Fuel &amp; Resister'!$B$3:$G$6,4,FALSE)</f>
        <v>2.7360666666666664</v>
      </c>
      <c r="AJ1376" s="41">
        <f>HLOOKUP(HLOOKUP(G1376,'THP2'!$B$4:$J$8,5,FALSE),'Fuel &amp; Resister'!$B$3:$G$6,3,FALSE)</f>
        <v>13.019</v>
      </c>
    </row>
    <row r="1377" spans="2:36" x14ac:dyDescent="0.15">
      <c r="B1377" s="81" t="s">
        <v>617</v>
      </c>
      <c r="C1377" s="61">
        <f>VLOOKUP(B1377,[1]SYS!$F$5:$G$359,2,FALSE)</f>
        <v>324</v>
      </c>
      <c r="D1377" s="1" t="s">
        <v>50</v>
      </c>
      <c r="E1377" s="42" t="s">
        <v>306</v>
      </c>
      <c r="F1377" s="63" t="s">
        <v>420</v>
      </c>
      <c r="G1377" s="1">
        <v>8</v>
      </c>
      <c r="H1377" s="1">
        <f t="shared" si="303"/>
        <v>0.30434782608695654</v>
      </c>
      <c r="I1377" s="1">
        <f t="shared" si="299"/>
        <v>0.115</v>
      </c>
      <c r="J1377" s="1">
        <f t="shared" si="300"/>
        <v>2.6699999999999946E-2</v>
      </c>
      <c r="K1377" s="1">
        <f t="shared" si="304"/>
        <v>2.9164499999999998</v>
      </c>
      <c r="L1377" s="1">
        <f t="shared" si="305"/>
        <v>1.94032</v>
      </c>
      <c r="M1377" s="49">
        <v>0</v>
      </c>
      <c r="N1377" s="49">
        <v>1.056</v>
      </c>
      <c r="O1377" s="1">
        <v>901</v>
      </c>
      <c r="P1377" s="51">
        <v>0.05</v>
      </c>
      <c r="Q1377" s="51">
        <v>11</v>
      </c>
      <c r="R1377" s="51">
        <v>0</v>
      </c>
      <c r="S1377" s="1">
        <v>1</v>
      </c>
      <c r="T1377" s="1">
        <v>0</v>
      </c>
      <c r="U1377" s="47">
        <v>0</v>
      </c>
      <c r="V1377" s="47">
        <v>329</v>
      </c>
      <c r="W1377" s="41">
        <v>35</v>
      </c>
      <c r="X1377">
        <v>115</v>
      </c>
      <c r="Y1377">
        <v>0.97330000000000005</v>
      </c>
      <c r="Z1377">
        <v>2916.45</v>
      </c>
      <c r="AA1377">
        <v>1940.32</v>
      </c>
      <c r="AB1377">
        <v>105.6</v>
      </c>
      <c r="AC1377">
        <v>36</v>
      </c>
      <c r="AD1377" s="41">
        <f t="shared" si="294"/>
        <v>0.2948790481578632</v>
      </c>
      <c r="AE1377" s="41">
        <f t="shared" si="295"/>
        <v>0.44322585965201616</v>
      </c>
      <c r="AF1377">
        <f t="shared" si="296"/>
        <v>1.5132631250000002</v>
      </c>
      <c r="AG1377">
        <f t="shared" si="297"/>
        <v>4.9111540624999991E-2</v>
      </c>
      <c r="AH1377">
        <f t="shared" si="298"/>
        <v>1.056</v>
      </c>
      <c r="AI1377">
        <f>HLOOKUP(HLOOKUP(G1377,'THP2'!$B$4:$J$8,5,FALSE),'Fuel &amp; Resister'!$B$3:$G$6,4,FALSE)</f>
        <v>2.7360666666666664</v>
      </c>
      <c r="AJ1377" s="41">
        <f>HLOOKUP(HLOOKUP(G1377,'THP2'!$B$4:$J$8,5,FALSE),'Fuel &amp; Resister'!$B$3:$G$6,3,FALSE)</f>
        <v>13.019</v>
      </c>
    </row>
    <row r="1378" spans="2:36" x14ac:dyDescent="0.15">
      <c r="B1378" s="81" t="s">
        <v>644</v>
      </c>
      <c r="C1378" s="61">
        <f>VLOOKUP(B1378,[1]SYS!$F$5:$G$359,2,FALSE)</f>
        <v>312</v>
      </c>
      <c r="D1378" s="1" t="s">
        <v>50</v>
      </c>
      <c r="E1378" s="65" t="s">
        <v>537</v>
      </c>
      <c r="F1378" s="63" t="s">
        <v>558</v>
      </c>
      <c r="G1378" s="1">
        <v>8</v>
      </c>
      <c r="H1378" s="1">
        <f t="shared" si="303"/>
        <v>0.26143790849673204</v>
      </c>
      <c r="I1378" s="1">
        <f t="shared" si="299"/>
        <v>0.45900000000000002</v>
      </c>
      <c r="J1378" s="1">
        <f t="shared" si="300"/>
        <v>2.0000000000000018E-2</v>
      </c>
      <c r="K1378" s="1">
        <f t="shared" si="304"/>
        <v>2.56718</v>
      </c>
      <c r="L1378" s="1">
        <f t="shared" si="305"/>
        <v>1.5779799999999999</v>
      </c>
      <c r="M1378" s="49">
        <v>0</v>
      </c>
      <c r="N1378" s="49">
        <f>AB1378/100</f>
        <v>1.4257</v>
      </c>
      <c r="O1378" s="1">
        <v>603</v>
      </c>
      <c r="P1378" s="51">
        <v>0.05</v>
      </c>
      <c r="Q1378" s="51">
        <v>11</v>
      </c>
      <c r="R1378" s="51">
        <v>0</v>
      </c>
      <c r="S1378" s="1">
        <v>1</v>
      </c>
      <c r="T1378" s="1">
        <v>0</v>
      </c>
      <c r="U1378" s="47">
        <v>0</v>
      </c>
      <c r="V1378" s="47"/>
      <c r="W1378" s="41">
        <v>120</v>
      </c>
      <c r="X1378">
        <v>459</v>
      </c>
      <c r="Y1378">
        <v>0.98</v>
      </c>
      <c r="Z1378">
        <v>2567.1799999999998</v>
      </c>
      <c r="AA1378">
        <v>1577.98</v>
      </c>
      <c r="AB1378">
        <v>142.57</v>
      </c>
      <c r="AC1378">
        <v>36</v>
      </c>
      <c r="AD1378" s="41">
        <f t="shared" si="294"/>
        <v>0.33499793547783951</v>
      </c>
      <c r="AE1378" s="41">
        <f t="shared" si="295"/>
        <v>0.54500057034943405</v>
      </c>
      <c r="AF1378">
        <f t="shared" si="296"/>
        <v>1.2278207079646015</v>
      </c>
      <c r="AG1378">
        <f t="shared" si="297"/>
        <v>0.16072311504424788</v>
      </c>
      <c r="AH1378">
        <f t="shared" si="298"/>
        <v>1.4257</v>
      </c>
      <c r="AI1378">
        <f>HLOOKUP(HLOOKUP(G1378,'THP2'!$B$4:$J$8,5,FALSE),'Fuel &amp; Resister'!$B$3:$G$6,4,FALSE)</f>
        <v>2.7360666666666664</v>
      </c>
      <c r="AJ1378" s="41">
        <f>HLOOKUP(HLOOKUP(G1378,'THP2'!$B$4:$J$8,5,FALSE),'Fuel &amp; Resister'!$B$3:$G$6,3,FALSE)</f>
        <v>13.019</v>
      </c>
    </row>
    <row r="1379" spans="2:36" x14ac:dyDescent="0.15">
      <c r="B1379" s="81" t="s">
        <v>644</v>
      </c>
      <c r="C1379" s="61">
        <f>VLOOKUP(B1379,[1]SYS!$F$5:$G$359,2,FALSE)</f>
        <v>312</v>
      </c>
      <c r="D1379" s="1" t="s">
        <v>50</v>
      </c>
      <c r="E1379" s="65" t="s">
        <v>537</v>
      </c>
      <c r="F1379" s="63" t="s">
        <v>559</v>
      </c>
      <c r="G1379" s="1">
        <v>8</v>
      </c>
      <c r="H1379" s="1">
        <f t="shared" si="303"/>
        <v>0.26143790849673204</v>
      </c>
      <c r="I1379" s="1">
        <f t="shared" si="299"/>
        <v>0.45900000000000002</v>
      </c>
      <c r="J1379" s="1">
        <f t="shared" si="300"/>
        <v>2.0000000000000018E-2</v>
      </c>
      <c r="K1379" s="1">
        <f t="shared" si="304"/>
        <v>2.56718</v>
      </c>
      <c r="L1379" s="1">
        <f t="shared" si="305"/>
        <v>1.5779799999999999</v>
      </c>
      <c r="M1379" s="49">
        <v>0</v>
      </c>
      <c r="N1379" s="49">
        <f t="shared" ref="N1379:N1393" si="306">AB1379/100</f>
        <v>1.4257</v>
      </c>
      <c r="O1379" s="1">
        <v>709</v>
      </c>
      <c r="P1379" s="51">
        <v>0.05</v>
      </c>
      <c r="Q1379" s="51">
        <v>11</v>
      </c>
      <c r="R1379" s="51">
        <v>0</v>
      </c>
      <c r="S1379" s="1">
        <v>1</v>
      </c>
      <c r="T1379" s="1">
        <v>0</v>
      </c>
      <c r="U1379" s="47">
        <v>0</v>
      </c>
      <c r="V1379" s="47"/>
      <c r="W1379" s="41">
        <v>120</v>
      </c>
      <c r="X1379">
        <v>459</v>
      </c>
      <c r="Y1379">
        <v>0.98</v>
      </c>
      <c r="Z1379">
        <v>2567.1799999999998</v>
      </c>
      <c r="AA1379">
        <v>1577.98</v>
      </c>
      <c r="AB1379">
        <v>142.57</v>
      </c>
      <c r="AC1379">
        <v>36</v>
      </c>
      <c r="AD1379" s="41">
        <f t="shared" si="294"/>
        <v>0.33499793547783951</v>
      </c>
      <c r="AE1379" s="41">
        <f t="shared" si="295"/>
        <v>0.54500057034943405</v>
      </c>
      <c r="AF1379">
        <f t="shared" si="296"/>
        <v>1.2278207079646015</v>
      </c>
      <c r="AG1379">
        <f t="shared" si="297"/>
        <v>0.16072311504424788</v>
      </c>
      <c r="AH1379">
        <f t="shared" si="298"/>
        <v>1.4257</v>
      </c>
      <c r="AI1379">
        <f>HLOOKUP(HLOOKUP(G1379,'THP2'!$B$4:$J$8,5,FALSE),'Fuel &amp; Resister'!$B$3:$G$6,4,FALSE)</f>
        <v>2.7360666666666664</v>
      </c>
      <c r="AJ1379" s="41">
        <f>HLOOKUP(HLOOKUP(G1379,'THP2'!$B$4:$J$8,5,FALSE),'Fuel &amp; Resister'!$B$3:$G$6,3,FALSE)</f>
        <v>13.019</v>
      </c>
    </row>
    <row r="1380" spans="2:36" x14ac:dyDescent="0.15">
      <c r="B1380" s="81" t="s">
        <v>644</v>
      </c>
      <c r="C1380" s="61">
        <f>VLOOKUP(B1380,[1]SYS!$F$5:$G$359,2,FALSE)</f>
        <v>312</v>
      </c>
      <c r="D1380" s="1" t="s">
        <v>50</v>
      </c>
      <c r="E1380" s="65" t="s">
        <v>537</v>
      </c>
      <c r="F1380" s="63" t="s">
        <v>557</v>
      </c>
      <c r="G1380" s="1">
        <v>8</v>
      </c>
      <c r="H1380" s="1">
        <f t="shared" si="303"/>
        <v>0.26143790849673204</v>
      </c>
      <c r="I1380" s="1">
        <f t="shared" si="299"/>
        <v>0.45900000000000002</v>
      </c>
      <c r="J1380" s="1">
        <f t="shared" si="300"/>
        <v>2.0000000000000018E-2</v>
      </c>
      <c r="K1380" s="1">
        <f t="shared" si="304"/>
        <v>2.56718</v>
      </c>
      <c r="L1380" s="1">
        <f t="shared" si="305"/>
        <v>1.5779799999999999</v>
      </c>
      <c r="M1380" s="49">
        <v>0</v>
      </c>
      <c r="N1380" s="49">
        <f t="shared" si="306"/>
        <v>1.4257</v>
      </c>
      <c r="O1380" s="1">
        <v>403</v>
      </c>
      <c r="P1380" s="51">
        <v>0.05</v>
      </c>
      <c r="Q1380" s="51">
        <v>11</v>
      </c>
      <c r="R1380" s="51">
        <v>0</v>
      </c>
      <c r="S1380" s="1">
        <v>1</v>
      </c>
      <c r="T1380" s="1">
        <v>0</v>
      </c>
      <c r="U1380" s="47">
        <v>0</v>
      </c>
      <c r="V1380" s="47"/>
      <c r="W1380" s="41">
        <v>120</v>
      </c>
      <c r="X1380">
        <v>459</v>
      </c>
      <c r="Y1380">
        <v>0.98</v>
      </c>
      <c r="Z1380">
        <v>2567.1799999999998</v>
      </c>
      <c r="AA1380">
        <v>1577.98</v>
      </c>
      <c r="AB1380">
        <v>142.57</v>
      </c>
      <c r="AC1380">
        <v>36</v>
      </c>
      <c r="AD1380" s="41">
        <f t="shared" si="294"/>
        <v>0.33499793547783951</v>
      </c>
      <c r="AE1380" s="41">
        <f t="shared" si="295"/>
        <v>0.54500057034943405</v>
      </c>
      <c r="AF1380">
        <f t="shared" si="296"/>
        <v>1.2278207079646015</v>
      </c>
      <c r="AG1380">
        <f t="shared" si="297"/>
        <v>0.16072311504424788</v>
      </c>
      <c r="AH1380">
        <f t="shared" si="298"/>
        <v>1.4257</v>
      </c>
      <c r="AI1380">
        <f>HLOOKUP(HLOOKUP(G1380,'THP2'!$B$4:$J$8,5,FALSE),'Fuel &amp; Resister'!$B$3:$G$6,4,FALSE)</f>
        <v>2.7360666666666664</v>
      </c>
      <c r="AJ1380" s="41">
        <f>HLOOKUP(HLOOKUP(G1380,'THP2'!$B$4:$J$8,5,FALSE),'Fuel &amp; Resister'!$B$3:$G$6,3,FALSE)</f>
        <v>13.019</v>
      </c>
    </row>
    <row r="1381" spans="2:36" x14ac:dyDescent="0.15">
      <c r="B1381" s="81" t="s">
        <v>644</v>
      </c>
      <c r="C1381" s="61">
        <f>VLOOKUP(B1381,[1]SYS!$F$5:$G$359,2,FALSE)</f>
        <v>312</v>
      </c>
      <c r="D1381" s="1" t="s">
        <v>50</v>
      </c>
      <c r="E1381" s="65" t="s">
        <v>537</v>
      </c>
      <c r="F1381" s="63" t="s">
        <v>557</v>
      </c>
      <c r="G1381" s="1">
        <v>8</v>
      </c>
      <c r="H1381" s="1">
        <f t="shared" si="303"/>
        <v>0.26143790849673204</v>
      </c>
      <c r="I1381" s="1">
        <f t="shared" si="299"/>
        <v>0.45900000000000002</v>
      </c>
      <c r="J1381" s="1">
        <f t="shared" si="300"/>
        <v>2.0000000000000018E-2</v>
      </c>
      <c r="K1381" s="1">
        <f t="shared" si="304"/>
        <v>2.56718</v>
      </c>
      <c r="L1381" s="1">
        <f t="shared" si="305"/>
        <v>1.5779799999999999</v>
      </c>
      <c r="M1381" s="49">
        <v>0</v>
      </c>
      <c r="N1381" s="49">
        <f t="shared" si="306"/>
        <v>1.4257</v>
      </c>
      <c r="O1381" s="1">
        <v>509</v>
      </c>
      <c r="P1381" s="51">
        <v>0.05</v>
      </c>
      <c r="Q1381" s="51">
        <v>11</v>
      </c>
      <c r="R1381" s="51">
        <v>0</v>
      </c>
      <c r="S1381" s="1">
        <v>1</v>
      </c>
      <c r="T1381" s="1">
        <v>0</v>
      </c>
      <c r="U1381" s="47">
        <v>0</v>
      </c>
      <c r="V1381" s="47"/>
      <c r="W1381" s="41">
        <v>120</v>
      </c>
      <c r="X1381">
        <v>459</v>
      </c>
      <c r="Y1381">
        <v>0.98</v>
      </c>
      <c r="Z1381">
        <v>2567.1799999999998</v>
      </c>
      <c r="AA1381">
        <v>1577.98</v>
      </c>
      <c r="AB1381">
        <v>142.57</v>
      </c>
      <c r="AC1381">
        <v>36</v>
      </c>
      <c r="AD1381" s="41">
        <f t="shared" si="294"/>
        <v>0.33499793547783951</v>
      </c>
      <c r="AE1381" s="41">
        <f t="shared" si="295"/>
        <v>0.54500057034943405</v>
      </c>
      <c r="AF1381">
        <f t="shared" si="296"/>
        <v>1.2278207079646015</v>
      </c>
      <c r="AG1381">
        <f t="shared" si="297"/>
        <v>0.16072311504424788</v>
      </c>
      <c r="AH1381">
        <f t="shared" si="298"/>
        <v>1.4257</v>
      </c>
      <c r="AI1381">
        <f>HLOOKUP(HLOOKUP(G1381,'THP2'!$B$4:$J$8,5,FALSE),'Fuel &amp; Resister'!$B$3:$G$6,4,FALSE)</f>
        <v>2.7360666666666664</v>
      </c>
      <c r="AJ1381" s="41">
        <f>HLOOKUP(HLOOKUP(G1381,'THP2'!$B$4:$J$8,5,FALSE),'Fuel &amp; Resister'!$B$3:$G$6,3,FALSE)</f>
        <v>13.019</v>
      </c>
    </row>
    <row r="1382" spans="2:36" x14ac:dyDescent="0.15">
      <c r="B1382" s="81" t="s">
        <v>644</v>
      </c>
      <c r="C1382" s="61">
        <f>VLOOKUP(B1382,[1]SYS!$F$5:$G$359,2,FALSE)</f>
        <v>312</v>
      </c>
      <c r="D1382" s="1" t="s">
        <v>50</v>
      </c>
      <c r="E1382" s="65" t="s">
        <v>537</v>
      </c>
      <c r="F1382" s="63" t="s">
        <v>557</v>
      </c>
      <c r="G1382" s="1">
        <v>8</v>
      </c>
      <c r="H1382" s="1">
        <f t="shared" si="303"/>
        <v>0.26143790849673204</v>
      </c>
      <c r="I1382" s="1">
        <f t="shared" si="299"/>
        <v>0.45900000000000002</v>
      </c>
      <c r="J1382" s="1">
        <f t="shared" si="300"/>
        <v>2.0000000000000018E-2</v>
      </c>
      <c r="K1382" s="1">
        <f t="shared" si="304"/>
        <v>2.56718</v>
      </c>
      <c r="L1382" s="1">
        <f t="shared" si="305"/>
        <v>1.5779799999999999</v>
      </c>
      <c r="M1382" s="49">
        <v>0</v>
      </c>
      <c r="N1382" s="49">
        <f t="shared" si="306"/>
        <v>1.4257</v>
      </c>
      <c r="O1382" s="1">
        <v>403</v>
      </c>
      <c r="P1382" s="51">
        <v>0.05</v>
      </c>
      <c r="Q1382" s="51">
        <v>11</v>
      </c>
      <c r="R1382" s="51">
        <v>0</v>
      </c>
      <c r="S1382" s="1">
        <v>1</v>
      </c>
      <c r="T1382" s="1">
        <v>0</v>
      </c>
      <c r="U1382" s="47">
        <v>0</v>
      </c>
      <c r="V1382" s="47"/>
      <c r="W1382" s="41">
        <v>120</v>
      </c>
      <c r="X1382">
        <v>459</v>
      </c>
      <c r="Y1382">
        <v>0.98</v>
      </c>
      <c r="Z1382">
        <v>2567.1799999999998</v>
      </c>
      <c r="AA1382">
        <v>1577.98</v>
      </c>
      <c r="AB1382">
        <v>142.57</v>
      </c>
      <c r="AC1382">
        <v>36</v>
      </c>
      <c r="AD1382" s="41">
        <f t="shared" si="294"/>
        <v>0.33499793547783951</v>
      </c>
      <c r="AE1382" s="41">
        <f t="shared" si="295"/>
        <v>0.54500057034943405</v>
      </c>
      <c r="AF1382">
        <f t="shared" si="296"/>
        <v>1.2278207079646015</v>
      </c>
      <c r="AG1382">
        <f t="shared" si="297"/>
        <v>0.16072311504424788</v>
      </c>
      <c r="AH1382">
        <f t="shared" si="298"/>
        <v>1.4257</v>
      </c>
      <c r="AI1382">
        <f>HLOOKUP(HLOOKUP(G1382,'THP2'!$B$4:$J$8,5,FALSE),'Fuel &amp; Resister'!$B$3:$G$6,4,FALSE)</f>
        <v>2.7360666666666664</v>
      </c>
      <c r="AJ1382" s="41">
        <f>HLOOKUP(HLOOKUP(G1382,'THP2'!$B$4:$J$8,5,FALSE),'Fuel &amp; Resister'!$B$3:$G$6,3,FALSE)</f>
        <v>13.019</v>
      </c>
    </row>
    <row r="1383" spans="2:36" x14ac:dyDescent="0.15">
      <c r="B1383" s="81" t="s">
        <v>644</v>
      </c>
      <c r="C1383" s="61">
        <f>VLOOKUP(B1383,[1]SYS!$F$5:$G$359,2,FALSE)</f>
        <v>312</v>
      </c>
      <c r="D1383" s="1" t="s">
        <v>50</v>
      </c>
      <c r="E1383" s="65" t="s">
        <v>537</v>
      </c>
      <c r="F1383" s="63" t="s">
        <v>557</v>
      </c>
      <c r="G1383" s="1">
        <v>8</v>
      </c>
      <c r="H1383" s="1">
        <f t="shared" si="303"/>
        <v>0.26143790849673204</v>
      </c>
      <c r="I1383" s="1">
        <f t="shared" si="299"/>
        <v>0.45900000000000002</v>
      </c>
      <c r="J1383" s="1">
        <f t="shared" si="300"/>
        <v>2.0000000000000018E-2</v>
      </c>
      <c r="K1383" s="1">
        <f t="shared" si="304"/>
        <v>2.56718</v>
      </c>
      <c r="L1383" s="1">
        <f t="shared" si="305"/>
        <v>1.5779799999999999</v>
      </c>
      <c r="M1383" s="49">
        <v>0</v>
      </c>
      <c r="N1383" s="49">
        <f t="shared" si="306"/>
        <v>1.4257</v>
      </c>
      <c r="O1383" s="1">
        <v>509</v>
      </c>
      <c r="P1383" s="51">
        <v>0.05</v>
      </c>
      <c r="Q1383" s="51">
        <v>11</v>
      </c>
      <c r="R1383" s="51">
        <v>0</v>
      </c>
      <c r="S1383" s="1">
        <v>1</v>
      </c>
      <c r="T1383" s="1">
        <v>0</v>
      </c>
      <c r="U1383" s="47">
        <v>0</v>
      </c>
      <c r="V1383" s="47"/>
      <c r="W1383" s="41">
        <v>120</v>
      </c>
      <c r="X1383">
        <v>459</v>
      </c>
      <c r="Y1383">
        <v>0.98</v>
      </c>
      <c r="Z1383">
        <v>2567.1799999999998</v>
      </c>
      <c r="AA1383">
        <v>1577.98</v>
      </c>
      <c r="AB1383">
        <v>142.57</v>
      </c>
      <c r="AC1383">
        <v>36</v>
      </c>
      <c r="AD1383" s="41">
        <f t="shared" si="294"/>
        <v>0.33499793547783951</v>
      </c>
      <c r="AE1383" s="41">
        <f t="shared" si="295"/>
        <v>0.54500057034943405</v>
      </c>
      <c r="AF1383">
        <f t="shared" si="296"/>
        <v>1.2278207079646015</v>
      </c>
      <c r="AG1383">
        <f t="shared" si="297"/>
        <v>0.16072311504424788</v>
      </c>
      <c r="AH1383">
        <f t="shared" si="298"/>
        <v>1.4257</v>
      </c>
      <c r="AI1383">
        <f>HLOOKUP(HLOOKUP(G1383,'THP2'!$B$4:$J$8,5,FALSE),'Fuel &amp; Resister'!$B$3:$G$6,4,FALSE)</f>
        <v>2.7360666666666664</v>
      </c>
      <c r="AJ1383" s="41">
        <f>HLOOKUP(HLOOKUP(G1383,'THP2'!$B$4:$J$8,5,FALSE),'Fuel &amp; Resister'!$B$3:$G$6,3,FALSE)</f>
        <v>13.019</v>
      </c>
    </row>
    <row r="1384" spans="2:36" x14ac:dyDescent="0.15">
      <c r="B1384" s="81" t="s">
        <v>644</v>
      </c>
      <c r="C1384" s="61">
        <f>VLOOKUP(B1384,[1]SYS!$F$5:$G$359,2,FALSE)</f>
        <v>312</v>
      </c>
      <c r="D1384" s="1" t="s">
        <v>50</v>
      </c>
      <c r="E1384" s="65" t="s">
        <v>537</v>
      </c>
      <c r="F1384" s="63" t="s">
        <v>557</v>
      </c>
      <c r="G1384" s="1">
        <v>8</v>
      </c>
      <c r="H1384" s="1">
        <f t="shared" si="303"/>
        <v>0.26143790849673204</v>
      </c>
      <c r="I1384" s="1">
        <f t="shared" si="299"/>
        <v>0.45900000000000002</v>
      </c>
      <c r="J1384" s="1">
        <f t="shared" si="300"/>
        <v>2.0000000000000018E-2</v>
      </c>
      <c r="K1384" s="1">
        <f t="shared" si="304"/>
        <v>2.56718</v>
      </c>
      <c r="L1384" s="1">
        <f t="shared" si="305"/>
        <v>1.5779799999999999</v>
      </c>
      <c r="M1384" s="49">
        <v>0</v>
      </c>
      <c r="N1384" s="49">
        <f t="shared" si="306"/>
        <v>1.4257</v>
      </c>
      <c r="O1384" s="1">
        <v>807</v>
      </c>
      <c r="P1384" s="51">
        <v>0.05</v>
      </c>
      <c r="Q1384" s="51">
        <v>11</v>
      </c>
      <c r="R1384" s="51">
        <v>0</v>
      </c>
      <c r="S1384" s="1">
        <v>1</v>
      </c>
      <c r="T1384" s="1">
        <v>0</v>
      </c>
      <c r="U1384" s="47">
        <v>0</v>
      </c>
      <c r="V1384" s="47"/>
      <c r="W1384" s="41">
        <v>120</v>
      </c>
      <c r="X1384">
        <v>459</v>
      </c>
      <c r="Y1384">
        <v>0.98</v>
      </c>
      <c r="Z1384">
        <v>2567.1799999999998</v>
      </c>
      <c r="AA1384">
        <v>1577.98</v>
      </c>
      <c r="AB1384">
        <v>142.57</v>
      </c>
      <c r="AC1384">
        <v>36</v>
      </c>
      <c r="AD1384" s="41">
        <f t="shared" si="294"/>
        <v>0.33499793547783951</v>
      </c>
      <c r="AE1384" s="41">
        <f t="shared" si="295"/>
        <v>0.54500057034943405</v>
      </c>
      <c r="AF1384">
        <f t="shared" si="296"/>
        <v>1.2278207079646015</v>
      </c>
      <c r="AG1384">
        <f t="shared" si="297"/>
        <v>0.16072311504424788</v>
      </c>
      <c r="AH1384">
        <f t="shared" si="298"/>
        <v>1.4257</v>
      </c>
      <c r="AI1384">
        <f>HLOOKUP(HLOOKUP(G1384,'THP2'!$B$4:$J$8,5,FALSE),'Fuel &amp; Resister'!$B$3:$G$6,4,FALSE)</f>
        <v>2.7360666666666664</v>
      </c>
      <c r="AJ1384" s="41">
        <f>HLOOKUP(HLOOKUP(G1384,'THP2'!$B$4:$J$8,5,FALSE),'Fuel &amp; Resister'!$B$3:$G$6,3,FALSE)</f>
        <v>13.019</v>
      </c>
    </row>
    <row r="1385" spans="2:36" x14ac:dyDescent="0.15">
      <c r="B1385" s="81" t="s">
        <v>644</v>
      </c>
      <c r="C1385" s="61">
        <f>VLOOKUP(B1385,[1]SYS!$F$5:$G$359,2,FALSE)</f>
        <v>312</v>
      </c>
      <c r="D1385" s="1" t="s">
        <v>50</v>
      </c>
      <c r="E1385" s="65" t="s">
        <v>537</v>
      </c>
      <c r="F1385" s="63" t="s">
        <v>550</v>
      </c>
      <c r="G1385" s="1">
        <v>8</v>
      </c>
      <c r="H1385" s="1">
        <f t="shared" si="303"/>
        <v>0.26143790849673204</v>
      </c>
      <c r="I1385" s="1">
        <f t="shared" si="299"/>
        <v>0.45900000000000002</v>
      </c>
      <c r="J1385" s="1">
        <f t="shared" si="300"/>
        <v>2.0000000000000018E-2</v>
      </c>
      <c r="K1385" s="1">
        <f t="shared" si="304"/>
        <v>2.56718</v>
      </c>
      <c r="L1385" s="1">
        <f t="shared" si="305"/>
        <v>1.5779799999999999</v>
      </c>
      <c r="M1385" s="49">
        <v>0</v>
      </c>
      <c r="N1385" s="49">
        <f t="shared" si="306"/>
        <v>1.4257</v>
      </c>
      <c r="O1385" s="1">
        <v>403</v>
      </c>
      <c r="P1385" s="51">
        <v>0.05</v>
      </c>
      <c r="Q1385" s="51">
        <v>11</v>
      </c>
      <c r="R1385" s="51">
        <v>0</v>
      </c>
      <c r="S1385" s="1">
        <v>1</v>
      </c>
      <c r="T1385" s="1">
        <v>0</v>
      </c>
      <c r="U1385" s="47">
        <v>0</v>
      </c>
      <c r="V1385" s="47"/>
      <c r="W1385" s="41">
        <v>120</v>
      </c>
      <c r="X1385">
        <v>459</v>
      </c>
      <c r="Y1385">
        <v>0.98</v>
      </c>
      <c r="Z1385">
        <v>2567.1799999999998</v>
      </c>
      <c r="AA1385">
        <v>1577.98</v>
      </c>
      <c r="AB1385">
        <v>142.57</v>
      </c>
      <c r="AC1385">
        <v>36</v>
      </c>
      <c r="AD1385" s="41">
        <f t="shared" si="294"/>
        <v>0.33499793547783951</v>
      </c>
      <c r="AE1385" s="41">
        <f t="shared" si="295"/>
        <v>0.54500057034943405</v>
      </c>
      <c r="AF1385">
        <f t="shared" si="296"/>
        <v>1.2278207079646015</v>
      </c>
      <c r="AG1385">
        <f t="shared" si="297"/>
        <v>0.16072311504424788</v>
      </c>
      <c r="AH1385">
        <f t="shared" si="298"/>
        <v>1.4257</v>
      </c>
      <c r="AI1385">
        <f>HLOOKUP(HLOOKUP(G1385,'THP2'!$B$4:$J$8,5,FALSE),'Fuel &amp; Resister'!$B$3:$G$6,4,FALSE)</f>
        <v>2.7360666666666664</v>
      </c>
      <c r="AJ1385" s="41">
        <f>HLOOKUP(HLOOKUP(G1385,'THP2'!$B$4:$J$8,5,FALSE),'Fuel &amp; Resister'!$B$3:$G$6,3,FALSE)</f>
        <v>13.019</v>
      </c>
    </row>
    <row r="1386" spans="2:36" x14ac:dyDescent="0.15">
      <c r="B1386" s="81" t="s">
        <v>644</v>
      </c>
      <c r="C1386" s="61">
        <f>VLOOKUP(B1386,[1]SYS!$F$5:$G$359,2,FALSE)</f>
        <v>312</v>
      </c>
      <c r="D1386" s="1" t="s">
        <v>50</v>
      </c>
      <c r="E1386" s="65" t="s">
        <v>537</v>
      </c>
      <c r="F1386" s="63" t="s">
        <v>550</v>
      </c>
      <c r="G1386" s="1">
        <v>8</v>
      </c>
      <c r="H1386" s="1">
        <f t="shared" si="303"/>
        <v>0.26143790849673204</v>
      </c>
      <c r="I1386" s="1">
        <f t="shared" si="299"/>
        <v>0.45900000000000002</v>
      </c>
      <c r="J1386" s="1">
        <f t="shared" si="300"/>
        <v>2.0000000000000018E-2</v>
      </c>
      <c r="K1386" s="1">
        <f t="shared" si="304"/>
        <v>2.56718</v>
      </c>
      <c r="L1386" s="1">
        <f t="shared" si="305"/>
        <v>1.5779799999999999</v>
      </c>
      <c r="M1386" s="49">
        <v>0</v>
      </c>
      <c r="N1386" s="49">
        <f t="shared" si="306"/>
        <v>1.4257</v>
      </c>
      <c r="O1386" s="1">
        <v>509</v>
      </c>
      <c r="P1386" s="51">
        <v>0.05</v>
      </c>
      <c r="Q1386" s="51">
        <v>11</v>
      </c>
      <c r="R1386" s="51">
        <v>0</v>
      </c>
      <c r="S1386" s="1">
        <v>1</v>
      </c>
      <c r="T1386" s="1">
        <v>0</v>
      </c>
      <c r="U1386" s="47">
        <v>0</v>
      </c>
      <c r="V1386" s="47"/>
      <c r="W1386" s="41">
        <v>120</v>
      </c>
      <c r="X1386">
        <v>459</v>
      </c>
      <c r="Y1386">
        <v>0.98</v>
      </c>
      <c r="Z1386">
        <v>2567.1799999999998</v>
      </c>
      <c r="AA1386">
        <v>1577.98</v>
      </c>
      <c r="AB1386">
        <v>142.57</v>
      </c>
      <c r="AC1386">
        <v>36</v>
      </c>
      <c r="AD1386" s="41">
        <f t="shared" si="294"/>
        <v>0.33499793547783951</v>
      </c>
      <c r="AE1386" s="41">
        <f t="shared" si="295"/>
        <v>0.54500057034943405</v>
      </c>
      <c r="AF1386">
        <f t="shared" si="296"/>
        <v>1.2278207079646015</v>
      </c>
      <c r="AG1386">
        <f t="shared" si="297"/>
        <v>0.16072311504424788</v>
      </c>
      <c r="AH1386">
        <f t="shared" si="298"/>
        <v>1.4257</v>
      </c>
      <c r="AI1386">
        <f>HLOOKUP(HLOOKUP(G1386,'THP2'!$B$4:$J$8,5,FALSE),'Fuel &amp; Resister'!$B$3:$G$6,4,FALSE)</f>
        <v>2.7360666666666664</v>
      </c>
      <c r="AJ1386" s="41">
        <f>HLOOKUP(HLOOKUP(G1386,'THP2'!$B$4:$J$8,5,FALSE),'Fuel &amp; Resister'!$B$3:$G$6,3,FALSE)</f>
        <v>13.019</v>
      </c>
    </row>
    <row r="1387" spans="2:36" x14ac:dyDescent="0.15">
      <c r="B1387" s="81" t="s">
        <v>617</v>
      </c>
      <c r="C1387" s="61">
        <f>VLOOKUP(B1387,[1]SYS!$F$5:$G$359,2,FALSE)</f>
        <v>324</v>
      </c>
      <c r="D1387" s="1" t="s">
        <v>50</v>
      </c>
      <c r="E1387" s="65" t="s">
        <v>537</v>
      </c>
      <c r="F1387" s="63" t="s">
        <v>550</v>
      </c>
      <c r="G1387" s="1">
        <v>8</v>
      </c>
      <c r="H1387" s="1">
        <f t="shared" si="303"/>
        <v>0.26143790849673204</v>
      </c>
      <c r="I1387" s="1">
        <f t="shared" si="299"/>
        <v>0.45900000000000002</v>
      </c>
      <c r="J1387" s="1">
        <f t="shared" si="300"/>
        <v>2.0000000000000018E-2</v>
      </c>
      <c r="K1387" s="1">
        <f t="shared" si="304"/>
        <v>2.56718</v>
      </c>
      <c r="L1387" s="1">
        <f t="shared" si="305"/>
        <v>1.5779799999999999</v>
      </c>
      <c r="M1387" s="49">
        <v>0</v>
      </c>
      <c r="N1387" s="49">
        <f t="shared" si="306"/>
        <v>1.4257</v>
      </c>
      <c r="O1387" s="1">
        <v>807</v>
      </c>
      <c r="P1387" s="51">
        <v>0.05</v>
      </c>
      <c r="Q1387" s="51">
        <v>11</v>
      </c>
      <c r="R1387" s="51">
        <v>0</v>
      </c>
      <c r="S1387" s="1">
        <v>1</v>
      </c>
      <c r="T1387" s="1">
        <v>0</v>
      </c>
      <c r="U1387" s="47">
        <v>0</v>
      </c>
      <c r="V1387" s="47"/>
      <c r="W1387" s="41">
        <v>120</v>
      </c>
      <c r="X1387">
        <v>459</v>
      </c>
      <c r="Y1387">
        <v>0.98</v>
      </c>
      <c r="Z1387">
        <v>2567.1799999999998</v>
      </c>
      <c r="AA1387">
        <v>1577.98</v>
      </c>
      <c r="AB1387">
        <v>142.57</v>
      </c>
      <c r="AC1387">
        <v>36</v>
      </c>
      <c r="AD1387" s="41">
        <f t="shared" si="294"/>
        <v>0.33499793547783951</v>
      </c>
      <c r="AE1387" s="41">
        <f t="shared" si="295"/>
        <v>0.54500057034943405</v>
      </c>
      <c r="AF1387">
        <f t="shared" si="296"/>
        <v>1.2278207079646015</v>
      </c>
      <c r="AG1387">
        <f t="shared" si="297"/>
        <v>0.16072311504424788</v>
      </c>
      <c r="AH1387">
        <f t="shared" si="298"/>
        <v>1.4257</v>
      </c>
      <c r="AI1387">
        <f>HLOOKUP(HLOOKUP(G1387,'THP2'!$B$4:$J$8,5,FALSE),'Fuel &amp; Resister'!$B$3:$G$6,4,FALSE)</f>
        <v>2.7360666666666664</v>
      </c>
      <c r="AJ1387" s="41">
        <f>HLOOKUP(HLOOKUP(G1387,'THP2'!$B$4:$J$8,5,FALSE),'Fuel &amp; Resister'!$B$3:$G$6,3,FALSE)</f>
        <v>13.019</v>
      </c>
    </row>
    <row r="1388" spans="2:36" x14ac:dyDescent="0.15">
      <c r="B1388" s="81" t="s">
        <v>617</v>
      </c>
      <c r="C1388" s="61">
        <f>VLOOKUP(B1388,[1]SYS!$F$5:$G$359,2,FALSE)</f>
        <v>324</v>
      </c>
      <c r="D1388" s="1" t="s">
        <v>50</v>
      </c>
      <c r="E1388" s="65" t="s">
        <v>537</v>
      </c>
      <c r="F1388" s="63" t="s">
        <v>550</v>
      </c>
      <c r="G1388" s="1">
        <v>8</v>
      </c>
      <c r="H1388" s="1">
        <f t="shared" si="303"/>
        <v>0.26143790849673204</v>
      </c>
      <c r="I1388" s="1">
        <f t="shared" si="299"/>
        <v>0.45900000000000002</v>
      </c>
      <c r="J1388" s="1">
        <f t="shared" si="300"/>
        <v>2.0000000000000018E-2</v>
      </c>
      <c r="K1388" s="1">
        <f t="shared" si="304"/>
        <v>2.56718</v>
      </c>
      <c r="L1388" s="1">
        <f t="shared" si="305"/>
        <v>1.5779799999999999</v>
      </c>
      <c r="M1388" s="49">
        <v>0</v>
      </c>
      <c r="N1388" s="49">
        <f t="shared" si="306"/>
        <v>1.4257</v>
      </c>
      <c r="O1388" s="1">
        <v>912</v>
      </c>
      <c r="P1388" s="51">
        <v>0.05</v>
      </c>
      <c r="Q1388" s="51">
        <v>11</v>
      </c>
      <c r="R1388" s="51">
        <v>0</v>
      </c>
      <c r="S1388" s="1">
        <v>1</v>
      </c>
      <c r="T1388" s="1">
        <v>0</v>
      </c>
      <c r="U1388" s="47">
        <v>0</v>
      </c>
      <c r="V1388" s="47"/>
      <c r="W1388" s="41">
        <v>120</v>
      </c>
      <c r="X1388">
        <v>459</v>
      </c>
      <c r="Y1388">
        <v>0.98</v>
      </c>
      <c r="Z1388">
        <v>2567.1799999999998</v>
      </c>
      <c r="AA1388">
        <v>1577.98</v>
      </c>
      <c r="AB1388">
        <v>142.57</v>
      </c>
      <c r="AC1388">
        <v>36</v>
      </c>
      <c r="AD1388" s="41">
        <f t="shared" si="294"/>
        <v>0.33499793547783951</v>
      </c>
      <c r="AE1388" s="41">
        <f t="shared" si="295"/>
        <v>0.54500057034943405</v>
      </c>
      <c r="AF1388">
        <f t="shared" si="296"/>
        <v>1.2278207079646015</v>
      </c>
      <c r="AG1388">
        <f t="shared" si="297"/>
        <v>0.16072311504424788</v>
      </c>
      <c r="AH1388">
        <f t="shared" si="298"/>
        <v>1.4257</v>
      </c>
      <c r="AI1388">
        <f>HLOOKUP(HLOOKUP(G1388,'THP2'!$B$4:$J$8,5,FALSE),'Fuel &amp; Resister'!$B$3:$G$6,4,FALSE)</f>
        <v>2.7360666666666664</v>
      </c>
      <c r="AJ1388" s="41">
        <f>HLOOKUP(HLOOKUP(G1388,'THP2'!$B$4:$J$8,5,FALSE),'Fuel &amp; Resister'!$B$3:$G$6,3,FALSE)</f>
        <v>13.019</v>
      </c>
    </row>
    <row r="1389" spans="2:36" x14ac:dyDescent="0.15">
      <c r="B1389" s="81" t="s">
        <v>617</v>
      </c>
      <c r="C1389" s="61">
        <f>VLOOKUP(B1389,[1]SYS!$F$5:$G$359,2,FALSE)</f>
        <v>324</v>
      </c>
      <c r="D1389" s="1" t="s">
        <v>50</v>
      </c>
      <c r="E1389" s="65" t="s">
        <v>537</v>
      </c>
      <c r="F1389" s="63" t="s">
        <v>550</v>
      </c>
      <c r="G1389" s="1">
        <v>8</v>
      </c>
      <c r="H1389" s="1">
        <f t="shared" si="303"/>
        <v>0.26143790849673204</v>
      </c>
      <c r="I1389" s="1">
        <f t="shared" si="299"/>
        <v>0.45900000000000002</v>
      </c>
      <c r="J1389" s="1">
        <f t="shared" si="300"/>
        <v>2.0000000000000018E-2</v>
      </c>
      <c r="K1389" s="1">
        <f t="shared" si="304"/>
        <v>2.56718</v>
      </c>
      <c r="L1389" s="1">
        <f t="shared" si="305"/>
        <v>1.5779799999999999</v>
      </c>
      <c r="M1389" s="49">
        <v>0</v>
      </c>
      <c r="N1389" s="49">
        <f t="shared" si="306"/>
        <v>1.4257</v>
      </c>
      <c r="O1389" s="1">
        <v>1204</v>
      </c>
      <c r="P1389" s="51">
        <v>0.05</v>
      </c>
      <c r="Q1389" s="51">
        <v>11</v>
      </c>
      <c r="R1389" s="51">
        <v>0</v>
      </c>
      <c r="S1389" s="1">
        <v>1</v>
      </c>
      <c r="T1389" s="1">
        <v>0</v>
      </c>
      <c r="U1389" s="47">
        <v>0</v>
      </c>
      <c r="V1389" s="47"/>
      <c r="W1389" s="41">
        <v>120</v>
      </c>
      <c r="X1389">
        <v>459</v>
      </c>
      <c r="Y1389">
        <v>0.98</v>
      </c>
      <c r="Z1389">
        <v>2567.1799999999998</v>
      </c>
      <c r="AA1389">
        <v>1577.98</v>
      </c>
      <c r="AB1389">
        <v>142.57</v>
      </c>
      <c r="AC1389">
        <v>36</v>
      </c>
      <c r="AD1389" s="41">
        <f t="shared" si="294"/>
        <v>0.33499793547783951</v>
      </c>
      <c r="AE1389" s="41">
        <f t="shared" si="295"/>
        <v>0.54500057034943405</v>
      </c>
      <c r="AF1389">
        <f t="shared" si="296"/>
        <v>1.2278207079646015</v>
      </c>
      <c r="AG1389">
        <f t="shared" si="297"/>
        <v>0.16072311504424788</v>
      </c>
      <c r="AH1389">
        <f t="shared" si="298"/>
        <v>1.4257</v>
      </c>
      <c r="AI1389">
        <f>HLOOKUP(HLOOKUP(G1389,'THP2'!$B$4:$J$8,5,FALSE),'Fuel &amp; Resister'!$B$3:$G$6,4,FALSE)</f>
        <v>2.7360666666666664</v>
      </c>
      <c r="AJ1389" s="41">
        <f>HLOOKUP(HLOOKUP(G1389,'THP2'!$B$4:$J$8,5,FALSE),'Fuel &amp; Resister'!$B$3:$G$6,3,FALSE)</f>
        <v>13.019</v>
      </c>
    </row>
    <row r="1390" spans="2:36" x14ac:dyDescent="0.15">
      <c r="B1390" s="81" t="s">
        <v>615</v>
      </c>
      <c r="C1390" s="61">
        <f>VLOOKUP(B1390,[1]SYS!$F$5:$G$359,2,FALSE)</f>
        <v>332</v>
      </c>
      <c r="D1390" s="1" t="s">
        <v>50</v>
      </c>
      <c r="E1390" s="65" t="s">
        <v>537</v>
      </c>
      <c r="F1390" s="63" t="s">
        <v>556</v>
      </c>
      <c r="G1390" s="1">
        <v>8</v>
      </c>
      <c r="H1390" s="1">
        <f t="shared" si="303"/>
        <v>0.26143790849673204</v>
      </c>
      <c r="I1390" s="1">
        <f t="shared" si="299"/>
        <v>0.45900000000000002</v>
      </c>
      <c r="J1390" s="1">
        <f t="shared" si="300"/>
        <v>2.0000000000000018E-2</v>
      </c>
      <c r="K1390" s="1">
        <f t="shared" si="304"/>
        <v>2.56718</v>
      </c>
      <c r="L1390" s="1">
        <f t="shared" si="305"/>
        <v>1.5779799999999999</v>
      </c>
      <c r="M1390" s="49">
        <v>0</v>
      </c>
      <c r="N1390" s="49">
        <f t="shared" si="306"/>
        <v>1.4257</v>
      </c>
      <c r="O1390" s="1">
        <v>109</v>
      </c>
      <c r="P1390" s="51">
        <v>0.05</v>
      </c>
      <c r="Q1390" s="51">
        <v>11</v>
      </c>
      <c r="R1390" s="51">
        <v>0</v>
      </c>
      <c r="S1390" s="1">
        <v>1</v>
      </c>
      <c r="T1390" s="1">
        <v>0</v>
      </c>
      <c r="U1390" s="47">
        <v>0</v>
      </c>
      <c r="V1390" s="47"/>
      <c r="W1390" s="41">
        <v>120</v>
      </c>
      <c r="X1390">
        <v>459</v>
      </c>
      <c r="Y1390">
        <v>0.98</v>
      </c>
      <c r="Z1390">
        <v>2567.1799999999998</v>
      </c>
      <c r="AA1390">
        <v>1577.98</v>
      </c>
      <c r="AB1390">
        <v>142.57</v>
      </c>
      <c r="AC1390">
        <v>36</v>
      </c>
      <c r="AD1390" s="41">
        <f t="shared" si="294"/>
        <v>0.33499793547783951</v>
      </c>
      <c r="AE1390" s="41">
        <f t="shared" si="295"/>
        <v>0.54500057034943405</v>
      </c>
      <c r="AF1390">
        <f t="shared" si="296"/>
        <v>1.2278207079646015</v>
      </c>
      <c r="AG1390">
        <f t="shared" si="297"/>
        <v>0.16072311504424788</v>
      </c>
      <c r="AH1390">
        <f t="shared" si="298"/>
        <v>1.4257</v>
      </c>
      <c r="AI1390">
        <f>HLOOKUP(HLOOKUP(G1390,'THP2'!$B$4:$J$8,5,FALSE),'Fuel &amp; Resister'!$B$3:$G$6,4,FALSE)</f>
        <v>2.7360666666666664</v>
      </c>
      <c r="AJ1390" s="41">
        <f>HLOOKUP(HLOOKUP(G1390,'THP2'!$B$4:$J$8,5,FALSE),'Fuel &amp; Resister'!$B$3:$G$6,3,FALSE)</f>
        <v>13.019</v>
      </c>
    </row>
    <row r="1391" spans="2:36" x14ac:dyDescent="0.15">
      <c r="B1391" s="81" t="s">
        <v>615</v>
      </c>
      <c r="C1391" s="61">
        <f>VLOOKUP(B1391,[1]SYS!$F$5:$G$359,2,FALSE)</f>
        <v>332</v>
      </c>
      <c r="D1391" s="1" t="s">
        <v>50</v>
      </c>
      <c r="E1391" s="65" t="s">
        <v>537</v>
      </c>
      <c r="F1391" s="63" t="s">
        <v>556</v>
      </c>
      <c r="G1391" s="1">
        <v>8</v>
      </c>
      <c r="H1391" s="1">
        <f t="shared" si="303"/>
        <v>0.26143790849673204</v>
      </c>
      <c r="I1391" s="1">
        <f t="shared" si="299"/>
        <v>0.45900000000000002</v>
      </c>
      <c r="J1391" s="1">
        <f t="shared" si="300"/>
        <v>2.0000000000000018E-2</v>
      </c>
      <c r="K1391" s="1">
        <f t="shared" si="304"/>
        <v>2.56718</v>
      </c>
      <c r="L1391" s="1">
        <f t="shared" si="305"/>
        <v>1.5779799999999999</v>
      </c>
      <c r="M1391" s="49">
        <v>0</v>
      </c>
      <c r="N1391" s="49">
        <f t="shared" si="306"/>
        <v>1.4257</v>
      </c>
      <c r="O1391" s="1">
        <v>201</v>
      </c>
      <c r="P1391" s="51">
        <v>0.05</v>
      </c>
      <c r="Q1391" s="51">
        <v>11</v>
      </c>
      <c r="R1391" s="51">
        <v>0</v>
      </c>
      <c r="S1391" s="1">
        <v>1</v>
      </c>
      <c r="T1391" s="1">
        <v>0</v>
      </c>
      <c r="U1391" s="47">
        <v>0</v>
      </c>
      <c r="V1391" s="47"/>
      <c r="W1391" s="41">
        <v>120</v>
      </c>
      <c r="X1391">
        <v>459</v>
      </c>
      <c r="Y1391">
        <v>0.98</v>
      </c>
      <c r="Z1391">
        <v>2567.1799999999998</v>
      </c>
      <c r="AA1391">
        <v>1577.98</v>
      </c>
      <c r="AB1391">
        <v>142.57</v>
      </c>
      <c r="AC1391">
        <v>36</v>
      </c>
      <c r="AD1391" s="41">
        <f t="shared" si="294"/>
        <v>0.33499793547783951</v>
      </c>
      <c r="AE1391" s="41">
        <f t="shared" si="295"/>
        <v>0.54500057034943405</v>
      </c>
      <c r="AF1391">
        <f t="shared" si="296"/>
        <v>1.2278207079646015</v>
      </c>
      <c r="AG1391">
        <f t="shared" si="297"/>
        <v>0.16072311504424788</v>
      </c>
      <c r="AH1391">
        <f t="shared" si="298"/>
        <v>1.4257</v>
      </c>
      <c r="AI1391">
        <f>HLOOKUP(HLOOKUP(G1391,'THP2'!$B$4:$J$8,5,FALSE),'Fuel &amp; Resister'!$B$3:$G$6,4,FALSE)</f>
        <v>2.7360666666666664</v>
      </c>
      <c r="AJ1391" s="41">
        <f>HLOOKUP(HLOOKUP(G1391,'THP2'!$B$4:$J$8,5,FALSE),'Fuel &amp; Resister'!$B$3:$G$6,3,FALSE)</f>
        <v>13.019</v>
      </c>
    </row>
    <row r="1392" spans="2:36" x14ac:dyDescent="0.15">
      <c r="B1392" s="81" t="s">
        <v>616</v>
      </c>
      <c r="C1392" s="61">
        <f>VLOOKUP(B1392,[1]SYS!$F$5:$G$359,2,FALSE)</f>
        <v>341</v>
      </c>
      <c r="D1392" s="1" t="s">
        <v>50</v>
      </c>
      <c r="E1392" s="65" t="s">
        <v>537</v>
      </c>
      <c r="F1392" s="63" t="s">
        <v>555</v>
      </c>
      <c r="G1392" s="1">
        <v>8</v>
      </c>
      <c r="H1392" s="1">
        <f t="shared" si="303"/>
        <v>0.26143790849673204</v>
      </c>
      <c r="I1392" s="1">
        <f t="shared" si="299"/>
        <v>0.45900000000000002</v>
      </c>
      <c r="J1392" s="1">
        <f t="shared" si="300"/>
        <v>2.0000000000000018E-2</v>
      </c>
      <c r="K1392" s="1">
        <f t="shared" si="304"/>
        <v>2.56718</v>
      </c>
      <c r="L1392" s="1">
        <f t="shared" si="305"/>
        <v>1.5779799999999999</v>
      </c>
      <c r="M1392" s="49">
        <v>0</v>
      </c>
      <c r="N1392" s="49">
        <f t="shared" si="306"/>
        <v>1.4257</v>
      </c>
      <c r="O1392" s="1">
        <v>1007</v>
      </c>
      <c r="P1392" s="51">
        <v>0.05</v>
      </c>
      <c r="Q1392" s="51">
        <v>11</v>
      </c>
      <c r="R1392" s="51">
        <v>0</v>
      </c>
      <c r="S1392" s="1">
        <v>1</v>
      </c>
      <c r="T1392" s="1">
        <v>0</v>
      </c>
      <c r="U1392" s="47">
        <v>0</v>
      </c>
      <c r="V1392" s="47"/>
      <c r="W1392" s="41">
        <v>120</v>
      </c>
      <c r="X1392">
        <v>459</v>
      </c>
      <c r="Y1392">
        <v>0.98</v>
      </c>
      <c r="Z1392">
        <v>2567.1799999999998</v>
      </c>
      <c r="AA1392">
        <v>1577.98</v>
      </c>
      <c r="AB1392">
        <v>142.57</v>
      </c>
      <c r="AC1392">
        <v>36</v>
      </c>
      <c r="AD1392" s="41">
        <f t="shared" ref="AD1392:AD1393" si="307">1/Z1392*860</f>
        <v>0.33499793547783951</v>
      </c>
      <c r="AE1392" s="41">
        <f t="shared" ref="AE1392:AE1393" si="308">1/AA1392*860</f>
        <v>0.54500057034943405</v>
      </c>
      <c r="AF1392">
        <f t="shared" ref="AF1392:AF1393" si="309">(L1392-H1392*K1392)/(1-H1392)</f>
        <v>1.2278207079646015</v>
      </c>
      <c r="AG1392">
        <f t="shared" ref="AG1392:AG1393" si="310">I1392*(L1392-AF1392)</f>
        <v>0.16072311504424788</v>
      </c>
      <c r="AH1392">
        <f t="shared" ref="AH1392:AH1393" si="311">AB1392/100</f>
        <v>1.4257</v>
      </c>
      <c r="AI1392">
        <f>HLOOKUP(HLOOKUP(G1392,'THP2'!$B$4:$J$8,5,FALSE),'Fuel &amp; Resister'!$B$3:$G$6,4,FALSE)</f>
        <v>2.7360666666666664</v>
      </c>
      <c r="AJ1392" s="41">
        <f>HLOOKUP(HLOOKUP(G1392,'THP2'!$B$4:$J$8,5,FALSE),'Fuel &amp; Resister'!$B$3:$G$6,3,FALSE)</f>
        <v>13.019</v>
      </c>
    </row>
    <row r="1393" spans="2:36" x14ac:dyDescent="0.15">
      <c r="B1393" s="81" t="s">
        <v>616</v>
      </c>
      <c r="C1393" s="61">
        <f>VLOOKUP(B1393,[1]SYS!$F$5:$G$359,2,FALSE)</f>
        <v>341</v>
      </c>
      <c r="D1393" s="1" t="s">
        <v>50</v>
      </c>
      <c r="E1393" s="65" t="s">
        <v>537</v>
      </c>
      <c r="F1393" s="63" t="s">
        <v>555</v>
      </c>
      <c r="G1393" s="1">
        <v>8</v>
      </c>
      <c r="H1393" s="1">
        <f t="shared" si="303"/>
        <v>0.26143790849673204</v>
      </c>
      <c r="I1393" s="1">
        <f t="shared" si="299"/>
        <v>0.45900000000000002</v>
      </c>
      <c r="J1393" s="1">
        <f t="shared" si="300"/>
        <v>2.0000000000000018E-2</v>
      </c>
      <c r="K1393" s="1">
        <f t="shared" si="304"/>
        <v>2.56718</v>
      </c>
      <c r="L1393" s="1">
        <f t="shared" si="305"/>
        <v>1.5779799999999999</v>
      </c>
      <c r="M1393" s="49">
        <v>0</v>
      </c>
      <c r="N1393" s="49">
        <f t="shared" si="306"/>
        <v>1.4257</v>
      </c>
      <c r="O1393" s="1">
        <v>1112</v>
      </c>
      <c r="P1393" s="51">
        <v>0.05</v>
      </c>
      <c r="Q1393" s="51">
        <v>11</v>
      </c>
      <c r="R1393" s="51">
        <v>0</v>
      </c>
      <c r="S1393" s="1">
        <v>1</v>
      </c>
      <c r="T1393" s="1">
        <v>0</v>
      </c>
      <c r="U1393" s="47">
        <v>0</v>
      </c>
      <c r="V1393" s="47"/>
      <c r="W1393" s="41">
        <v>120</v>
      </c>
      <c r="X1393">
        <v>459</v>
      </c>
      <c r="Y1393">
        <v>0.98</v>
      </c>
      <c r="Z1393">
        <v>2567.1799999999998</v>
      </c>
      <c r="AA1393">
        <v>1577.98</v>
      </c>
      <c r="AB1393">
        <v>142.57</v>
      </c>
      <c r="AC1393">
        <v>36</v>
      </c>
      <c r="AD1393" s="41">
        <f t="shared" si="307"/>
        <v>0.33499793547783951</v>
      </c>
      <c r="AE1393" s="41">
        <f t="shared" si="308"/>
        <v>0.54500057034943405</v>
      </c>
      <c r="AF1393">
        <f t="shared" si="309"/>
        <v>1.2278207079646015</v>
      </c>
      <c r="AG1393">
        <f t="shared" si="310"/>
        <v>0.16072311504424788</v>
      </c>
      <c r="AH1393">
        <f t="shared" si="311"/>
        <v>1.4257</v>
      </c>
      <c r="AI1393">
        <f>HLOOKUP(HLOOKUP(G1393,'THP2'!$B$4:$J$8,5,FALSE),'Fuel &amp; Resister'!$B$3:$G$6,4,FALSE)</f>
        <v>2.7360666666666664</v>
      </c>
      <c r="AJ1393" s="41">
        <f>HLOOKUP(HLOOKUP(G1393,'THP2'!$B$4:$J$8,5,FALSE),'Fuel &amp; Resister'!$B$3:$G$6,3,FALSE)</f>
        <v>13.019</v>
      </c>
    </row>
    <row r="1394" spans="2:36" ht="13.5" x14ac:dyDescent="0.15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E1394"/>
      <c r="AJ1394"/>
    </row>
    <row r="1395" spans="2:36" ht="13.5" x14ac:dyDescent="0.15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E1395"/>
      <c r="AJ1395"/>
    </row>
    <row r="1396" spans="2:36" ht="13.5" x14ac:dyDescent="0.15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E1396"/>
      <c r="AJ1396"/>
    </row>
    <row r="1397" spans="2:36" ht="13.5" x14ac:dyDescent="0.15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E1397"/>
      <c r="AJ1397"/>
    </row>
    <row r="1398" spans="2:36" ht="13.5" x14ac:dyDescent="0.15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E1398"/>
      <c r="AJ1398"/>
    </row>
    <row r="1399" spans="2:36" ht="13.5" x14ac:dyDescent="0.15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E1399"/>
      <c r="AJ1399"/>
    </row>
    <row r="1400" spans="2:36" ht="13.5" x14ac:dyDescent="0.15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E1400"/>
      <c r="AJ1400"/>
    </row>
    <row r="1401" spans="2:36" ht="13.5" x14ac:dyDescent="0.15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E1401"/>
      <c r="AJ1401"/>
    </row>
    <row r="1402" spans="2:36" ht="13.5" x14ac:dyDescent="0.15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E1402"/>
      <c r="AJ1402"/>
    </row>
    <row r="1403" spans="2:36" ht="13.5" x14ac:dyDescent="0.15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E1403"/>
      <c r="AJ1403"/>
    </row>
    <row r="1404" spans="2:36" ht="13.5" x14ac:dyDescent="0.15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E1404"/>
      <c r="AJ1404"/>
    </row>
    <row r="1405" spans="2:36" ht="13.5" x14ac:dyDescent="0.15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E1405"/>
      <c r="AJ1405"/>
    </row>
    <row r="1406" spans="2:36" ht="13.5" x14ac:dyDescent="0.15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E1406"/>
      <c r="AJ1406"/>
    </row>
    <row r="1407" spans="2:36" ht="13.5" x14ac:dyDescent="0.15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E1407"/>
      <c r="AJ1407"/>
    </row>
    <row r="1408" spans="2:36" ht="13.5" x14ac:dyDescent="0.15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E1408"/>
      <c r="AJ1408"/>
    </row>
    <row r="1409" spans="2:36" ht="13.5" x14ac:dyDescent="0.15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E1409"/>
      <c r="AJ1409"/>
    </row>
    <row r="1410" spans="2:36" ht="13.5" x14ac:dyDescent="0.15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E1410"/>
      <c r="AJ1410"/>
    </row>
    <row r="1411" spans="2:36" ht="13.5" x14ac:dyDescent="0.15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E1411"/>
      <c r="AJ1411"/>
    </row>
    <row r="1412" spans="2:36" ht="13.5" x14ac:dyDescent="0.15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E1412"/>
      <c r="AJ1412"/>
    </row>
    <row r="1413" spans="2:36" ht="13.5" x14ac:dyDescent="0.15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E1413"/>
      <c r="AJ1413"/>
    </row>
    <row r="1414" spans="2:36" ht="13.5" x14ac:dyDescent="0.15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E1414"/>
      <c r="AJ1414"/>
    </row>
    <row r="1415" spans="2:36" ht="13.5" x14ac:dyDescent="0.15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E1415"/>
      <c r="AJ1415"/>
    </row>
    <row r="1416" spans="2:36" ht="13.5" x14ac:dyDescent="0.15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E1416"/>
      <c r="AJ1416"/>
    </row>
    <row r="1417" spans="2:36" ht="13.5" x14ac:dyDescent="0.15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E1417"/>
      <c r="AJ1417"/>
    </row>
    <row r="1418" spans="2:36" ht="13.5" x14ac:dyDescent="0.15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E1418"/>
      <c r="AJ1418"/>
    </row>
    <row r="1419" spans="2:36" ht="13.5" x14ac:dyDescent="0.15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E1419"/>
      <c r="AJ1419"/>
    </row>
    <row r="1420" spans="2:36" ht="13.5" x14ac:dyDescent="0.15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E1420"/>
      <c r="AJ1420"/>
    </row>
    <row r="1421" spans="2:36" ht="13.5" x14ac:dyDescent="0.15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E1421"/>
      <c r="AJ1421"/>
    </row>
    <row r="1422" spans="2:36" ht="13.5" x14ac:dyDescent="0.15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E1422"/>
      <c r="AJ1422"/>
    </row>
    <row r="1423" spans="2:36" ht="13.5" x14ac:dyDescent="0.15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E1423"/>
      <c r="AJ1423"/>
    </row>
    <row r="1424" spans="2:36" ht="13.5" x14ac:dyDescent="0.15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E1424"/>
      <c r="AJ1424"/>
    </row>
    <row r="1425" spans="2:36" ht="13.5" x14ac:dyDescent="0.15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E1425"/>
      <c r="AJ1425"/>
    </row>
    <row r="1426" spans="2:36" ht="13.5" x14ac:dyDescent="0.15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E1426"/>
      <c r="AJ1426"/>
    </row>
    <row r="1427" spans="2:36" ht="13.5" x14ac:dyDescent="0.15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E1427"/>
      <c r="AJ1427"/>
    </row>
    <row r="1428" spans="2:36" ht="13.5" x14ac:dyDescent="0.15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E1428"/>
      <c r="AJ1428"/>
    </row>
    <row r="1429" spans="2:36" ht="13.5" x14ac:dyDescent="0.15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E1429"/>
      <c r="AJ1429"/>
    </row>
    <row r="1430" spans="2:36" ht="13.5" x14ac:dyDescent="0.15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E1430"/>
      <c r="AJ1430"/>
    </row>
    <row r="1431" spans="2:36" ht="13.5" x14ac:dyDescent="0.15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E1431"/>
      <c r="AJ1431"/>
    </row>
    <row r="1432" spans="2:36" ht="13.5" x14ac:dyDescent="0.15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E1432"/>
      <c r="AJ1432"/>
    </row>
    <row r="1433" spans="2:36" ht="13.5" x14ac:dyDescent="0.15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E1433"/>
      <c r="AJ1433"/>
    </row>
    <row r="1434" spans="2:36" ht="13.5" x14ac:dyDescent="0.15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E1434"/>
      <c r="AJ1434"/>
    </row>
    <row r="1435" spans="2:36" ht="13.5" x14ac:dyDescent="0.15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E1435"/>
      <c r="AJ1435"/>
    </row>
    <row r="1436" spans="2:36" ht="13.5" x14ac:dyDescent="0.15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E1436"/>
      <c r="AJ1436"/>
    </row>
    <row r="1437" spans="2:36" ht="13.5" x14ac:dyDescent="0.15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E1437"/>
      <c r="AJ1437"/>
    </row>
    <row r="1438" spans="2:36" ht="13.5" x14ac:dyDescent="0.15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E1438"/>
      <c r="AJ1438"/>
    </row>
    <row r="1439" spans="2:36" ht="13.5" x14ac:dyDescent="0.15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E1439"/>
      <c r="AJ1439"/>
    </row>
    <row r="1440" spans="2:36" ht="13.5" x14ac:dyDescent="0.15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E1440"/>
      <c r="AJ1440"/>
    </row>
    <row r="1441" spans="2:36" ht="13.5" x14ac:dyDescent="0.15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E1441"/>
      <c r="AJ1441"/>
    </row>
    <row r="1442" spans="2:36" ht="13.5" x14ac:dyDescent="0.15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E1442"/>
      <c r="AJ1442"/>
    </row>
    <row r="1443" spans="2:36" ht="13.5" x14ac:dyDescent="0.15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E1443"/>
      <c r="AJ1443"/>
    </row>
    <row r="1444" spans="2:36" ht="13.5" x14ac:dyDescent="0.15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E1444"/>
      <c r="AJ1444"/>
    </row>
    <row r="1445" spans="2:36" ht="13.5" x14ac:dyDescent="0.15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E1445"/>
      <c r="AJ1445"/>
    </row>
    <row r="1446" spans="2:36" ht="13.5" x14ac:dyDescent="0.15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E1446"/>
      <c r="AJ1446"/>
    </row>
    <row r="1447" spans="2:36" ht="13.5" x14ac:dyDescent="0.15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E1447"/>
      <c r="AJ1447"/>
    </row>
    <row r="1448" spans="2:36" ht="13.5" x14ac:dyDescent="0.15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E1448"/>
      <c r="AJ1448"/>
    </row>
    <row r="1449" spans="2:36" ht="13.5" x14ac:dyDescent="0.15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E1449"/>
      <c r="AJ1449"/>
    </row>
    <row r="1450" spans="2:36" ht="13.5" x14ac:dyDescent="0.15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E1450"/>
      <c r="AJ1450"/>
    </row>
    <row r="1451" spans="2:36" ht="13.5" x14ac:dyDescent="0.15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E1451"/>
      <c r="AJ1451"/>
    </row>
    <row r="1452" spans="2:36" ht="13.5" x14ac:dyDescent="0.15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E1452"/>
      <c r="AJ1452"/>
    </row>
    <row r="1453" spans="2:36" ht="13.5" x14ac:dyDescent="0.15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E1453"/>
      <c r="AJ1453"/>
    </row>
    <row r="1454" spans="2:36" ht="13.5" x14ac:dyDescent="0.15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E1454"/>
      <c r="AJ1454"/>
    </row>
    <row r="1455" spans="2:36" ht="13.5" x14ac:dyDescent="0.15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E1455"/>
      <c r="AJ1455"/>
    </row>
    <row r="1456" spans="2:36" ht="13.5" x14ac:dyDescent="0.15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E1456"/>
      <c r="AJ1456"/>
    </row>
    <row r="1457" spans="2:36" ht="13.5" x14ac:dyDescent="0.15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E1457"/>
      <c r="AJ1457"/>
    </row>
    <row r="1458" spans="2:36" ht="13.5" x14ac:dyDescent="0.15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E1458"/>
      <c r="AJ1458"/>
    </row>
    <row r="1459" spans="2:36" ht="13.5" x14ac:dyDescent="0.15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E1459"/>
      <c r="AJ1459"/>
    </row>
    <row r="1460" spans="2:36" ht="13.5" x14ac:dyDescent="0.15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E1460"/>
      <c r="AJ1460"/>
    </row>
    <row r="1461" spans="2:36" ht="13.5" x14ac:dyDescent="0.15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E1461"/>
      <c r="AJ1461"/>
    </row>
    <row r="1462" spans="2:36" ht="13.5" x14ac:dyDescent="0.15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E1462"/>
      <c r="AJ1462"/>
    </row>
    <row r="1463" spans="2:36" ht="13.5" x14ac:dyDescent="0.15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E1463"/>
      <c r="AJ1463"/>
    </row>
    <row r="1464" spans="2:36" ht="13.5" x14ac:dyDescent="0.15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E1464"/>
      <c r="AJ1464"/>
    </row>
    <row r="1465" spans="2:36" ht="13.5" x14ac:dyDescent="0.15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E1465"/>
      <c r="AJ1465"/>
    </row>
    <row r="1466" spans="2:36" ht="13.5" x14ac:dyDescent="0.15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E1466"/>
      <c r="AJ1466"/>
    </row>
    <row r="1467" spans="2:36" ht="13.5" x14ac:dyDescent="0.15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E1467"/>
      <c r="AJ1467"/>
    </row>
    <row r="1468" spans="2:36" ht="13.5" x14ac:dyDescent="0.15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E1468"/>
      <c r="AJ1468"/>
    </row>
    <row r="1469" spans="2:36" ht="13.5" x14ac:dyDescent="0.15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E1469"/>
      <c r="AJ1469"/>
    </row>
    <row r="1470" spans="2:36" ht="13.5" x14ac:dyDescent="0.15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E1470"/>
      <c r="AJ1470"/>
    </row>
    <row r="1471" spans="2:36" ht="13.5" x14ac:dyDescent="0.15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E1471"/>
      <c r="AJ1471"/>
    </row>
    <row r="1472" spans="2:36" ht="13.5" x14ac:dyDescent="0.15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E1472"/>
      <c r="AJ1472"/>
    </row>
    <row r="1473" spans="2:36" ht="13.5" x14ac:dyDescent="0.15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E1473"/>
      <c r="AJ1473"/>
    </row>
    <row r="1474" spans="2:36" ht="13.5" x14ac:dyDescent="0.15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E1474"/>
      <c r="AJ1474"/>
    </row>
    <row r="1475" spans="2:36" ht="13.5" x14ac:dyDescent="0.15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E1475"/>
      <c r="AJ1475"/>
    </row>
    <row r="1476" spans="2:36" ht="13.5" x14ac:dyDescent="0.15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E1476"/>
      <c r="AJ1476"/>
    </row>
    <row r="1477" spans="2:36" ht="13.5" x14ac:dyDescent="0.15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E1477"/>
      <c r="AJ1477"/>
    </row>
    <row r="1478" spans="2:36" ht="13.5" x14ac:dyDescent="0.15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E1478"/>
      <c r="AJ1478"/>
    </row>
    <row r="1479" spans="2:36" ht="13.5" x14ac:dyDescent="0.15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E1479"/>
      <c r="AJ1479"/>
    </row>
    <row r="1480" spans="2:36" ht="13.5" x14ac:dyDescent="0.15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E1480"/>
      <c r="AJ1480"/>
    </row>
    <row r="1481" spans="2:36" ht="13.5" x14ac:dyDescent="0.15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E1481"/>
      <c r="AJ1481"/>
    </row>
    <row r="1482" spans="2:36" ht="13.5" x14ac:dyDescent="0.15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E1482"/>
      <c r="AJ1482"/>
    </row>
    <row r="1483" spans="2:36" ht="13.5" x14ac:dyDescent="0.15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E1483"/>
      <c r="AJ1483"/>
    </row>
    <row r="1484" spans="2:36" ht="13.5" x14ac:dyDescent="0.15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E1484"/>
      <c r="AJ1484"/>
    </row>
    <row r="1485" spans="2:36" ht="13.5" x14ac:dyDescent="0.15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E1485"/>
      <c r="AJ1485"/>
    </row>
    <row r="1486" spans="2:36" ht="13.5" x14ac:dyDescent="0.15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E1486"/>
      <c r="AJ1486"/>
    </row>
    <row r="1487" spans="2:36" ht="13.5" x14ac:dyDescent="0.15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E1487"/>
      <c r="AJ1487"/>
    </row>
    <row r="1488" spans="2:36" ht="13.5" x14ac:dyDescent="0.15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E1488"/>
      <c r="AJ1488"/>
    </row>
    <row r="1489" spans="2:36" ht="13.5" x14ac:dyDescent="0.15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E1489"/>
      <c r="AJ1489"/>
    </row>
    <row r="1490" spans="2:36" ht="13.5" x14ac:dyDescent="0.15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E1490"/>
      <c r="AJ1490"/>
    </row>
    <row r="1491" spans="2:36" ht="13.5" x14ac:dyDescent="0.15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E1491"/>
      <c r="AJ1491"/>
    </row>
    <row r="1492" spans="2:36" ht="13.5" x14ac:dyDescent="0.15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E1492"/>
      <c r="AJ1492"/>
    </row>
    <row r="1493" spans="2:36" ht="13.5" x14ac:dyDescent="0.15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E1493"/>
      <c r="AJ1493"/>
    </row>
    <row r="1494" spans="2:36" ht="13.5" x14ac:dyDescent="0.15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E1494"/>
      <c r="AJ1494"/>
    </row>
    <row r="1495" spans="2:36" ht="13.5" x14ac:dyDescent="0.15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E1495"/>
      <c r="AJ1495"/>
    </row>
    <row r="1496" spans="2:36" ht="13.5" x14ac:dyDescent="0.15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E1496"/>
      <c r="AJ1496"/>
    </row>
    <row r="1497" spans="2:36" ht="13.5" x14ac:dyDescent="0.15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E1497"/>
      <c r="AJ1497"/>
    </row>
    <row r="1498" spans="2:36" ht="13.5" x14ac:dyDescent="0.15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E1498"/>
      <c r="AJ1498"/>
    </row>
    <row r="1499" spans="2:36" ht="13.5" x14ac:dyDescent="0.15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E1499"/>
      <c r="AJ1499"/>
    </row>
    <row r="1500" spans="2:36" ht="13.5" x14ac:dyDescent="0.15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E1500"/>
      <c r="AJ1500"/>
    </row>
    <row r="1501" spans="2:36" ht="13.5" x14ac:dyDescent="0.15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E1501"/>
      <c r="AJ1501"/>
    </row>
    <row r="1502" spans="2:36" ht="13.5" x14ac:dyDescent="0.15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E1502"/>
      <c r="AJ1502"/>
    </row>
    <row r="1503" spans="2:36" ht="13.5" x14ac:dyDescent="0.15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E1503"/>
      <c r="AJ1503"/>
    </row>
    <row r="1504" spans="2:36" ht="13.5" x14ac:dyDescent="0.15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E1504"/>
      <c r="AJ1504"/>
    </row>
    <row r="1505" spans="2:36" ht="13.5" x14ac:dyDescent="0.15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E1505"/>
      <c r="AJ1505"/>
    </row>
    <row r="1506" spans="2:36" ht="13.5" x14ac:dyDescent="0.15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E1506"/>
      <c r="AJ1506"/>
    </row>
    <row r="1507" spans="2:36" ht="13.5" x14ac:dyDescent="0.15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E1507"/>
      <c r="AJ1507"/>
    </row>
    <row r="1508" spans="2:36" ht="13.5" x14ac:dyDescent="0.15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E1508"/>
      <c r="AJ1508"/>
    </row>
    <row r="1509" spans="2:36" ht="13.5" x14ac:dyDescent="0.15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E1509"/>
      <c r="AJ1509"/>
    </row>
    <row r="1510" spans="2:36" ht="13.5" x14ac:dyDescent="0.15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E1510"/>
      <c r="AJ1510"/>
    </row>
    <row r="1511" spans="2:36" ht="13.5" x14ac:dyDescent="0.15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E1511"/>
      <c r="AJ1511"/>
    </row>
    <row r="1512" spans="2:36" ht="13.5" x14ac:dyDescent="0.15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E1512"/>
      <c r="AJ1512"/>
    </row>
    <row r="1513" spans="2:36" ht="13.5" x14ac:dyDescent="0.15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E1513"/>
      <c r="AJ1513"/>
    </row>
    <row r="1514" spans="2:36" ht="13.5" x14ac:dyDescent="0.15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E1514"/>
      <c r="AJ1514"/>
    </row>
    <row r="1515" spans="2:36" ht="13.5" x14ac:dyDescent="0.15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E1515"/>
      <c r="AJ1515"/>
    </row>
    <row r="1516" spans="2:36" ht="13.5" x14ac:dyDescent="0.15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E1516"/>
      <c r="AJ1516"/>
    </row>
    <row r="1517" spans="2:36" ht="13.5" x14ac:dyDescent="0.15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E1517"/>
      <c r="AJ1517"/>
    </row>
    <row r="1518" spans="2:36" ht="13.5" x14ac:dyDescent="0.15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E1518"/>
      <c r="AJ1518"/>
    </row>
    <row r="1519" spans="2:36" ht="13.5" x14ac:dyDescent="0.15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E1519"/>
      <c r="AJ1519"/>
    </row>
    <row r="1520" spans="2:36" ht="13.5" x14ac:dyDescent="0.15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E1520"/>
      <c r="AJ1520"/>
    </row>
    <row r="1521" spans="2:36" ht="13.5" x14ac:dyDescent="0.15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E1521"/>
      <c r="AJ1521"/>
    </row>
    <row r="1522" spans="2:36" ht="13.5" x14ac:dyDescent="0.15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E1522"/>
      <c r="AJ1522"/>
    </row>
    <row r="1523" spans="2:36" ht="13.5" x14ac:dyDescent="0.15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E1523"/>
      <c r="AJ1523"/>
    </row>
    <row r="1524" spans="2:36" ht="13.5" x14ac:dyDescent="0.15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E1524"/>
      <c r="AJ1524"/>
    </row>
    <row r="1525" spans="2:36" ht="13.5" x14ac:dyDescent="0.15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E1525"/>
      <c r="AJ1525"/>
    </row>
    <row r="1526" spans="2:36" ht="13.5" x14ac:dyDescent="0.15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E1526"/>
      <c r="AJ1526"/>
    </row>
    <row r="1527" spans="2:36" ht="13.5" x14ac:dyDescent="0.15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E1527"/>
      <c r="AJ1527"/>
    </row>
    <row r="1528" spans="2:36" ht="13.5" x14ac:dyDescent="0.15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E1528"/>
      <c r="AJ1528"/>
    </row>
  </sheetData>
  <sortState ref="C2:AB378">
    <sortCondition ref="V2:V378"/>
  </sortState>
  <phoneticPr fontId="1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5"/>
  <sheetViews>
    <sheetView zoomScaleNormal="100" workbookViewId="0">
      <selection activeCell="K9" sqref="K9"/>
    </sheetView>
  </sheetViews>
  <sheetFormatPr defaultColWidth="9" defaultRowHeight="15" x14ac:dyDescent="0.15"/>
  <cols>
    <col min="1" max="1" width="33" style="15" customWidth="1"/>
    <col min="2" max="4" width="9" style="15" customWidth="1"/>
    <col min="5" max="16384" width="9" style="15"/>
  </cols>
  <sheetData>
    <row r="2" spans="1:17" ht="15.75" thickBot="1" x14ac:dyDescent="0.2"/>
    <row r="3" spans="1:17" ht="15.75" thickBot="1" x14ac:dyDescent="0.2">
      <c r="A3" s="4">
        <f>COLUMNS(PUC)</f>
        <v>9</v>
      </c>
      <c r="B3" s="88" t="str">
        <f>VLOOKUP(B4,$C$21:$D$25,2,FALSE)</f>
        <v>Nuclear</v>
      </c>
      <c r="C3" s="89" t="str">
        <f t="shared" ref="C3:F3" si="0">VLOOKUP(C4,$C$21:$D$25,2,FALSE)</f>
        <v>Coal</v>
      </c>
      <c r="D3" s="89" t="str">
        <f t="shared" si="0"/>
        <v>LNG ST</v>
      </c>
      <c r="E3" s="89" t="str">
        <f t="shared" si="0"/>
        <v>LNG GCC</v>
      </c>
      <c r="F3" s="89" t="str">
        <f t="shared" si="0"/>
        <v>Oil</v>
      </c>
      <c r="G3" s="90" t="s">
        <v>692</v>
      </c>
      <c r="H3" s="89" t="s">
        <v>693</v>
      </c>
      <c r="I3" s="89" t="s">
        <v>686</v>
      </c>
      <c r="J3" s="89" t="s">
        <v>687</v>
      </c>
    </row>
    <row r="4" spans="1:17" x14ac:dyDescent="0.15">
      <c r="A4" s="69" t="s">
        <v>13</v>
      </c>
      <c r="B4" s="57">
        <v>0</v>
      </c>
      <c r="C4" s="58">
        <v>1</v>
      </c>
      <c r="D4" s="58">
        <v>2</v>
      </c>
      <c r="E4" s="58">
        <v>3</v>
      </c>
      <c r="F4" s="58">
        <v>4</v>
      </c>
      <c r="G4" s="59">
        <v>5</v>
      </c>
      <c r="H4" s="91">
        <v>6</v>
      </c>
      <c r="I4" s="91">
        <v>7</v>
      </c>
      <c r="J4" s="91">
        <v>8</v>
      </c>
    </row>
    <row r="5" spans="1:17" x14ac:dyDescent="0.15">
      <c r="A5" s="55" t="s">
        <v>14</v>
      </c>
      <c r="B5" s="5">
        <v>400</v>
      </c>
      <c r="C5" s="6">
        <v>270</v>
      </c>
      <c r="D5" s="6">
        <v>170</v>
      </c>
      <c r="E5" s="6">
        <v>100</v>
      </c>
      <c r="F5" s="6">
        <v>145</v>
      </c>
      <c r="G5" s="2">
        <v>270</v>
      </c>
      <c r="H5" s="2">
        <v>270</v>
      </c>
      <c r="I5" s="6">
        <v>100</v>
      </c>
      <c r="J5" s="6">
        <v>100</v>
      </c>
    </row>
    <row r="6" spans="1:17" x14ac:dyDescent="0.15">
      <c r="A6" s="55" t="s">
        <v>1</v>
      </c>
      <c r="B6" s="5">
        <v>40</v>
      </c>
      <c r="C6" s="6">
        <v>40</v>
      </c>
      <c r="D6" s="6">
        <v>40</v>
      </c>
      <c r="E6" s="6">
        <v>40</v>
      </c>
      <c r="F6" s="6">
        <v>40</v>
      </c>
      <c r="G6" s="2">
        <v>40</v>
      </c>
      <c r="H6" s="2">
        <v>40</v>
      </c>
      <c r="I6" s="6">
        <v>40</v>
      </c>
      <c r="J6" s="6">
        <v>40</v>
      </c>
    </row>
    <row r="7" spans="1:17" x14ac:dyDescent="0.15">
      <c r="A7" s="55" t="s">
        <v>11</v>
      </c>
      <c r="B7" s="5">
        <v>0.04</v>
      </c>
      <c r="C7" s="6">
        <v>4.8000000000000001E-2</v>
      </c>
      <c r="D7" s="6">
        <v>3.5999999999999997E-2</v>
      </c>
      <c r="E7" s="6">
        <v>3.5999999999999997E-2</v>
      </c>
      <c r="F7" s="6">
        <v>3.9E-2</v>
      </c>
      <c r="G7" s="2">
        <v>4.8000000000000001E-2</v>
      </c>
      <c r="H7" s="2">
        <v>4.8000000000000001E-2</v>
      </c>
      <c r="I7" s="6">
        <v>3.5999999999999997E-2</v>
      </c>
      <c r="J7" s="6">
        <v>3.5999999999999997E-2</v>
      </c>
    </row>
    <row r="8" spans="1:17" x14ac:dyDescent="0.15">
      <c r="A8" s="55" t="s">
        <v>27</v>
      </c>
      <c r="B8" s="5">
        <v>3</v>
      </c>
      <c r="C8" s="6">
        <v>2</v>
      </c>
      <c r="D8" s="6">
        <v>0</v>
      </c>
      <c r="E8" s="6">
        <v>0</v>
      </c>
      <c r="F8" s="6">
        <v>1</v>
      </c>
      <c r="G8" s="2">
        <v>4</v>
      </c>
      <c r="H8" s="2">
        <v>5</v>
      </c>
      <c r="I8" s="6">
        <v>0</v>
      </c>
      <c r="J8" s="6">
        <v>0</v>
      </c>
    </row>
    <row r="9" spans="1:17" x14ac:dyDescent="0.15">
      <c r="A9" s="55" t="s">
        <v>36</v>
      </c>
      <c r="B9" s="3">
        <v>0</v>
      </c>
      <c r="C9" s="62">
        <v>1</v>
      </c>
      <c r="D9" s="62">
        <v>1</v>
      </c>
      <c r="E9" s="1">
        <v>0</v>
      </c>
      <c r="F9" s="62">
        <v>1</v>
      </c>
      <c r="G9" s="67">
        <v>1</v>
      </c>
      <c r="H9" s="67">
        <v>1</v>
      </c>
      <c r="I9" s="1">
        <v>0</v>
      </c>
      <c r="J9" s="1">
        <v>0</v>
      </c>
    </row>
    <row r="10" spans="1:17" x14ac:dyDescent="0.15">
      <c r="A10" s="55" t="s">
        <v>35</v>
      </c>
      <c r="B10" s="66">
        <v>1</v>
      </c>
      <c r="C10" s="62">
        <v>1</v>
      </c>
      <c r="D10" s="62">
        <v>1</v>
      </c>
      <c r="E10" s="62">
        <v>1</v>
      </c>
      <c r="F10" s="62">
        <v>1</v>
      </c>
      <c r="G10" s="67">
        <v>1</v>
      </c>
      <c r="H10" s="67">
        <v>1</v>
      </c>
      <c r="I10" s="62">
        <v>1</v>
      </c>
      <c r="J10" s="62">
        <v>1</v>
      </c>
    </row>
    <row r="11" spans="1:17" x14ac:dyDescent="0.15">
      <c r="A11" s="55" t="s">
        <v>21</v>
      </c>
      <c r="B11" s="5">
        <v>12</v>
      </c>
      <c r="C11" s="6">
        <v>8</v>
      </c>
      <c r="D11" s="6">
        <v>8</v>
      </c>
      <c r="E11" s="6">
        <v>4</v>
      </c>
      <c r="F11" s="6">
        <v>8</v>
      </c>
      <c r="G11" s="2">
        <v>8</v>
      </c>
      <c r="H11" s="2">
        <v>8</v>
      </c>
      <c r="I11" s="6">
        <v>4</v>
      </c>
      <c r="J11" s="6">
        <v>4</v>
      </c>
      <c r="M11" s="5">
        <v>12</v>
      </c>
      <c r="N11" s="6">
        <v>8</v>
      </c>
      <c r="O11" s="6">
        <v>8</v>
      </c>
      <c r="P11" s="6">
        <v>4</v>
      </c>
      <c r="Q11" s="2">
        <v>8</v>
      </c>
    </row>
    <row r="12" spans="1:17" x14ac:dyDescent="0.15">
      <c r="A12" s="55" t="s">
        <v>45</v>
      </c>
      <c r="B12" s="5">
        <v>12</v>
      </c>
      <c r="C12" s="6">
        <v>4</v>
      </c>
      <c r="D12" s="6">
        <v>2</v>
      </c>
      <c r="E12" s="6">
        <v>1</v>
      </c>
      <c r="F12" s="6">
        <v>2</v>
      </c>
      <c r="G12" s="2">
        <v>4</v>
      </c>
      <c r="H12" s="2">
        <v>4</v>
      </c>
      <c r="I12" s="6">
        <v>1</v>
      </c>
      <c r="J12" s="6">
        <v>1</v>
      </c>
      <c r="M12" s="5">
        <v>12</v>
      </c>
      <c r="N12" s="6">
        <v>4</v>
      </c>
      <c r="O12" s="6">
        <v>2</v>
      </c>
      <c r="P12" s="6">
        <v>1</v>
      </c>
      <c r="Q12" s="2">
        <v>2</v>
      </c>
    </row>
    <row r="13" spans="1:17" x14ac:dyDescent="0.15">
      <c r="A13" s="55" t="s">
        <v>343</v>
      </c>
      <c r="B13" s="5">
        <v>0</v>
      </c>
      <c r="C13" s="6">
        <v>1</v>
      </c>
      <c r="D13" s="6">
        <v>1</v>
      </c>
      <c r="E13" s="6">
        <v>1</v>
      </c>
      <c r="F13" s="6">
        <v>1</v>
      </c>
      <c r="G13" s="2">
        <v>1</v>
      </c>
      <c r="H13" s="2">
        <v>1</v>
      </c>
      <c r="I13" s="6">
        <v>1</v>
      </c>
      <c r="J13" s="6">
        <v>1</v>
      </c>
    </row>
    <row r="14" spans="1:17" x14ac:dyDescent="0.15">
      <c r="A14" s="55" t="s">
        <v>22</v>
      </c>
      <c r="B14" s="5">
        <v>60</v>
      </c>
      <c r="C14" s="6">
        <v>55</v>
      </c>
      <c r="D14" s="6">
        <v>46</v>
      </c>
      <c r="E14" s="6">
        <v>36</v>
      </c>
      <c r="F14" s="6">
        <v>46</v>
      </c>
      <c r="G14" s="2">
        <v>55</v>
      </c>
      <c r="H14" s="2">
        <v>55</v>
      </c>
      <c r="I14" s="6">
        <v>36</v>
      </c>
      <c r="J14" s="6">
        <v>36</v>
      </c>
    </row>
    <row r="15" spans="1:17" x14ac:dyDescent="0.15">
      <c r="A15" s="55" t="s">
        <v>663</v>
      </c>
      <c r="B15" s="5">
        <v>0</v>
      </c>
      <c r="C15" s="36">
        <f>116*1000/(24*365)</f>
        <v>13.242009132420092</v>
      </c>
      <c r="D15" s="36">
        <f t="shared" ref="D15:J15" si="1">116*1000/(24*365)</f>
        <v>13.242009132420092</v>
      </c>
      <c r="E15" s="36">
        <f t="shared" si="1"/>
        <v>13.242009132420092</v>
      </c>
      <c r="F15" s="36">
        <f t="shared" si="1"/>
        <v>13.242009132420092</v>
      </c>
      <c r="G15" s="37">
        <f>116*1000/(24*365)</f>
        <v>13.242009132420092</v>
      </c>
      <c r="H15" s="37">
        <f>116*1000/(24*365)</f>
        <v>13.242009132420092</v>
      </c>
      <c r="I15" s="36">
        <f t="shared" si="1"/>
        <v>13.242009132420092</v>
      </c>
      <c r="J15" s="36">
        <f t="shared" si="1"/>
        <v>13.242009132420092</v>
      </c>
      <c r="M15" s="15" t="s">
        <v>660</v>
      </c>
      <c r="N15" s="94" t="s">
        <v>689</v>
      </c>
    </row>
    <row r="16" spans="1:17" x14ac:dyDescent="0.15">
      <c r="A16" s="55" t="s">
        <v>659</v>
      </c>
      <c r="B16" s="5">
        <v>0</v>
      </c>
      <c r="C16" s="6">
        <v>25</v>
      </c>
      <c r="D16" s="6">
        <v>25</v>
      </c>
      <c r="E16" s="6">
        <v>25</v>
      </c>
      <c r="F16" s="6">
        <v>25</v>
      </c>
      <c r="G16" s="2">
        <v>25</v>
      </c>
      <c r="H16" s="2">
        <v>25</v>
      </c>
      <c r="I16" s="6">
        <v>25</v>
      </c>
      <c r="J16" s="6">
        <v>25</v>
      </c>
      <c r="N16" s="94" t="s">
        <v>690</v>
      </c>
    </row>
    <row r="17" spans="1:10" ht="15.75" thickBot="1" x14ac:dyDescent="0.2">
      <c r="A17" s="70" t="s">
        <v>664</v>
      </c>
      <c r="B17" s="8">
        <v>0</v>
      </c>
      <c r="C17" s="9">
        <v>106</v>
      </c>
      <c r="D17" s="9">
        <v>120</v>
      </c>
      <c r="E17" s="9">
        <v>120</v>
      </c>
      <c r="F17" s="9">
        <v>106</v>
      </c>
      <c r="G17" s="10">
        <v>106</v>
      </c>
      <c r="H17" s="10">
        <v>106</v>
      </c>
      <c r="I17" s="9">
        <v>120</v>
      </c>
      <c r="J17" s="9">
        <v>120</v>
      </c>
    </row>
    <row r="21" spans="1:10" x14ac:dyDescent="0.15">
      <c r="C21" s="6">
        <v>0</v>
      </c>
      <c r="D21" s="6" t="s">
        <v>2</v>
      </c>
    </row>
    <row r="22" spans="1:10" x14ac:dyDescent="0.15">
      <c r="C22" s="6">
        <v>1</v>
      </c>
      <c r="D22" s="6" t="s">
        <v>3</v>
      </c>
    </row>
    <row r="23" spans="1:10" x14ac:dyDescent="0.15">
      <c r="C23" s="6">
        <v>2</v>
      </c>
      <c r="D23" s="6" t="s">
        <v>5</v>
      </c>
    </row>
    <row r="24" spans="1:10" x14ac:dyDescent="0.15">
      <c r="C24" s="6">
        <v>3</v>
      </c>
      <c r="D24" s="6" t="s">
        <v>4</v>
      </c>
    </row>
    <row r="25" spans="1:10" x14ac:dyDescent="0.15">
      <c r="C25" s="6">
        <v>4</v>
      </c>
      <c r="D25" s="6" t="s">
        <v>6</v>
      </c>
    </row>
  </sheetData>
  <phoneticPr fontId="18"/>
  <hyperlinks>
    <hyperlink ref="N15" r:id="rId1"/>
    <hyperlink ref="N16" r:id="rId2"/>
  </hyperlinks>
  <pageMargins left="0.7" right="0.7" top="0.75" bottom="0.75" header="0.3" footer="0.3"/>
  <pageSetup paperSize="9" orientation="portrait" horizontalDpi="4294967293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zoomScale="115" zoomScaleNormal="115" workbookViewId="0">
      <selection activeCell="G8" sqref="G8"/>
    </sheetView>
  </sheetViews>
  <sheetFormatPr defaultColWidth="9" defaultRowHeight="15" x14ac:dyDescent="0.15"/>
  <cols>
    <col min="1" max="1" width="32.625" style="4" customWidth="1"/>
    <col min="2" max="8" width="15.625" style="15" customWidth="1"/>
    <col min="9" max="9" width="40.25" style="15" customWidth="1"/>
    <col min="10" max="16384" width="9" style="15"/>
  </cols>
  <sheetData>
    <row r="1" spans="1:25" ht="15.75" thickBot="1" x14ac:dyDescent="0.2">
      <c r="B1" s="16">
        <v>6</v>
      </c>
    </row>
    <row r="2" spans="1:25" ht="15.75" thickBot="1" x14ac:dyDescent="0.2">
      <c r="A2" s="88" t="s">
        <v>0</v>
      </c>
      <c r="B2" s="85" t="s">
        <v>38</v>
      </c>
      <c r="C2" s="86" t="s">
        <v>24</v>
      </c>
      <c r="D2" s="86" t="s">
        <v>23</v>
      </c>
      <c r="E2" s="86" t="s">
        <v>25</v>
      </c>
      <c r="F2" s="86" t="s">
        <v>694</v>
      </c>
      <c r="G2" s="87" t="s">
        <v>695</v>
      </c>
      <c r="I2" s="12" t="s">
        <v>340</v>
      </c>
      <c r="J2" s="17">
        <v>0.3</v>
      </c>
      <c r="M2" s="15" t="s">
        <v>685</v>
      </c>
    </row>
    <row r="3" spans="1:25" ht="19.5" thickBot="1" x14ac:dyDescent="0.2">
      <c r="A3" s="53" t="s">
        <v>28</v>
      </c>
      <c r="B3" s="57">
        <v>0</v>
      </c>
      <c r="C3" s="58">
        <v>1</v>
      </c>
      <c r="D3" s="58">
        <v>2</v>
      </c>
      <c r="E3" s="58">
        <v>3</v>
      </c>
      <c r="F3" s="59">
        <v>4</v>
      </c>
      <c r="G3" s="59">
        <v>5</v>
      </c>
      <c r="I3" s="7" t="s">
        <v>341</v>
      </c>
      <c r="J3" s="18">
        <v>0.2</v>
      </c>
      <c r="M3" s="15">
        <f>317*120/1000</f>
        <v>38.04</v>
      </c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 ht="18.75" x14ac:dyDescent="0.15">
      <c r="A4" s="54" t="s">
        <v>10</v>
      </c>
      <c r="B4" s="60">
        <f>B9*B5*1000</f>
        <v>65.813075964000006</v>
      </c>
      <c r="C4" s="36">
        <f t="shared" ref="C4:D4" si="0">C9*C5*1000</f>
        <v>68.874955730000011</v>
      </c>
      <c r="D4" s="36">
        <f t="shared" si="0"/>
        <v>11.971831913999999</v>
      </c>
      <c r="E4" s="6">
        <v>1.7</v>
      </c>
      <c r="F4" s="2">
        <f>$M$3*0.29/1.29+$D$4*1/1.29</f>
        <v>17.832117762790695</v>
      </c>
      <c r="G4" s="2">
        <f>$M$3*26.1/48.6+$D$4*22.5/48.6</f>
        <v>25.971403663888889</v>
      </c>
      <c r="O4" s="72" t="s">
        <v>666</v>
      </c>
      <c r="P4" s="72" t="s">
        <v>667</v>
      </c>
      <c r="Q4" s="72"/>
      <c r="R4" s="72"/>
      <c r="S4" s="72" t="s">
        <v>668</v>
      </c>
      <c r="T4" s="72" t="s">
        <v>667</v>
      </c>
      <c r="U4" s="72"/>
      <c r="V4" s="72"/>
      <c r="W4" s="72" t="s">
        <v>16</v>
      </c>
      <c r="X4" s="72" t="s">
        <v>667</v>
      </c>
      <c r="Y4" s="71"/>
    </row>
    <row r="5" spans="1:25" ht="18.75" x14ac:dyDescent="0.15">
      <c r="A5" s="54" t="s">
        <v>580</v>
      </c>
      <c r="B5" s="5">
        <v>13.019</v>
      </c>
      <c r="C5" s="6">
        <v>9.8420000000000005</v>
      </c>
      <c r="D5" s="6">
        <v>6.3540000000000001</v>
      </c>
      <c r="E5" s="1">
        <v>2.4783900000000001</v>
      </c>
      <c r="F5" s="2">
        <f>$D$5*1/1.29+22.5/($T$8*1000)*$U$8*0.29/1.29</f>
        <v>6.1345057489290813</v>
      </c>
      <c r="G5" s="2">
        <f>$D$5*22.5/48.6+22.5/($T$8*1000)*$U$8*26.1/48.6</f>
        <v>5.829652622441694</v>
      </c>
      <c r="M5" s="15" t="s">
        <v>696</v>
      </c>
      <c r="O5" s="72">
        <v>1</v>
      </c>
      <c r="P5" s="72">
        <v>4.1840000000000002</v>
      </c>
      <c r="Q5" s="72"/>
      <c r="R5" s="72"/>
      <c r="S5" s="72">
        <v>1</v>
      </c>
      <c r="T5" s="72">
        <v>1055.06</v>
      </c>
      <c r="U5" s="72"/>
      <c r="V5" s="72"/>
      <c r="W5" s="72">
        <v>1</v>
      </c>
      <c r="X5" s="72">
        <v>3600000</v>
      </c>
      <c r="Y5" s="71"/>
    </row>
    <row r="6" spans="1:25" ht="18.75" x14ac:dyDescent="0.15">
      <c r="A6" s="55" t="s">
        <v>342</v>
      </c>
      <c r="B6" s="5">
        <v>2.7360666666666664</v>
      </c>
      <c r="C6" s="6">
        <v>2.8890399999999996</v>
      </c>
      <c r="D6" s="6">
        <v>2.2642399999999996</v>
      </c>
      <c r="E6" s="6">
        <v>0</v>
      </c>
      <c r="F6" s="2">
        <f>$D$6*100/129</f>
        <v>1.7552248062015501</v>
      </c>
      <c r="G6" s="2">
        <f>$D$6*22.5/48.6</f>
        <v>1.048259259259259</v>
      </c>
      <c r="I6" s="15">
        <f>22.5/($T$8*1000)*$U$8</f>
        <v>5.3776290210983255</v>
      </c>
      <c r="M6" s="15">
        <f>M3/22.5*X5</f>
        <v>6086400</v>
      </c>
      <c r="O6" s="72"/>
      <c r="P6" s="72"/>
      <c r="Q6" s="72"/>
      <c r="R6" s="72"/>
      <c r="S6" s="72"/>
      <c r="T6" s="72"/>
      <c r="U6" s="72"/>
      <c r="V6" s="72"/>
      <c r="W6" s="71"/>
      <c r="X6" s="71"/>
      <c r="Y6" s="71"/>
    </row>
    <row r="7" spans="1:25" ht="19.5" thickBot="1" x14ac:dyDescent="0.2">
      <c r="A7" s="56" t="s">
        <v>9</v>
      </c>
      <c r="B7" s="8" t="s">
        <v>15</v>
      </c>
      <c r="C7" s="9" t="s">
        <v>26</v>
      </c>
      <c r="D7" s="9" t="s">
        <v>15</v>
      </c>
      <c r="E7" s="9" t="s">
        <v>16</v>
      </c>
      <c r="F7" s="10" t="s">
        <v>684</v>
      </c>
      <c r="G7" s="10" t="s">
        <v>684</v>
      </c>
      <c r="O7" s="72"/>
      <c r="P7" s="72"/>
      <c r="Q7" s="72"/>
      <c r="R7" s="72"/>
      <c r="S7" s="73" t="s">
        <v>669</v>
      </c>
      <c r="T7" s="74" t="s">
        <v>670</v>
      </c>
      <c r="U7" s="74" t="s">
        <v>671</v>
      </c>
      <c r="V7" s="72"/>
      <c r="W7" s="73" t="s">
        <v>672</v>
      </c>
      <c r="X7" s="74" t="s">
        <v>671</v>
      </c>
      <c r="Y7" s="71"/>
    </row>
    <row r="8" spans="1:25" ht="18.75" x14ac:dyDescent="0.15">
      <c r="A8"/>
      <c r="B8"/>
      <c r="C8"/>
      <c r="D8"/>
      <c r="E8"/>
      <c r="F8"/>
      <c r="I8" s="15">
        <f>HLOOKUP(B2,B2:E3,2,FALSE)</f>
        <v>0</v>
      </c>
      <c r="O8" s="72" t="s">
        <v>673</v>
      </c>
      <c r="P8" s="72" t="s">
        <v>667</v>
      </c>
      <c r="Q8" s="72" t="s">
        <v>666</v>
      </c>
      <c r="R8" s="72"/>
      <c r="S8" s="75">
        <v>1</v>
      </c>
      <c r="T8" s="76">
        <v>1.0550600000000001</v>
      </c>
      <c r="U8" s="76">
        <v>252.16539</v>
      </c>
      <c r="V8" s="72"/>
      <c r="W8" s="75">
        <v>1</v>
      </c>
      <c r="X8" s="77" t="s">
        <v>674</v>
      </c>
      <c r="Y8" s="71"/>
    </row>
    <row r="9" spans="1:25" ht="18.75" x14ac:dyDescent="0.15">
      <c r="A9" s="6" t="s">
        <v>344</v>
      </c>
      <c r="B9" s="36">
        <v>5.0551559999999999E-3</v>
      </c>
      <c r="C9" s="36">
        <v>6.9980650000000004E-3</v>
      </c>
      <c r="D9" s="36">
        <v>1.884141E-3</v>
      </c>
      <c r="E9"/>
      <c r="F9"/>
      <c r="G9" s="15">
        <f>G4/1000/G5</f>
        <v>4.4550516721888339E-3</v>
      </c>
      <c r="O9" s="72">
        <v>1</v>
      </c>
      <c r="P9" s="78">
        <v>42000000000</v>
      </c>
      <c r="Q9" s="78">
        <v>10040000000</v>
      </c>
      <c r="R9" s="72"/>
      <c r="S9" s="72"/>
      <c r="T9" s="72"/>
      <c r="U9" s="72"/>
      <c r="V9" s="72"/>
      <c r="W9" s="72"/>
      <c r="X9" s="72"/>
      <c r="Y9" s="71"/>
    </row>
    <row r="10" spans="1:25" ht="18.75" x14ac:dyDescent="0.15">
      <c r="A10"/>
      <c r="B10"/>
      <c r="C10"/>
      <c r="D10"/>
      <c r="E10"/>
      <c r="F10"/>
      <c r="O10" s="72"/>
      <c r="P10" s="72"/>
      <c r="Q10" s="72"/>
      <c r="R10" s="72"/>
      <c r="S10" s="72"/>
      <c r="T10" s="72"/>
      <c r="U10"/>
      <c r="V10" s="72"/>
      <c r="W10" s="72"/>
      <c r="X10" s="72"/>
      <c r="Y10" s="71"/>
    </row>
    <row r="11" spans="1:25" x14ac:dyDescent="0.15">
      <c r="A11"/>
      <c r="B11">
        <f>B4/B5</f>
        <v>5.0551560000000002</v>
      </c>
      <c r="C11"/>
      <c r="D11">
        <f>D4/D5</f>
        <v>1.8841409999999998</v>
      </c>
      <c r="E11"/>
      <c r="F11">
        <f>22.5/(26.1+22.5)*2.26424/G5</f>
        <v>0.17981504682181318</v>
      </c>
      <c r="G11" s="15">
        <f>G4/G5</f>
        <v>4.4550516721888336</v>
      </c>
      <c r="U11"/>
    </row>
    <row r="12" spans="1:25" x14ac:dyDescent="0.15">
      <c r="A12"/>
      <c r="B12"/>
      <c r="F12">
        <f>B6/B5</f>
        <v>0.21015951045907261</v>
      </c>
      <c r="G12" s="15">
        <f>B4/B5</f>
        <v>5.0551560000000002</v>
      </c>
      <c r="U12">
        <f>7*3.195/3</f>
        <v>7.4549999999999992</v>
      </c>
    </row>
    <row r="13" spans="1:25" x14ac:dyDescent="0.15">
      <c r="F13" s="15">
        <f>(6.2897-4.4550516)/(0.179815-0.155545)</f>
        <v>75.593259167696701</v>
      </c>
      <c r="G13" s="15">
        <f>(6.2897-5.055156)/(0.2101595-0.155545)</f>
        <v>22.604692892913043</v>
      </c>
      <c r="U13">
        <f>U12/(U12+1)</f>
        <v>0.88172678888231826</v>
      </c>
    </row>
    <row r="14" spans="1:25" x14ac:dyDescent="0.15">
      <c r="B14">
        <f>9/0.86</f>
        <v>10.465116279069768</v>
      </c>
      <c r="C14"/>
      <c r="D14"/>
      <c r="E14"/>
      <c r="F14">
        <f>(2.26424/1.29)/(6.354/1.29+0.29*5.377/1.29)</f>
        <v>0.28612985936388347</v>
      </c>
      <c r="G14" s="15">
        <f>(D4/1.29+0.29*38.04/1.29)/(6.354/1.29+0.29*5.377/1.29)</f>
        <v>2.906921853884521</v>
      </c>
      <c r="U14">
        <f>30/12.8*(1.05506*1000/252.1654)</f>
        <v>9.806249687704975</v>
      </c>
    </row>
    <row r="15" spans="1:25" x14ac:dyDescent="0.15">
      <c r="B15"/>
      <c r="C15"/>
      <c r="D15"/>
      <c r="E15" t="s">
        <v>665</v>
      </c>
      <c r="F15"/>
      <c r="G15" s="15">
        <f>(4.4550516-2.9069218)/(0.28613-0.179815)</f>
        <v>14.561725062314819</v>
      </c>
      <c r="I15" s="15" t="s">
        <v>675</v>
      </c>
      <c r="M15" s="15">
        <f>26.1/22.5/4</f>
        <v>0.29000000000000004</v>
      </c>
      <c r="U15" s="15">
        <f>(9.80625-6.2897)/0.155545</f>
        <v>22.607926966472728</v>
      </c>
    </row>
    <row r="16" spans="1:25" x14ac:dyDescent="0.15">
      <c r="B16"/>
      <c r="C16"/>
      <c r="D16"/>
      <c r="E16"/>
      <c r="F16"/>
      <c r="I16" s="15">
        <f>B6/B5*(Q9/10^6*10^3)/10^6</f>
        <v>2.1100014850090889</v>
      </c>
      <c r="U16" s="15">
        <f>(9.80625-4.4550516)/0.179815</f>
        <v>29.759466117954567</v>
      </c>
    </row>
    <row r="17" spans="2:9" x14ac:dyDescent="0.15">
      <c r="B17"/>
      <c r="C17"/>
      <c r="D17"/>
      <c r="E17"/>
      <c r="F17"/>
      <c r="I17" s="15">
        <f>I16/1000</f>
        <v>2.1100014850090891E-3</v>
      </c>
    </row>
    <row r="18" spans="2:9" x14ac:dyDescent="0.15">
      <c r="B18"/>
      <c r="C18"/>
      <c r="D18"/>
    </row>
  </sheetData>
  <phoneticPr fontId="1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J369"/>
  <sheetViews>
    <sheetView workbookViewId="0">
      <selection activeCell="B31" sqref="B31"/>
    </sheetView>
  </sheetViews>
  <sheetFormatPr defaultColWidth="8.875" defaultRowHeight="15" x14ac:dyDescent="0.15"/>
  <cols>
    <col min="1" max="3" width="8.875" style="15"/>
    <col min="4" max="4" width="9.25" style="15" bestFit="1" customWidth="1"/>
    <col min="5" max="16384" width="8.875" style="15"/>
  </cols>
  <sheetData>
    <row r="1" spans="4:10" x14ac:dyDescent="0.15">
      <c r="E1" s="15" t="s">
        <v>37</v>
      </c>
    </row>
    <row r="2" spans="4:10" ht="15.75" thickBot="1" x14ac:dyDescent="0.2">
      <c r="D2" s="95" t="s">
        <v>29</v>
      </c>
      <c r="E2" s="95"/>
      <c r="F2" s="95"/>
      <c r="G2" s="95"/>
      <c r="H2" s="95"/>
    </row>
    <row r="3" spans="4:10" ht="15.75" thickBot="1" x14ac:dyDescent="0.2">
      <c r="D3" s="23">
        <f>COLUMNS(USR)</f>
        <v>6</v>
      </c>
      <c r="E3" s="22" t="s">
        <v>30</v>
      </c>
      <c r="F3" s="13" t="s">
        <v>31</v>
      </c>
      <c r="G3" s="13" t="s">
        <v>32</v>
      </c>
      <c r="H3" s="14" t="s">
        <v>33</v>
      </c>
      <c r="I3" s="13" t="s">
        <v>46</v>
      </c>
      <c r="J3" s="14" t="s">
        <v>47</v>
      </c>
    </row>
    <row r="4" spans="4:10" ht="15.75" thickBot="1" x14ac:dyDescent="0.2">
      <c r="D4" s="24" t="s">
        <v>34</v>
      </c>
      <c r="E4" s="25">
        <f t="shared" ref="E4:J4" si="0">SUM(E5:E369)/365</f>
        <v>0.75075230181899821</v>
      </c>
      <c r="F4" s="25">
        <f t="shared" si="0"/>
        <v>0.75335728722209749</v>
      </c>
      <c r="G4" s="25">
        <f t="shared" si="0"/>
        <v>0.7479452054794522</v>
      </c>
      <c r="H4" s="25">
        <f t="shared" si="0"/>
        <v>0.74794520547945209</v>
      </c>
      <c r="I4" s="25">
        <f t="shared" si="0"/>
        <v>1</v>
      </c>
      <c r="J4" s="26">
        <f t="shared" si="0"/>
        <v>0</v>
      </c>
    </row>
    <row r="5" spans="4:10" x14ac:dyDescent="0.25">
      <c r="D5" s="27">
        <v>40909</v>
      </c>
      <c r="E5" s="28">
        <v>0</v>
      </c>
      <c r="F5" s="29">
        <v>1</v>
      </c>
      <c r="G5" s="28">
        <v>1</v>
      </c>
      <c r="H5" s="29">
        <v>1</v>
      </c>
      <c r="I5" s="34">
        <v>1</v>
      </c>
      <c r="J5" s="35">
        <v>0</v>
      </c>
    </row>
    <row r="6" spans="4:10" x14ac:dyDescent="0.25">
      <c r="D6" s="30">
        <v>40910</v>
      </c>
      <c r="E6" s="19">
        <v>0</v>
      </c>
      <c r="F6" s="20">
        <v>1</v>
      </c>
      <c r="G6" s="19">
        <v>1</v>
      </c>
      <c r="H6" s="20">
        <v>1</v>
      </c>
      <c r="I6" s="36">
        <v>1</v>
      </c>
      <c r="J6" s="37">
        <v>0</v>
      </c>
    </row>
    <row r="7" spans="4:10" x14ac:dyDescent="0.25">
      <c r="D7" s="30">
        <v>40911</v>
      </c>
      <c r="E7" s="19">
        <v>0</v>
      </c>
      <c r="F7" s="20">
        <v>1</v>
      </c>
      <c r="G7" s="19">
        <v>1</v>
      </c>
      <c r="H7" s="20">
        <v>1</v>
      </c>
      <c r="I7" s="36">
        <v>1</v>
      </c>
      <c r="J7" s="37">
        <v>0</v>
      </c>
    </row>
    <row r="8" spans="4:10" x14ac:dyDescent="0.25">
      <c r="D8" s="30">
        <v>40912</v>
      </c>
      <c r="E8" s="19">
        <v>0</v>
      </c>
      <c r="F8" s="20">
        <v>1</v>
      </c>
      <c r="G8" s="19">
        <v>1</v>
      </c>
      <c r="H8" s="20">
        <v>1</v>
      </c>
      <c r="I8" s="36">
        <v>1</v>
      </c>
      <c r="J8" s="37">
        <v>0</v>
      </c>
    </row>
    <row r="9" spans="4:10" x14ac:dyDescent="0.25">
      <c r="D9" s="30">
        <v>40913</v>
      </c>
      <c r="E9" s="19">
        <v>0</v>
      </c>
      <c r="F9" s="20">
        <v>1</v>
      </c>
      <c r="G9" s="19">
        <v>1</v>
      </c>
      <c r="H9" s="20">
        <v>1</v>
      </c>
      <c r="I9" s="36">
        <v>1</v>
      </c>
      <c r="J9" s="37">
        <v>0</v>
      </c>
    </row>
    <row r="10" spans="4:10" x14ac:dyDescent="0.25">
      <c r="D10" s="30">
        <v>40914</v>
      </c>
      <c r="E10" s="19">
        <v>0</v>
      </c>
      <c r="F10" s="20">
        <v>1</v>
      </c>
      <c r="G10" s="19">
        <v>1</v>
      </c>
      <c r="H10" s="20">
        <v>1</v>
      </c>
      <c r="I10" s="36">
        <v>1</v>
      </c>
      <c r="J10" s="37">
        <v>0</v>
      </c>
    </row>
    <row r="11" spans="4:10" x14ac:dyDescent="0.25">
      <c r="D11" s="30">
        <v>40915</v>
      </c>
      <c r="E11" s="19">
        <v>0</v>
      </c>
      <c r="F11" s="20">
        <v>1</v>
      </c>
      <c r="G11" s="19">
        <v>1</v>
      </c>
      <c r="H11" s="20">
        <v>1</v>
      </c>
      <c r="I11" s="36">
        <v>1</v>
      </c>
      <c r="J11" s="37">
        <v>0</v>
      </c>
    </row>
    <row r="12" spans="4:10" x14ac:dyDescent="0.25">
      <c r="D12" s="30">
        <v>40916</v>
      </c>
      <c r="E12" s="19">
        <v>0</v>
      </c>
      <c r="F12" s="20">
        <v>1</v>
      </c>
      <c r="G12" s="19">
        <v>1</v>
      </c>
      <c r="H12" s="20">
        <v>1</v>
      </c>
      <c r="I12" s="36">
        <v>1</v>
      </c>
      <c r="J12" s="37">
        <v>0</v>
      </c>
    </row>
    <row r="13" spans="4:10" x14ac:dyDescent="0.25">
      <c r="D13" s="30">
        <v>40917</v>
      </c>
      <c r="E13" s="19">
        <v>0</v>
      </c>
      <c r="F13" s="20">
        <v>1</v>
      </c>
      <c r="G13" s="19">
        <v>1</v>
      </c>
      <c r="H13" s="20">
        <v>1</v>
      </c>
      <c r="I13" s="36">
        <v>1</v>
      </c>
      <c r="J13" s="37">
        <v>0</v>
      </c>
    </row>
    <row r="14" spans="4:10" x14ac:dyDescent="0.25">
      <c r="D14" s="30">
        <v>40918</v>
      </c>
      <c r="E14" s="19">
        <v>0</v>
      </c>
      <c r="F14" s="20">
        <v>1</v>
      </c>
      <c r="G14" s="19">
        <v>1</v>
      </c>
      <c r="H14" s="20">
        <v>1</v>
      </c>
      <c r="I14" s="36">
        <v>1</v>
      </c>
      <c r="J14" s="37">
        <v>0</v>
      </c>
    </row>
    <row r="15" spans="4:10" x14ac:dyDescent="0.25">
      <c r="D15" s="30">
        <v>40919</v>
      </c>
      <c r="E15" s="19">
        <v>0</v>
      </c>
      <c r="F15" s="20">
        <v>1</v>
      </c>
      <c r="G15" s="19">
        <v>1</v>
      </c>
      <c r="H15" s="20">
        <v>1</v>
      </c>
      <c r="I15" s="36">
        <v>1</v>
      </c>
      <c r="J15" s="37">
        <v>0</v>
      </c>
    </row>
    <row r="16" spans="4:10" x14ac:dyDescent="0.25">
      <c r="D16" s="30">
        <v>40920</v>
      </c>
      <c r="E16" s="19">
        <v>0</v>
      </c>
      <c r="F16" s="20">
        <v>1</v>
      </c>
      <c r="G16" s="19">
        <v>1</v>
      </c>
      <c r="H16" s="20">
        <v>1</v>
      </c>
      <c r="I16" s="36">
        <v>1</v>
      </c>
      <c r="J16" s="37">
        <v>0</v>
      </c>
    </row>
    <row r="17" spans="4:10" x14ac:dyDescent="0.25">
      <c r="D17" s="30">
        <v>40921</v>
      </c>
      <c r="E17" s="19">
        <v>0</v>
      </c>
      <c r="F17" s="20">
        <v>1</v>
      </c>
      <c r="G17" s="19">
        <v>1</v>
      </c>
      <c r="H17" s="20">
        <v>1</v>
      </c>
      <c r="I17" s="36">
        <v>1</v>
      </c>
      <c r="J17" s="37">
        <v>0</v>
      </c>
    </row>
    <row r="18" spans="4:10" x14ac:dyDescent="0.25">
      <c r="D18" s="30">
        <v>40922</v>
      </c>
      <c r="E18" s="19">
        <v>0</v>
      </c>
      <c r="F18" s="20">
        <v>1</v>
      </c>
      <c r="G18" s="19">
        <v>1</v>
      </c>
      <c r="H18" s="20">
        <v>1</v>
      </c>
      <c r="I18" s="36">
        <v>1</v>
      </c>
      <c r="J18" s="37">
        <v>0</v>
      </c>
    </row>
    <row r="19" spans="4:10" x14ac:dyDescent="0.25">
      <c r="D19" s="30">
        <v>40923</v>
      </c>
      <c r="E19" s="19">
        <v>0</v>
      </c>
      <c r="F19" s="20">
        <v>1</v>
      </c>
      <c r="G19" s="19">
        <v>1</v>
      </c>
      <c r="H19" s="20">
        <v>1</v>
      </c>
      <c r="I19" s="36">
        <v>1</v>
      </c>
      <c r="J19" s="37">
        <v>0</v>
      </c>
    </row>
    <row r="20" spans="4:10" x14ac:dyDescent="0.25">
      <c r="D20" s="30">
        <v>40924</v>
      </c>
      <c r="E20" s="19">
        <v>0</v>
      </c>
      <c r="F20" s="20">
        <v>1</v>
      </c>
      <c r="G20" s="19">
        <v>1</v>
      </c>
      <c r="H20" s="20">
        <v>1</v>
      </c>
      <c r="I20" s="36">
        <v>1</v>
      </c>
      <c r="J20" s="37">
        <v>0</v>
      </c>
    </row>
    <row r="21" spans="4:10" x14ac:dyDescent="0.25">
      <c r="D21" s="30">
        <v>40925</v>
      </c>
      <c r="E21" s="19">
        <v>0</v>
      </c>
      <c r="F21" s="20">
        <v>1</v>
      </c>
      <c r="G21" s="19">
        <v>1</v>
      </c>
      <c r="H21" s="20">
        <v>1</v>
      </c>
      <c r="I21" s="36">
        <v>1</v>
      </c>
      <c r="J21" s="37">
        <v>0</v>
      </c>
    </row>
    <row r="22" spans="4:10" x14ac:dyDescent="0.25">
      <c r="D22" s="30">
        <v>40926</v>
      </c>
      <c r="E22" s="19">
        <v>0</v>
      </c>
      <c r="F22" s="20">
        <v>1</v>
      </c>
      <c r="G22" s="19">
        <v>1</v>
      </c>
      <c r="H22" s="20">
        <v>1</v>
      </c>
      <c r="I22" s="36">
        <v>1</v>
      </c>
      <c r="J22" s="37">
        <v>0</v>
      </c>
    </row>
    <row r="23" spans="4:10" x14ac:dyDescent="0.25">
      <c r="D23" s="30">
        <v>40927</v>
      </c>
      <c r="E23" s="19">
        <v>0</v>
      </c>
      <c r="F23" s="20">
        <v>1</v>
      </c>
      <c r="G23" s="19">
        <v>1</v>
      </c>
      <c r="H23" s="20">
        <v>1</v>
      </c>
      <c r="I23" s="36">
        <v>1</v>
      </c>
      <c r="J23" s="37">
        <v>0</v>
      </c>
    </row>
    <row r="24" spans="4:10" x14ac:dyDescent="0.25">
      <c r="D24" s="30">
        <v>40928</v>
      </c>
      <c r="E24" s="19">
        <v>0</v>
      </c>
      <c r="F24" s="20">
        <v>1</v>
      </c>
      <c r="G24" s="19">
        <v>1</v>
      </c>
      <c r="H24" s="20">
        <v>1</v>
      </c>
      <c r="I24" s="36">
        <v>1</v>
      </c>
      <c r="J24" s="37">
        <v>0</v>
      </c>
    </row>
    <row r="25" spans="4:10" x14ac:dyDescent="0.25">
      <c r="D25" s="30">
        <v>40929</v>
      </c>
      <c r="E25" s="19">
        <v>0</v>
      </c>
      <c r="F25" s="20">
        <v>1</v>
      </c>
      <c r="G25" s="19">
        <v>1</v>
      </c>
      <c r="H25" s="20">
        <v>1</v>
      </c>
      <c r="I25" s="36">
        <v>1</v>
      </c>
      <c r="J25" s="37">
        <v>0</v>
      </c>
    </row>
    <row r="26" spans="4:10" x14ac:dyDescent="0.25">
      <c r="D26" s="30">
        <v>40930</v>
      </c>
      <c r="E26" s="19">
        <v>0</v>
      </c>
      <c r="F26" s="20">
        <v>1</v>
      </c>
      <c r="G26" s="19">
        <v>1</v>
      </c>
      <c r="H26" s="20">
        <v>1</v>
      </c>
      <c r="I26" s="36">
        <v>1</v>
      </c>
      <c r="J26" s="37">
        <v>0</v>
      </c>
    </row>
    <row r="27" spans="4:10" x14ac:dyDescent="0.25">
      <c r="D27" s="30">
        <v>40931</v>
      </c>
      <c r="E27" s="19">
        <v>0</v>
      </c>
      <c r="F27" s="20">
        <v>1</v>
      </c>
      <c r="G27" s="19">
        <v>1</v>
      </c>
      <c r="H27" s="20">
        <v>1</v>
      </c>
      <c r="I27" s="36">
        <v>1</v>
      </c>
      <c r="J27" s="37">
        <v>0</v>
      </c>
    </row>
    <row r="28" spans="4:10" x14ac:dyDescent="0.25">
      <c r="D28" s="30">
        <v>40932</v>
      </c>
      <c r="E28" s="19">
        <v>0</v>
      </c>
      <c r="F28" s="20">
        <v>1</v>
      </c>
      <c r="G28" s="19">
        <v>1</v>
      </c>
      <c r="H28" s="20">
        <v>1</v>
      </c>
      <c r="I28" s="36">
        <v>1</v>
      </c>
      <c r="J28" s="37">
        <v>0</v>
      </c>
    </row>
    <row r="29" spans="4:10" x14ac:dyDescent="0.25">
      <c r="D29" s="30">
        <v>40933</v>
      </c>
      <c r="E29" s="19">
        <v>0</v>
      </c>
      <c r="F29" s="20">
        <v>1</v>
      </c>
      <c r="G29" s="19">
        <v>1</v>
      </c>
      <c r="H29" s="20">
        <v>1</v>
      </c>
      <c r="I29" s="36">
        <v>1</v>
      </c>
      <c r="J29" s="37">
        <v>0</v>
      </c>
    </row>
    <row r="30" spans="4:10" x14ac:dyDescent="0.25">
      <c r="D30" s="30">
        <v>40934</v>
      </c>
      <c r="E30" s="19">
        <v>0</v>
      </c>
      <c r="F30" s="20">
        <v>1</v>
      </c>
      <c r="G30" s="19">
        <v>1</v>
      </c>
      <c r="H30" s="20">
        <v>1</v>
      </c>
      <c r="I30" s="36">
        <v>1</v>
      </c>
      <c r="J30" s="37">
        <v>0</v>
      </c>
    </row>
    <row r="31" spans="4:10" x14ac:dyDescent="0.25">
      <c r="D31" s="30">
        <v>40935</v>
      </c>
      <c r="E31" s="19">
        <v>0</v>
      </c>
      <c r="F31" s="20">
        <v>1</v>
      </c>
      <c r="G31" s="19">
        <v>1</v>
      </c>
      <c r="H31" s="20">
        <v>1</v>
      </c>
      <c r="I31" s="36">
        <v>1</v>
      </c>
      <c r="J31" s="37">
        <v>0</v>
      </c>
    </row>
    <row r="32" spans="4:10" x14ac:dyDescent="0.25">
      <c r="D32" s="30">
        <v>40936</v>
      </c>
      <c r="E32" s="19">
        <v>0</v>
      </c>
      <c r="F32" s="20">
        <v>1</v>
      </c>
      <c r="G32" s="19">
        <v>1</v>
      </c>
      <c r="H32" s="20">
        <v>1</v>
      </c>
      <c r="I32" s="36">
        <v>1</v>
      </c>
      <c r="J32" s="37">
        <v>0</v>
      </c>
    </row>
    <row r="33" spans="4:10" x14ac:dyDescent="0.25">
      <c r="D33" s="30">
        <v>40937</v>
      </c>
      <c r="E33" s="19">
        <v>0</v>
      </c>
      <c r="F33" s="20">
        <v>1</v>
      </c>
      <c r="G33" s="19">
        <v>1</v>
      </c>
      <c r="H33" s="20">
        <v>1</v>
      </c>
      <c r="I33" s="36">
        <v>1</v>
      </c>
      <c r="J33" s="37">
        <v>0</v>
      </c>
    </row>
    <row r="34" spans="4:10" x14ac:dyDescent="0.25">
      <c r="D34" s="30">
        <v>40938</v>
      </c>
      <c r="E34" s="19">
        <v>0</v>
      </c>
      <c r="F34" s="20">
        <v>1</v>
      </c>
      <c r="G34" s="19">
        <v>1</v>
      </c>
      <c r="H34" s="20">
        <v>1</v>
      </c>
      <c r="I34" s="36">
        <v>1</v>
      </c>
      <c r="J34" s="37">
        <v>0</v>
      </c>
    </row>
    <row r="35" spans="4:10" x14ac:dyDescent="0.25">
      <c r="D35" s="30">
        <v>40939</v>
      </c>
      <c r="E35" s="19">
        <v>0</v>
      </c>
      <c r="F35" s="20">
        <v>1</v>
      </c>
      <c r="G35" s="19">
        <v>1</v>
      </c>
      <c r="H35" s="20">
        <v>1</v>
      </c>
      <c r="I35" s="36">
        <v>1</v>
      </c>
      <c r="J35" s="37">
        <v>0</v>
      </c>
    </row>
    <row r="36" spans="4:10" x14ac:dyDescent="0.15">
      <c r="D36" s="30">
        <v>40940</v>
      </c>
      <c r="E36" s="21">
        <v>1.6393442622950838E-2</v>
      </c>
      <c r="F36" s="20">
        <v>0.98360655737704916</v>
      </c>
      <c r="G36" s="21">
        <v>1</v>
      </c>
      <c r="H36" s="20">
        <v>1</v>
      </c>
      <c r="I36" s="36">
        <v>1</v>
      </c>
      <c r="J36" s="37">
        <v>0</v>
      </c>
    </row>
    <row r="37" spans="4:10" x14ac:dyDescent="0.15">
      <c r="D37" s="30">
        <v>40941</v>
      </c>
      <c r="E37" s="21">
        <v>3.2786885245901676E-2</v>
      </c>
      <c r="F37" s="20">
        <v>0.96721311475409832</v>
      </c>
      <c r="G37" s="21">
        <v>1</v>
      </c>
      <c r="H37" s="20">
        <v>1</v>
      </c>
      <c r="I37" s="36">
        <v>1</v>
      </c>
      <c r="J37" s="37">
        <v>0</v>
      </c>
    </row>
    <row r="38" spans="4:10" x14ac:dyDescent="0.15">
      <c r="D38" s="30">
        <v>40942</v>
      </c>
      <c r="E38" s="21">
        <v>4.9180327868852514E-2</v>
      </c>
      <c r="F38" s="20">
        <v>0.95081967213114749</v>
      </c>
      <c r="G38" s="21">
        <v>1</v>
      </c>
      <c r="H38" s="20">
        <v>1</v>
      </c>
      <c r="I38" s="36">
        <v>1</v>
      </c>
      <c r="J38" s="37">
        <v>0</v>
      </c>
    </row>
    <row r="39" spans="4:10" x14ac:dyDescent="0.15">
      <c r="D39" s="30">
        <v>40943</v>
      </c>
      <c r="E39" s="21">
        <v>6.557377049180324E-2</v>
      </c>
      <c r="F39" s="20">
        <v>0.93442622950819676</v>
      </c>
      <c r="G39" s="21">
        <v>1</v>
      </c>
      <c r="H39" s="20">
        <v>1</v>
      </c>
      <c r="I39" s="36">
        <v>1</v>
      </c>
      <c r="J39" s="37">
        <v>0</v>
      </c>
    </row>
    <row r="40" spans="4:10" x14ac:dyDescent="0.15">
      <c r="D40" s="30">
        <v>40944</v>
      </c>
      <c r="E40" s="21">
        <v>8.1967213114754078E-2</v>
      </c>
      <c r="F40" s="20">
        <v>0.91803278688524592</v>
      </c>
      <c r="G40" s="21">
        <v>1</v>
      </c>
      <c r="H40" s="20">
        <v>1</v>
      </c>
      <c r="I40" s="36">
        <v>1</v>
      </c>
      <c r="J40" s="37">
        <v>0</v>
      </c>
    </row>
    <row r="41" spans="4:10" x14ac:dyDescent="0.15">
      <c r="D41" s="30">
        <v>40945</v>
      </c>
      <c r="E41" s="21">
        <v>9.8360655737704916E-2</v>
      </c>
      <c r="F41" s="20">
        <v>0.90163934426229508</v>
      </c>
      <c r="G41" s="21">
        <v>1</v>
      </c>
      <c r="H41" s="20">
        <v>1</v>
      </c>
      <c r="I41" s="36">
        <v>1</v>
      </c>
      <c r="J41" s="37">
        <v>0</v>
      </c>
    </row>
    <row r="42" spans="4:10" x14ac:dyDescent="0.15">
      <c r="D42" s="30">
        <v>40946</v>
      </c>
      <c r="E42" s="21">
        <v>0.11475409836065575</v>
      </c>
      <c r="F42" s="20">
        <v>0.88524590163934425</v>
      </c>
      <c r="G42" s="21">
        <v>1</v>
      </c>
      <c r="H42" s="20">
        <v>1</v>
      </c>
      <c r="I42" s="36">
        <v>1</v>
      </c>
      <c r="J42" s="37">
        <v>0</v>
      </c>
    </row>
    <row r="43" spans="4:10" x14ac:dyDescent="0.15">
      <c r="D43" s="30">
        <v>40947</v>
      </c>
      <c r="E43" s="21">
        <v>0.13114754098360659</v>
      </c>
      <c r="F43" s="20">
        <v>0.86885245901639341</v>
      </c>
      <c r="G43" s="21">
        <v>1</v>
      </c>
      <c r="H43" s="20">
        <v>1</v>
      </c>
      <c r="I43" s="36">
        <v>1</v>
      </c>
      <c r="J43" s="37">
        <v>0</v>
      </c>
    </row>
    <row r="44" spans="4:10" x14ac:dyDescent="0.15">
      <c r="D44" s="30">
        <v>40948</v>
      </c>
      <c r="E44" s="21">
        <v>0.14754098360655732</v>
      </c>
      <c r="F44" s="20">
        <v>0.85245901639344268</v>
      </c>
      <c r="G44" s="21">
        <v>1</v>
      </c>
      <c r="H44" s="20">
        <v>1</v>
      </c>
      <c r="I44" s="36">
        <v>1</v>
      </c>
      <c r="J44" s="37">
        <v>0</v>
      </c>
    </row>
    <row r="45" spans="4:10" x14ac:dyDescent="0.15">
      <c r="D45" s="30">
        <v>40949</v>
      </c>
      <c r="E45" s="21">
        <v>0.16393442622950816</v>
      </c>
      <c r="F45" s="20">
        <v>0.83606557377049184</v>
      </c>
      <c r="G45" s="21">
        <v>1</v>
      </c>
      <c r="H45" s="20">
        <v>1</v>
      </c>
      <c r="I45" s="36">
        <v>1</v>
      </c>
      <c r="J45" s="37">
        <v>0</v>
      </c>
    </row>
    <row r="46" spans="4:10" x14ac:dyDescent="0.15">
      <c r="D46" s="30">
        <v>40950</v>
      </c>
      <c r="E46" s="21">
        <v>0.18032786885245899</v>
      </c>
      <c r="F46" s="20">
        <v>0.81967213114754101</v>
      </c>
      <c r="G46" s="21">
        <v>1</v>
      </c>
      <c r="H46" s="20">
        <v>1</v>
      </c>
      <c r="I46" s="36">
        <v>1</v>
      </c>
      <c r="J46" s="37">
        <v>0</v>
      </c>
    </row>
    <row r="47" spans="4:10" x14ac:dyDescent="0.15">
      <c r="D47" s="30">
        <v>40951</v>
      </c>
      <c r="E47" s="21">
        <v>0.19672131147540983</v>
      </c>
      <c r="F47" s="20">
        <v>0.80327868852459017</v>
      </c>
      <c r="G47" s="21">
        <v>1</v>
      </c>
      <c r="H47" s="20">
        <v>1</v>
      </c>
      <c r="I47" s="36">
        <v>1</v>
      </c>
      <c r="J47" s="37">
        <v>0</v>
      </c>
    </row>
    <row r="48" spans="4:10" x14ac:dyDescent="0.15">
      <c r="D48" s="30">
        <v>40952</v>
      </c>
      <c r="E48" s="21">
        <v>0.21311475409836067</v>
      </c>
      <c r="F48" s="20">
        <v>0.78688524590163933</v>
      </c>
      <c r="G48" s="21">
        <v>1</v>
      </c>
      <c r="H48" s="20">
        <v>1</v>
      </c>
      <c r="I48" s="36">
        <v>1</v>
      </c>
      <c r="J48" s="37">
        <v>0</v>
      </c>
    </row>
    <row r="49" spans="4:10" x14ac:dyDescent="0.15">
      <c r="D49" s="30">
        <v>40953</v>
      </c>
      <c r="E49" s="21">
        <v>0.22950819672131151</v>
      </c>
      <c r="F49" s="20">
        <v>0.77049180327868849</v>
      </c>
      <c r="G49" s="21">
        <v>1</v>
      </c>
      <c r="H49" s="20">
        <v>1</v>
      </c>
      <c r="I49" s="36">
        <v>1</v>
      </c>
      <c r="J49" s="37">
        <v>0</v>
      </c>
    </row>
    <row r="50" spans="4:10" x14ac:dyDescent="0.15">
      <c r="D50" s="30">
        <v>40954</v>
      </c>
      <c r="E50" s="21">
        <v>0.24590163934426235</v>
      </c>
      <c r="F50" s="20">
        <v>0.75409836065573765</v>
      </c>
      <c r="G50" s="21">
        <v>1</v>
      </c>
      <c r="H50" s="20">
        <v>1</v>
      </c>
      <c r="I50" s="36">
        <v>1</v>
      </c>
      <c r="J50" s="37">
        <v>0</v>
      </c>
    </row>
    <row r="51" spans="4:10" x14ac:dyDescent="0.15">
      <c r="D51" s="30">
        <v>40955</v>
      </c>
      <c r="E51" s="21">
        <v>0.26229508196721318</v>
      </c>
      <c r="F51" s="20">
        <v>0.73770491803278682</v>
      </c>
      <c r="G51" s="21">
        <v>1</v>
      </c>
      <c r="H51" s="20">
        <v>1</v>
      </c>
      <c r="I51" s="36">
        <v>1</v>
      </c>
      <c r="J51" s="37">
        <v>0</v>
      </c>
    </row>
    <row r="52" spans="4:10" x14ac:dyDescent="0.15">
      <c r="D52" s="30">
        <v>40956</v>
      </c>
      <c r="E52" s="21">
        <v>0.27868852459016391</v>
      </c>
      <c r="F52" s="20">
        <v>0.72131147540983609</v>
      </c>
      <c r="G52" s="21">
        <v>1</v>
      </c>
      <c r="H52" s="20">
        <v>1</v>
      </c>
      <c r="I52" s="36">
        <v>1</v>
      </c>
      <c r="J52" s="37">
        <v>0</v>
      </c>
    </row>
    <row r="53" spans="4:10" x14ac:dyDescent="0.15">
      <c r="D53" s="30">
        <v>40957</v>
      </c>
      <c r="E53" s="21">
        <v>0.29508196721311475</v>
      </c>
      <c r="F53" s="20">
        <v>0.70491803278688525</v>
      </c>
      <c r="G53" s="21">
        <v>1</v>
      </c>
      <c r="H53" s="20">
        <v>1</v>
      </c>
      <c r="I53" s="36">
        <v>1</v>
      </c>
      <c r="J53" s="37">
        <v>0</v>
      </c>
    </row>
    <row r="54" spans="4:10" x14ac:dyDescent="0.15">
      <c r="D54" s="30">
        <v>40958</v>
      </c>
      <c r="E54" s="21">
        <v>0.31147540983606559</v>
      </c>
      <c r="F54" s="20">
        <v>0.68852459016393441</v>
      </c>
      <c r="G54" s="21">
        <v>1</v>
      </c>
      <c r="H54" s="20">
        <v>1</v>
      </c>
      <c r="I54" s="36">
        <v>1</v>
      </c>
      <c r="J54" s="37">
        <v>0</v>
      </c>
    </row>
    <row r="55" spans="4:10" x14ac:dyDescent="0.15">
      <c r="D55" s="30">
        <v>40959</v>
      </c>
      <c r="E55" s="21">
        <v>0.32786885245901631</v>
      </c>
      <c r="F55" s="20">
        <v>0.67213114754098369</v>
      </c>
      <c r="G55" s="21">
        <v>1</v>
      </c>
      <c r="H55" s="20">
        <v>1</v>
      </c>
      <c r="I55" s="36">
        <v>1</v>
      </c>
      <c r="J55" s="37">
        <v>0</v>
      </c>
    </row>
    <row r="56" spans="4:10" x14ac:dyDescent="0.15">
      <c r="D56" s="30">
        <v>40960</v>
      </c>
      <c r="E56" s="21">
        <v>0.34426229508196715</v>
      </c>
      <c r="F56" s="20">
        <v>0.65573770491803285</v>
      </c>
      <c r="G56" s="21">
        <v>1</v>
      </c>
      <c r="H56" s="20">
        <v>1</v>
      </c>
      <c r="I56" s="36">
        <v>1</v>
      </c>
      <c r="J56" s="37">
        <v>0</v>
      </c>
    </row>
    <row r="57" spans="4:10" x14ac:dyDescent="0.15">
      <c r="D57" s="30">
        <v>40961</v>
      </c>
      <c r="E57" s="21">
        <v>0.36065573770491799</v>
      </c>
      <c r="F57" s="20">
        <v>0.63934426229508201</v>
      </c>
      <c r="G57" s="21">
        <v>1</v>
      </c>
      <c r="H57" s="20">
        <v>1</v>
      </c>
      <c r="I57" s="36">
        <v>1</v>
      </c>
      <c r="J57" s="37">
        <v>0</v>
      </c>
    </row>
    <row r="58" spans="4:10" x14ac:dyDescent="0.15">
      <c r="D58" s="30">
        <v>40962</v>
      </c>
      <c r="E58" s="21">
        <v>0.37704918032786883</v>
      </c>
      <c r="F58" s="20">
        <v>0.62295081967213117</v>
      </c>
      <c r="G58" s="21">
        <v>1</v>
      </c>
      <c r="H58" s="20">
        <v>1</v>
      </c>
      <c r="I58" s="36">
        <v>1</v>
      </c>
      <c r="J58" s="37">
        <v>0</v>
      </c>
    </row>
    <row r="59" spans="4:10" x14ac:dyDescent="0.15">
      <c r="D59" s="30">
        <v>40963</v>
      </c>
      <c r="E59" s="21">
        <v>0.39344262295081966</v>
      </c>
      <c r="F59" s="20">
        <v>0.60655737704918034</v>
      </c>
      <c r="G59" s="21">
        <v>1</v>
      </c>
      <c r="H59" s="20">
        <v>1</v>
      </c>
      <c r="I59" s="36">
        <v>1</v>
      </c>
      <c r="J59" s="37">
        <v>0</v>
      </c>
    </row>
    <row r="60" spans="4:10" x14ac:dyDescent="0.15">
      <c r="D60" s="30">
        <v>40964</v>
      </c>
      <c r="E60" s="21">
        <v>0.4098360655737705</v>
      </c>
      <c r="F60" s="20">
        <v>0.5901639344262295</v>
      </c>
      <c r="G60" s="21">
        <v>1</v>
      </c>
      <c r="H60" s="20">
        <v>1</v>
      </c>
      <c r="I60" s="36">
        <v>1</v>
      </c>
      <c r="J60" s="37">
        <v>0</v>
      </c>
    </row>
    <row r="61" spans="4:10" x14ac:dyDescent="0.15">
      <c r="D61" s="30">
        <v>40965</v>
      </c>
      <c r="E61" s="21">
        <v>0.42622950819672134</v>
      </c>
      <c r="F61" s="20">
        <v>0.57377049180327866</v>
      </c>
      <c r="G61" s="21">
        <v>1</v>
      </c>
      <c r="H61" s="20">
        <v>1</v>
      </c>
      <c r="I61" s="36">
        <v>1</v>
      </c>
      <c r="J61" s="37">
        <v>0</v>
      </c>
    </row>
    <row r="62" spans="4:10" x14ac:dyDescent="0.15">
      <c r="D62" s="30">
        <v>40966</v>
      </c>
      <c r="E62" s="21">
        <v>0.44262295081967218</v>
      </c>
      <c r="F62" s="20">
        <v>0.55737704918032782</v>
      </c>
      <c r="G62" s="21">
        <v>1</v>
      </c>
      <c r="H62" s="20">
        <v>1</v>
      </c>
      <c r="I62" s="36">
        <v>1</v>
      </c>
      <c r="J62" s="37">
        <v>0</v>
      </c>
    </row>
    <row r="63" spans="4:10" x14ac:dyDescent="0.15">
      <c r="D63" s="30">
        <v>40967</v>
      </c>
      <c r="E63" s="21">
        <v>0.45901639344262302</v>
      </c>
      <c r="F63" s="20">
        <v>0.54098360655737698</v>
      </c>
      <c r="G63" s="21">
        <v>1</v>
      </c>
      <c r="H63" s="20">
        <v>1</v>
      </c>
      <c r="I63" s="36">
        <v>1</v>
      </c>
      <c r="J63" s="37">
        <v>0</v>
      </c>
    </row>
    <row r="64" spans="4:10" x14ac:dyDescent="0.15">
      <c r="D64" s="30">
        <v>40969</v>
      </c>
      <c r="E64" s="21">
        <v>0.49180327868852458</v>
      </c>
      <c r="F64" s="20">
        <v>0.50819672131147542</v>
      </c>
      <c r="G64" s="21">
        <v>1</v>
      </c>
      <c r="H64" s="20">
        <v>1</v>
      </c>
      <c r="I64" s="36">
        <v>1</v>
      </c>
      <c r="J64" s="37">
        <v>0</v>
      </c>
    </row>
    <row r="65" spans="4:10" x14ac:dyDescent="0.15">
      <c r="D65" s="30">
        <v>40970</v>
      </c>
      <c r="E65" s="21">
        <v>0.50819672131147542</v>
      </c>
      <c r="F65" s="20">
        <v>0.49180327868852458</v>
      </c>
      <c r="G65" s="21">
        <v>1</v>
      </c>
      <c r="H65" s="20">
        <v>1</v>
      </c>
      <c r="I65" s="36">
        <v>1</v>
      </c>
      <c r="J65" s="37">
        <v>0</v>
      </c>
    </row>
    <row r="66" spans="4:10" x14ac:dyDescent="0.15">
      <c r="D66" s="30">
        <v>40971</v>
      </c>
      <c r="E66" s="21">
        <v>0.52459016393442626</v>
      </c>
      <c r="F66" s="20">
        <v>0.47540983606557374</v>
      </c>
      <c r="G66" s="21">
        <v>1</v>
      </c>
      <c r="H66" s="20">
        <v>1</v>
      </c>
      <c r="I66" s="36">
        <v>1</v>
      </c>
      <c r="J66" s="37">
        <v>0</v>
      </c>
    </row>
    <row r="67" spans="4:10" x14ac:dyDescent="0.15">
      <c r="D67" s="30">
        <v>40972</v>
      </c>
      <c r="E67" s="21">
        <v>0.54098360655737709</v>
      </c>
      <c r="F67" s="20">
        <v>0.45901639344262291</v>
      </c>
      <c r="G67" s="21">
        <v>1</v>
      </c>
      <c r="H67" s="20">
        <v>1</v>
      </c>
      <c r="I67" s="36">
        <v>1</v>
      </c>
      <c r="J67" s="37">
        <v>0</v>
      </c>
    </row>
    <row r="68" spans="4:10" x14ac:dyDescent="0.15">
      <c r="D68" s="30">
        <v>40973</v>
      </c>
      <c r="E68" s="21">
        <v>0.55737704918032782</v>
      </c>
      <c r="F68" s="20">
        <v>0.44262295081967218</v>
      </c>
      <c r="G68" s="21">
        <v>1</v>
      </c>
      <c r="H68" s="20">
        <v>1</v>
      </c>
      <c r="I68" s="36">
        <v>1</v>
      </c>
      <c r="J68" s="37">
        <v>0</v>
      </c>
    </row>
    <row r="69" spans="4:10" x14ac:dyDescent="0.15">
      <c r="D69" s="30">
        <v>40974</v>
      </c>
      <c r="E69" s="21">
        <v>0.57377049180327866</v>
      </c>
      <c r="F69" s="20">
        <v>0.42622950819672134</v>
      </c>
      <c r="G69" s="21">
        <v>1</v>
      </c>
      <c r="H69" s="20">
        <v>1</v>
      </c>
      <c r="I69" s="36">
        <v>1</v>
      </c>
      <c r="J69" s="37">
        <v>0</v>
      </c>
    </row>
    <row r="70" spans="4:10" x14ac:dyDescent="0.15">
      <c r="D70" s="30">
        <v>40975</v>
      </c>
      <c r="E70" s="21">
        <v>0.5901639344262295</v>
      </c>
      <c r="F70" s="20">
        <v>0.4098360655737705</v>
      </c>
      <c r="G70" s="21">
        <v>1</v>
      </c>
      <c r="H70" s="20">
        <v>1</v>
      </c>
      <c r="I70" s="36">
        <v>1</v>
      </c>
      <c r="J70" s="37">
        <v>0</v>
      </c>
    </row>
    <row r="71" spans="4:10" x14ac:dyDescent="0.15">
      <c r="D71" s="30">
        <v>40976</v>
      </c>
      <c r="E71" s="21">
        <v>0.60655737704918034</v>
      </c>
      <c r="F71" s="20">
        <v>0.39344262295081966</v>
      </c>
      <c r="G71" s="21">
        <v>1</v>
      </c>
      <c r="H71" s="20">
        <v>1</v>
      </c>
      <c r="I71" s="36">
        <v>1</v>
      </c>
      <c r="J71" s="37">
        <v>0</v>
      </c>
    </row>
    <row r="72" spans="4:10" x14ac:dyDescent="0.15">
      <c r="D72" s="30">
        <v>40977</v>
      </c>
      <c r="E72" s="21">
        <v>0.62295081967213117</v>
      </c>
      <c r="F72" s="20">
        <v>0.37704918032786883</v>
      </c>
      <c r="G72" s="21">
        <v>1</v>
      </c>
      <c r="H72" s="20">
        <v>1</v>
      </c>
      <c r="I72" s="36">
        <v>1</v>
      </c>
      <c r="J72" s="37">
        <v>0</v>
      </c>
    </row>
    <row r="73" spans="4:10" x14ac:dyDescent="0.15">
      <c r="D73" s="30">
        <v>40978</v>
      </c>
      <c r="E73" s="21">
        <v>0.63934426229508201</v>
      </c>
      <c r="F73" s="20">
        <v>0.36065573770491799</v>
      </c>
      <c r="G73" s="21">
        <v>1</v>
      </c>
      <c r="H73" s="20">
        <v>1</v>
      </c>
      <c r="I73" s="36">
        <v>1</v>
      </c>
      <c r="J73" s="37">
        <v>0</v>
      </c>
    </row>
    <row r="74" spans="4:10" x14ac:dyDescent="0.15">
      <c r="D74" s="30">
        <v>40979</v>
      </c>
      <c r="E74" s="21">
        <v>0.65573770491803274</v>
      </c>
      <c r="F74" s="20">
        <v>0.34426229508196726</v>
      </c>
      <c r="G74" s="21">
        <v>1</v>
      </c>
      <c r="H74" s="20">
        <v>1</v>
      </c>
      <c r="I74" s="36">
        <v>1</v>
      </c>
      <c r="J74" s="37">
        <v>0</v>
      </c>
    </row>
    <row r="75" spans="4:10" x14ac:dyDescent="0.15">
      <c r="D75" s="30">
        <v>40980</v>
      </c>
      <c r="E75" s="21">
        <v>0.67213114754098358</v>
      </c>
      <c r="F75" s="20">
        <v>0.32786885245901642</v>
      </c>
      <c r="G75" s="21">
        <v>1</v>
      </c>
      <c r="H75" s="20">
        <v>1</v>
      </c>
      <c r="I75" s="36">
        <v>1</v>
      </c>
      <c r="J75" s="37">
        <v>0</v>
      </c>
    </row>
    <row r="76" spans="4:10" x14ac:dyDescent="0.15">
      <c r="D76" s="30">
        <v>40981</v>
      </c>
      <c r="E76" s="21">
        <v>0.68852459016393441</v>
      </c>
      <c r="F76" s="20">
        <v>0.31147540983606559</v>
      </c>
      <c r="G76" s="21">
        <v>1</v>
      </c>
      <c r="H76" s="20">
        <v>1</v>
      </c>
      <c r="I76" s="36">
        <v>1</v>
      </c>
      <c r="J76" s="37">
        <v>0</v>
      </c>
    </row>
    <row r="77" spans="4:10" x14ac:dyDescent="0.15">
      <c r="D77" s="30">
        <v>40982</v>
      </c>
      <c r="E77" s="21">
        <v>0.70491803278688525</v>
      </c>
      <c r="F77" s="20">
        <v>0.29508196721311475</v>
      </c>
      <c r="G77" s="21">
        <v>1</v>
      </c>
      <c r="H77" s="20">
        <v>1</v>
      </c>
      <c r="I77" s="36">
        <v>1</v>
      </c>
      <c r="J77" s="37">
        <v>0</v>
      </c>
    </row>
    <row r="78" spans="4:10" x14ac:dyDescent="0.15">
      <c r="D78" s="30">
        <v>40983</v>
      </c>
      <c r="E78" s="21">
        <v>0.72131147540983609</v>
      </c>
      <c r="F78" s="20">
        <v>0.27868852459016391</v>
      </c>
      <c r="G78" s="21">
        <v>1</v>
      </c>
      <c r="H78" s="20">
        <v>1</v>
      </c>
      <c r="I78" s="36">
        <v>1</v>
      </c>
      <c r="J78" s="37">
        <v>0</v>
      </c>
    </row>
    <row r="79" spans="4:10" x14ac:dyDescent="0.15">
      <c r="D79" s="30">
        <v>40984</v>
      </c>
      <c r="E79" s="21">
        <v>0.73770491803278693</v>
      </c>
      <c r="F79" s="20">
        <v>0.26229508196721307</v>
      </c>
      <c r="G79" s="21">
        <v>1</v>
      </c>
      <c r="H79" s="20">
        <v>1</v>
      </c>
      <c r="I79" s="36">
        <v>1</v>
      </c>
      <c r="J79" s="37">
        <v>0</v>
      </c>
    </row>
    <row r="80" spans="4:10" x14ac:dyDescent="0.15">
      <c r="D80" s="30">
        <v>40985</v>
      </c>
      <c r="E80" s="21">
        <v>0.75409836065573765</v>
      </c>
      <c r="F80" s="20">
        <v>0.24590163934426235</v>
      </c>
      <c r="G80" s="21">
        <v>1</v>
      </c>
      <c r="H80" s="20">
        <v>1</v>
      </c>
      <c r="I80" s="36">
        <v>1</v>
      </c>
      <c r="J80" s="37">
        <v>0</v>
      </c>
    </row>
    <row r="81" spans="4:10" x14ac:dyDescent="0.15">
      <c r="D81" s="30">
        <v>40986</v>
      </c>
      <c r="E81" s="21">
        <v>0.77049180327868849</v>
      </c>
      <c r="F81" s="20">
        <v>0.22950819672131151</v>
      </c>
      <c r="G81" s="21">
        <v>1</v>
      </c>
      <c r="H81" s="20">
        <v>1</v>
      </c>
      <c r="I81" s="36">
        <v>1</v>
      </c>
      <c r="J81" s="37">
        <v>0</v>
      </c>
    </row>
    <row r="82" spans="4:10" x14ac:dyDescent="0.15">
      <c r="D82" s="30">
        <v>40987</v>
      </c>
      <c r="E82" s="21">
        <v>0.78688524590163933</v>
      </c>
      <c r="F82" s="20">
        <v>0.21311475409836067</v>
      </c>
      <c r="G82" s="21">
        <v>1</v>
      </c>
      <c r="H82" s="20">
        <v>1</v>
      </c>
      <c r="I82" s="36">
        <v>1</v>
      </c>
      <c r="J82" s="37">
        <v>0</v>
      </c>
    </row>
    <row r="83" spans="4:10" x14ac:dyDescent="0.15">
      <c r="D83" s="30">
        <v>40988</v>
      </c>
      <c r="E83" s="21">
        <v>0.80327868852459017</v>
      </c>
      <c r="F83" s="20">
        <v>0.19672131147540983</v>
      </c>
      <c r="G83" s="21">
        <v>1</v>
      </c>
      <c r="H83" s="20">
        <v>1</v>
      </c>
      <c r="I83" s="36">
        <v>1</v>
      </c>
      <c r="J83" s="37">
        <v>0</v>
      </c>
    </row>
    <row r="84" spans="4:10" x14ac:dyDescent="0.15">
      <c r="D84" s="30">
        <v>40989</v>
      </c>
      <c r="E84" s="21">
        <v>0.81967213114754101</v>
      </c>
      <c r="F84" s="20">
        <v>0.18032786885245899</v>
      </c>
      <c r="G84" s="21">
        <v>1</v>
      </c>
      <c r="H84" s="20">
        <v>1</v>
      </c>
      <c r="I84" s="36">
        <v>1</v>
      </c>
      <c r="J84" s="37">
        <v>0</v>
      </c>
    </row>
    <row r="85" spans="4:10" x14ac:dyDescent="0.15">
      <c r="D85" s="30">
        <v>40990</v>
      </c>
      <c r="E85" s="21">
        <v>0.83606557377049184</v>
      </c>
      <c r="F85" s="20">
        <v>0.16393442622950816</v>
      </c>
      <c r="G85" s="21">
        <v>1</v>
      </c>
      <c r="H85" s="20">
        <v>1</v>
      </c>
      <c r="I85" s="36">
        <v>1</v>
      </c>
      <c r="J85" s="37">
        <v>0</v>
      </c>
    </row>
    <row r="86" spans="4:10" x14ac:dyDescent="0.15">
      <c r="D86" s="30">
        <v>40991</v>
      </c>
      <c r="E86" s="21">
        <v>0.85245901639344257</v>
      </c>
      <c r="F86" s="20">
        <v>0.14754098360655743</v>
      </c>
      <c r="G86" s="21">
        <v>1</v>
      </c>
      <c r="H86" s="20">
        <v>1</v>
      </c>
      <c r="I86" s="36">
        <v>1</v>
      </c>
      <c r="J86" s="37">
        <v>0</v>
      </c>
    </row>
    <row r="87" spans="4:10" x14ac:dyDescent="0.15">
      <c r="D87" s="30">
        <v>40992</v>
      </c>
      <c r="E87" s="21">
        <v>0.86885245901639341</v>
      </c>
      <c r="F87" s="20">
        <v>0.13114754098360659</v>
      </c>
      <c r="G87" s="21">
        <v>1</v>
      </c>
      <c r="H87" s="20">
        <v>1</v>
      </c>
      <c r="I87" s="36">
        <v>1</v>
      </c>
      <c r="J87" s="37">
        <v>0</v>
      </c>
    </row>
    <row r="88" spans="4:10" x14ac:dyDescent="0.15">
      <c r="D88" s="30">
        <v>40993</v>
      </c>
      <c r="E88" s="21">
        <v>0.88524590163934425</v>
      </c>
      <c r="F88" s="20">
        <v>0.11475409836065575</v>
      </c>
      <c r="G88" s="21">
        <v>1</v>
      </c>
      <c r="H88" s="20">
        <v>1</v>
      </c>
      <c r="I88" s="36">
        <v>1</v>
      </c>
      <c r="J88" s="37">
        <v>0</v>
      </c>
    </row>
    <row r="89" spans="4:10" x14ac:dyDescent="0.15">
      <c r="D89" s="30">
        <v>40994</v>
      </c>
      <c r="E89" s="21">
        <v>0.90163934426229508</v>
      </c>
      <c r="F89" s="20">
        <v>9.8360655737704916E-2</v>
      </c>
      <c r="G89" s="21">
        <v>1</v>
      </c>
      <c r="H89" s="20">
        <v>1</v>
      </c>
      <c r="I89" s="36">
        <v>1</v>
      </c>
      <c r="J89" s="37">
        <v>0</v>
      </c>
    </row>
    <row r="90" spans="4:10" x14ac:dyDescent="0.15">
      <c r="D90" s="30">
        <v>40995</v>
      </c>
      <c r="E90" s="21">
        <v>0.91803278688524592</v>
      </c>
      <c r="F90" s="20">
        <v>8.1967213114754078E-2</v>
      </c>
      <c r="G90" s="21">
        <v>1</v>
      </c>
      <c r="H90" s="20">
        <v>1</v>
      </c>
      <c r="I90" s="36">
        <v>1</v>
      </c>
      <c r="J90" s="37">
        <v>0</v>
      </c>
    </row>
    <row r="91" spans="4:10" x14ac:dyDescent="0.15">
      <c r="D91" s="30">
        <v>40996</v>
      </c>
      <c r="E91" s="21">
        <v>0.93442622950819676</v>
      </c>
      <c r="F91" s="20">
        <v>6.557377049180324E-2</v>
      </c>
      <c r="G91" s="21">
        <v>1</v>
      </c>
      <c r="H91" s="20">
        <v>1</v>
      </c>
      <c r="I91" s="36">
        <v>1</v>
      </c>
      <c r="J91" s="37">
        <v>0</v>
      </c>
    </row>
    <row r="92" spans="4:10" x14ac:dyDescent="0.15">
      <c r="D92" s="30">
        <v>40997</v>
      </c>
      <c r="E92" s="21">
        <v>0.95081967213114749</v>
      </c>
      <c r="F92" s="20">
        <v>4.9180327868852514E-2</v>
      </c>
      <c r="G92" s="21">
        <v>1</v>
      </c>
      <c r="H92" s="20">
        <v>1</v>
      </c>
      <c r="I92" s="36">
        <v>1</v>
      </c>
      <c r="J92" s="37">
        <v>0</v>
      </c>
    </row>
    <row r="93" spans="4:10" x14ac:dyDescent="0.15">
      <c r="D93" s="30">
        <v>40998</v>
      </c>
      <c r="E93" s="21">
        <v>0.96721311475409832</v>
      </c>
      <c r="F93" s="20">
        <v>3.2786885245901676E-2</v>
      </c>
      <c r="G93" s="21">
        <v>1</v>
      </c>
      <c r="H93" s="20">
        <v>1</v>
      </c>
      <c r="I93" s="36">
        <v>1</v>
      </c>
      <c r="J93" s="37">
        <v>0</v>
      </c>
    </row>
    <row r="94" spans="4:10" x14ac:dyDescent="0.15">
      <c r="D94" s="30">
        <v>40999</v>
      </c>
      <c r="E94" s="21">
        <v>0.98360655737704916</v>
      </c>
      <c r="F94" s="20">
        <v>1.6393442622950838E-2</v>
      </c>
      <c r="G94" s="21">
        <v>1</v>
      </c>
      <c r="H94" s="20">
        <v>1</v>
      </c>
      <c r="I94" s="36">
        <v>1</v>
      </c>
      <c r="J94" s="37">
        <v>0</v>
      </c>
    </row>
    <row r="95" spans="4:10" x14ac:dyDescent="0.25">
      <c r="D95" s="30">
        <v>41000</v>
      </c>
      <c r="E95" s="19">
        <v>1</v>
      </c>
      <c r="F95" s="20">
        <v>0</v>
      </c>
      <c r="G95" s="19">
        <v>1</v>
      </c>
      <c r="H95" s="20">
        <v>1</v>
      </c>
      <c r="I95" s="36">
        <v>1</v>
      </c>
      <c r="J95" s="37">
        <v>0</v>
      </c>
    </row>
    <row r="96" spans="4:10" x14ac:dyDescent="0.25">
      <c r="D96" s="30">
        <v>41001</v>
      </c>
      <c r="E96" s="19">
        <v>1</v>
      </c>
      <c r="F96" s="20">
        <v>0</v>
      </c>
      <c r="G96" s="19">
        <v>1</v>
      </c>
      <c r="H96" s="20">
        <v>1</v>
      </c>
      <c r="I96" s="36">
        <v>1</v>
      </c>
      <c r="J96" s="37">
        <v>0</v>
      </c>
    </row>
    <row r="97" spans="4:10" x14ac:dyDescent="0.25">
      <c r="D97" s="30">
        <v>41002</v>
      </c>
      <c r="E97" s="19">
        <v>1</v>
      </c>
      <c r="F97" s="20">
        <v>0</v>
      </c>
      <c r="G97" s="19">
        <v>1</v>
      </c>
      <c r="H97" s="20">
        <v>1</v>
      </c>
      <c r="I97" s="36">
        <v>1</v>
      </c>
      <c r="J97" s="37">
        <v>0</v>
      </c>
    </row>
    <row r="98" spans="4:10" x14ac:dyDescent="0.25">
      <c r="D98" s="30">
        <v>41003</v>
      </c>
      <c r="E98" s="19">
        <v>1</v>
      </c>
      <c r="F98" s="20">
        <v>0</v>
      </c>
      <c r="G98" s="19">
        <v>1</v>
      </c>
      <c r="H98" s="20">
        <v>1</v>
      </c>
      <c r="I98" s="36">
        <v>1</v>
      </c>
      <c r="J98" s="37">
        <v>0</v>
      </c>
    </row>
    <row r="99" spans="4:10" x14ac:dyDescent="0.25">
      <c r="D99" s="30">
        <v>41004</v>
      </c>
      <c r="E99" s="19">
        <v>1</v>
      </c>
      <c r="F99" s="20">
        <v>0</v>
      </c>
      <c r="G99" s="19">
        <v>1</v>
      </c>
      <c r="H99" s="20">
        <v>1</v>
      </c>
      <c r="I99" s="36">
        <v>1</v>
      </c>
      <c r="J99" s="37">
        <v>0</v>
      </c>
    </row>
    <row r="100" spans="4:10" x14ac:dyDescent="0.25">
      <c r="D100" s="30">
        <v>41005</v>
      </c>
      <c r="E100" s="19">
        <v>1</v>
      </c>
      <c r="F100" s="20">
        <v>0</v>
      </c>
      <c r="G100" s="19">
        <v>1</v>
      </c>
      <c r="H100" s="20">
        <v>1</v>
      </c>
      <c r="I100" s="36">
        <v>1</v>
      </c>
      <c r="J100" s="37">
        <v>0</v>
      </c>
    </row>
    <row r="101" spans="4:10" x14ac:dyDescent="0.25">
      <c r="D101" s="30">
        <v>41006</v>
      </c>
      <c r="E101" s="19">
        <v>1</v>
      </c>
      <c r="F101" s="20">
        <v>0</v>
      </c>
      <c r="G101" s="19">
        <v>1</v>
      </c>
      <c r="H101" s="20">
        <v>1</v>
      </c>
      <c r="I101" s="36">
        <v>1</v>
      </c>
      <c r="J101" s="37">
        <v>0</v>
      </c>
    </row>
    <row r="102" spans="4:10" x14ac:dyDescent="0.25">
      <c r="D102" s="30">
        <v>41007</v>
      </c>
      <c r="E102" s="19">
        <v>1</v>
      </c>
      <c r="F102" s="20">
        <v>0</v>
      </c>
      <c r="G102" s="19">
        <v>1</v>
      </c>
      <c r="H102" s="20">
        <v>1</v>
      </c>
      <c r="I102" s="36">
        <v>1</v>
      </c>
      <c r="J102" s="37">
        <v>0</v>
      </c>
    </row>
    <row r="103" spans="4:10" x14ac:dyDescent="0.25">
      <c r="D103" s="30">
        <v>41008</v>
      </c>
      <c r="E103" s="19">
        <v>1</v>
      </c>
      <c r="F103" s="20">
        <v>0</v>
      </c>
      <c r="G103" s="19">
        <v>1</v>
      </c>
      <c r="H103" s="20">
        <v>1</v>
      </c>
      <c r="I103" s="36">
        <v>1</v>
      </c>
      <c r="J103" s="37">
        <v>0</v>
      </c>
    </row>
    <row r="104" spans="4:10" x14ac:dyDescent="0.25">
      <c r="D104" s="30">
        <v>41009</v>
      </c>
      <c r="E104" s="19">
        <v>1</v>
      </c>
      <c r="F104" s="20">
        <v>0</v>
      </c>
      <c r="G104" s="19">
        <v>1</v>
      </c>
      <c r="H104" s="20">
        <v>1</v>
      </c>
      <c r="I104" s="36">
        <v>1</v>
      </c>
      <c r="J104" s="37">
        <v>0</v>
      </c>
    </row>
    <row r="105" spans="4:10" x14ac:dyDescent="0.25">
      <c r="D105" s="30">
        <v>41010</v>
      </c>
      <c r="E105" s="19">
        <v>1</v>
      </c>
      <c r="F105" s="20">
        <v>0</v>
      </c>
      <c r="G105" s="19">
        <v>1</v>
      </c>
      <c r="H105" s="20">
        <v>1</v>
      </c>
      <c r="I105" s="36">
        <v>1</v>
      </c>
      <c r="J105" s="37">
        <v>0</v>
      </c>
    </row>
    <row r="106" spans="4:10" x14ac:dyDescent="0.25">
      <c r="D106" s="30">
        <v>41011</v>
      </c>
      <c r="E106" s="19">
        <v>1</v>
      </c>
      <c r="F106" s="20">
        <v>0</v>
      </c>
      <c r="G106" s="19">
        <v>1</v>
      </c>
      <c r="H106" s="20">
        <v>1</v>
      </c>
      <c r="I106" s="36">
        <v>1</v>
      </c>
      <c r="J106" s="37">
        <v>0</v>
      </c>
    </row>
    <row r="107" spans="4:10" x14ac:dyDescent="0.25">
      <c r="D107" s="30">
        <v>41012</v>
      </c>
      <c r="E107" s="19">
        <v>1</v>
      </c>
      <c r="F107" s="20">
        <v>0</v>
      </c>
      <c r="G107" s="19">
        <v>1</v>
      </c>
      <c r="H107" s="20">
        <v>1</v>
      </c>
      <c r="I107" s="36">
        <v>1</v>
      </c>
      <c r="J107" s="37">
        <v>0</v>
      </c>
    </row>
    <row r="108" spans="4:10" x14ac:dyDescent="0.25">
      <c r="D108" s="30">
        <v>41013</v>
      </c>
      <c r="E108" s="19">
        <v>1</v>
      </c>
      <c r="F108" s="20">
        <v>0</v>
      </c>
      <c r="G108" s="19">
        <v>1</v>
      </c>
      <c r="H108" s="20">
        <v>1</v>
      </c>
      <c r="I108" s="36">
        <v>1</v>
      </c>
      <c r="J108" s="37">
        <v>0</v>
      </c>
    </row>
    <row r="109" spans="4:10" x14ac:dyDescent="0.25">
      <c r="D109" s="30">
        <v>41014</v>
      </c>
      <c r="E109" s="19">
        <v>1</v>
      </c>
      <c r="F109" s="20">
        <v>0</v>
      </c>
      <c r="G109" s="19">
        <v>1</v>
      </c>
      <c r="H109" s="20">
        <v>1</v>
      </c>
      <c r="I109" s="36">
        <v>1</v>
      </c>
      <c r="J109" s="37">
        <v>0</v>
      </c>
    </row>
    <row r="110" spans="4:10" x14ac:dyDescent="0.25">
      <c r="D110" s="30">
        <v>41015</v>
      </c>
      <c r="E110" s="19">
        <v>1</v>
      </c>
      <c r="F110" s="20">
        <v>0</v>
      </c>
      <c r="G110" s="19">
        <v>1</v>
      </c>
      <c r="H110" s="20">
        <v>1</v>
      </c>
      <c r="I110" s="36">
        <v>1</v>
      </c>
      <c r="J110" s="37">
        <v>0</v>
      </c>
    </row>
    <row r="111" spans="4:10" x14ac:dyDescent="0.25">
      <c r="D111" s="30">
        <v>41016</v>
      </c>
      <c r="E111" s="19">
        <v>1</v>
      </c>
      <c r="F111" s="20">
        <v>0</v>
      </c>
      <c r="G111" s="19">
        <v>1</v>
      </c>
      <c r="H111" s="20">
        <v>1</v>
      </c>
      <c r="I111" s="36">
        <v>1</v>
      </c>
      <c r="J111" s="37">
        <v>0</v>
      </c>
    </row>
    <row r="112" spans="4:10" x14ac:dyDescent="0.25">
      <c r="D112" s="30">
        <v>41017</v>
      </c>
      <c r="E112" s="19">
        <v>1</v>
      </c>
      <c r="F112" s="20">
        <v>0</v>
      </c>
      <c r="G112" s="19">
        <v>1</v>
      </c>
      <c r="H112" s="20">
        <v>1</v>
      </c>
      <c r="I112" s="36">
        <v>1</v>
      </c>
      <c r="J112" s="37">
        <v>0</v>
      </c>
    </row>
    <row r="113" spans="4:10" x14ac:dyDescent="0.25">
      <c r="D113" s="30">
        <v>41018</v>
      </c>
      <c r="E113" s="19">
        <v>1</v>
      </c>
      <c r="F113" s="20">
        <v>0</v>
      </c>
      <c r="G113" s="19">
        <v>1</v>
      </c>
      <c r="H113" s="20">
        <v>1</v>
      </c>
      <c r="I113" s="36">
        <v>1</v>
      </c>
      <c r="J113" s="37">
        <v>0</v>
      </c>
    </row>
    <row r="114" spans="4:10" x14ac:dyDescent="0.25">
      <c r="D114" s="30">
        <v>41019</v>
      </c>
      <c r="E114" s="19">
        <v>1</v>
      </c>
      <c r="F114" s="20">
        <v>0</v>
      </c>
      <c r="G114" s="19">
        <v>1</v>
      </c>
      <c r="H114" s="20">
        <v>1</v>
      </c>
      <c r="I114" s="36">
        <v>1</v>
      </c>
      <c r="J114" s="37">
        <v>0</v>
      </c>
    </row>
    <row r="115" spans="4:10" x14ac:dyDescent="0.25">
      <c r="D115" s="30">
        <v>41020</v>
      </c>
      <c r="E115" s="19">
        <v>1</v>
      </c>
      <c r="F115" s="20">
        <v>0</v>
      </c>
      <c r="G115" s="19">
        <v>1</v>
      </c>
      <c r="H115" s="20">
        <v>1</v>
      </c>
      <c r="I115" s="36">
        <v>1</v>
      </c>
      <c r="J115" s="37">
        <v>0</v>
      </c>
    </row>
    <row r="116" spans="4:10" x14ac:dyDescent="0.25">
      <c r="D116" s="30">
        <v>41021</v>
      </c>
      <c r="E116" s="19">
        <v>1</v>
      </c>
      <c r="F116" s="20">
        <v>0</v>
      </c>
      <c r="G116" s="19">
        <v>1</v>
      </c>
      <c r="H116" s="20">
        <v>1</v>
      </c>
      <c r="I116" s="36">
        <v>1</v>
      </c>
      <c r="J116" s="37">
        <v>0</v>
      </c>
    </row>
    <row r="117" spans="4:10" x14ac:dyDescent="0.25">
      <c r="D117" s="30">
        <v>41022</v>
      </c>
      <c r="E117" s="19">
        <v>1</v>
      </c>
      <c r="F117" s="20">
        <v>0</v>
      </c>
      <c r="G117" s="19">
        <v>1</v>
      </c>
      <c r="H117" s="20">
        <v>1</v>
      </c>
      <c r="I117" s="36">
        <v>1</v>
      </c>
      <c r="J117" s="37">
        <v>0</v>
      </c>
    </row>
    <row r="118" spans="4:10" x14ac:dyDescent="0.25">
      <c r="D118" s="30">
        <v>41023</v>
      </c>
      <c r="E118" s="19">
        <v>1</v>
      </c>
      <c r="F118" s="20">
        <v>0</v>
      </c>
      <c r="G118" s="19">
        <v>1</v>
      </c>
      <c r="H118" s="20">
        <v>1</v>
      </c>
      <c r="I118" s="36">
        <v>1</v>
      </c>
      <c r="J118" s="37">
        <v>0</v>
      </c>
    </row>
    <row r="119" spans="4:10" x14ac:dyDescent="0.25">
      <c r="D119" s="30">
        <v>41024</v>
      </c>
      <c r="E119" s="19">
        <v>1</v>
      </c>
      <c r="F119" s="20">
        <v>0</v>
      </c>
      <c r="G119" s="19">
        <v>1</v>
      </c>
      <c r="H119" s="20">
        <v>1</v>
      </c>
      <c r="I119" s="36">
        <v>1</v>
      </c>
      <c r="J119" s="37">
        <v>0</v>
      </c>
    </row>
    <row r="120" spans="4:10" x14ac:dyDescent="0.25">
      <c r="D120" s="30">
        <v>41025</v>
      </c>
      <c r="E120" s="19">
        <v>1</v>
      </c>
      <c r="F120" s="20">
        <v>0</v>
      </c>
      <c r="G120" s="19">
        <v>1</v>
      </c>
      <c r="H120" s="20">
        <v>1</v>
      </c>
      <c r="I120" s="36">
        <v>1</v>
      </c>
      <c r="J120" s="37">
        <v>0</v>
      </c>
    </row>
    <row r="121" spans="4:10" x14ac:dyDescent="0.25">
      <c r="D121" s="30">
        <v>41026</v>
      </c>
      <c r="E121" s="19">
        <v>1</v>
      </c>
      <c r="F121" s="20">
        <v>0</v>
      </c>
      <c r="G121" s="19">
        <v>1</v>
      </c>
      <c r="H121" s="20">
        <v>1</v>
      </c>
      <c r="I121" s="36">
        <v>1</v>
      </c>
      <c r="J121" s="37">
        <v>0</v>
      </c>
    </row>
    <row r="122" spans="4:10" x14ac:dyDescent="0.25">
      <c r="D122" s="30">
        <v>41027</v>
      </c>
      <c r="E122" s="19">
        <v>1</v>
      </c>
      <c r="F122" s="20">
        <v>0</v>
      </c>
      <c r="G122" s="19">
        <v>1</v>
      </c>
      <c r="H122" s="20">
        <v>1</v>
      </c>
      <c r="I122" s="36">
        <v>1</v>
      </c>
      <c r="J122" s="37">
        <v>0</v>
      </c>
    </row>
    <row r="123" spans="4:10" x14ac:dyDescent="0.25">
      <c r="D123" s="30">
        <v>41028</v>
      </c>
      <c r="E123" s="19">
        <v>1</v>
      </c>
      <c r="F123" s="20">
        <v>0</v>
      </c>
      <c r="G123" s="19">
        <v>1</v>
      </c>
      <c r="H123" s="20">
        <v>1</v>
      </c>
      <c r="I123" s="36">
        <v>1</v>
      </c>
      <c r="J123" s="37">
        <v>0</v>
      </c>
    </row>
    <row r="124" spans="4:10" x14ac:dyDescent="0.25">
      <c r="D124" s="30">
        <v>41029</v>
      </c>
      <c r="E124" s="19">
        <v>1</v>
      </c>
      <c r="F124" s="20">
        <v>0</v>
      </c>
      <c r="G124" s="19">
        <v>1</v>
      </c>
      <c r="H124" s="20">
        <v>1</v>
      </c>
      <c r="I124" s="36">
        <v>1</v>
      </c>
      <c r="J124" s="37">
        <v>0</v>
      </c>
    </row>
    <row r="125" spans="4:10" x14ac:dyDescent="0.15">
      <c r="D125" s="30">
        <v>41030</v>
      </c>
      <c r="E125" s="21">
        <v>1</v>
      </c>
      <c r="F125" s="20">
        <v>1.6129032000000043E-2</v>
      </c>
      <c r="G125" s="21">
        <v>0.9838709677419355</v>
      </c>
      <c r="H125" s="20">
        <v>1</v>
      </c>
      <c r="I125" s="36">
        <v>1</v>
      </c>
      <c r="J125" s="37">
        <v>0</v>
      </c>
    </row>
    <row r="126" spans="4:10" x14ac:dyDescent="0.15">
      <c r="D126" s="30">
        <v>41031</v>
      </c>
      <c r="E126" s="21">
        <v>1</v>
      </c>
      <c r="F126" s="20">
        <v>3.2258064999999947E-2</v>
      </c>
      <c r="G126" s="21">
        <v>0.967741935483871</v>
      </c>
      <c r="H126" s="20">
        <v>1</v>
      </c>
      <c r="I126" s="36">
        <v>1</v>
      </c>
      <c r="J126" s="37">
        <v>0</v>
      </c>
    </row>
    <row r="127" spans="4:10" x14ac:dyDescent="0.15">
      <c r="D127" s="30">
        <v>41032</v>
      </c>
      <c r="E127" s="21">
        <v>1</v>
      </c>
      <c r="F127" s="20">
        <v>4.838709699999999E-2</v>
      </c>
      <c r="G127" s="21">
        <v>0.95161290322580649</v>
      </c>
      <c r="H127" s="20">
        <v>1</v>
      </c>
      <c r="I127" s="36">
        <v>1</v>
      </c>
      <c r="J127" s="37">
        <v>0</v>
      </c>
    </row>
    <row r="128" spans="4:10" x14ac:dyDescent="0.15">
      <c r="D128" s="30">
        <v>41033</v>
      </c>
      <c r="E128" s="21">
        <v>1</v>
      </c>
      <c r="F128" s="20">
        <v>6.4516129000000033E-2</v>
      </c>
      <c r="G128" s="21">
        <v>0.93548387096774199</v>
      </c>
      <c r="H128" s="20">
        <v>1</v>
      </c>
      <c r="I128" s="36">
        <v>1</v>
      </c>
      <c r="J128" s="37">
        <v>0</v>
      </c>
    </row>
    <row r="129" spans="4:10" x14ac:dyDescent="0.15">
      <c r="D129" s="30">
        <v>41034</v>
      </c>
      <c r="E129" s="21">
        <v>1</v>
      </c>
      <c r="F129" s="20">
        <v>8.0645160999999965E-2</v>
      </c>
      <c r="G129" s="21">
        <v>0.91935483870967738</v>
      </c>
      <c r="H129" s="20">
        <v>1</v>
      </c>
      <c r="I129" s="36">
        <v>1</v>
      </c>
      <c r="J129" s="37">
        <v>0</v>
      </c>
    </row>
    <row r="130" spans="4:10" x14ac:dyDescent="0.15">
      <c r="D130" s="30">
        <v>41035</v>
      </c>
      <c r="E130" s="21">
        <v>1</v>
      </c>
      <c r="F130" s="20">
        <v>9.677419399999998E-2</v>
      </c>
      <c r="G130" s="21">
        <v>0.90322580645161288</v>
      </c>
      <c r="H130" s="20">
        <v>1</v>
      </c>
      <c r="I130" s="36">
        <v>1</v>
      </c>
      <c r="J130" s="37">
        <v>0</v>
      </c>
    </row>
    <row r="131" spans="4:10" x14ac:dyDescent="0.15">
      <c r="D131" s="30">
        <v>41036</v>
      </c>
      <c r="E131" s="21">
        <v>1</v>
      </c>
      <c r="F131" s="20">
        <v>0.11290322600000002</v>
      </c>
      <c r="G131" s="21">
        <v>0.88709677419354838</v>
      </c>
      <c r="H131" s="20">
        <v>1</v>
      </c>
      <c r="I131" s="36">
        <v>1</v>
      </c>
      <c r="J131" s="37">
        <v>0</v>
      </c>
    </row>
    <row r="132" spans="4:10" x14ac:dyDescent="0.15">
      <c r="D132" s="30">
        <v>41037</v>
      </c>
      <c r="E132" s="21">
        <v>1</v>
      </c>
      <c r="F132" s="20">
        <v>0.12903225799999996</v>
      </c>
      <c r="G132" s="21">
        <v>0.87096774193548387</v>
      </c>
      <c r="H132" s="20">
        <v>1</v>
      </c>
      <c r="I132" s="36">
        <v>1</v>
      </c>
      <c r="J132" s="37">
        <v>0</v>
      </c>
    </row>
    <row r="133" spans="4:10" x14ac:dyDescent="0.15">
      <c r="D133" s="30">
        <v>41038</v>
      </c>
      <c r="E133" s="21">
        <v>1</v>
      </c>
      <c r="F133" s="20">
        <v>0.14516129</v>
      </c>
      <c r="G133" s="21">
        <v>0.85483870967741937</v>
      </c>
      <c r="H133" s="20">
        <v>1</v>
      </c>
      <c r="I133" s="36">
        <v>1</v>
      </c>
      <c r="J133" s="37">
        <v>0</v>
      </c>
    </row>
    <row r="134" spans="4:10" x14ac:dyDescent="0.15">
      <c r="D134" s="30">
        <v>41039</v>
      </c>
      <c r="E134" s="21">
        <v>1</v>
      </c>
      <c r="F134" s="20">
        <v>0.16129032300000001</v>
      </c>
      <c r="G134" s="21">
        <v>0.83870967741935487</v>
      </c>
      <c r="H134" s="20">
        <v>1</v>
      </c>
      <c r="I134" s="36">
        <v>1</v>
      </c>
      <c r="J134" s="37">
        <v>0</v>
      </c>
    </row>
    <row r="135" spans="4:10" x14ac:dyDescent="0.15">
      <c r="D135" s="30">
        <v>41040</v>
      </c>
      <c r="E135" s="21">
        <v>1</v>
      </c>
      <c r="F135" s="20">
        <v>0.17741935499999995</v>
      </c>
      <c r="G135" s="21">
        <v>0.82258064516129026</v>
      </c>
      <c r="H135" s="20">
        <v>1</v>
      </c>
      <c r="I135" s="36">
        <v>1</v>
      </c>
      <c r="J135" s="37">
        <v>0</v>
      </c>
    </row>
    <row r="136" spans="4:10" x14ac:dyDescent="0.15">
      <c r="D136" s="30">
        <v>41041</v>
      </c>
      <c r="E136" s="21">
        <v>1</v>
      </c>
      <c r="F136" s="20">
        <v>0.19354838699999999</v>
      </c>
      <c r="G136" s="21">
        <v>0.80645161290322576</v>
      </c>
      <c r="H136" s="20">
        <v>1</v>
      </c>
      <c r="I136" s="36">
        <v>1</v>
      </c>
      <c r="J136" s="37">
        <v>0</v>
      </c>
    </row>
    <row r="137" spans="4:10" x14ac:dyDescent="0.15">
      <c r="D137" s="30">
        <v>41042</v>
      </c>
      <c r="E137" s="21">
        <v>1</v>
      </c>
      <c r="F137" s="20">
        <v>0.20967741900000003</v>
      </c>
      <c r="G137" s="21">
        <v>0.79032258064516125</v>
      </c>
      <c r="H137" s="20">
        <v>1</v>
      </c>
      <c r="I137" s="36">
        <v>1</v>
      </c>
      <c r="J137" s="37">
        <v>0</v>
      </c>
    </row>
    <row r="138" spans="4:10" x14ac:dyDescent="0.15">
      <c r="D138" s="30">
        <v>41043</v>
      </c>
      <c r="E138" s="21">
        <v>1</v>
      </c>
      <c r="F138" s="20">
        <v>0.22580645200000005</v>
      </c>
      <c r="G138" s="21">
        <v>0.77419354838709675</v>
      </c>
      <c r="H138" s="20">
        <v>1</v>
      </c>
      <c r="I138" s="36">
        <v>1</v>
      </c>
      <c r="J138" s="37">
        <v>0</v>
      </c>
    </row>
    <row r="139" spans="4:10" x14ac:dyDescent="0.15">
      <c r="D139" s="30">
        <v>41044</v>
      </c>
      <c r="E139" s="21">
        <v>1</v>
      </c>
      <c r="F139" s="20">
        <v>0.24193548399999998</v>
      </c>
      <c r="G139" s="21">
        <v>0.75806451612903225</v>
      </c>
      <c r="H139" s="20">
        <v>1</v>
      </c>
      <c r="I139" s="36">
        <v>1</v>
      </c>
      <c r="J139" s="37">
        <v>0</v>
      </c>
    </row>
    <row r="140" spans="4:10" x14ac:dyDescent="0.15">
      <c r="D140" s="30">
        <v>41045</v>
      </c>
      <c r="E140" s="21">
        <v>1</v>
      </c>
      <c r="F140" s="20">
        <v>0.25806451600000002</v>
      </c>
      <c r="G140" s="21">
        <v>0.74193548387096775</v>
      </c>
      <c r="H140" s="20">
        <v>1</v>
      </c>
      <c r="I140" s="36">
        <v>1</v>
      </c>
      <c r="J140" s="37">
        <v>0</v>
      </c>
    </row>
    <row r="141" spans="4:10" x14ac:dyDescent="0.15">
      <c r="D141" s="30">
        <v>41046</v>
      </c>
      <c r="E141" s="21">
        <v>1</v>
      </c>
      <c r="F141" s="20">
        <v>0.27419354799999995</v>
      </c>
      <c r="G141" s="21">
        <v>0.72580645161290325</v>
      </c>
      <c r="H141" s="20">
        <v>1</v>
      </c>
      <c r="I141" s="36">
        <v>1</v>
      </c>
      <c r="J141" s="37">
        <v>0</v>
      </c>
    </row>
    <row r="142" spans="4:10" x14ac:dyDescent="0.15">
      <c r="D142" s="30">
        <v>41047</v>
      </c>
      <c r="E142" s="21">
        <v>1</v>
      </c>
      <c r="F142" s="20">
        <v>0.29032258099999997</v>
      </c>
      <c r="G142" s="21">
        <v>0.70967741935483875</v>
      </c>
      <c r="H142" s="20">
        <v>1</v>
      </c>
      <c r="I142" s="36">
        <v>1</v>
      </c>
      <c r="J142" s="37">
        <v>0</v>
      </c>
    </row>
    <row r="143" spans="4:10" x14ac:dyDescent="0.15">
      <c r="D143" s="30">
        <v>41048</v>
      </c>
      <c r="E143" s="21">
        <v>1</v>
      </c>
      <c r="F143" s="20">
        <v>0.30645161300000001</v>
      </c>
      <c r="G143" s="21">
        <v>0.69354838709677424</v>
      </c>
      <c r="H143" s="20">
        <v>1</v>
      </c>
      <c r="I143" s="36">
        <v>1</v>
      </c>
      <c r="J143" s="37">
        <v>0</v>
      </c>
    </row>
    <row r="144" spans="4:10" x14ac:dyDescent="0.15">
      <c r="D144" s="30">
        <v>41049</v>
      </c>
      <c r="E144" s="21">
        <v>1</v>
      </c>
      <c r="F144" s="20">
        <v>0.32258064500000005</v>
      </c>
      <c r="G144" s="21">
        <v>0.67741935483870974</v>
      </c>
      <c r="H144" s="20">
        <v>1</v>
      </c>
      <c r="I144" s="36">
        <v>1</v>
      </c>
      <c r="J144" s="37">
        <v>0</v>
      </c>
    </row>
    <row r="145" spans="4:10" x14ac:dyDescent="0.15">
      <c r="D145" s="30">
        <v>41050</v>
      </c>
      <c r="E145" s="21">
        <v>1</v>
      </c>
      <c r="F145" s="20">
        <v>0.33870967699999999</v>
      </c>
      <c r="G145" s="21">
        <v>0.66129032258064524</v>
      </c>
      <c r="H145" s="20">
        <v>1</v>
      </c>
      <c r="I145" s="36">
        <v>1</v>
      </c>
      <c r="J145" s="37">
        <v>0</v>
      </c>
    </row>
    <row r="146" spans="4:10" x14ac:dyDescent="0.15">
      <c r="D146" s="30">
        <v>41051</v>
      </c>
      <c r="E146" s="21">
        <v>1</v>
      </c>
      <c r="F146" s="20">
        <v>0.35483871</v>
      </c>
      <c r="G146" s="21">
        <v>0.64516129032258063</v>
      </c>
      <c r="H146" s="20">
        <v>1</v>
      </c>
      <c r="I146" s="36">
        <v>1</v>
      </c>
      <c r="J146" s="37">
        <v>0</v>
      </c>
    </row>
    <row r="147" spans="4:10" x14ac:dyDescent="0.15">
      <c r="D147" s="30">
        <v>41052</v>
      </c>
      <c r="E147" s="21">
        <v>1</v>
      </c>
      <c r="F147" s="20">
        <v>0.37096774200000004</v>
      </c>
      <c r="G147" s="21">
        <v>0.62903225806451613</v>
      </c>
      <c r="H147" s="20">
        <v>1</v>
      </c>
      <c r="I147" s="36">
        <v>1</v>
      </c>
      <c r="J147" s="37">
        <v>0</v>
      </c>
    </row>
    <row r="148" spans="4:10" x14ac:dyDescent="0.15">
      <c r="D148" s="30">
        <v>41053</v>
      </c>
      <c r="E148" s="21">
        <v>1</v>
      </c>
      <c r="F148" s="20">
        <v>0.38709677399999998</v>
      </c>
      <c r="G148" s="21">
        <v>0.61290322580645162</v>
      </c>
      <c r="H148" s="20">
        <v>1</v>
      </c>
      <c r="I148" s="36">
        <v>1</v>
      </c>
      <c r="J148" s="37">
        <v>0</v>
      </c>
    </row>
    <row r="149" spans="4:10" x14ac:dyDescent="0.15">
      <c r="D149" s="30">
        <v>41054</v>
      </c>
      <c r="E149" s="21">
        <v>1</v>
      </c>
      <c r="F149" s="20">
        <v>0.40322580600000002</v>
      </c>
      <c r="G149" s="21">
        <v>0.59677419354838712</v>
      </c>
      <c r="H149" s="20">
        <v>1</v>
      </c>
      <c r="I149" s="36">
        <v>1</v>
      </c>
      <c r="J149" s="37">
        <v>0</v>
      </c>
    </row>
    <row r="150" spans="4:10" x14ac:dyDescent="0.15">
      <c r="D150" s="30">
        <v>41055</v>
      </c>
      <c r="E150" s="21">
        <v>1</v>
      </c>
      <c r="F150" s="20">
        <v>0.41935483900000003</v>
      </c>
      <c r="G150" s="21">
        <v>0.58064516129032251</v>
      </c>
      <c r="H150" s="20">
        <v>1</v>
      </c>
      <c r="I150" s="36">
        <v>1</v>
      </c>
      <c r="J150" s="37">
        <v>0</v>
      </c>
    </row>
    <row r="151" spans="4:10" x14ac:dyDescent="0.15">
      <c r="D151" s="30">
        <v>41056</v>
      </c>
      <c r="E151" s="21">
        <v>1</v>
      </c>
      <c r="F151" s="20">
        <v>0.43548387099999997</v>
      </c>
      <c r="G151" s="21">
        <v>0.56451612903225801</v>
      </c>
      <c r="H151" s="20">
        <v>1</v>
      </c>
      <c r="I151" s="36">
        <v>1</v>
      </c>
      <c r="J151" s="37">
        <v>0</v>
      </c>
    </row>
    <row r="152" spans="4:10" x14ac:dyDescent="0.15">
      <c r="D152" s="30">
        <v>41057</v>
      </c>
      <c r="E152" s="21">
        <v>1</v>
      </c>
      <c r="F152" s="20">
        <v>0.45161290300000001</v>
      </c>
      <c r="G152" s="21">
        <v>0.54838709677419351</v>
      </c>
      <c r="H152" s="20">
        <v>1</v>
      </c>
      <c r="I152" s="36">
        <v>1</v>
      </c>
      <c r="J152" s="37">
        <v>0</v>
      </c>
    </row>
    <row r="153" spans="4:10" x14ac:dyDescent="0.15">
      <c r="D153" s="30">
        <v>41058</v>
      </c>
      <c r="E153" s="21">
        <v>1</v>
      </c>
      <c r="F153" s="20">
        <v>0.46774193500000005</v>
      </c>
      <c r="G153" s="21">
        <v>0.532258064516129</v>
      </c>
      <c r="H153" s="20">
        <v>1</v>
      </c>
      <c r="I153" s="36">
        <v>1</v>
      </c>
      <c r="J153" s="37">
        <v>0</v>
      </c>
    </row>
    <row r="154" spans="4:10" x14ac:dyDescent="0.15">
      <c r="D154" s="30">
        <v>41059</v>
      </c>
      <c r="E154" s="21">
        <v>1</v>
      </c>
      <c r="F154" s="20">
        <v>0.48387096799999996</v>
      </c>
      <c r="G154" s="21">
        <v>0.5161290322580645</v>
      </c>
      <c r="H154" s="20">
        <v>1</v>
      </c>
      <c r="I154" s="36">
        <v>1</v>
      </c>
      <c r="J154" s="37">
        <v>0</v>
      </c>
    </row>
    <row r="155" spans="4:10" x14ac:dyDescent="0.15">
      <c r="D155" s="30">
        <v>41060</v>
      </c>
      <c r="E155" s="21">
        <v>1</v>
      </c>
      <c r="F155" s="20">
        <v>0.5</v>
      </c>
      <c r="G155" s="21">
        <v>0.5</v>
      </c>
      <c r="H155" s="20">
        <v>1</v>
      </c>
      <c r="I155" s="36">
        <v>1</v>
      </c>
      <c r="J155" s="37">
        <v>0</v>
      </c>
    </row>
    <row r="156" spans="4:10" x14ac:dyDescent="0.15">
      <c r="D156" s="30">
        <v>41061</v>
      </c>
      <c r="E156" s="21">
        <v>1</v>
      </c>
      <c r="F156" s="20">
        <v>0.51612903200000004</v>
      </c>
      <c r="G156" s="21">
        <v>0.4838709677419355</v>
      </c>
      <c r="H156" s="20">
        <v>1</v>
      </c>
      <c r="I156" s="36">
        <v>1</v>
      </c>
      <c r="J156" s="37">
        <v>0</v>
      </c>
    </row>
    <row r="157" spans="4:10" x14ac:dyDescent="0.15">
      <c r="D157" s="30">
        <v>41062</v>
      </c>
      <c r="E157" s="21">
        <v>1</v>
      </c>
      <c r="F157" s="20">
        <v>0.53225806499999995</v>
      </c>
      <c r="G157" s="21">
        <v>0.467741935483871</v>
      </c>
      <c r="H157" s="20">
        <v>1</v>
      </c>
      <c r="I157" s="36">
        <v>1</v>
      </c>
      <c r="J157" s="37">
        <v>0</v>
      </c>
    </row>
    <row r="158" spans="4:10" x14ac:dyDescent="0.15">
      <c r="D158" s="30">
        <v>41063</v>
      </c>
      <c r="E158" s="21">
        <v>1</v>
      </c>
      <c r="F158" s="20">
        <v>0.54838709699999999</v>
      </c>
      <c r="G158" s="21">
        <v>0.45161290322580649</v>
      </c>
      <c r="H158" s="20">
        <v>1</v>
      </c>
      <c r="I158" s="36">
        <v>1</v>
      </c>
      <c r="J158" s="37">
        <v>0</v>
      </c>
    </row>
    <row r="159" spans="4:10" x14ac:dyDescent="0.15">
      <c r="D159" s="30">
        <v>41064</v>
      </c>
      <c r="E159" s="21">
        <v>1</v>
      </c>
      <c r="F159" s="20">
        <v>0.56451612900000003</v>
      </c>
      <c r="G159" s="21">
        <v>0.43548387096774188</v>
      </c>
      <c r="H159" s="20">
        <v>1</v>
      </c>
      <c r="I159" s="36">
        <v>1</v>
      </c>
      <c r="J159" s="37">
        <v>0</v>
      </c>
    </row>
    <row r="160" spans="4:10" x14ac:dyDescent="0.15">
      <c r="D160" s="30">
        <v>41065</v>
      </c>
      <c r="E160" s="21">
        <v>1</v>
      </c>
      <c r="F160" s="20">
        <v>0.58064516100000008</v>
      </c>
      <c r="G160" s="21">
        <v>0.41935483870967738</v>
      </c>
      <c r="H160" s="20">
        <v>1</v>
      </c>
      <c r="I160" s="36">
        <v>1</v>
      </c>
      <c r="J160" s="37">
        <v>0</v>
      </c>
    </row>
    <row r="161" spans="4:10" x14ac:dyDescent="0.15">
      <c r="D161" s="30">
        <v>41066</v>
      </c>
      <c r="E161" s="21">
        <v>1</v>
      </c>
      <c r="F161" s="20">
        <v>0.59677419399999998</v>
      </c>
      <c r="G161" s="21">
        <v>0.40322580645161288</v>
      </c>
      <c r="H161" s="20">
        <v>1</v>
      </c>
      <c r="I161" s="36">
        <v>1</v>
      </c>
      <c r="J161" s="37">
        <v>0</v>
      </c>
    </row>
    <row r="162" spans="4:10" x14ac:dyDescent="0.15">
      <c r="D162" s="30">
        <v>41067</v>
      </c>
      <c r="E162" s="21">
        <v>1</v>
      </c>
      <c r="F162" s="20">
        <v>0.61290322600000002</v>
      </c>
      <c r="G162" s="21">
        <v>0.38709677419354838</v>
      </c>
      <c r="H162" s="20">
        <v>1</v>
      </c>
      <c r="I162" s="36">
        <v>1</v>
      </c>
      <c r="J162" s="37">
        <v>0</v>
      </c>
    </row>
    <row r="163" spans="4:10" x14ac:dyDescent="0.15">
      <c r="D163" s="30">
        <v>41068</v>
      </c>
      <c r="E163" s="21">
        <v>1</v>
      </c>
      <c r="F163" s="20">
        <v>0.62903225800000007</v>
      </c>
      <c r="G163" s="21">
        <v>0.37096774193548387</v>
      </c>
      <c r="H163" s="20">
        <v>1</v>
      </c>
      <c r="I163" s="36">
        <v>1</v>
      </c>
      <c r="J163" s="37">
        <v>0</v>
      </c>
    </row>
    <row r="164" spans="4:10" x14ac:dyDescent="0.15">
      <c r="D164" s="30">
        <v>41069</v>
      </c>
      <c r="E164" s="21">
        <v>1</v>
      </c>
      <c r="F164" s="20">
        <v>0.64516129</v>
      </c>
      <c r="G164" s="21">
        <v>0.35483870967741937</v>
      </c>
      <c r="H164" s="20">
        <v>1</v>
      </c>
      <c r="I164" s="36">
        <v>1</v>
      </c>
      <c r="J164" s="37">
        <v>0</v>
      </c>
    </row>
    <row r="165" spans="4:10" x14ac:dyDescent="0.15">
      <c r="D165" s="30">
        <v>41070</v>
      </c>
      <c r="E165" s="21">
        <v>1</v>
      </c>
      <c r="F165" s="20">
        <v>0.66129032300000001</v>
      </c>
      <c r="G165" s="21">
        <v>0.33870967741935487</v>
      </c>
      <c r="H165" s="20">
        <v>1</v>
      </c>
      <c r="I165" s="36">
        <v>1</v>
      </c>
      <c r="J165" s="37">
        <v>0</v>
      </c>
    </row>
    <row r="166" spans="4:10" x14ac:dyDescent="0.15">
      <c r="D166" s="30">
        <v>41071</v>
      </c>
      <c r="E166" s="21">
        <v>1</v>
      </c>
      <c r="F166" s="20">
        <v>0.67741935500000006</v>
      </c>
      <c r="G166" s="21">
        <v>0.32258064516129037</v>
      </c>
      <c r="H166" s="20">
        <v>1</v>
      </c>
      <c r="I166" s="36">
        <v>1</v>
      </c>
      <c r="J166" s="37">
        <v>0</v>
      </c>
    </row>
    <row r="167" spans="4:10" x14ac:dyDescent="0.15">
      <c r="D167" s="30">
        <v>41072</v>
      </c>
      <c r="E167" s="21">
        <v>1</v>
      </c>
      <c r="F167" s="20">
        <v>0.69354838699999999</v>
      </c>
      <c r="G167" s="21">
        <v>0.30645161290322576</v>
      </c>
      <c r="H167" s="20">
        <v>1</v>
      </c>
      <c r="I167" s="36">
        <v>1</v>
      </c>
      <c r="J167" s="37">
        <v>0</v>
      </c>
    </row>
    <row r="168" spans="4:10" x14ac:dyDescent="0.15">
      <c r="D168" s="30">
        <v>41073</v>
      </c>
      <c r="E168" s="21">
        <v>1</v>
      </c>
      <c r="F168" s="20">
        <v>0.70967741899999992</v>
      </c>
      <c r="G168" s="21">
        <v>0.29032258064516125</v>
      </c>
      <c r="H168" s="20">
        <v>1</v>
      </c>
      <c r="I168" s="36">
        <v>1</v>
      </c>
      <c r="J168" s="37">
        <v>0</v>
      </c>
    </row>
    <row r="169" spans="4:10" x14ac:dyDescent="0.15">
      <c r="D169" s="30">
        <v>41074</v>
      </c>
      <c r="E169" s="21">
        <v>1</v>
      </c>
      <c r="F169" s="20">
        <v>0.72580645200000005</v>
      </c>
      <c r="G169" s="21">
        <v>0.27419354838709675</v>
      </c>
      <c r="H169" s="20">
        <v>1</v>
      </c>
      <c r="I169" s="36">
        <v>1</v>
      </c>
      <c r="J169" s="37">
        <v>0</v>
      </c>
    </row>
    <row r="170" spans="4:10" x14ac:dyDescent="0.15">
      <c r="D170" s="30">
        <v>41075</v>
      </c>
      <c r="E170" s="21">
        <v>1</v>
      </c>
      <c r="F170" s="20">
        <v>0.74193548399999998</v>
      </c>
      <c r="G170" s="21">
        <v>0.25806451612903225</v>
      </c>
      <c r="H170" s="20">
        <v>1</v>
      </c>
      <c r="I170" s="36">
        <v>1</v>
      </c>
      <c r="J170" s="37">
        <v>0</v>
      </c>
    </row>
    <row r="171" spans="4:10" x14ac:dyDescent="0.15">
      <c r="D171" s="30">
        <v>41076</v>
      </c>
      <c r="E171" s="21">
        <v>1</v>
      </c>
      <c r="F171" s="20">
        <v>0.75806451600000002</v>
      </c>
      <c r="G171" s="21">
        <v>0.24193548387096775</v>
      </c>
      <c r="H171" s="20">
        <v>1</v>
      </c>
      <c r="I171" s="36">
        <v>1</v>
      </c>
      <c r="J171" s="37">
        <v>0</v>
      </c>
    </row>
    <row r="172" spans="4:10" x14ac:dyDescent="0.15">
      <c r="D172" s="30">
        <v>41077</v>
      </c>
      <c r="E172" s="21">
        <v>1</v>
      </c>
      <c r="F172" s="20">
        <v>0.77419354799999995</v>
      </c>
      <c r="G172" s="21">
        <v>0.22580645161290325</v>
      </c>
      <c r="H172" s="20">
        <v>1</v>
      </c>
      <c r="I172" s="36">
        <v>1</v>
      </c>
      <c r="J172" s="37">
        <v>0</v>
      </c>
    </row>
    <row r="173" spans="4:10" x14ac:dyDescent="0.15">
      <c r="D173" s="30">
        <v>41078</v>
      </c>
      <c r="E173" s="21">
        <v>1</v>
      </c>
      <c r="F173" s="20">
        <v>0.79032258099999997</v>
      </c>
      <c r="G173" s="21">
        <v>0.20967741935483875</v>
      </c>
      <c r="H173" s="20">
        <v>1</v>
      </c>
      <c r="I173" s="36">
        <v>1</v>
      </c>
      <c r="J173" s="37">
        <v>0</v>
      </c>
    </row>
    <row r="174" spans="4:10" x14ac:dyDescent="0.15">
      <c r="D174" s="30">
        <v>41079</v>
      </c>
      <c r="E174" s="21">
        <v>1</v>
      </c>
      <c r="F174" s="20">
        <v>0.80645161300000001</v>
      </c>
      <c r="G174" s="21">
        <v>0.19354838709677424</v>
      </c>
      <c r="H174" s="20">
        <v>1</v>
      </c>
      <c r="I174" s="36">
        <v>1</v>
      </c>
      <c r="J174" s="37">
        <v>0</v>
      </c>
    </row>
    <row r="175" spans="4:10" x14ac:dyDescent="0.15">
      <c r="D175" s="30">
        <v>41080</v>
      </c>
      <c r="E175" s="21">
        <v>1</v>
      </c>
      <c r="F175" s="20">
        <v>0.82258064499999994</v>
      </c>
      <c r="G175" s="21">
        <v>0.17741935483870963</v>
      </c>
      <c r="H175" s="20">
        <v>1</v>
      </c>
      <c r="I175" s="36">
        <v>1</v>
      </c>
      <c r="J175" s="37">
        <v>0</v>
      </c>
    </row>
    <row r="176" spans="4:10" x14ac:dyDescent="0.15">
      <c r="D176" s="30">
        <v>41081</v>
      </c>
      <c r="E176" s="21">
        <v>1</v>
      </c>
      <c r="F176" s="20">
        <v>0.83870967699999999</v>
      </c>
      <c r="G176" s="21">
        <v>0.16129032258064513</v>
      </c>
      <c r="H176" s="20">
        <v>1</v>
      </c>
      <c r="I176" s="36">
        <v>1</v>
      </c>
      <c r="J176" s="37">
        <v>0</v>
      </c>
    </row>
    <row r="177" spans="4:10" x14ac:dyDescent="0.15">
      <c r="D177" s="30">
        <v>41082</v>
      </c>
      <c r="E177" s="21">
        <v>1</v>
      </c>
      <c r="F177" s="20">
        <v>0.85483871</v>
      </c>
      <c r="G177" s="21">
        <v>0.14516129032258063</v>
      </c>
      <c r="H177" s="20">
        <v>1</v>
      </c>
      <c r="I177" s="36">
        <v>1</v>
      </c>
      <c r="J177" s="37">
        <v>0</v>
      </c>
    </row>
    <row r="178" spans="4:10" x14ac:dyDescent="0.15">
      <c r="D178" s="30">
        <v>41083</v>
      </c>
      <c r="E178" s="21">
        <v>1</v>
      </c>
      <c r="F178" s="20">
        <v>0.87096774199999993</v>
      </c>
      <c r="G178" s="21">
        <v>0.12903225806451613</v>
      </c>
      <c r="H178" s="20">
        <v>1</v>
      </c>
      <c r="I178" s="36">
        <v>1</v>
      </c>
      <c r="J178" s="37">
        <v>0</v>
      </c>
    </row>
    <row r="179" spans="4:10" x14ac:dyDescent="0.15">
      <c r="D179" s="30">
        <v>41084</v>
      </c>
      <c r="E179" s="21">
        <v>1</v>
      </c>
      <c r="F179" s="20">
        <v>0.88709677399999998</v>
      </c>
      <c r="G179" s="21">
        <v>0.11290322580645162</v>
      </c>
      <c r="H179" s="20">
        <v>1</v>
      </c>
      <c r="I179" s="36">
        <v>1</v>
      </c>
      <c r="J179" s="37">
        <v>0</v>
      </c>
    </row>
    <row r="180" spans="4:10" x14ac:dyDescent="0.15">
      <c r="D180" s="30">
        <v>41085</v>
      </c>
      <c r="E180" s="21">
        <v>1</v>
      </c>
      <c r="F180" s="20">
        <v>0.90322580600000002</v>
      </c>
      <c r="G180" s="21">
        <v>9.6774193548387122E-2</v>
      </c>
      <c r="H180" s="20">
        <v>1</v>
      </c>
      <c r="I180" s="36">
        <v>1</v>
      </c>
      <c r="J180" s="37">
        <v>0</v>
      </c>
    </row>
    <row r="181" spans="4:10" x14ac:dyDescent="0.15">
      <c r="D181" s="30">
        <v>41086</v>
      </c>
      <c r="E181" s="21">
        <v>1</v>
      </c>
      <c r="F181" s="20">
        <v>0.91935483900000003</v>
      </c>
      <c r="G181" s="21">
        <v>8.064516129032262E-2</v>
      </c>
      <c r="H181" s="20">
        <v>1</v>
      </c>
      <c r="I181" s="36">
        <v>1</v>
      </c>
      <c r="J181" s="37">
        <v>0</v>
      </c>
    </row>
    <row r="182" spans="4:10" x14ac:dyDescent="0.15">
      <c r="D182" s="30">
        <v>41087</v>
      </c>
      <c r="E182" s="21">
        <v>1</v>
      </c>
      <c r="F182" s="20">
        <v>0.93548387099999997</v>
      </c>
      <c r="G182" s="21">
        <v>6.4516129032258118E-2</v>
      </c>
      <c r="H182" s="20">
        <v>1</v>
      </c>
      <c r="I182" s="36">
        <v>1</v>
      </c>
      <c r="J182" s="37">
        <v>0</v>
      </c>
    </row>
    <row r="183" spans="4:10" x14ac:dyDescent="0.15">
      <c r="D183" s="30">
        <v>41088</v>
      </c>
      <c r="E183" s="21">
        <v>1</v>
      </c>
      <c r="F183" s="20">
        <v>0.95161290300000001</v>
      </c>
      <c r="G183" s="21">
        <v>4.8387096774193505E-2</v>
      </c>
      <c r="H183" s="20">
        <v>1</v>
      </c>
      <c r="I183" s="36">
        <v>1</v>
      </c>
      <c r="J183" s="37">
        <v>0</v>
      </c>
    </row>
    <row r="184" spans="4:10" x14ac:dyDescent="0.15">
      <c r="D184" s="30">
        <v>41089</v>
      </c>
      <c r="E184" s="21">
        <v>1</v>
      </c>
      <c r="F184" s="20">
        <v>0.96774193500000005</v>
      </c>
      <c r="G184" s="21">
        <v>3.2258064516129004E-2</v>
      </c>
      <c r="H184" s="20">
        <v>1</v>
      </c>
      <c r="I184" s="36">
        <v>1</v>
      </c>
      <c r="J184" s="37">
        <v>0</v>
      </c>
    </row>
    <row r="185" spans="4:10" x14ac:dyDescent="0.15">
      <c r="D185" s="30">
        <v>41090</v>
      </c>
      <c r="E185" s="21">
        <v>1</v>
      </c>
      <c r="F185" s="20">
        <v>0.98387096799999996</v>
      </c>
      <c r="G185" s="21">
        <v>1.6129032258064502E-2</v>
      </c>
      <c r="H185" s="20">
        <v>1</v>
      </c>
      <c r="I185" s="36">
        <v>1</v>
      </c>
      <c r="J185" s="37">
        <v>0</v>
      </c>
    </row>
    <row r="186" spans="4:10" x14ac:dyDescent="0.25">
      <c r="D186" s="30">
        <v>41091</v>
      </c>
      <c r="E186" s="19">
        <v>1</v>
      </c>
      <c r="F186" s="20">
        <v>1</v>
      </c>
      <c r="G186" s="19">
        <v>0</v>
      </c>
      <c r="H186" s="19">
        <v>1</v>
      </c>
      <c r="I186" s="36">
        <v>1</v>
      </c>
      <c r="J186" s="37">
        <v>0</v>
      </c>
    </row>
    <row r="187" spans="4:10" x14ac:dyDescent="0.25">
      <c r="D187" s="30">
        <v>41092</v>
      </c>
      <c r="E187" s="19">
        <v>1</v>
      </c>
      <c r="F187" s="20">
        <v>1</v>
      </c>
      <c r="G187" s="19">
        <v>0</v>
      </c>
      <c r="H187" s="19">
        <v>1</v>
      </c>
      <c r="I187" s="36">
        <v>1</v>
      </c>
      <c r="J187" s="37">
        <v>0</v>
      </c>
    </row>
    <row r="188" spans="4:10" x14ac:dyDescent="0.25">
      <c r="D188" s="30">
        <v>41093</v>
      </c>
      <c r="E188" s="19">
        <v>1</v>
      </c>
      <c r="F188" s="20">
        <v>1</v>
      </c>
      <c r="G188" s="19">
        <v>0</v>
      </c>
      <c r="H188" s="19">
        <v>1</v>
      </c>
      <c r="I188" s="36">
        <v>1</v>
      </c>
      <c r="J188" s="37">
        <v>0</v>
      </c>
    </row>
    <row r="189" spans="4:10" x14ac:dyDescent="0.25">
      <c r="D189" s="30">
        <v>41094</v>
      </c>
      <c r="E189" s="19">
        <v>1</v>
      </c>
      <c r="F189" s="20">
        <v>1</v>
      </c>
      <c r="G189" s="19">
        <v>0</v>
      </c>
      <c r="H189" s="19">
        <v>1</v>
      </c>
      <c r="I189" s="36">
        <v>1</v>
      </c>
      <c r="J189" s="37">
        <v>0</v>
      </c>
    </row>
    <row r="190" spans="4:10" x14ac:dyDescent="0.25">
      <c r="D190" s="30">
        <v>41095</v>
      </c>
      <c r="E190" s="19">
        <v>1</v>
      </c>
      <c r="F190" s="20">
        <v>1</v>
      </c>
      <c r="G190" s="19">
        <v>0</v>
      </c>
      <c r="H190" s="19">
        <v>1</v>
      </c>
      <c r="I190" s="36">
        <v>1</v>
      </c>
      <c r="J190" s="37">
        <v>0</v>
      </c>
    </row>
    <row r="191" spans="4:10" x14ac:dyDescent="0.25">
      <c r="D191" s="30">
        <v>41096</v>
      </c>
      <c r="E191" s="19">
        <v>1</v>
      </c>
      <c r="F191" s="20">
        <v>1</v>
      </c>
      <c r="G191" s="19">
        <v>0</v>
      </c>
      <c r="H191" s="19">
        <v>1</v>
      </c>
      <c r="I191" s="36">
        <v>1</v>
      </c>
      <c r="J191" s="37">
        <v>0</v>
      </c>
    </row>
    <row r="192" spans="4:10" x14ac:dyDescent="0.25">
      <c r="D192" s="30">
        <v>41097</v>
      </c>
      <c r="E192" s="19">
        <v>1</v>
      </c>
      <c r="F192" s="20">
        <v>1</v>
      </c>
      <c r="G192" s="19">
        <v>0</v>
      </c>
      <c r="H192" s="19">
        <v>1</v>
      </c>
      <c r="I192" s="36">
        <v>1</v>
      </c>
      <c r="J192" s="37">
        <v>0</v>
      </c>
    </row>
    <row r="193" spans="4:10" x14ac:dyDescent="0.25">
      <c r="D193" s="30">
        <v>41098</v>
      </c>
      <c r="E193" s="19">
        <v>1</v>
      </c>
      <c r="F193" s="20">
        <v>1</v>
      </c>
      <c r="G193" s="19">
        <v>0</v>
      </c>
      <c r="H193" s="19">
        <v>1</v>
      </c>
      <c r="I193" s="36">
        <v>1</v>
      </c>
      <c r="J193" s="37">
        <v>0</v>
      </c>
    </row>
    <row r="194" spans="4:10" x14ac:dyDescent="0.25">
      <c r="D194" s="30">
        <v>41099</v>
      </c>
      <c r="E194" s="19">
        <v>1</v>
      </c>
      <c r="F194" s="20">
        <v>1</v>
      </c>
      <c r="G194" s="19">
        <v>0</v>
      </c>
      <c r="H194" s="19">
        <v>1</v>
      </c>
      <c r="I194" s="36">
        <v>1</v>
      </c>
      <c r="J194" s="37">
        <v>0</v>
      </c>
    </row>
    <row r="195" spans="4:10" x14ac:dyDescent="0.25">
      <c r="D195" s="30">
        <v>41100</v>
      </c>
      <c r="E195" s="19">
        <v>1</v>
      </c>
      <c r="F195" s="20">
        <v>1</v>
      </c>
      <c r="G195" s="19">
        <v>0</v>
      </c>
      <c r="H195" s="19">
        <v>1</v>
      </c>
      <c r="I195" s="36">
        <v>1</v>
      </c>
      <c r="J195" s="37">
        <v>0</v>
      </c>
    </row>
    <row r="196" spans="4:10" x14ac:dyDescent="0.25">
      <c r="D196" s="30">
        <v>41101</v>
      </c>
      <c r="E196" s="19">
        <v>1</v>
      </c>
      <c r="F196" s="20">
        <v>1</v>
      </c>
      <c r="G196" s="19">
        <v>0</v>
      </c>
      <c r="H196" s="19">
        <v>1</v>
      </c>
      <c r="I196" s="36">
        <v>1</v>
      </c>
      <c r="J196" s="37">
        <v>0</v>
      </c>
    </row>
    <row r="197" spans="4:10" x14ac:dyDescent="0.25">
      <c r="D197" s="30">
        <v>41102</v>
      </c>
      <c r="E197" s="19">
        <v>1</v>
      </c>
      <c r="F197" s="20">
        <v>1</v>
      </c>
      <c r="G197" s="19">
        <v>0</v>
      </c>
      <c r="H197" s="19">
        <v>1</v>
      </c>
      <c r="I197" s="36">
        <v>1</v>
      </c>
      <c r="J197" s="37">
        <v>0</v>
      </c>
    </row>
    <row r="198" spans="4:10" x14ac:dyDescent="0.25">
      <c r="D198" s="30">
        <v>41103</v>
      </c>
      <c r="E198" s="19">
        <v>1</v>
      </c>
      <c r="F198" s="20">
        <v>1</v>
      </c>
      <c r="G198" s="19">
        <v>0</v>
      </c>
      <c r="H198" s="19">
        <v>1</v>
      </c>
      <c r="I198" s="36">
        <v>1</v>
      </c>
      <c r="J198" s="37">
        <v>0</v>
      </c>
    </row>
    <row r="199" spans="4:10" x14ac:dyDescent="0.25">
      <c r="D199" s="30">
        <v>41104</v>
      </c>
      <c r="E199" s="19">
        <v>1</v>
      </c>
      <c r="F199" s="20">
        <v>1</v>
      </c>
      <c r="G199" s="19">
        <v>0</v>
      </c>
      <c r="H199" s="19">
        <v>1</v>
      </c>
      <c r="I199" s="36">
        <v>1</v>
      </c>
      <c r="J199" s="37">
        <v>0</v>
      </c>
    </row>
    <row r="200" spans="4:10" x14ac:dyDescent="0.25">
      <c r="D200" s="30">
        <v>41105</v>
      </c>
      <c r="E200" s="19">
        <v>1</v>
      </c>
      <c r="F200" s="20">
        <v>1</v>
      </c>
      <c r="G200" s="19">
        <v>0</v>
      </c>
      <c r="H200" s="19">
        <v>1</v>
      </c>
      <c r="I200" s="36">
        <v>1</v>
      </c>
      <c r="J200" s="37">
        <v>0</v>
      </c>
    </row>
    <row r="201" spans="4:10" x14ac:dyDescent="0.25">
      <c r="D201" s="30">
        <v>41106</v>
      </c>
      <c r="E201" s="19">
        <v>1</v>
      </c>
      <c r="F201" s="20">
        <v>1</v>
      </c>
      <c r="G201" s="19">
        <v>0</v>
      </c>
      <c r="H201" s="19">
        <v>1</v>
      </c>
      <c r="I201" s="36">
        <v>1</v>
      </c>
      <c r="J201" s="37">
        <v>0</v>
      </c>
    </row>
    <row r="202" spans="4:10" x14ac:dyDescent="0.25">
      <c r="D202" s="30">
        <v>41107</v>
      </c>
      <c r="E202" s="19">
        <v>1</v>
      </c>
      <c r="F202" s="20">
        <v>1</v>
      </c>
      <c r="G202" s="19">
        <v>0</v>
      </c>
      <c r="H202" s="19">
        <v>1</v>
      </c>
      <c r="I202" s="36">
        <v>1</v>
      </c>
      <c r="J202" s="37">
        <v>0</v>
      </c>
    </row>
    <row r="203" spans="4:10" x14ac:dyDescent="0.25">
      <c r="D203" s="30">
        <v>41108</v>
      </c>
      <c r="E203" s="19">
        <v>1</v>
      </c>
      <c r="F203" s="20">
        <v>1</v>
      </c>
      <c r="G203" s="19">
        <v>0</v>
      </c>
      <c r="H203" s="19">
        <v>1</v>
      </c>
      <c r="I203" s="36">
        <v>1</v>
      </c>
      <c r="J203" s="37">
        <v>0</v>
      </c>
    </row>
    <row r="204" spans="4:10" x14ac:dyDescent="0.25">
      <c r="D204" s="30">
        <v>41109</v>
      </c>
      <c r="E204" s="19">
        <v>1</v>
      </c>
      <c r="F204" s="20">
        <v>1</v>
      </c>
      <c r="G204" s="19">
        <v>0</v>
      </c>
      <c r="H204" s="19">
        <v>1</v>
      </c>
      <c r="I204" s="36">
        <v>1</v>
      </c>
      <c r="J204" s="37">
        <v>0</v>
      </c>
    </row>
    <row r="205" spans="4:10" x14ac:dyDescent="0.25">
      <c r="D205" s="30">
        <v>41110</v>
      </c>
      <c r="E205" s="19">
        <v>1</v>
      </c>
      <c r="F205" s="20">
        <v>1</v>
      </c>
      <c r="G205" s="19">
        <v>0</v>
      </c>
      <c r="H205" s="19">
        <v>1</v>
      </c>
      <c r="I205" s="36">
        <v>1</v>
      </c>
      <c r="J205" s="37">
        <v>0</v>
      </c>
    </row>
    <row r="206" spans="4:10" x14ac:dyDescent="0.25">
      <c r="D206" s="30">
        <v>41111</v>
      </c>
      <c r="E206" s="19">
        <v>1</v>
      </c>
      <c r="F206" s="20">
        <v>1</v>
      </c>
      <c r="G206" s="19">
        <v>0</v>
      </c>
      <c r="H206" s="19">
        <v>1</v>
      </c>
      <c r="I206" s="36">
        <v>1</v>
      </c>
      <c r="J206" s="37">
        <v>0</v>
      </c>
    </row>
    <row r="207" spans="4:10" x14ac:dyDescent="0.25">
      <c r="D207" s="30">
        <v>41112</v>
      </c>
      <c r="E207" s="19">
        <v>1</v>
      </c>
      <c r="F207" s="20">
        <v>1</v>
      </c>
      <c r="G207" s="19">
        <v>0</v>
      </c>
      <c r="H207" s="19">
        <v>1</v>
      </c>
      <c r="I207" s="36">
        <v>1</v>
      </c>
      <c r="J207" s="37">
        <v>0</v>
      </c>
    </row>
    <row r="208" spans="4:10" x14ac:dyDescent="0.25">
      <c r="D208" s="30">
        <v>41113</v>
      </c>
      <c r="E208" s="19">
        <v>1</v>
      </c>
      <c r="F208" s="20">
        <v>1</v>
      </c>
      <c r="G208" s="19">
        <v>0</v>
      </c>
      <c r="H208" s="19">
        <v>1</v>
      </c>
      <c r="I208" s="36">
        <v>1</v>
      </c>
      <c r="J208" s="37">
        <v>0</v>
      </c>
    </row>
    <row r="209" spans="4:10" x14ac:dyDescent="0.25">
      <c r="D209" s="30">
        <v>41114</v>
      </c>
      <c r="E209" s="19">
        <v>1</v>
      </c>
      <c r="F209" s="20">
        <v>1</v>
      </c>
      <c r="G209" s="19">
        <v>0</v>
      </c>
      <c r="H209" s="19">
        <v>1</v>
      </c>
      <c r="I209" s="36">
        <v>1</v>
      </c>
      <c r="J209" s="37">
        <v>0</v>
      </c>
    </row>
    <row r="210" spans="4:10" x14ac:dyDescent="0.25">
      <c r="D210" s="30">
        <v>41115</v>
      </c>
      <c r="E210" s="19">
        <v>1</v>
      </c>
      <c r="F210" s="20">
        <v>1</v>
      </c>
      <c r="G210" s="19">
        <v>0</v>
      </c>
      <c r="H210" s="19">
        <v>1</v>
      </c>
      <c r="I210" s="36">
        <v>1</v>
      </c>
      <c r="J210" s="37">
        <v>0</v>
      </c>
    </row>
    <row r="211" spans="4:10" x14ac:dyDescent="0.25">
      <c r="D211" s="30">
        <v>41116</v>
      </c>
      <c r="E211" s="19">
        <v>1</v>
      </c>
      <c r="F211" s="20">
        <v>1</v>
      </c>
      <c r="G211" s="19">
        <v>0</v>
      </c>
      <c r="H211" s="19">
        <v>1</v>
      </c>
      <c r="I211" s="36">
        <v>1</v>
      </c>
      <c r="J211" s="37">
        <v>0</v>
      </c>
    </row>
    <row r="212" spans="4:10" x14ac:dyDescent="0.25">
      <c r="D212" s="30">
        <v>41117</v>
      </c>
      <c r="E212" s="19">
        <v>1</v>
      </c>
      <c r="F212" s="20">
        <v>1</v>
      </c>
      <c r="G212" s="19">
        <v>0</v>
      </c>
      <c r="H212" s="19">
        <v>1</v>
      </c>
      <c r="I212" s="36">
        <v>1</v>
      </c>
      <c r="J212" s="37">
        <v>0</v>
      </c>
    </row>
    <row r="213" spans="4:10" x14ac:dyDescent="0.25">
      <c r="D213" s="30">
        <v>41118</v>
      </c>
      <c r="E213" s="19">
        <v>1</v>
      </c>
      <c r="F213" s="20">
        <v>1</v>
      </c>
      <c r="G213" s="19">
        <v>0</v>
      </c>
      <c r="H213" s="19">
        <v>1</v>
      </c>
      <c r="I213" s="36">
        <v>1</v>
      </c>
      <c r="J213" s="37">
        <v>0</v>
      </c>
    </row>
    <row r="214" spans="4:10" x14ac:dyDescent="0.25">
      <c r="D214" s="30">
        <v>41119</v>
      </c>
      <c r="E214" s="19">
        <v>1</v>
      </c>
      <c r="F214" s="20">
        <v>1</v>
      </c>
      <c r="G214" s="19">
        <v>0</v>
      </c>
      <c r="H214" s="19">
        <v>1</v>
      </c>
      <c r="I214" s="36">
        <v>1</v>
      </c>
      <c r="J214" s="37">
        <v>0</v>
      </c>
    </row>
    <row r="215" spans="4:10" x14ac:dyDescent="0.25">
      <c r="D215" s="30">
        <v>41120</v>
      </c>
      <c r="E215" s="19">
        <v>1</v>
      </c>
      <c r="F215" s="20">
        <v>1</v>
      </c>
      <c r="G215" s="19">
        <v>0</v>
      </c>
      <c r="H215" s="19">
        <v>1</v>
      </c>
      <c r="I215" s="36">
        <v>1</v>
      </c>
      <c r="J215" s="37">
        <v>0</v>
      </c>
    </row>
    <row r="216" spans="4:10" x14ac:dyDescent="0.25">
      <c r="D216" s="30">
        <v>41121</v>
      </c>
      <c r="E216" s="19">
        <v>1</v>
      </c>
      <c r="F216" s="20">
        <v>1</v>
      </c>
      <c r="G216" s="19">
        <v>0</v>
      </c>
      <c r="H216" s="19">
        <v>1</v>
      </c>
      <c r="I216" s="36">
        <v>1</v>
      </c>
      <c r="J216" s="37">
        <v>0</v>
      </c>
    </row>
    <row r="217" spans="4:10" x14ac:dyDescent="0.15">
      <c r="D217" s="30">
        <v>41122</v>
      </c>
      <c r="E217" s="21">
        <v>1</v>
      </c>
      <c r="F217" s="20">
        <v>1</v>
      </c>
      <c r="G217" s="21">
        <v>1.6129032258064502E-2</v>
      </c>
      <c r="H217" s="21">
        <v>0.9838709677419355</v>
      </c>
      <c r="I217" s="36">
        <v>1</v>
      </c>
      <c r="J217" s="37">
        <v>0</v>
      </c>
    </row>
    <row r="218" spans="4:10" x14ac:dyDescent="0.15">
      <c r="D218" s="30">
        <v>41123</v>
      </c>
      <c r="E218" s="21">
        <v>1</v>
      </c>
      <c r="F218" s="20">
        <v>1</v>
      </c>
      <c r="G218" s="21">
        <v>3.2258064516129004E-2</v>
      </c>
      <c r="H218" s="21">
        <v>0.967741935483871</v>
      </c>
      <c r="I218" s="36">
        <v>1</v>
      </c>
      <c r="J218" s="37">
        <v>0</v>
      </c>
    </row>
    <row r="219" spans="4:10" x14ac:dyDescent="0.15">
      <c r="D219" s="30">
        <v>41124</v>
      </c>
      <c r="E219" s="21">
        <v>1</v>
      </c>
      <c r="F219" s="20">
        <v>1</v>
      </c>
      <c r="G219" s="21">
        <v>4.8387096774193505E-2</v>
      </c>
      <c r="H219" s="21">
        <v>0.95161290322580649</v>
      </c>
      <c r="I219" s="36">
        <v>1</v>
      </c>
      <c r="J219" s="37">
        <v>0</v>
      </c>
    </row>
    <row r="220" spans="4:10" x14ac:dyDescent="0.15">
      <c r="D220" s="30">
        <v>41125</v>
      </c>
      <c r="E220" s="21">
        <v>1</v>
      </c>
      <c r="F220" s="20">
        <v>1</v>
      </c>
      <c r="G220" s="21">
        <v>6.4516129032258118E-2</v>
      </c>
      <c r="H220" s="21">
        <v>0.93548387096774199</v>
      </c>
      <c r="I220" s="36">
        <v>1</v>
      </c>
      <c r="J220" s="37">
        <v>0</v>
      </c>
    </row>
    <row r="221" spans="4:10" x14ac:dyDescent="0.15">
      <c r="D221" s="30">
        <v>41126</v>
      </c>
      <c r="E221" s="21">
        <v>1</v>
      </c>
      <c r="F221" s="20">
        <v>1</v>
      </c>
      <c r="G221" s="21">
        <v>8.064516129032262E-2</v>
      </c>
      <c r="H221" s="21">
        <v>0.91935483870967738</v>
      </c>
      <c r="I221" s="36">
        <v>1</v>
      </c>
      <c r="J221" s="37">
        <v>0</v>
      </c>
    </row>
    <row r="222" spans="4:10" x14ac:dyDescent="0.15">
      <c r="D222" s="30">
        <v>41127</v>
      </c>
      <c r="E222" s="21">
        <v>1</v>
      </c>
      <c r="F222" s="20">
        <v>1</v>
      </c>
      <c r="G222" s="21">
        <v>9.6774193548387122E-2</v>
      </c>
      <c r="H222" s="21">
        <v>0.90322580645161288</v>
      </c>
      <c r="I222" s="36">
        <v>1</v>
      </c>
      <c r="J222" s="37">
        <v>0</v>
      </c>
    </row>
    <row r="223" spans="4:10" x14ac:dyDescent="0.15">
      <c r="D223" s="30">
        <v>41128</v>
      </c>
      <c r="E223" s="21">
        <v>1</v>
      </c>
      <c r="F223" s="20">
        <v>1</v>
      </c>
      <c r="G223" s="21">
        <v>0.11290322580645162</v>
      </c>
      <c r="H223" s="21">
        <v>0.88709677419354838</v>
      </c>
      <c r="I223" s="36">
        <v>1</v>
      </c>
      <c r="J223" s="37">
        <v>0</v>
      </c>
    </row>
    <row r="224" spans="4:10" x14ac:dyDescent="0.15">
      <c r="D224" s="30">
        <v>41129</v>
      </c>
      <c r="E224" s="21">
        <v>1</v>
      </c>
      <c r="F224" s="20">
        <v>1</v>
      </c>
      <c r="G224" s="21">
        <v>0.12903225806451613</v>
      </c>
      <c r="H224" s="21">
        <v>0.87096774193548387</v>
      </c>
      <c r="I224" s="36">
        <v>1</v>
      </c>
      <c r="J224" s="37">
        <v>0</v>
      </c>
    </row>
    <row r="225" spans="4:10" x14ac:dyDescent="0.15">
      <c r="D225" s="30">
        <v>41130</v>
      </c>
      <c r="E225" s="21">
        <v>1</v>
      </c>
      <c r="F225" s="20">
        <v>1</v>
      </c>
      <c r="G225" s="21">
        <v>0.14516129032258063</v>
      </c>
      <c r="H225" s="21">
        <v>0.85483870967741937</v>
      </c>
      <c r="I225" s="36">
        <v>1</v>
      </c>
      <c r="J225" s="37">
        <v>0</v>
      </c>
    </row>
    <row r="226" spans="4:10" x14ac:dyDescent="0.15">
      <c r="D226" s="30">
        <v>41131</v>
      </c>
      <c r="E226" s="21">
        <v>1</v>
      </c>
      <c r="F226" s="20">
        <v>1</v>
      </c>
      <c r="G226" s="21">
        <v>0.16129032258064513</v>
      </c>
      <c r="H226" s="21">
        <v>0.83870967741935487</v>
      </c>
      <c r="I226" s="36">
        <v>1</v>
      </c>
      <c r="J226" s="37">
        <v>0</v>
      </c>
    </row>
    <row r="227" spans="4:10" x14ac:dyDescent="0.15">
      <c r="D227" s="30">
        <v>41132</v>
      </c>
      <c r="E227" s="21">
        <v>1</v>
      </c>
      <c r="F227" s="20">
        <v>1</v>
      </c>
      <c r="G227" s="21">
        <v>0.17741935483870963</v>
      </c>
      <c r="H227" s="21">
        <v>0.82258064516129026</v>
      </c>
      <c r="I227" s="36">
        <v>1</v>
      </c>
      <c r="J227" s="37">
        <v>0</v>
      </c>
    </row>
    <row r="228" spans="4:10" x14ac:dyDescent="0.15">
      <c r="D228" s="30">
        <v>41133</v>
      </c>
      <c r="E228" s="21">
        <v>1</v>
      </c>
      <c r="F228" s="20">
        <v>1</v>
      </c>
      <c r="G228" s="21">
        <v>0.19354838709677424</v>
      </c>
      <c r="H228" s="21">
        <v>0.80645161290322576</v>
      </c>
      <c r="I228" s="36">
        <v>1</v>
      </c>
      <c r="J228" s="37">
        <v>0</v>
      </c>
    </row>
    <row r="229" spans="4:10" x14ac:dyDescent="0.15">
      <c r="D229" s="30">
        <v>41134</v>
      </c>
      <c r="E229" s="21">
        <v>1</v>
      </c>
      <c r="F229" s="20">
        <v>1</v>
      </c>
      <c r="G229" s="21">
        <v>0.20967741935483875</v>
      </c>
      <c r="H229" s="21">
        <v>0.79032258064516125</v>
      </c>
      <c r="I229" s="36">
        <v>1</v>
      </c>
      <c r="J229" s="37">
        <v>0</v>
      </c>
    </row>
    <row r="230" spans="4:10" x14ac:dyDescent="0.15">
      <c r="D230" s="30">
        <v>41135</v>
      </c>
      <c r="E230" s="21">
        <v>1</v>
      </c>
      <c r="F230" s="20">
        <v>1</v>
      </c>
      <c r="G230" s="21">
        <v>0.22580645161290325</v>
      </c>
      <c r="H230" s="21">
        <v>0.77419354838709675</v>
      </c>
      <c r="I230" s="36">
        <v>1</v>
      </c>
      <c r="J230" s="37">
        <v>0</v>
      </c>
    </row>
    <row r="231" spans="4:10" x14ac:dyDescent="0.15">
      <c r="D231" s="30">
        <v>41136</v>
      </c>
      <c r="E231" s="21">
        <v>1</v>
      </c>
      <c r="F231" s="20">
        <v>1</v>
      </c>
      <c r="G231" s="21">
        <v>0.24193548387096775</v>
      </c>
      <c r="H231" s="21">
        <v>0.75806451612903225</v>
      </c>
      <c r="I231" s="36">
        <v>1</v>
      </c>
      <c r="J231" s="37">
        <v>0</v>
      </c>
    </row>
    <row r="232" spans="4:10" x14ac:dyDescent="0.15">
      <c r="D232" s="30">
        <v>41137</v>
      </c>
      <c r="E232" s="21">
        <v>1</v>
      </c>
      <c r="F232" s="20">
        <v>1</v>
      </c>
      <c r="G232" s="21">
        <v>0.25806451612903225</v>
      </c>
      <c r="H232" s="21">
        <v>0.74193548387096775</v>
      </c>
      <c r="I232" s="36">
        <v>1</v>
      </c>
      <c r="J232" s="37">
        <v>0</v>
      </c>
    </row>
    <row r="233" spans="4:10" x14ac:dyDescent="0.15">
      <c r="D233" s="30">
        <v>41138</v>
      </c>
      <c r="E233" s="21">
        <v>1</v>
      </c>
      <c r="F233" s="20">
        <v>1</v>
      </c>
      <c r="G233" s="21">
        <v>0.27419354838709675</v>
      </c>
      <c r="H233" s="21">
        <v>0.72580645161290325</v>
      </c>
      <c r="I233" s="36">
        <v>1</v>
      </c>
      <c r="J233" s="37">
        <v>0</v>
      </c>
    </row>
    <row r="234" spans="4:10" x14ac:dyDescent="0.15">
      <c r="D234" s="30">
        <v>41139</v>
      </c>
      <c r="E234" s="21">
        <v>1</v>
      </c>
      <c r="F234" s="20">
        <v>1</v>
      </c>
      <c r="G234" s="21">
        <v>0.29032258064516125</v>
      </c>
      <c r="H234" s="21">
        <v>0.70967741935483875</v>
      </c>
      <c r="I234" s="36">
        <v>1</v>
      </c>
      <c r="J234" s="37">
        <v>0</v>
      </c>
    </row>
    <row r="235" spans="4:10" x14ac:dyDescent="0.15">
      <c r="D235" s="30">
        <v>41140</v>
      </c>
      <c r="E235" s="21">
        <v>1</v>
      </c>
      <c r="F235" s="20">
        <v>1</v>
      </c>
      <c r="G235" s="21">
        <v>0.30645161290322576</v>
      </c>
      <c r="H235" s="21">
        <v>0.69354838709677424</v>
      </c>
      <c r="I235" s="36">
        <v>1</v>
      </c>
      <c r="J235" s="37">
        <v>0</v>
      </c>
    </row>
    <row r="236" spans="4:10" x14ac:dyDescent="0.15">
      <c r="D236" s="30">
        <v>41141</v>
      </c>
      <c r="E236" s="21">
        <v>1</v>
      </c>
      <c r="F236" s="20">
        <v>1</v>
      </c>
      <c r="G236" s="21">
        <v>0.32258064516129037</v>
      </c>
      <c r="H236" s="21">
        <v>0.67741935483870974</v>
      </c>
      <c r="I236" s="36">
        <v>1</v>
      </c>
      <c r="J236" s="37">
        <v>0</v>
      </c>
    </row>
    <row r="237" spans="4:10" x14ac:dyDescent="0.15">
      <c r="D237" s="30">
        <v>41142</v>
      </c>
      <c r="E237" s="21">
        <v>1</v>
      </c>
      <c r="F237" s="20">
        <v>1</v>
      </c>
      <c r="G237" s="21">
        <v>0.33870967741935487</v>
      </c>
      <c r="H237" s="21">
        <v>0.66129032258064524</v>
      </c>
      <c r="I237" s="36">
        <v>1</v>
      </c>
      <c r="J237" s="37">
        <v>0</v>
      </c>
    </row>
    <row r="238" spans="4:10" x14ac:dyDescent="0.15">
      <c r="D238" s="30">
        <v>41143</v>
      </c>
      <c r="E238" s="21">
        <v>1</v>
      </c>
      <c r="F238" s="20">
        <v>1</v>
      </c>
      <c r="G238" s="21">
        <v>0.35483870967741937</v>
      </c>
      <c r="H238" s="21">
        <v>0.64516129032258063</v>
      </c>
      <c r="I238" s="36">
        <v>1</v>
      </c>
      <c r="J238" s="37">
        <v>0</v>
      </c>
    </row>
    <row r="239" spans="4:10" x14ac:dyDescent="0.15">
      <c r="D239" s="30">
        <v>41144</v>
      </c>
      <c r="E239" s="21">
        <v>1</v>
      </c>
      <c r="F239" s="20">
        <v>1</v>
      </c>
      <c r="G239" s="21">
        <v>0.37096774193548387</v>
      </c>
      <c r="H239" s="21">
        <v>0.62903225806451613</v>
      </c>
      <c r="I239" s="36">
        <v>1</v>
      </c>
      <c r="J239" s="37">
        <v>0</v>
      </c>
    </row>
    <row r="240" spans="4:10" x14ac:dyDescent="0.15">
      <c r="D240" s="30">
        <v>41145</v>
      </c>
      <c r="E240" s="21">
        <v>1</v>
      </c>
      <c r="F240" s="20">
        <v>1</v>
      </c>
      <c r="G240" s="21">
        <v>0.38709677419354838</v>
      </c>
      <c r="H240" s="21">
        <v>0.61290322580645162</v>
      </c>
      <c r="I240" s="36">
        <v>1</v>
      </c>
      <c r="J240" s="37">
        <v>0</v>
      </c>
    </row>
    <row r="241" spans="4:10" x14ac:dyDescent="0.15">
      <c r="D241" s="30">
        <v>41146</v>
      </c>
      <c r="E241" s="21">
        <v>1</v>
      </c>
      <c r="F241" s="20">
        <v>1</v>
      </c>
      <c r="G241" s="21">
        <v>0.40322580645161288</v>
      </c>
      <c r="H241" s="21">
        <v>0.59677419354838712</v>
      </c>
      <c r="I241" s="36">
        <v>1</v>
      </c>
      <c r="J241" s="37">
        <v>0</v>
      </c>
    </row>
    <row r="242" spans="4:10" x14ac:dyDescent="0.15">
      <c r="D242" s="30">
        <v>41147</v>
      </c>
      <c r="E242" s="21">
        <v>1</v>
      </c>
      <c r="F242" s="20">
        <v>1</v>
      </c>
      <c r="G242" s="21">
        <v>0.41935483870967738</v>
      </c>
      <c r="H242" s="21">
        <v>0.58064516129032251</v>
      </c>
      <c r="I242" s="36">
        <v>1</v>
      </c>
      <c r="J242" s="37">
        <v>0</v>
      </c>
    </row>
    <row r="243" spans="4:10" x14ac:dyDescent="0.15">
      <c r="D243" s="30">
        <v>41148</v>
      </c>
      <c r="E243" s="21">
        <v>1</v>
      </c>
      <c r="F243" s="20">
        <v>1</v>
      </c>
      <c r="G243" s="21">
        <v>0.43548387096774188</v>
      </c>
      <c r="H243" s="21">
        <v>0.56451612903225801</v>
      </c>
      <c r="I243" s="36">
        <v>1</v>
      </c>
      <c r="J243" s="37">
        <v>0</v>
      </c>
    </row>
    <row r="244" spans="4:10" x14ac:dyDescent="0.15">
      <c r="D244" s="30">
        <v>41149</v>
      </c>
      <c r="E244" s="21">
        <v>1</v>
      </c>
      <c r="F244" s="20">
        <v>1</v>
      </c>
      <c r="G244" s="21">
        <v>0.45161290322580649</v>
      </c>
      <c r="H244" s="21">
        <v>0.54838709677419351</v>
      </c>
      <c r="I244" s="36">
        <v>1</v>
      </c>
      <c r="J244" s="37">
        <v>0</v>
      </c>
    </row>
    <row r="245" spans="4:10" x14ac:dyDescent="0.15">
      <c r="D245" s="30">
        <v>41150</v>
      </c>
      <c r="E245" s="21">
        <v>1</v>
      </c>
      <c r="F245" s="20">
        <v>1</v>
      </c>
      <c r="G245" s="21">
        <v>0.467741935483871</v>
      </c>
      <c r="H245" s="21">
        <v>0.532258064516129</v>
      </c>
      <c r="I245" s="36">
        <v>1</v>
      </c>
      <c r="J245" s="37">
        <v>0</v>
      </c>
    </row>
    <row r="246" spans="4:10" x14ac:dyDescent="0.15">
      <c r="D246" s="30">
        <v>41151</v>
      </c>
      <c r="E246" s="21">
        <v>1</v>
      </c>
      <c r="F246" s="20">
        <v>1</v>
      </c>
      <c r="G246" s="21">
        <v>0.4838709677419355</v>
      </c>
      <c r="H246" s="21">
        <v>0.5161290322580645</v>
      </c>
      <c r="I246" s="36">
        <v>1</v>
      </c>
      <c r="J246" s="37">
        <v>0</v>
      </c>
    </row>
    <row r="247" spans="4:10" x14ac:dyDescent="0.15">
      <c r="D247" s="30">
        <v>41152</v>
      </c>
      <c r="E247" s="21">
        <v>1</v>
      </c>
      <c r="F247" s="20">
        <v>1</v>
      </c>
      <c r="G247" s="21">
        <v>0.5</v>
      </c>
      <c r="H247" s="21">
        <v>0.5</v>
      </c>
      <c r="I247" s="36">
        <v>1</v>
      </c>
      <c r="J247" s="37">
        <v>0</v>
      </c>
    </row>
    <row r="248" spans="4:10" x14ac:dyDescent="0.15">
      <c r="D248" s="30">
        <v>41153</v>
      </c>
      <c r="E248" s="21">
        <v>1</v>
      </c>
      <c r="F248" s="20">
        <v>1</v>
      </c>
      <c r="G248" s="21">
        <v>0.5161290322580645</v>
      </c>
      <c r="H248" s="21">
        <v>0.4838709677419355</v>
      </c>
      <c r="I248" s="36">
        <v>1</v>
      </c>
      <c r="J248" s="37">
        <v>0</v>
      </c>
    </row>
    <row r="249" spans="4:10" x14ac:dyDescent="0.15">
      <c r="D249" s="30">
        <v>41154</v>
      </c>
      <c r="E249" s="21">
        <v>1</v>
      </c>
      <c r="F249" s="20">
        <v>1</v>
      </c>
      <c r="G249" s="21">
        <v>0.532258064516129</v>
      </c>
      <c r="H249" s="21">
        <v>0.467741935483871</v>
      </c>
      <c r="I249" s="36">
        <v>1</v>
      </c>
      <c r="J249" s="37">
        <v>0</v>
      </c>
    </row>
    <row r="250" spans="4:10" x14ac:dyDescent="0.15">
      <c r="D250" s="30">
        <v>41155</v>
      </c>
      <c r="E250" s="21">
        <v>1</v>
      </c>
      <c r="F250" s="20">
        <v>1</v>
      </c>
      <c r="G250" s="21">
        <v>0.54838709677419351</v>
      </c>
      <c r="H250" s="21">
        <v>0.45161290322580649</v>
      </c>
      <c r="I250" s="36">
        <v>1</v>
      </c>
      <c r="J250" s="37">
        <v>0</v>
      </c>
    </row>
    <row r="251" spans="4:10" x14ac:dyDescent="0.15">
      <c r="D251" s="30">
        <v>41156</v>
      </c>
      <c r="E251" s="21">
        <v>1</v>
      </c>
      <c r="F251" s="20">
        <v>1</v>
      </c>
      <c r="G251" s="21">
        <v>0.56451612903225801</v>
      </c>
      <c r="H251" s="21">
        <v>0.43548387096774188</v>
      </c>
      <c r="I251" s="36">
        <v>1</v>
      </c>
      <c r="J251" s="37">
        <v>0</v>
      </c>
    </row>
    <row r="252" spans="4:10" x14ac:dyDescent="0.15">
      <c r="D252" s="30">
        <v>41157</v>
      </c>
      <c r="E252" s="21">
        <v>1</v>
      </c>
      <c r="F252" s="20">
        <v>1</v>
      </c>
      <c r="G252" s="21">
        <v>0.58064516129032251</v>
      </c>
      <c r="H252" s="21">
        <v>0.41935483870967738</v>
      </c>
      <c r="I252" s="36">
        <v>1</v>
      </c>
      <c r="J252" s="37">
        <v>0</v>
      </c>
    </row>
    <row r="253" spans="4:10" x14ac:dyDescent="0.15">
      <c r="D253" s="30">
        <v>41158</v>
      </c>
      <c r="E253" s="21">
        <v>1</v>
      </c>
      <c r="F253" s="20">
        <v>1</v>
      </c>
      <c r="G253" s="21">
        <v>0.59677419354838712</v>
      </c>
      <c r="H253" s="21">
        <v>0.40322580645161288</v>
      </c>
      <c r="I253" s="36">
        <v>1</v>
      </c>
      <c r="J253" s="37">
        <v>0</v>
      </c>
    </row>
    <row r="254" spans="4:10" x14ac:dyDescent="0.15">
      <c r="D254" s="30">
        <v>41159</v>
      </c>
      <c r="E254" s="21">
        <v>1</v>
      </c>
      <c r="F254" s="20">
        <v>1</v>
      </c>
      <c r="G254" s="21">
        <v>0.61290322580645162</v>
      </c>
      <c r="H254" s="21">
        <v>0.38709677419354838</v>
      </c>
      <c r="I254" s="36">
        <v>1</v>
      </c>
      <c r="J254" s="37">
        <v>0</v>
      </c>
    </row>
    <row r="255" spans="4:10" x14ac:dyDescent="0.15">
      <c r="D255" s="30">
        <v>41160</v>
      </c>
      <c r="E255" s="21">
        <v>1</v>
      </c>
      <c r="F255" s="20">
        <v>1</v>
      </c>
      <c r="G255" s="21">
        <v>0.62903225806451613</v>
      </c>
      <c r="H255" s="21">
        <v>0.37096774193548387</v>
      </c>
      <c r="I255" s="36">
        <v>1</v>
      </c>
      <c r="J255" s="37">
        <v>0</v>
      </c>
    </row>
    <row r="256" spans="4:10" x14ac:dyDescent="0.15">
      <c r="D256" s="30">
        <v>41161</v>
      </c>
      <c r="E256" s="21">
        <v>1</v>
      </c>
      <c r="F256" s="20">
        <v>1</v>
      </c>
      <c r="G256" s="21">
        <v>0.64516129032258063</v>
      </c>
      <c r="H256" s="21">
        <v>0.35483870967741937</v>
      </c>
      <c r="I256" s="36">
        <v>1</v>
      </c>
      <c r="J256" s="37">
        <v>0</v>
      </c>
    </row>
    <row r="257" spans="4:10" x14ac:dyDescent="0.15">
      <c r="D257" s="30">
        <v>41162</v>
      </c>
      <c r="E257" s="21">
        <v>1</v>
      </c>
      <c r="F257" s="20">
        <v>1</v>
      </c>
      <c r="G257" s="21">
        <v>0.66129032258064524</v>
      </c>
      <c r="H257" s="21">
        <v>0.33870967741935487</v>
      </c>
      <c r="I257" s="36">
        <v>1</v>
      </c>
      <c r="J257" s="37">
        <v>0</v>
      </c>
    </row>
    <row r="258" spans="4:10" x14ac:dyDescent="0.15">
      <c r="D258" s="30">
        <v>41163</v>
      </c>
      <c r="E258" s="21">
        <v>1</v>
      </c>
      <c r="F258" s="20">
        <v>1</v>
      </c>
      <c r="G258" s="21">
        <v>0.67741935483870974</v>
      </c>
      <c r="H258" s="21">
        <v>0.32258064516129037</v>
      </c>
      <c r="I258" s="36">
        <v>1</v>
      </c>
      <c r="J258" s="37">
        <v>0</v>
      </c>
    </row>
    <row r="259" spans="4:10" x14ac:dyDescent="0.15">
      <c r="D259" s="30">
        <v>41164</v>
      </c>
      <c r="E259" s="21">
        <v>1</v>
      </c>
      <c r="F259" s="20">
        <v>1</v>
      </c>
      <c r="G259" s="21">
        <v>0.69354838709677424</v>
      </c>
      <c r="H259" s="21">
        <v>0.30645161290322576</v>
      </c>
      <c r="I259" s="36">
        <v>1</v>
      </c>
      <c r="J259" s="37">
        <v>0</v>
      </c>
    </row>
    <row r="260" spans="4:10" x14ac:dyDescent="0.15">
      <c r="D260" s="30">
        <v>41165</v>
      </c>
      <c r="E260" s="21">
        <v>1</v>
      </c>
      <c r="F260" s="20">
        <v>1</v>
      </c>
      <c r="G260" s="21">
        <v>0.70967741935483875</v>
      </c>
      <c r="H260" s="21">
        <v>0.29032258064516125</v>
      </c>
      <c r="I260" s="36">
        <v>1</v>
      </c>
      <c r="J260" s="37">
        <v>0</v>
      </c>
    </row>
    <row r="261" spans="4:10" x14ac:dyDescent="0.15">
      <c r="D261" s="30">
        <v>41166</v>
      </c>
      <c r="E261" s="21">
        <v>1</v>
      </c>
      <c r="F261" s="20">
        <v>1</v>
      </c>
      <c r="G261" s="21">
        <v>0.72580645161290325</v>
      </c>
      <c r="H261" s="21">
        <v>0.27419354838709675</v>
      </c>
      <c r="I261" s="36">
        <v>1</v>
      </c>
      <c r="J261" s="37">
        <v>0</v>
      </c>
    </row>
    <row r="262" spans="4:10" x14ac:dyDescent="0.15">
      <c r="D262" s="30">
        <v>41167</v>
      </c>
      <c r="E262" s="21">
        <v>1</v>
      </c>
      <c r="F262" s="20">
        <v>1</v>
      </c>
      <c r="G262" s="21">
        <v>0.74193548387096775</v>
      </c>
      <c r="H262" s="21">
        <v>0.25806451612903225</v>
      </c>
      <c r="I262" s="36">
        <v>1</v>
      </c>
      <c r="J262" s="37">
        <v>0</v>
      </c>
    </row>
    <row r="263" spans="4:10" x14ac:dyDescent="0.15">
      <c r="D263" s="30">
        <v>41168</v>
      </c>
      <c r="E263" s="21">
        <v>1</v>
      </c>
      <c r="F263" s="20">
        <v>1</v>
      </c>
      <c r="G263" s="21">
        <v>0.75806451612903225</v>
      </c>
      <c r="H263" s="21">
        <v>0.24193548387096775</v>
      </c>
      <c r="I263" s="36">
        <v>1</v>
      </c>
      <c r="J263" s="37">
        <v>0</v>
      </c>
    </row>
    <row r="264" spans="4:10" x14ac:dyDescent="0.15">
      <c r="D264" s="30">
        <v>41169</v>
      </c>
      <c r="E264" s="21">
        <v>1</v>
      </c>
      <c r="F264" s="20">
        <v>1</v>
      </c>
      <c r="G264" s="21">
        <v>0.77419354838709675</v>
      </c>
      <c r="H264" s="21">
        <v>0.22580645161290325</v>
      </c>
      <c r="I264" s="36">
        <v>1</v>
      </c>
      <c r="J264" s="37">
        <v>0</v>
      </c>
    </row>
    <row r="265" spans="4:10" x14ac:dyDescent="0.15">
      <c r="D265" s="30">
        <v>41170</v>
      </c>
      <c r="E265" s="21">
        <v>1</v>
      </c>
      <c r="F265" s="20">
        <v>1</v>
      </c>
      <c r="G265" s="21">
        <v>0.79032258064516125</v>
      </c>
      <c r="H265" s="21">
        <v>0.20967741935483875</v>
      </c>
      <c r="I265" s="36">
        <v>1</v>
      </c>
      <c r="J265" s="37">
        <v>0</v>
      </c>
    </row>
    <row r="266" spans="4:10" x14ac:dyDescent="0.15">
      <c r="D266" s="30">
        <v>41171</v>
      </c>
      <c r="E266" s="21">
        <v>1</v>
      </c>
      <c r="F266" s="20">
        <v>1</v>
      </c>
      <c r="G266" s="21">
        <v>0.80645161290322576</v>
      </c>
      <c r="H266" s="21">
        <v>0.19354838709677424</v>
      </c>
      <c r="I266" s="36">
        <v>1</v>
      </c>
      <c r="J266" s="37">
        <v>0</v>
      </c>
    </row>
    <row r="267" spans="4:10" x14ac:dyDescent="0.15">
      <c r="D267" s="30">
        <v>41172</v>
      </c>
      <c r="E267" s="21">
        <v>1</v>
      </c>
      <c r="F267" s="20">
        <v>1</v>
      </c>
      <c r="G267" s="21">
        <v>0.82258064516129026</v>
      </c>
      <c r="H267" s="21">
        <v>0.17741935483870963</v>
      </c>
      <c r="I267" s="36">
        <v>1</v>
      </c>
      <c r="J267" s="37">
        <v>0</v>
      </c>
    </row>
    <row r="268" spans="4:10" x14ac:dyDescent="0.15">
      <c r="D268" s="30">
        <v>41173</v>
      </c>
      <c r="E268" s="21">
        <v>1</v>
      </c>
      <c r="F268" s="20">
        <v>1</v>
      </c>
      <c r="G268" s="21">
        <v>0.83870967741935487</v>
      </c>
      <c r="H268" s="21">
        <v>0.16129032258064513</v>
      </c>
      <c r="I268" s="36">
        <v>1</v>
      </c>
      <c r="J268" s="37">
        <v>0</v>
      </c>
    </row>
    <row r="269" spans="4:10" x14ac:dyDescent="0.15">
      <c r="D269" s="30">
        <v>41174</v>
      </c>
      <c r="E269" s="21">
        <v>1</v>
      </c>
      <c r="F269" s="20">
        <v>1</v>
      </c>
      <c r="G269" s="21">
        <v>0.85483870967741937</v>
      </c>
      <c r="H269" s="21">
        <v>0.14516129032258063</v>
      </c>
      <c r="I269" s="36">
        <v>1</v>
      </c>
      <c r="J269" s="37">
        <v>0</v>
      </c>
    </row>
    <row r="270" spans="4:10" x14ac:dyDescent="0.15">
      <c r="D270" s="30">
        <v>41175</v>
      </c>
      <c r="E270" s="21">
        <v>1</v>
      </c>
      <c r="F270" s="20">
        <v>1</v>
      </c>
      <c r="G270" s="21">
        <v>0.87096774193548387</v>
      </c>
      <c r="H270" s="21">
        <v>0.12903225806451613</v>
      </c>
      <c r="I270" s="36">
        <v>1</v>
      </c>
      <c r="J270" s="37">
        <v>0</v>
      </c>
    </row>
    <row r="271" spans="4:10" x14ac:dyDescent="0.15">
      <c r="D271" s="30">
        <v>41176</v>
      </c>
      <c r="E271" s="21">
        <v>1</v>
      </c>
      <c r="F271" s="20">
        <v>1</v>
      </c>
      <c r="G271" s="21">
        <v>0.88709677419354838</v>
      </c>
      <c r="H271" s="21">
        <v>0.11290322580645162</v>
      </c>
      <c r="I271" s="36">
        <v>1</v>
      </c>
      <c r="J271" s="37">
        <v>0</v>
      </c>
    </row>
    <row r="272" spans="4:10" x14ac:dyDescent="0.15">
      <c r="D272" s="30">
        <v>41177</v>
      </c>
      <c r="E272" s="21">
        <v>1</v>
      </c>
      <c r="F272" s="20">
        <v>1</v>
      </c>
      <c r="G272" s="21">
        <v>0.90322580645161288</v>
      </c>
      <c r="H272" s="21">
        <v>9.6774193548387122E-2</v>
      </c>
      <c r="I272" s="36">
        <v>1</v>
      </c>
      <c r="J272" s="37">
        <v>0</v>
      </c>
    </row>
    <row r="273" spans="4:10" x14ac:dyDescent="0.15">
      <c r="D273" s="30">
        <v>41178</v>
      </c>
      <c r="E273" s="21">
        <v>1</v>
      </c>
      <c r="F273" s="20">
        <v>1</v>
      </c>
      <c r="G273" s="21">
        <v>0.91935483870967738</v>
      </c>
      <c r="H273" s="21">
        <v>8.064516129032262E-2</v>
      </c>
      <c r="I273" s="36">
        <v>1</v>
      </c>
      <c r="J273" s="37">
        <v>0</v>
      </c>
    </row>
    <row r="274" spans="4:10" x14ac:dyDescent="0.15">
      <c r="D274" s="30">
        <v>41179</v>
      </c>
      <c r="E274" s="21">
        <v>1</v>
      </c>
      <c r="F274" s="20">
        <v>1</v>
      </c>
      <c r="G274" s="21">
        <v>0.93548387096774199</v>
      </c>
      <c r="H274" s="21">
        <v>6.4516129032258118E-2</v>
      </c>
      <c r="I274" s="36">
        <v>1</v>
      </c>
      <c r="J274" s="37">
        <v>0</v>
      </c>
    </row>
    <row r="275" spans="4:10" x14ac:dyDescent="0.15">
      <c r="D275" s="30">
        <v>41180</v>
      </c>
      <c r="E275" s="21">
        <v>1</v>
      </c>
      <c r="F275" s="20">
        <v>1</v>
      </c>
      <c r="G275" s="21">
        <v>0.95161290322580649</v>
      </c>
      <c r="H275" s="21">
        <v>4.8387096774193505E-2</v>
      </c>
      <c r="I275" s="36">
        <v>1</v>
      </c>
      <c r="J275" s="37">
        <v>0</v>
      </c>
    </row>
    <row r="276" spans="4:10" x14ac:dyDescent="0.15">
      <c r="D276" s="30">
        <v>41181</v>
      </c>
      <c r="E276" s="21">
        <v>1</v>
      </c>
      <c r="F276" s="20">
        <v>1</v>
      </c>
      <c r="G276" s="21">
        <v>0.967741935483871</v>
      </c>
      <c r="H276" s="21">
        <v>3.2258064516129004E-2</v>
      </c>
      <c r="I276" s="36">
        <v>1</v>
      </c>
      <c r="J276" s="37">
        <v>0</v>
      </c>
    </row>
    <row r="277" spans="4:10" x14ac:dyDescent="0.15">
      <c r="D277" s="30">
        <v>41182</v>
      </c>
      <c r="E277" s="21">
        <v>1</v>
      </c>
      <c r="F277" s="20">
        <v>1</v>
      </c>
      <c r="G277" s="21">
        <v>0.9838709677419355</v>
      </c>
      <c r="H277" s="21">
        <v>1.6129032258064502E-2</v>
      </c>
      <c r="I277" s="36">
        <v>1</v>
      </c>
      <c r="J277" s="37">
        <v>0</v>
      </c>
    </row>
    <row r="278" spans="4:10" x14ac:dyDescent="0.25">
      <c r="D278" s="30">
        <v>41183</v>
      </c>
      <c r="E278" s="19">
        <v>1</v>
      </c>
      <c r="F278" s="20">
        <v>1</v>
      </c>
      <c r="G278" s="19">
        <v>1</v>
      </c>
      <c r="H278" s="19">
        <v>0</v>
      </c>
      <c r="I278" s="36">
        <v>1</v>
      </c>
      <c r="J278" s="37">
        <v>0</v>
      </c>
    </row>
    <row r="279" spans="4:10" x14ac:dyDescent="0.25">
      <c r="D279" s="30">
        <v>41184</v>
      </c>
      <c r="E279" s="19">
        <v>1</v>
      </c>
      <c r="F279" s="20">
        <v>1</v>
      </c>
      <c r="G279" s="19">
        <v>1</v>
      </c>
      <c r="H279" s="19">
        <v>0</v>
      </c>
      <c r="I279" s="36">
        <v>1</v>
      </c>
      <c r="J279" s="37">
        <v>0</v>
      </c>
    </row>
    <row r="280" spans="4:10" x14ac:dyDescent="0.25">
      <c r="D280" s="30">
        <v>41185</v>
      </c>
      <c r="E280" s="19">
        <v>1</v>
      </c>
      <c r="F280" s="20">
        <v>1</v>
      </c>
      <c r="G280" s="19">
        <v>1</v>
      </c>
      <c r="H280" s="19">
        <v>0</v>
      </c>
      <c r="I280" s="36">
        <v>1</v>
      </c>
      <c r="J280" s="37">
        <v>0</v>
      </c>
    </row>
    <row r="281" spans="4:10" x14ac:dyDescent="0.25">
      <c r="D281" s="30">
        <v>41186</v>
      </c>
      <c r="E281" s="19">
        <v>1</v>
      </c>
      <c r="F281" s="20">
        <v>1</v>
      </c>
      <c r="G281" s="19">
        <v>1</v>
      </c>
      <c r="H281" s="19">
        <v>0</v>
      </c>
      <c r="I281" s="36">
        <v>1</v>
      </c>
      <c r="J281" s="37">
        <v>0</v>
      </c>
    </row>
    <row r="282" spans="4:10" x14ac:dyDescent="0.25">
      <c r="D282" s="30">
        <v>41187</v>
      </c>
      <c r="E282" s="19">
        <v>1</v>
      </c>
      <c r="F282" s="20">
        <v>1</v>
      </c>
      <c r="G282" s="19">
        <v>1</v>
      </c>
      <c r="H282" s="19">
        <v>0</v>
      </c>
      <c r="I282" s="36">
        <v>1</v>
      </c>
      <c r="J282" s="37">
        <v>0</v>
      </c>
    </row>
    <row r="283" spans="4:10" x14ac:dyDescent="0.25">
      <c r="D283" s="30">
        <v>41188</v>
      </c>
      <c r="E283" s="19">
        <v>1</v>
      </c>
      <c r="F283" s="20">
        <v>1</v>
      </c>
      <c r="G283" s="19">
        <v>1</v>
      </c>
      <c r="H283" s="19">
        <v>0</v>
      </c>
      <c r="I283" s="36">
        <v>1</v>
      </c>
      <c r="J283" s="37">
        <v>0</v>
      </c>
    </row>
    <row r="284" spans="4:10" x14ac:dyDescent="0.25">
      <c r="D284" s="30">
        <v>41189</v>
      </c>
      <c r="E284" s="19">
        <v>1</v>
      </c>
      <c r="F284" s="20">
        <v>1</v>
      </c>
      <c r="G284" s="19">
        <v>1</v>
      </c>
      <c r="H284" s="19">
        <v>0</v>
      </c>
      <c r="I284" s="36">
        <v>1</v>
      </c>
      <c r="J284" s="37">
        <v>0</v>
      </c>
    </row>
    <row r="285" spans="4:10" x14ac:dyDescent="0.25">
      <c r="D285" s="30">
        <v>41190</v>
      </c>
      <c r="E285" s="19">
        <v>1</v>
      </c>
      <c r="F285" s="20">
        <v>1</v>
      </c>
      <c r="G285" s="19">
        <v>1</v>
      </c>
      <c r="H285" s="19">
        <v>0</v>
      </c>
      <c r="I285" s="36">
        <v>1</v>
      </c>
      <c r="J285" s="37">
        <v>0</v>
      </c>
    </row>
    <row r="286" spans="4:10" x14ac:dyDescent="0.25">
      <c r="D286" s="30">
        <v>41191</v>
      </c>
      <c r="E286" s="19">
        <v>1</v>
      </c>
      <c r="F286" s="20">
        <v>1</v>
      </c>
      <c r="G286" s="19">
        <v>1</v>
      </c>
      <c r="H286" s="19">
        <v>0</v>
      </c>
      <c r="I286" s="36">
        <v>1</v>
      </c>
      <c r="J286" s="37">
        <v>0</v>
      </c>
    </row>
    <row r="287" spans="4:10" x14ac:dyDescent="0.25">
      <c r="D287" s="30">
        <v>41192</v>
      </c>
      <c r="E287" s="19">
        <v>1</v>
      </c>
      <c r="F287" s="20">
        <v>1</v>
      </c>
      <c r="G287" s="19">
        <v>1</v>
      </c>
      <c r="H287" s="19">
        <v>0</v>
      </c>
      <c r="I287" s="36">
        <v>1</v>
      </c>
      <c r="J287" s="37">
        <v>0</v>
      </c>
    </row>
    <row r="288" spans="4:10" x14ac:dyDescent="0.25">
      <c r="D288" s="30">
        <v>41193</v>
      </c>
      <c r="E288" s="19">
        <v>1</v>
      </c>
      <c r="F288" s="20">
        <v>1</v>
      </c>
      <c r="G288" s="19">
        <v>1</v>
      </c>
      <c r="H288" s="19">
        <v>0</v>
      </c>
      <c r="I288" s="36">
        <v>1</v>
      </c>
      <c r="J288" s="37">
        <v>0</v>
      </c>
    </row>
    <row r="289" spans="4:10" x14ac:dyDescent="0.25">
      <c r="D289" s="30">
        <v>41194</v>
      </c>
      <c r="E289" s="19">
        <v>1</v>
      </c>
      <c r="F289" s="20">
        <v>1</v>
      </c>
      <c r="G289" s="19">
        <v>1</v>
      </c>
      <c r="H289" s="19">
        <v>0</v>
      </c>
      <c r="I289" s="36">
        <v>1</v>
      </c>
      <c r="J289" s="37">
        <v>0</v>
      </c>
    </row>
    <row r="290" spans="4:10" x14ac:dyDescent="0.25">
      <c r="D290" s="30">
        <v>41195</v>
      </c>
      <c r="E290" s="19">
        <v>1</v>
      </c>
      <c r="F290" s="20">
        <v>1</v>
      </c>
      <c r="G290" s="19">
        <v>1</v>
      </c>
      <c r="H290" s="19">
        <v>0</v>
      </c>
      <c r="I290" s="36">
        <v>1</v>
      </c>
      <c r="J290" s="37">
        <v>0</v>
      </c>
    </row>
    <row r="291" spans="4:10" x14ac:dyDescent="0.25">
      <c r="D291" s="30">
        <v>41196</v>
      </c>
      <c r="E291" s="19">
        <v>1</v>
      </c>
      <c r="F291" s="20">
        <v>1</v>
      </c>
      <c r="G291" s="19">
        <v>1</v>
      </c>
      <c r="H291" s="19">
        <v>0</v>
      </c>
      <c r="I291" s="36">
        <v>1</v>
      </c>
      <c r="J291" s="37">
        <v>0</v>
      </c>
    </row>
    <row r="292" spans="4:10" x14ac:dyDescent="0.25">
      <c r="D292" s="30">
        <v>41197</v>
      </c>
      <c r="E292" s="19">
        <v>1</v>
      </c>
      <c r="F292" s="20">
        <v>1</v>
      </c>
      <c r="G292" s="19">
        <v>1</v>
      </c>
      <c r="H292" s="19">
        <v>0</v>
      </c>
      <c r="I292" s="36">
        <v>1</v>
      </c>
      <c r="J292" s="37">
        <v>0</v>
      </c>
    </row>
    <row r="293" spans="4:10" x14ac:dyDescent="0.25">
      <c r="D293" s="30">
        <v>41198</v>
      </c>
      <c r="E293" s="19">
        <v>1</v>
      </c>
      <c r="F293" s="20">
        <v>1</v>
      </c>
      <c r="G293" s="19">
        <v>1</v>
      </c>
      <c r="H293" s="19">
        <v>0</v>
      </c>
      <c r="I293" s="36">
        <v>1</v>
      </c>
      <c r="J293" s="37">
        <v>0</v>
      </c>
    </row>
    <row r="294" spans="4:10" x14ac:dyDescent="0.25">
      <c r="D294" s="30">
        <v>41199</v>
      </c>
      <c r="E294" s="19">
        <v>1</v>
      </c>
      <c r="F294" s="20">
        <v>1</v>
      </c>
      <c r="G294" s="19">
        <v>1</v>
      </c>
      <c r="H294" s="19">
        <v>0</v>
      </c>
      <c r="I294" s="36">
        <v>1</v>
      </c>
      <c r="J294" s="37">
        <v>0</v>
      </c>
    </row>
    <row r="295" spans="4:10" x14ac:dyDescent="0.25">
      <c r="D295" s="30">
        <v>41200</v>
      </c>
      <c r="E295" s="19">
        <v>1</v>
      </c>
      <c r="F295" s="20">
        <v>1</v>
      </c>
      <c r="G295" s="19">
        <v>1</v>
      </c>
      <c r="H295" s="19">
        <v>0</v>
      </c>
      <c r="I295" s="36">
        <v>1</v>
      </c>
      <c r="J295" s="37">
        <v>0</v>
      </c>
    </row>
    <row r="296" spans="4:10" x14ac:dyDescent="0.25">
      <c r="D296" s="30">
        <v>41201</v>
      </c>
      <c r="E296" s="19">
        <v>1</v>
      </c>
      <c r="F296" s="20">
        <v>1</v>
      </c>
      <c r="G296" s="19">
        <v>1</v>
      </c>
      <c r="H296" s="19">
        <v>0</v>
      </c>
      <c r="I296" s="36">
        <v>1</v>
      </c>
      <c r="J296" s="37">
        <v>0</v>
      </c>
    </row>
    <row r="297" spans="4:10" x14ac:dyDescent="0.25">
      <c r="D297" s="30">
        <v>41202</v>
      </c>
      <c r="E297" s="19">
        <v>1</v>
      </c>
      <c r="F297" s="20">
        <v>1</v>
      </c>
      <c r="G297" s="19">
        <v>1</v>
      </c>
      <c r="H297" s="19">
        <v>0</v>
      </c>
      <c r="I297" s="36">
        <v>1</v>
      </c>
      <c r="J297" s="37">
        <v>0</v>
      </c>
    </row>
    <row r="298" spans="4:10" x14ac:dyDescent="0.25">
      <c r="D298" s="30">
        <v>41203</v>
      </c>
      <c r="E298" s="19">
        <v>1</v>
      </c>
      <c r="F298" s="20">
        <v>1</v>
      </c>
      <c r="G298" s="19">
        <v>1</v>
      </c>
      <c r="H298" s="19">
        <v>0</v>
      </c>
      <c r="I298" s="36">
        <v>1</v>
      </c>
      <c r="J298" s="37">
        <v>0</v>
      </c>
    </row>
    <row r="299" spans="4:10" x14ac:dyDescent="0.25">
      <c r="D299" s="30">
        <v>41204</v>
      </c>
      <c r="E299" s="19">
        <v>1</v>
      </c>
      <c r="F299" s="20">
        <v>1</v>
      </c>
      <c r="G299" s="19">
        <v>1</v>
      </c>
      <c r="H299" s="19">
        <v>0</v>
      </c>
      <c r="I299" s="36">
        <v>1</v>
      </c>
      <c r="J299" s="37">
        <v>0</v>
      </c>
    </row>
    <row r="300" spans="4:10" x14ac:dyDescent="0.25">
      <c r="D300" s="30">
        <v>41205</v>
      </c>
      <c r="E300" s="19">
        <v>1</v>
      </c>
      <c r="F300" s="20">
        <v>1</v>
      </c>
      <c r="G300" s="19">
        <v>1</v>
      </c>
      <c r="H300" s="19">
        <v>0</v>
      </c>
      <c r="I300" s="36">
        <v>1</v>
      </c>
      <c r="J300" s="37">
        <v>0</v>
      </c>
    </row>
    <row r="301" spans="4:10" x14ac:dyDescent="0.25">
      <c r="D301" s="30">
        <v>41206</v>
      </c>
      <c r="E301" s="19">
        <v>1</v>
      </c>
      <c r="F301" s="20">
        <v>1</v>
      </c>
      <c r="G301" s="19">
        <v>1</v>
      </c>
      <c r="H301" s="19">
        <v>0</v>
      </c>
      <c r="I301" s="36">
        <v>1</v>
      </c>
      <c r="J301" s="37">
        <v>0</v>
      </c>
    </row>
    <row r="302" spans="4:10" x14ac:dyDescent="0.25">
      <c r="D302" s="30">
        <v>41207</v>
      </c>
      <c r="E302" s="19">
        <v>1</v>
      </c>
      <c r="F302" s="20">
        <v>1</v>
      </c>
      <c r="G302" s="19">
        <v>1</v>
      </c>
      <c r="H302" s="19">
        <v>0</v>
      </c>
      <c r="I302" s="36">
        <v>1</v>
      </c>
      <c r="J302" s="37">
        <v>0</v>
      </c>
    </row>
    <row r="303" spans="4:10" x14ac:dyDescent="0.25">
      <c r="D303" s="30">
        <v>41208</v>
      </c>
      <c r="E303" s="19">
        <v>1</v>
      </c>
      <c r="F303" s="20">
        <v>1</v>
      </c>
      <c r="G303" s="19">
        <v>1</v>
      </c>
      <c r="H303" s="19">
        <v>0</v>
      </c>
      <c r="I303" s="36">
        <v>1</v>
      </c>
      <c r="J303" s="37">
        <v>0</v>
      </c>
    </row>
    <row r="304" spans="4:10" x14ac:dyDescent="0.25">
      <c r="D304" s="30">
        <v>41209</v>
      </c>
      <c r="E304" s="19">
        <v>1</v>
      </c>
      <c r="F304" s="20">
        <v>1</v>
      </c>
      <c r="G304" s="19">
        <v>1</v>
      </c>
      <c r="H304" s="19">
        <v>0</v>
      </c>
      <c r="I304" s="36">
        <v>1</v>
      </c>
      <c r="J304" s="37">
        <v>0</v>
      </c>
    </row>
    <row r="305" spans="4:10" x14ac:dyDescent="0.25">
      <c r="D305" s="30">
        <v>41210</v>
      </c>
      <c r="E305" s="19">
        <v>1</v>
      </c>
      <c r="F305" s="20">
        <v>1</v>
      </c>
      <c r="G305" s="19">
        <v>1</v>
      </c>
      <c r="H305" s="19">
        <v>0</v>
      </c>
      <c r="I305" s="36">
        <v>1</v>
      </c>
      <c r="J305" s="37">
        <v>0</v>
      </c>
    </row>
    <row r="306" spans="4:10" x14ac:dyDescent="0.25">
      <c r="D306" s="30">
        <v>41211</v>
      </c>
      <c r="E306" s="19">
        <v>1</v>
      </c>
      <c r="F306" s="20">
        <v>1</v>
      </c>
      <c r="G306" s="19">
        <v>1</v>
      </c>
      <c r="H306" s="19">
        <v>0</v>
      </c>
      <c r="I306" s="36">
        <v>1</v>
      </c>
      <c r="J306" s="37">
        <v>0</v>
      </c>
    </row>
    <row r="307" spans="4:10" x14ac:dyDescent="0.25">
      <c r="D307" s="30">
        <v>41212</v>
      </c>
      <c r="E307" s="19">
        <v>1</v>
      </c>
      <c r="F307" s="20">
        <v>1</v>
      </c>
      <c r="G307" s="19">
        <v>1</v>
      </c>
      <c r="H307" s="19">
        <v>0</v>
      </c>
      <c r="I307" s="36">
        <v>1</v>
      </c>
      <c r="J307" s="37">
        <v>0</v>
      </c>
    </row>
    <row r="308" spans="4:10" x14ac:dyDescent="0.25">
      <c r="D308" s="30">
        <v>41213</v>
      </c>
      <c r="E308" s="19">
        <v>1</v>
      </c>
      <c r="F308" s="20">
        <v>1</v>
      </c>
      <c r="G308" s="19">
        <v>1</v>
      </c>
      <c r="H308" s="19">
        <v>0</v>
      </c>
      <c r="I308" s="36">
        <v>1</v>
      </c>
      <c r="J308" s="37">
        <v>0</v>
      </c>
    </row>
    <row r="309" spans="4:10" x14ac:dyDescent="0.15">
      <c r="D309" s="30">
        <v>41214</v>
      </c>
      <c r="E309" s="21">
        <v>0.98387096799999996</v>
      </c>
      <c r="F309" s="20">
        <v>1</v>
      </c>
      <c r="G309" s="21">
        <v>1</v>
      </c>
      <c r="H309" s="21">
        <v>1.6129032258064502E-2</v>
      </c>
      <c r="I309" s="36">
        <v>1</v>
      </c>
      <c r="J309" s="37">
        <v>0</v>
      </c>
    </row>
    <row r="310" spans="4:10" x14ac:dyDescent="0.15">
      <c r="D310" s="30">
        <v>41215</v>
      </c>
      <c r="E310" s="21">
        <v>0.96774193500000005</v>
      </c>
      <c r="F310" s="20">
        <v>1</v>
      </c>
      <c r="G310" s="21">
        <v>1</v>
      </c>
      <c r="H310" s="21">
        <v>3.2258064516129004E-2</v>
      </c>
      <c r="I310" s="36">
        <v>1</v>
      </c>
      <c r="J310" s="37">
        <v>0</v>
      </c>
    </row>
    <row r="311" spans="4:10" x14ac:dyDescent="0.15">
      <c r="D311" s="30">
        <v>41216</v>
      </c>
      <c r="E311" s="21">
        <v>0.95161290300000001</v>
      </c>
      <c r="F311" s="20">
        <v>1</v>
      </c>
      <c r="G311" s="21">
        <v>1</v>
      </c>
      <c r="H311" s="21">
        <v>4.8387096774193505E-2</v>
      </c>
      <c r="I311" s="36">
        <v>1</v>
      </c>
      <c r="J311" s="37">
        <v>0</v>
      </c>
    </row>
    <row r="312" spans="4:10" x14ac:dyDescent="0.15">
      <c r="D312" s="30">
        <v>41217</v>
      </c>
      <c r="E312" s="21">
        <v>0.93548387099999997</v>
      </c>
      <c r="F312" s="20">
        <v>1</v>
      </c>
      <c r="G312" s="21">
        <v>1</v>
      </c>
      <c r="H312" s="21">
        <v>6.4516129032258118E-2</v>
      </c>
      <c r="I312" s="36">
        <v>1</v>
      </c>
      <c r="J312" s="37">
        <v>0</v>
      </c>
    </row>
    <row r="313" spans="4:10" x14ac:dyDescent="0.15">
      <c r="D313" s="30">
        <v>41218</v>
      </c>
      <c r="E313" s="21">
        <v>0.91935483900000003</v>
      </c>
      <c r="F313" s="20">
        <v>1</v>
      </c>
      <c r="G313" s="21">
        <v>1</v>
      </c>
      <c r="H313" s="21">
        <v>8.064516129032262E-2</v>
      </c>
      <c r="I313" s="36">
        <v>1</v>
      </c>
      <c r="J313" s="37">
        <v>0</v>
      </c>
    </row>
    <row r="314" spans="4:10" x14ac:dyDescent="0.15">
      <c r="D314" s="30">
        <v>41219</v>
      </c>
      <c r="E314" s="21">
        <v>0.90322580600000002</v>
      </c>
      <c r="F314" s="20">
        <v>1</v>
      </c>
      <c r="G314" s="21">
        <v>1</v>
      </c>
      <c r="H314" s="21">
        <v>9.6774193548387122E-2</v>
      </c>
      <c r="I314" s="36">
        <v>1</v>
      </c>
      <c r="J314" s="37">
        <v>0</v>
      </c>
    </row>
    <row r="315" spans="4:10" x14ac:dyDescent="0.15">
      <c r="D315" s="30">
        <v>41220</v>
      </c>
      <c r="E315" s="21">
        <v>0.88709677399999998</v>
      </c>
      <c r="F315" s="20">
        <v>1</v>
      </c>
      <c r="G315" s="21">
        <v>1</v>
      </c>
      <c r="H315" s="21">
        <v>0.11290322580645162</v>
      </c>
      <c r="I315" s="36">
        <v>1</v>
      </c>
      <c r="J315" s="37">
        <v>0</v>
      </c>
    </row>
    <row r="316" spans="4:10" x14ac:dyDescent="0.15">
      <c r="D316" s="30">
        <v>41221</v>
      </c>
      <c r="E316" s="21">
        <v>0.87096774199999993</v>
      </c>
      <c r="F316" s="20">
        <v>1</v>
      </c>
      <c r="G316" s="21">
        <v>1</v>
      </c>
      <c r="H316" s="21">
        <v>0.12903225806451613</v>
      </c>
      <c r="I316" s="36">
        <v>1</v>
      </c>
      <c r="J316" s="37">
        <v>0</v>
      </c>
    </row>
    <row r="317" spans="4:10" x14ac:dyDescent="0.15">
      <c r="D317" s="30">
        <v>41222</v>
      </c>
      <c r="E317" s="21">
        <v>0.85483871</v>
      </c>
      <c r="F317" s="20">
        <v>1</v>
      </c>
      <c r="G317" s="21">
        <v>1</v>
      </c>
      <c r="H317" s="21">
        <v>0.14516129032258063</v>
      </c>
      <c r="I317" s="36">
        <v>1</v>
      </c>
      <c r="J317" s="37">
        <v>0</v>
      </c>
    </row>
    <row r="318" spans="4:10" x14ac:dyDescent="0.15">
      <c r="D318" s="30">
        <v>41223</v>
      </c>
      <c r="E318" s="21">
        <v>0.83870967699999999</v>
      </c>
      <c r="F318" s="20">
        <v>1</v>
      </c>
      <c r="G318" s="21">
        <v>1</v>
      </c>
      <c r="H318" s="21">
        <v>0.16129032258064513</v>
      </c>
      <c r="I318" s="36">
        <v>1</v>
      </c>
      <c r="J318" s="37">
        <v>0</v>
      </c>
    </row>
    <row r="319" spans="4:10" x14ac:dyDescent="0.15">
      <c r="D319" s="30">
        <v>41224</v>
      </c>
      <c r="E319" s="21">
        <v>0.82258064499999994</v>
      </c>
      <c r="F319" s="20">
        <v>1</v>
      </c>
      <c r="G319" s="21">
        <v>1</v>
      </c>
      <c r="H319" s="21">
        <v>0.17741935483870963</v>
      </c>
      <c r="I319" s="36">
        <v>1</v>
      </c>
      <c r="J319" s="37">
        <v>0</v>
      </c>
    </row>
    <row r="320" spans="4:10" x14ac:dyDescent="0.15">
      <c r="D320" s="30">
        <v>41225</v>
      </c>
      <c r="E320" s="21">
        <v>0.80645161300000001</v>
      </c>
      <c r="F320" s="20">
        <v>1</v>
      </c>
      <c r="G320" s="21">
        <v>1</v>
      </c>
      <c r="H320" s="21">
        <v>0.19354838709677424</v>
      </c>
      <c r="I320" s="36">
        <v>1</v>
      </c>
      <c r="J320" s="37">
        <v>0</v>
      </c>
    </row>
    <row r="321" spans="4:10" x14ac:dyDescent="0.15">
      <c r="D321" s="30">
        <v>41226</v>
      </c>
      <c r="E321" s="21">
        <v>0.79032258099999997</v>
      </c>
      <c r="F321" s="20">
        <v>1</v>
      </c>
      <c r="G321" s="21">
        <v>1</v>
      </c>
      <c r="H321" s="21">
        <v>0.20967741935483875</v>
      </c>
      <c r="I321" s="36">
        <v>1</v>
      </c>
      <c r="J321" s="37">
        <v>0</v>
      </c>
    </row>
    <row r="322" spans="4:10" x14ac:dyDescent="0.15">
      <c r="D322" s="30">
        <v>41227</v>
      </c>
      <c r="E322" s="21">
        <v>0.77419354799999995</v>
      </c>
      <c r="F322" s="20">
        <v>1</v>
      </c>
      <c r="G322" s="21">
        <v>1</v>
      </c>
      <c r="H322" s="21">
        <v>0.22580645161290325</v>
      </c>
      <c r="I322" s="36">
        <v>1</v>
      </c>
      <c r="J322" s="37">
        <v>0</v>
      </c>
    </row>
    <row r="323" spans="4:10" x14ac:dyDescent="0.15">
      <c r="D323" s="30">
        <v>41228</v>
      </c>
      <c r="E323" s="21">
        <v>0.75806451600000002</v>
      </c>
      <c r="F323" s="20">
        <v>1</v>
      </c>
      <c r="G323" s="21">
        <v>1</v>
      </c>
      <c r="H323" s="21">
        <v>0.24193548387096775</v>
      </c>
      <c r="I323" s="36">
        <v>1</v>
      </c>
      <c r="J323" s="37">
        <v>0</v>
      </c>
    </row>
    <row r="324" spans="4:10" x14ac:dyDescent="0.15">
      <c r="D324" s="30">
        <v>41229</v>
      </c>
      <c r="E324" s="21">
        <v>0.74193548399999998</v>
      </c>
      <c r="F324" s="20">
        <v>1</v>
      </c>
      <c r="G324" s="21">
        <v>1</v>
      </c>
      <c r="H324" s="21">
        <v>0.25806451612903225</v>
      </c>
      <c r="I324" s="36">
        <v>1</v>
      </c>
      <c r="J324" s="37">
        <v>0</v>
      </c>
    </row>
    <row r="325" spans="4:10" x14ac:dyDescent="0.15">
      <c r="D325" s="30">
        <v>41230</v>
      </c>
      <c r="E325" s="21">
        <v>0.72580645200000005</v>
      </c>
      <c r="F325" s="20">
        <v>1</v>
      </c>
      <c r="G325" s="21">
        <v>1</v>
      </c>
      <c r="H325" s="21">
        <v>0.27419354838709675</v>
      </c>
      <c r="I325" s="36">
        <v>1</v>
      </c>
      <c r="J325" s="37">
        <v>0</v>
      </c>
    </row>
    <row r="326" spans="4:10" x14ac:dyDescent="0.15">
      <c r="D326" s="30">
        <v>41231</v>
      </c>
      <c r="E326" s="21">
        <v>0.70967741899999992</v>
      </c>
      <c r="F326" s="20">
        <v>1</v>
      </c>
      <c r="G326" s="21">
        <v>1</v>
      </c>
      <c r="H326" s="21">
        <v>0.29032258064516125</v>
      </c>
      <c r="I326" s="36">
        <v>1</v>
      </c>
      <c r="J326" s="37">
        <v>0</v>
      </c>
    </row>
    <row r="327" spans="4:10" x14ac:dyDescent="0.15">
      <c r="D327" s="30">
        <v>41232</v>
      </c>
      <c r="E327" s="21">
        <v>0.69354838699999999</v>
      </c>
      <c r="F327" s="20">
        <v>1</v>
      </c>
      <c r="G327" s="21">
        <v>1</v>
      </c>
      <c r="H327" s="21">
        <v>0.30645161290322576</v>
      </c>
      <c r="I327" s="36">
        <v>1</v>
      </c>
      <c r="J327" s="37">
        <v>0</v>
      </c>
    </row>
    <row r="328" spans="4:10" x14ac:dyDescent="0.15">
      <c r="D328" s="30">
        <v>41233</v>
      </c>
      <c r="E328" s="21">
        <v>0.67741935500000006</v>
      </c>
      <c r="F328" s="20">
        <v>1</v>
      </c>
      <c r="G328" s="21">
        <v>1</v>
      </c>
      <c r="H328" s="21">
        <v>0.32258064516129037</v>
      </c>
      <c r="I328" s="36">
        <v>1</v>
      </c>
      <c r="J328" s="37">
        <v>0</v>
      </c>
    </row>
    <row r="329" spans="4:10" x14ac:dyDescent="0.15">
      <c r="D329" s="30">
        <v>41234</v>
      </c>
      <c r="E329" s="21">
        <v>0.66129032300000001</v>
      </c>
      <c r="F329" s="20">
        <v>1</v>
      </c>
      <c r="G329" s="21">
        <v>1</v>
      </c>
      <c r="H329" s="21">
        <v>0.33870967741935487</v>
      </c>
      <c r="I329" s="36">
        <v>1</v>
      </c>
      <c r="J329" s="37">
        <v>0</v>
      </c>
    </row>
    <row r="330" spans="4:10" x14ac:dyDescent="0.15">
      <c r="D330" s="30">
        <v>41235</v>
      </c>
      <c r="E330" s="21">
        <v>0.64516129</v>
      </c>
      <c r="F330" s="20">
        <v>1</v>
      </c>
      <c r="G330" s="21">
        <v>1</v>
      </c>
      <c r="H330" s="21">
        <v>0.35483870967741937</v>
      </c>
      <c r="I330" s="36">
        <v>1</v>
      </c>
      <c r="J330" s="37">
        <v>0</v>
      </c>
    </row>
    <row r="331" spans="4:10" x14ac:dyDescent="0.15">
      <c r="D331" s="30">
        <v>41236</v>
      </c>
      <c r="E331" s="21">
        <v>0.62903225800000007</v>
      </c>
      <c r="F331" s="20">
        <v>1</v>
      </c>
      <c r="G331" s="21">
        <v>1</v>
      </c>
      <c r="H331" s="21">
        <v>0.37096774193548387</v>
      </c>
      <c r="I331" s="36">
        <v>1</v>
      </c>
      <c r="J331" s="37">
        <v>0</v>
      </c>
    </row>
    <row r="332" spans="4:10" x14ac:dyDescent="0.15">
      <c r="D332" s="30">
        <v>41237</v>
      </c>
      <c r="E332" s="21">
        <v>0.61290322600000002</v>
      </c>
      <c r="F332" s="20">
        <v>1</v>
      </c>
      <c r="G332" s="21">
        <v>1</v>
      </c>
      <c r="H332" s="21">
        <v>0.38709677419354838</v>
      </c>
      <c r="I332" s="36">
        <v>1</v>
      </c>
      <c r="J332" s="37">
        <v>0</v>
      </c>
    </row>
    <row r="333" spans="4:10" x14ac:dyDescent="0.15">
      <c r="D333" s="30">
        <v>41238</v>
      </c>
      <c r="E333" s="21">
        <v>0.59677419399999998</v>
      </c>
      <c r="F333" s="20">
        <v>1</v>
      </c>
      <c r="G333" s="21">
        <v>1</v>
      </c>
      <c r="H333" s="21">
        <v>0.40322580645161288</v>
      </c>
      <c r="I333" s="36">
        <v>1</v>
      </c>
      <c r="J333" s="37">
        <v>0</v>
      </c>
    </row>
    <row r="334" spans="4:10" x14ac:dyDescent="0.15">
      <c r="D334" s="30">
        <v>41239</v>
      </c>
      <c r="E334" s="21">
        <v>0.58064516100000008</v>
      </c>
      <c r="F334" s="20">
        <v>1</v>
      </c>
      <c r="G334" s="21">
        <v>1</v>
      </c>
      <c r="H334" s="21">
        <v>0.41935483870967738</v>
      </c>
      <c r="I334" s="36">
        <v>1</v>
      </c>
      <c r="J334" s="37">
        <v>0</v>
      </c>
    </row>
    <row r="335" spans="4:10" x14ac:dyDescent="0.15">
      <c r="D335" s="30">
        <v>41240</v>
      </c>
      <c r="E335" s="21">
        <v>0.56451612900000003</v>
      </c>
      <c r="F335" s="20">
        <v>1</v>
      </c>
      <c r="G335" s="21">
        <v>1</v>
      </c>
      <c r="H335" s="21">
        <v>0.43548387096774188</v>
      </c>
      <c r="I335" s="36">
        <v>1</v>
      </c>
      <c r="J335" s="37">
        <v>0</v>
      </c>
    </row>
    <row r="336" spans="4:10" x14ac:dyDescent="0.15">
      <c r="D336" s="30">
        <v>41241</v>
      </c>
      <c r="E336" s="21">
        <v>0.54838709699999999</v>
      </c>
      <c r="F336" s="20">
        <v>1</v>
      </c>
      <c r="G336" s="21">
        <v>1</v>
      </c>
      <c r="H336" s="21">
        <v>0.45161290322580649</v>
      </c>
      <c r="I336" s="36">
        <v>1</v>
      </c>
      <c r="J336" s="37">
        <v>0</v>
      </c>
    </row>
    <row r="337" spans="4:10" x14ac:dyDescent="0.15">
      <c r="D337" s="30">
        <v>41242</v>
      </c>
      <c r="E337" s="21">
        <v>0.53225806499999995</v>
      </c>
      <c r="F337" s="20">
        <v>1</v>
      </c>
      <c r="G337" s="21">
        <v>1</v>
      </c>
      <c r="H337" s="21">
        <v>0.467741935483871</v>
      </c>
      <c r="I337" s="36">
        <v>1</v>
      </c>
      <c r="J337" s="37">
        <v>0</v>
      </c>
    </row>
    <row r="338" spans="4:10" x14ac:dyDescent="0.15">
      <c r="D338" s="30">
        <v>41243</v>
      </c>
      <c r="E338" s="21">
        <v>0.51612903200000004</v>
      </c>
      <c r="F338" s="20">
        <v>1</v>
      </c>
      <c r="G338" s="21">
        <v>1</v>
      </c>
      <c r="H338" s="21">
        <v>0.4838709677419355</v>
      </c>
      <c r="I338" s="36">
        <v>1</v>
      </c>
      <c r="J338" s="37">
        <v>0</v>
      </c>
    </row>
    <row r="339" spans="4:10" x14ac:dyDescent="0.15">
      <c r="D339" s="30">
        <v>41244</v>
      </c>
      <c r="E339" s="21">
        <v>0.5</v>
      </c>
      <c r="F339" s="20">
        <v>1</v>
      </c>
      <c r="G339" s="21">
        <v>1</v>
      </c>
      <c r="H339" s="21">
        <v>0.5</v>
      </c>
      <c r="I339" s="36">
        <v>1</v>
      </c>
      <c r="J339" s="37">
        <v>0</v>
      </c>
    </row>
    <row r="340" spans="4:10" x14ac:dyDescent="0.15">
      <c r="D340" s="30">
        <v>41245</v>
      </c>
      <c r="E340" s="21">
        <v>0.48387096799999996</v>
      </c>
      <c r="F340" s="20">
        <v>1</v>
      </c>
      <c r="G340" s="21">
        <v>1</v>
      </c>
      <c r="H340" s="21">
        <v>0.5161290322580645</v>
      </c>
      <c r="I340" s="36">
        <v>1</v>
      </c>
      <c r="J340" s="37">
        <v>0</v>
      </c>
    </row>
    <row r="341" spans="4:10" x14ac:dyDescent="0.15">
      <c r="D341" s="30">
        <v>41246</v>
      </c>
      <c r="E341" s="21">
        <v>0.46774193500000005</v>
      </c>
      <c r="F341" s="20">
        <v>1</v>
      </c>
      <c r="G341" s="21">
        <v>1</v>
      </c>
      <c r="H341" s="21">
        <v>0.532258064516129</v>
      </c>
      <c r="I341" s="36">
        <v>1</v>
      </c>
      <c r="J341" s="37">
        <v>0</v>
      </c>
    </row>
    <row r="342" spans="4:10" x14ac:dyDescent="0.15">
      <c r="D342" s="30">
        <v>41247</v>
      </c>
      <c r="E342" s="21">
        <v>0.45161290300000001</v>
      </c>
      <c r="F342" s="20">
        <v>1</v>
      </c>
      <c r="G342" s="21">
        <v>1</v>
      </c>
      <c r="H342" s="21">
        <v>0.54838709677419351</v>
      </c>
      <c r="I342" s="36">
        <v>1</v>
      </c>
      <c r="J342" s="37">
        <v>0</v>
      </c>
    </row>
    <row r="343" spans="4:10" x14ac:dyDescent="0.15">
      <c r="D343" s="30">
        <v>41248</v>
      </c>
      <c r="E343" s="21">
        <v>0.43548387099999997</v>
      </c>
      <c r="F343" s="20">
        <v>1</v>
      </c>
      <c r="G343" s="21">
        <v>1</v>
      </c>
      <c r="H343" s="21">
        <v>0.56451612903225801</v>
      </c>
      <c r="I343" s="36">
        <v>1</v>
      </c>
      <c r="J343" s="37">
        <v>0</v>
      </c>
    </row>
    <row r="344" spans="4:10" x14ac:dyDescent="0.15">
      <c r="D344" s="30">
        <v>41249</v>
      </c>
      <c r="E344" s="21">
        <v>0.41935483900000003</v>
      </c>
      <c r="F344" s="20">
        <v>1</v>
      </c>
      <c r="G344" s="21">
        <v>1</v>
      </c>
      <c r="H344" s="21">
        <v>0.58064516129032251</v>
      </c>
      <c r="I344" s="36">
        <v>1</v>
      </c>
      <c r="J344" s="37">
        <v>0</v>
      </c>
    </row>
    <row r="345" spans="4:10" x14ac:dyDescent="0.15">
      <c r="D345" s="30">
        <v>41250</v>
      </c>
      <c r="E345" s="21">
        <v>0.40322580600000002</v>
      </c>
      <c r="F345" s="20">
        <v>1</v>
      </c>
      <c r="G345" s="21">
        <v>1</v>
      </c>
      <c r="H345" s="21">
        <v>0.59677419354838712</v>
      </c>
      <c r="I345" s="36">
        <v>1</v>
      </c>
      <c r="J345" s="37">
        <v>0</v>
      </c>
    </row>
    <row r="346" spans="4:10" x14ac:dyDescent="0.15">
      <c r="D346" s="30">
        <v>41251</v>
      </c>
      <c r="E346" s="21">
        <v>0.38709677399999998</v>
      </c>
      <c r="F346" s="20">
        <v>1</v>
      </c>
      <c r="G346" s="21">
        <v>1</v>
      </c>
      <c r="H346" s="21">
        <v>0.61290322580645162</v>
      </c>
      <c r="I346" s="36">
        <v>1</v>
      </c>
      <c r="J346" s="37">
        <v>0</v>
      </c>
    </row>
    <row r="347" spans="4:10" x14ac:dyDescent="0.15">
      <c r="D347" s="30">
        <v>41252</v>
      </c>
      <c r="E347" s="21">
        <v>0.37096774200000004</v>
      </c>
      <c r="F347" s="20">
        <v>1</v>
      </c>
      <c r="G347" s="21">
        <v>1</v>
      </c>
      <c r="H347" s="21">
        <v>0.62903225806451613</v>
      </c>
      <c r="I347" s="36">
        <v>1</v>
      </c>
      <c r="J347" s="37">
        <v>0</v>
      </c>
    </row>
    <row r="348" spans="4:10" x14ac:dyDescent="0.15">
      <c r="D348" s="30">
        <v>41253</v>
      </c>
      <c r="E348" s="21">
        <v>0.35483871</v>
      </c>
      <c r="F348" s="20">
        <v>1</v>
      </c>
      <c r="G348" s="21">
        <v>1</v>
      </c>
      <c r="H348" s="21">
        <v>0.64516129032258063</v>
      </c>
      <c r="I348" s="36">
        <v>1</v>
      </c>
      <c r="J348" s="37">
        <v>0</v>
      </c>
    </row>
    <row r="349" spans="4:10" x14ac:dyDescent="0.15">
      <c r="D349" s="30">
        <v>41254</v>
      </c>
      <c r="E349" s="21">
        <v>0.33870967699999999</v>
      </c>
      <c r="F349" s="20">
        <v>1</v>
      </c>
      <c r="G349" s="21">
        <v>1</v>
      </c>
      <c r="H349" s="21">
        <v>0.66129032258064524</v>
      </c>
      <c r="I349" s="36">
        <v>1</v>
      </c>
      <c r="J349" s="37">
        <v>0</v>
      </c>
    </row>
    <row r="350" spans="4:10" x14ac:dyDescent="0.15">
      <c r="D350" s="30">
        <v>41255</v>
      </c>
      <c r="E350" s="21">
        <v>0.32258064500000005</v>
      </c>
      <c r="F350" s="20">
        <v>1</v>
      </c>
      <c r="G350" s="21">
        <v>1</v>
      </c>
      <c r="H350" s="21">
        <v>0.67741935483870974</v>
      </c>
      <c r="I350" s="36">
        <v>1</v>
      </c>
      <c r="J350" s="37">
        <v>0</v>
      </c>
    </row>
    <row r="351" spans="4:10" x14ac:dyDescent="0.15">
      <c r="D351" s="30">
        <v>41256</v>
      </c>
      <c r="E351" s="21">
        <v>0.30645161300000001</v>
      </c>
      <c r="F351" s="20">
        <v>1</v>
      </c>
      <c r="G351" s="21">
        <v>1</v>
      </c>
      <c r="H351" s="21">
        <v>0.69354838709677424</v>
      </c>
      <c r="I351" s="36">
        <v>1</v>
      </c>
      <c r="J351" s="37">
        <v>0</v>
      </c>
    </row>
    <row r="352" spans="4:10" x14ac:dyDescent="0.15">
      <c r="D352" s="30">
        <v>41257</v>
      </c>
      <c r="E352" s="21">
        <v>0.29032258099999997</v>
      </c>
      <c r="F352" s="20">
        <v>1</v>
      </c>
      <c r="G352" s="21">
        <v>1</v>
      </c>
      <c r="H352" s="21">
        <v>0.70967741935483875</v>
      </c>
      <c r="I352" s="36">
        <v>1</v>
      </c>
      <c r="J352" s="37">
        <v>0</v>
      </c>
    </row>
    <row r="353" spans="4:10" x14ac:dyDescent="0.15">
      <c r="D353" s="30">
        <v>41258</v>
      </c>
      <c r="E353" s="21">
        <v>0.27419354799999995</v>
      </c>
      <c r="F353" s="20">
        <v>1</v>
      </c>
      <c r="G353" s="21">
        <v>1</v>
      </c>
      <c r="H353" s="21">
        <v>0.72580645161290325</v>
      </c>
      <c r="I353" s="36">
        <v>1</v>
      </c>
      <c r="J353" s="37">
        <v>0</v>
      </c>
    </row>
    <row r="354" spans="4:10" x14ac:dyDescent="0.15">
      <c r="D354" s="30">
        <v>41259</v>
      </c>
      <c r="E354" s="21">
        <v>0.25806451600000002</v>
      </c>
      <c r="F354" s="20">
        <v>1</v>
      </c>
      <c r="G354" s="21">
        <v>1</v>
      </c>
      <c r="H354" s="21">
        <v>0.74193548387096775</v>
      </c>
      <c r="I354" s="36">
        <v>1</v>
      </c>
      <c r="J354" s="37">
        <v>0</v>
      </c>
    </row>
    <row r="355" spans="4:10" x14ac:dyDescent="0.15">
      <c r="D355" s="30">
        <v>41260</v>
      </c>
      <c r="E355" s="21">
        <v>0.24193548399999998</v>
      </c>
      <c r="F355" s="20">
        <v>1</v>
      </c>
      <c r="G355" s="21">
        <v>1</v>
      </c>
      <c r="H355" s="21">
        <v>0.75806451612903225</v>
      </c>
      <c r="I355" s="36">
        <v>1</v>
      </c>
      <c r="J355" s="37">
        <v>0</v>
      </c>
    </row>
    <row r="356" spans="4:10" x14ac:dyDescent="0.15">
      <c r="D356" s="30">
        <v>41261</v>
      </c>
      <c r="E356" s="21">
        <v>0.22580645200000005</v>
      </c>
      <c r="F356" s="20">
        <v>1</v>
      </c>
      <c r="G356" s="21">
        <v>1</v>
      </c>
      <c r="H356" s="21">
        <v>0.77419354838709675</v>
      </c>
      <c r="I356" s="36">
        <v>1</v>
      </c>
      <c r="J356" s="37">
        <v>0</v>
      </c>
    </row>
    <row r="357" spans="4:10" x14ac:dyDescent="0.15">
      <c r="D357" s="30">
        <v>41262</v>
      </c>
      <c r="E357" s="21">
        <v>0.20967741900000003</v>
      </c>
      <c r="F357" s="20">
        <v>1</v>
      </c>
      <c r="G357" s="21">
        <v>1</v>
      </c>
      <c r="H357" s="21">
        <v>0.79032258064516125</v>
      </c>
      <c r="I357" s="36">
        <v>1</v>
      </c>
      <c r="J357" s="37">
        <v>0</v>
      </c>
    </row>
    <row r="358" spans="4:10" x14ac:dyDescent="0.15">
      <c r="D358" s="30">
        <v>41263</v>
      </c>
      <c r="E358" s="21">
        <v>0.19354838699999999</v>
      </c>
      <c r="F358" s="20">
        <v>1</v>
      </c>
      <c r="G358" s="21">
        <v>1</v>
      </c>
      <c r="H358" s="21">
        <v>0.80645161290322576</v>
      </c>
      <c r="I358" s="36">
        <v>1</v>
      </c>
      <c r="J358" s="37">
        <v>0</v>
      </c>
    </row>
    <row r="359" spans="4:10" x14ac:dyDescent="0.15">
      <c r="D359" s="30">
        <v>41264</v>
      </c>
      <c r="E359" s="21">
        <v>0.17741935499999995</v>
      </c>
      <c r="F359" s="20">
        <v>1</v>
      </c>
      <c r="G359" s="21">
        <v>1</v>
      </c>
      <c r="H359" s="21">
        <v>0.82258064516129026</v>
      </c>
      <c r="I359" s="36">
        <v>1</v>
      </c>
      <c r="J359" s="37">
        <v>0</v>
      </c>
    </row>
    <row r="360" spans="4:10" x14ac:dyDescent="0.15">
      <c r="D360" s="30">
        <v>41265</v>
      </c>
      <c r="E360" s="21">
        <v>0.16129032300000001</v>
      </c>
      <c r="F360" s="20">
        <v>1</v>
      </c>
      <c r="G360" s="21">
        <v>1</v>
      </c>
      <c r="H360" s="21">
        <v>0.83870967741935487</v>
      </c>
      <c r="I360" s="36">
        <v>1</v>
      </c>
      <c r="J360" s="37">
        <v>0</v>
      </c>
    </row>
    <row r="361" spans="4:10" x14ac:dyDescent="0.15">
      <c r="D361" s="30">
        <v>41266</v>
      </c>
      <c r="E361" s="21">
        <v>0.14516129</v>
      </c>
      <c r="F361" s="20">
        <v>1</v>
      </c>
      <c r="G361" s="21">
        <v>1</v>
      </c>
      <c r="H361" s="21">
        <v>0.85483870967741937</v>
      </c>
      <c r="I361" s="36">
        <v>1</v>
      </c>
      <c r="J361" s="37">
        <v>0</v>
      </c>
    </row>
    <row r="362" spans="4:10" x14ac:dyDescent="0.15">
      <c r="D362" s="30">
        <v>41267</v>
      </c>
      <c r="E362" s="21">
        <v>0.12903225799999996</v>
      </c>
      <c r="F362" s="20">
        <v>1</v>
      </c>
      <c r="G362" s="21">
        <v>1</v>
      </c>
      <c r="H362" s="21">
        <v>0.87096774193548387</v>
      </c>
      <c r="I362" s="36">
        <v>1</v>
      </c>
      <c r="J362" s="37">
        <v>0</v>
      </c>
    </row>
    <row r="363" spans="4:10" x14ac:dyDescent="0.15">
      <c r="D363" s="30">
        <v>41268</v>
      </c>
      <c r="E363" s="21">
        <v>0.11290322600000002</v>
      </c>
      <c r="F363" s="20">
        <v>1</v>
      </c>
      <c r="G363" s="21">
        <v>1</v>
      </c>
      <c r="H363" s="21">
        <v>0.88709677419354838</v>
      </c>
      <c r="I363" s="36">
        <v>1</v>
      </c>
      <c r="J363" s="37">
        <v>0</v>
      </c>
    </row>
    <row r="364" spans="4:10" x14ac:dyDescent="0.15">
      <c r="D364" s="30">
        <v>41269</v>
      </c>
      <c r="E364" s="21">
        <v>9.677419399999998E-2</v>
      </c>
      <c r="F364" s="20">
        <v>1</v>
      </c>
      <c r="G364" s="21">
        <v>1</v>
      </c>
      <c r="H364" s="21">
        <v>0.90322580645161288</v>
      </c>
      <c r="I364" s="36">
        <v>1</v>
      </c>
      <c r="J364" s="37">
        <v>0</v>
      </c>
    </row>
    <row r="365" spans="4:10" x14ac:dyDescent="0.15">
      <c r="D365" s="30">
        <v>41270</v>
      </c>
      <c r="E365" s="21">
        <v>8.0645160999999965E-2</v>
      </c>
      <c r="F365" s="20">
        <v>1</v>
      </c>
      <c r="G365" s="21">
        <v>1</v>
      </c>
      <c r="H365" s="21">
        <v>0.91935483870967738</v>
      </c>
      <c r="I365" s="36">
        <v>1</v>
      </c>
      <c r="J365" s="37">
        <v>0</v>
      </c>
    </row>
    <row r="366" spans="4:10" x14ac:dyDescent="0.15">
      <c r="D366" s="30">
        <v>41271</v>
      </c>
      <c r="E366" s="21">
        <v>6.4516129000000033E-2</v>
      </c>
      <c r="F366" s="20">
        <v>1</v>
      </c>
      <c r="G366" s="21">
        <v>1</v>
      </c>
      <c r="H366" s="21">
        <v>0.93548387096774199</v>
      </c>
      <c r="I366" s="36">
        <v>1</v>
      </c>
      <c r="J366" s="37">
        <v>0</v>
      </c>
    </row>
    <row r="367" spans="4:10" x14ac:dyDescent="0.15">
      <c r="D367" s="30">
        <v>41272</v>
      </c>
      <c r="E367" s="21">
        <v>4.838709699999999E-2</v>
      </c>
      <c r="F367" s="20">
        <v>1</v>
      </c>
      <c r="G367" s="21">
        <v>1</v>
      </c>
      <c r="H367" s="21">
        <v>0.95161290322580649</v>
      </c>
      <c r="I367" s="36">
        <v>1</v>
      </c>
      <c r="J367" s="37">
        <v>0</v>
      </c>
    </row>
    <row r="368" spans="4:10" x14ac:dyDescent="0.15">
      <c r="D368" s="30">
        <v>41273</v>
      </c>
      <c r="E368" s="21">
        <v>3.2258064999999947E-2</v>
      </c>
      <c r="F368" s="20">
        <v>1</v>
      </c>
      <c r="G368" s="21">
        <v>1</v>
      </c>
      <c r="H368" s="21">
        <v>0.967741935483871</v>
      </c>
      <c r="I368" s="36">
        <v>1</v>
      </c>
      <c r="J368" s="37">
        <v>0</v>
      </c>
    </row>
    <row r="369" spans="4:10" ht="15.75" thickBot="1" x14ac:dyDescent="0.2">
      <c r="D369" s="31">
        <v>41274</v>
      </c>
      <c r="E369" s="32">
        <v>1.6129032000000043E-2</v>
      </c>
      <c r="F369" s="33">
        <v>1</v>
      </c>
      <c r="G369" s="32">
        <v>1</v>
      </c>
      <c r="H369" s="32">
        <v>0.9838709677419355</v>
      </c>
      <c r="I369" s="38">
        <v>1</v>
      </c>
      <c r="J369" s="39">
        <v>0</v>
      </c>
    </row>
  </sheetData>
  <mergeCells count="1">
    <mergeCell ref="D2:H2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44</vt:i4>
      </vt:variant>
    </vt:vector>
  </HeadingPairs>
  <TitlesOfParts>
    <vt:vector size="48" baseType="lpstr">
      <vt:lpstr>UNIT</vt:lpstr>
      <vt:lpstr>THP2</vt:lpstr>
      <vt:lpstr>Fuel &amp; Resister</vt:lpstr>
      <vt:lpstr>Usage Rate</vt:lpstr>
      <vt:lpstr>BTY</vt:lpstr>
      <vt:lpstr>CCSC</vt:lpstr>
      <vt:lpstr>CCSEl</vt:lpstr>
      <vt:lpstr>CCSLT</vt:lpstr>
      <vt:lpstr>CO2F</vt:lpstr>
      <vt:lpstr>COAL</vt:lpstr>
      <vt:lpstr>EXIU</vt:lpstr>
      <vt:lpstr>EXU</vt:lpstr>
      <vt:lpstr>FCC</vt:lpstr>
      <vt:lpstr>FCT</vt:lpstr>
      <vt:lpstr>FF</vt:lpstr>
      <vt:lpstr>FHC</vt:lpstr>
      <vt:lpstr>FTY</vt:lpstr>
      <vt:lpstr>HR</vt:lpstr>
      <vt:lpstr>LFC</vt:lpstr>
      <vt:lpstr>LFCR</vt:lpstr>
      <vt:lpstr>LNG</vt:lpstr>
      <vt:lpstr>M</vt:lpstr>
      <vt:lpstr>MDY</vt:lpstr>
      <vt:lpstr>MO</vt:lpstr>
      <vt:lpstr>MOL</vt:lpstr>
      <vt:lpstr>MS</vt:lpstr>
      <vt:lpstr>MSD</vt:lpstr>
      <vt:lpstr>MXU</vt:lpstr>
      <vt:lpstr>NUCLEAR</vt:lpstr>
      <vt:lpstr>OCR</vt:lpstr>
      <vt:lpstr>OIL</vt:lpstr>
      <vt:lpstr>PEF</vt:lpstr>
      <vt:lpstr>PLO</vt:lpstr>
      <vt:lpstr>PLT</vt:lpstr>
      <vt:lpstr>PN</vt:lpstr>
      <vt:lpstr>POM</vt:lpstr>
      <vt:lpstr>PP</vt:lpstr>
      <vt:lpstr>PTY</vt:lpstr>
      <vt:lpstr>PTYN</vt:lpstr>
      <vt:lpstr>PUC</vt:lpstr>
      <vt:lpstr>REG</vt:lpstr>
      <vt:lpstr>RFC</vt:lpstr>
      <vt:lpstr>SC</vt:lpstr>
      <vt:lpstr>STUC</vt:lpstr>
      <vt:lpstr>SYN</vt:lpstr>
      <vt:lpstr>UCAP</vt:lpstr>
      <vt:lpstr>UR</vt:lpstr>
      <vt:lpstr>USR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康正</dc:creator>
  <cp:lastModifiedBy>田原 聡史</cp:lastModifiedBy>
  <cp:lastPrinted>2011-11-08T07:36:57Z</cp:lastPrinted>
  <dcterms:created xsi:type="dcterms:W3CDTF">2010-09-10T06:00:32Z</dcterms:created>
  <dcterms:modified xsi:type="dcterms:W3CDTF">2021-12-29T09:22:18Z</dcterms:modified>
</cp:coreProperties>
</file>