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ahara\Desktop\2021_OPGMDec\"/>
    </mc:Choice>
  </mc:AlternateContent>
  <bookViews>
    <workbookView xWindow="3150" yWindow="90" windowWidth="5820" windowHeight="3675" activeTab="2"/>
  </bookViews>
  <sheets>
    <sheet name="Facility" sheetId="41" r:id="rId1"/>
    <sheet name="Balance" sheetId="40" r:id="rId2"/>
    <sheet name="City_Gas" sheetId="42" r:id="rId3"/>
    <sheet name="IMP_Hy" sheetId="43" r:id="rId4"/>
  </sheets>
  <externalReferences>
    <externalReference r:id="rId5"/>
  </externalReferences>
  <definedNames>
    <definedName name="CCS">Balance!$M$1</definedName>
    <definedName name="CO2DE">Balance!$E$5:$AD$5</definedName>
    <definedName name="DLFCC">Balance!$E$4:$AD$4</definedName>
    <definedName name="E0">Facility!$C$1</definedName>
    <definedName name="EBS">Balance!$B$6:$B$11</definedName>
    <definedName name="ECR">Facility!$C$14:$W$14</definedName>
    <definedName name="ECYC">Facility!$C$12:$W$12</definedName>
    <definedName name="EDT">Facility!$C$13:$W$13</definedName>
    <definedName name="Elec">Balance!$A$6</definedName>
    <definedName name="ELT">Facility!$C$9:$W$9</definedName>
    <definedName name="EMC">Balance!$E$6:$AD$11</definedName>
    <definedName name="EN">Facility!$B$18:$B$30</definedName>
    <definedName name="ENM">Balance!$B$1</definedName>
    <definedName name="EOM">Facility!$C$10:$W$10</definedName>
    <definedName name="ESC">Balance!$E$12:$AD$17</definedName>
    <definedName name="ETU">Facility!$C$8:$W$8</definedName>
    <definedName name="ETYN">Facility!$B$1</definedName>
    <definedName name="EUC">Facility!$C$6:$W$6</definedName>
    <definedName name="EUS">Facility!$C$11:$W$11</definedName>
    <definedName name="EVC">Balance!$E$18:$AD$18</definedName>
    <definedName name="HCE">Balance!$E$6:$AD$11</definedName>
    <definedName name="HNS">Balance!$D$1</definedName>
    <definedName name="HSC">Balance!$E$12:$AD$17</definedName>
    <definedName name="Hyd">Balance!$A$9</definedName>
    <definedName name="HyFlag">Balance!$C$12:$C$17</definedName>
    <definedName name="HySch">IMP_Hy!$B$3:$N$367</definedName>
    <definedName name="IES">Facility!$C$4:$W$4</definedName>
    <definedName name="IFD">Balance!$E$3:$AD$3</definedName>
    <definedName name="KEmax">Facility!$C$34:$W$46</definedName>
    <definedName name="KEmin">Facility!$C$18:$W$30</definedName>
    <definedName name="METLOADN">City_Gas!$C$5:$K$369</definedName>
    <definedName name="METRE">City_Gas!$N$23</definedName>
    <definedName name="NCO">Balance!$A$10</definedName>
    <definedName name="OTYN">Balance!$A$1</definedName>
    <definedName name="PSC">Facility!$C$5:$W$5</definedName>
    <definedName name="Syno">Balance!$A$11</definedName>
  </definedNames>
  <calcPr calcId="162913" calcMode="manual"/>
</workbook>
</file>

<file path=xl/calcChain.xml><?xml version="1.0" encoding="utf-8"?>
<calcChain xmlns="http://schemas.openxmlformats.org/spreadsheetml/2006/main">
  <c r="B19" i="41" l="1"/>
  <c r="B35" i="41" s="1"/>
  <c r="B20" i="41"/>
  <c r="B36" i="41" s="1"/>
  <c r="B21" i="41"/>
  <c r="B37" i="41" s="1"/>
  <c r="B22" i="41"/>
  <c r="B38" i="41" s="1"/>
  <c r="B23" i="41"/>
  <c r="B39" i="41" s="1"/>
  <c r="B24" i="41"/>
  <c r="B40" i="41" s="1"/>
  <c r="B25" i="41"/>
  <c r="B41" i="41" s="1"/>
  <c r="B26" i="41"/>
  <c r="B42" i="41" s="1"/>
  <c r="B27" i="41"/>
  <c r="B43" i="41" s="1"/>
  <c r="B28" i="41"/>
  <c r="B44" i="41" s="1"/>
  <c r="B29" i="41"/>
  <c r="B45" i="41" s="1"/>
  <c r="B30" i="41"/>
  <c r="P15" i="40" l="1"/>
  <c r="R15" i="40" l="1"/>
  <c r="N125" i="42" l="1"/>
  <c r="G6" i="41" l="1"/>
  <c r="Q4" i="42" l="1"/>
  <c r="O8" i="42" l="1"/>
  <c r="N19" i="42"/>
  <c r="O9" i="42" s="1"/>
  <c r="D3" i="42"/>
  <c r="E3" i="42"/>
  <c r="F3" i="42"/>
  <c r="G3" i="42"/>
  <c r="E362" i="42" l="1"/>
  <c r="E280" i="42"/>
  <c r="E259" i="42"/>
  <c r="E238" i="42"/>
  <c r="E216" i="42"/>
  <c r="E134" i="42"/>
  <c r="E113" i="42"/>
  <c r="E92" i="42"/>
  <c r="E14" i="42"/>
  <c r="E310" i="42"/>
  <c r="E289" i="42"/>
  <c r="E268" i="42"/>
  <c r="E247" i="42"/>
  <c r="E164" i="42"/>
  <c r="E143" i="42"/>
  <c r="E122" i="42"/>
  <c r="E42" i="42"/>
  <c r="E23" i="42"/>
  <c r="E340" i="42"/>
  <c r="E319" i="42"/>
  <c r="E298" i="42"/>
  <c r="E277" i="42"/>
  <c r="E194" i="42"/>
  <c r="E349" i="42"/>
  <c r="E328" i="42"/>
  <c r="E307" i="42"/>
  <c r="E225" i="42"/>
  <c r="E203" i="42"/>
  <c r="E182" i="42"/>
  <c r="E100" i="42"/>
  <c r="E79" i="42"/>
  <c r="E60" i="42"/>
  <c r="E358" i="42"/>
  <c r="E337" i="42"/>
  <c r="E367" i="42"/>
  <c r="E285" i="42"/>
  <c r="E264" i="42"/>
  <c r="E243" i="42"/>
  <c r="E160" i="42"/>
  <c r="E139" i="42"/>
  <c r="E118" i="42"/>
  <c r="E38" i="42"/>
  <c r="E19" i="42"/>
  <c r="E315" i="42"/>
  <c r="E294" i="42"/>
  <c r="E273" i="42"/>
  <c r="E190" i="42"/>
  <c r="E169" i="42"/>
  <c r="E148" i="42"/>
  <c r="E66" i="42"/>
  <c r="E47" i="42"/>
  <c r="E28" i="42"/>
  <c r="E351" i="42"/>
  <c r="E288" i="42"/>
  <c r="E188" i="42"/>
  <c r="E204" i="42"/>
  <c r="E174" i="42"/>
  <c r="E179" i="42"/>
  <c r="E184" i="42"/>
  <c r="E128" i="42"/>
  <c r="E133" i="42"/>
  <c r="E138" i="42"/>
  <c r="E10" i="42"/>
  <c r="E275" i="42"/>
  <c r="E154" i="42"/>
  <c r="E108" i="42"/>
  <c r="E317" i="42"/>
  <c r="E229" i="42"/>
  <c r="E245" i="42"/>
  <c r="E199" i="42"/>
  <c r="E98" i="42"/>
  <c r="E346" i="42"/>
  <c r="E283" i="42"/>
  <c r="E224" i="42"/>
  <c r="E240" i="42"/>
  <c r="E36" i="42"/>
  <c r="E144" i="42"/>
  <c r="E312" i="42"/>
  <c r="E309" i="42"/>
  <c r="E219" i="42"/>
  <c r="E235" i="42"/>
  <c r="E93" i="42"/>
  <c r="E39" i="42"/>
  <c r="E44" i="42"/>
  <c r="E49" i="42"/>
  <c r="E54" i="42"/>
  <c r="E59" i="42"/>
  <c r="E230" i="42"/>
  <c r="E149" i="42"/>
  <c r="E103" i="42"/>
  <c r="E341" i="42"/>
  <c r="E368" i="42"/>
  <c r="E254" i="42"/>
  <c r="E270" i="42"/>
  <c r="E88" i="42"/>
  <c r="E334" i="42"/>
  <c r="E249" i="42"/>
  <c r="E265" i="42"/>
  <c r="E159" i="42"/>
  <c r="E284" i="42"/>
  <c r="E226" i="42"/>
  <c r="E189" i="42"/>
  <c r="E208" i="42"/>
  <c r="E178" i="42"/>
  <c r="E99" i="42"/>
  <c r="E80" i="42"/>
  <c r="E62" i="42"/>
  <c r="E291" i="42"/>
  <c r="E297" i="42"/>
  <c r="E274" i="42"/>
  <c r="E45" i="42"/>
  <c r="E21" i="42"/>
  <c r="E215" i="42"/>
  <c r="E130" i="42"/>
  <c r="E185" i="42"/>
  <c r="E117" i="42"/>
  <c r="E27" i="42"/>
  <c r="E106" i="42"/>
  <c r="E161" i="42"/>
  <c r="E233" i="42"/>
  <c r="E173" i="42"/>
  <c r="E232" i="42"/>
  <c r="E214" i="42"/>
  <c r="E166" i="42"/>
  <c r="E111" i="42"/>
  <c r="E123" i="42"/>
  <c r="E74" i="42"/>
  <c r="E313" i="42"/>
  <c r="E172" i="42"/>
  <c r="E136" i="42"/>
  <c r="E86" i="42"/>
  <c r="E15" i="42"/>
  <c r="E196" i="42"/>
  <c r="E51" i="42"/>
  <c r="E33" i="42"/>
  <c r="E155" i="42"/>
  <c r="E361" i="42"/>
  <c r="E69" i="42"/>
  <c r="E355" i="42"/>
  <c r="E81" i="42"/>
  <c r="E63" i="42"/>
  <c r="E9" i="42"/>
  <c r="E57" i="42"/>
  <c r="E269" i="42"/>
  <c r="E256" i="42"/>
  <c r="E320" i="42"/>
  <c r="E326" i="42"/>
  <c r="E332" i="42"/>
  <c r="E262" i="42"/>
  <c r="E220" i="42"/>
  <c r="E239" i="42"/>
  <c r="E202" i="42"/>
  <c r="E142" i="42"/>
  <c r="E124" i="42"/>
  <c r="E75" i="42"/>
  <c r="E40" i="42"/>
  <c r="E16" i="42"/>
  <c r="E221" i="42"/>
  <c r="E250" i="42"/>
  <c r="E342" i="42"/>
  <c r="E348" i="42"/>
  <c r="E304" i="42"/>
  <c r="E305" i="42"/>
  <c r="E246" i="42"/>
  <c r="E279" i="42"/>
  <c r="E227" i="42"/>
  <c r="E209" i="42"/>
  <c r="E333" i="42"/>
  <c r="E195" i="42"/>
  <c r="E168" i="42"/>
  <c r="E112" i="42"/>
  <c r="E120" i="42"/>
  <c r="E301" i="42"/>
  <c r="E205" i="42"/>
  <c r="E241" i="42"/>
  <c r="E343" i="42"/>
  <c r="E276" i="42"/>
  <c r="E104" i="42"/>
  <c r="E48" i="42"/>
  <c r="E339" i="42"/>
  <c r="E187" i="42"/>
  <c r="E76" i="42"/>
  <c r="E352" i="42"/>
  <c r="E327" i="42"/>
  <c r="E258" i="42"/>
  <c r="E177" i="42"/>
  <c r="E5" i="42"/>
  <c r="E251" i="42"/>
  <c r="E197" i="42"/>
  <c r="E126" i="42"/>
  <c r="E114" i="42"/>
  <c r="E231" i="42"/>
  <c r="E83" i="42"/>
  <c r="E12" i="42"/>
  <c r="E266" i="42"/>
  <c r="E156" i="42"/>
  <c r="E55" i="42"/>
  <c r="E278" i="42"/>
  <c r="E150" i="42"/>
  <c r="E35" i="42"/>
  <c r="E213" i="42"/>
  <c r="E84" i="42"/>
  <c r="E360" i="42"/>
  <c r="E223" i="42"/>
  <c r="E170" i="42"/>
  <c r="E141" i="42"/>
  <c r="E67" i="42"/>
  <c r="E41" i="42"/>
  <c r="E56" i="42"/>
  <c r="E102" i="42"/>
  <c r="E50" i="42"/>
  <c r="E11" i="42"/>
  <c r="E365" i="42"/>
  <c r="E329" i="42"/>
  <c r="E192" i="42"/>
  <c r="E52" i="42"/>
  <c r="E145" i="42"/>
  <c r="E91" i="42"/>
  <c r="E135" i="42"/>
  <c r="E30" i="42"/>
  <c r="E252" i="42"/>
  <c r="E115" i="42"/>
  <c r="E125" i="42"/>
  <c r="E94" i="42"/>
  <c r="E146" i="42"/>
  <c r="E347" i="42"/>
  <c r="E65" i="42"/>
  <c r="E354" i="42"/>
  <c r="E300" i="42"/>
  <c r="E163" i="42"/>
  <c r="E183" i="42"/>
  <c r="E153" i="42"/>
  <c r="E90" i="42"/>
  <c r="E338" i="42"/>
  <c r="E20" i="42"/>
  <c r="E61" i="42"/>
  <c r="E356" i="42"/>
  <c r="E272" i="42"/>
  <c r="E105" i="42"/>
  <c r="E357" i="42"/>
  <c r="E31" i="42"/>
  <c r="E302" i="42"/>
  <c r="E369" i="42"/>
  <c r="E303" i="42"/>
  <c r="E253" i="42"/>
  <c r="E157" i="42"/>
  <c r="E72" i="42"/>
  <c r="E366" i="42"/>
  <c r="E193" i="42"/>
  <c r="E73" i="42"/>
  <c r="E13" i="42"/>
  <c r="E127" i="42"/>
  <c r="E321" i="42"/>
  <c r="E234" i="42"/>
  <c r="E22" i="42"/>
  <c r="E165" i="42"/>
  <c r="E244" i="42"/>
  <c r="E95" i="42"/>
  <c r="E206" i="42"/>
  <c r="E176" i="42"/>
  <c r="E292" i="42"/>
  <c r="E167" i="42"/>
  <c r="E96" i="42"/>
  <c r="E116" i="42"/>
  <c r="E261" i="42"/>
  <c r="E175" i="42"/>
  <c r="E222" i="42"/>
  <c r="E82" i="42"/>
  <c r="E330" i="42"/>
  <c r="E137" i="42"/>
  <c r="E293" i="42"/>
  <c r="E107" i="42"/>
  <c r="E344" i="42"/>
  <c r="E316" i="42"/>
  <c r="E318" i="42"/>
  <c r="E43" i="42"/>
  <c r="E53" i="42"/>
  <c r="E97" i="42"/>
  <c r="E6" i="42"/>
  <c r="E85" i="42"/>
  <c r="E345" i="42"/>
  <c r="E186" i="42"/>
  <c r="E290" i="42"/>
  <c r="E263" i="42"/>
  <c r="E281" i="42"/>
  <c r="E236" i="42"/>
  <c r="E32" i="42"/>
  <c r="E325" i="42"/>
  <c r="E308" i="42"/>
  <c r="E331" i="42"/>
  <c r="E58" i="42"/>
  <c r="E34" i="42"/>
  <c r="E295" i="42"/>
  <c r="E191" i="42"/>
  <c r="E17" i="42"/>
  <c r="E311" i="42"/>
  <c r="E211" i="42"/>
  <c r="E171" i="42"/>
  <c r="E109" i="42"/>
  <c r="E131" i="42"/>
  <c r="E212" i="42"/>
  <c r="E237" i="42"/>
  <c r="E336" i="42"/>
  <c r="E152" i="42"/>
  <c r="E287" i="42"/>
  <c r="E147" i="42"/>
  <c r="E129" i="42"/>
  <c r="E350" i="42"/>
  <c r="E151" i="42"/>
  <c r="E255" i="42"/>
  <c r="E46" i="42"/>
  <c r="E89" i="42"/>
  <c r="E363" i="42"/>
  <c r="E162" i="42"/>
  <c r="E322" i="42"/>
  <c r="E78" i="42"/>
  <c r="E296" i="42"/>
  <c r="E257" i="42"/>
  <c r="E218" i="42"/>
  <c r="E140" i="42"/>
  <c r="E8" i="42"/>
  <c r="E248" i="42"/>
  <c r="E87" i="42"/>
  <c r="E314" i="42"/>
  <c r="E119" i="42"/>
  <c r="E282" i="42"/>
  <c r="E207" i="42"/>
  <c r="E271" i="42"/>
  <c r="E68" i="42"/>
  <c r="E335" i="42"/>
  <c r="E180" i="42"/>
  <c r="E70" i="42"/>
  <c r="E24" i="42"/>
  <c r="E71" i="42"/>
  <c r="E299" i="42"/>
  <c r="E64" i="42"/>
  <c r="E26" i="42"/>
  <c r="E198" i="42"/>
  <c r="E132" i="42"/>
  <c r="E353" i="42"/>
  <c r="E158" i="42"/>
  <c r="E181" i="42"/>
  <c r="E25" i="42"/>
  <c r="E306" i="42"/>
  <c r="E286" i="42"/>
  <c r="E217" i="42"/>
  <c r="E324" i="42"/>
  <c r="E101" i="42"/>
  <c r="E110" i="42"/>
  <c r="E18" i="42"/>
  <c r="E200" i="42"/>
  <c r="E242" i="42"/>
  <c r="E323" i="42"/>
  <c r="E201" i="42"/>
  <c r="E7" i="42"/>
  <c r="E359" i="42"/>
  <c r="E260" i="42"/>
  <c r="E77" i="42"/>
  <c r="E364" i="42"/>
  <c r="E37" i="42"/>
  <c r="E29" i="42"/>
  <c r="E267" i="42"/>
  <c r="E228" i="42"/>
  <c r="E210" i="42"/>
  <c r="E121" i="42"/>
  <c r="G344" i="42"/>
  <c r="G323" i="42"/>
  <c r="G302" i="42"/>
  <c r="G220" i="42"/>
  <c r="G198" i="42"/>
  <c r="G177" i="42"/>
  <c r="G156" i="42"/>
  <c r="G74" i="42"/>
  <c r="G55" i="42"/>
  <c r="G36" i="42"/>
  <c r="G353" i="42"/>
  <c r="G332" i="42"/>
  <c r="G250" i="42"/>
  <c r="G229" i="42"/>
  <c r="G207" i="42"/>
  <c r="G104" i="42"/>
  <c r="G83" i="42"/>
  <c r="G216" i="42"/>
  <c r="G362" i="42"/>
  <c r="G280" i="42"/>
  <c r="G259" i="42"/>
  <c r="G238" i="42"/>
  <c r="G310" i="42"/>
  <c r="G289" i="42"/>
  <c r="G268" i="42"/>
  <c r="G247" i="42"/>
  <c r="G164" i="42"/>
  <c r="G143" i="42"/>
  <c r="G122" i="42"/>
  <c r="G42" i="42"/>
  <c r="G23" i="42"/>
  <c r="G340" i="42"/>
  <c r="G319" i="42"/>
  <c r="G349" i="42"/>
  <c r="G328" i="42"/>
  <c r="G307" i="42"/>
  <c r="G225" i="42"/>
  <c r="G203" i="42"/>
  <c r="G182" i="42"/>
  <c r="G100" i="42"/>
  <c r="G79" i="42"/>
  <c r="G60" i="42"/>
  <c r="G358" i="42"/>
  <c r="G337" i="42"/>
  <c r="G255" i="42"/>
  <c r="G234" i="42"/>
  <c r="G212" i="42"/>
  <c r="G130" i="42"/>
  <c r="G109" i="42"/>
  <c r="G88" i="42"/>
  <c r="G10" i="42"/>
  <c r="G356" i="42"/>
  <c r="G293" i="42"/>
  <c r="G304" i="42"/>
  <c r="G214" i="42"/>
  <c r="G15" i="42"/>
  <c r="G20" i="42"/>
  <c r="G25" i="42"/>
  <c r="G30" i="42"/>
  <c r="G35" i="42"/>
  <c r="G240" i="42"/>
  <c r="G322" i="42"/>
  <c r="G299" i="42"/>
  <c r="G193" i="42"/>
  <c r="G209" i="42"/>
  <c r="G118" i="42"/>
  <c r="G123" i="42"/>
  <c r="G67" i="42"/>
  <c r="G72" i="42"/>
  <c r="G77" i="42"/>
  <c r="G82" i="42"/>
  <c r="G87" i="42"/>
  <c r="G351" i="42"/>
  <c r="G288" i="42"/>
  <c r="G294" i="42"/>
  <c r="G188" i="42"/>
  <c r="G204" i="42"/>
  <c r="G169" i="42"/>
  <c r="G174" i="42"/>
  <c r="G179" i="42"/>
  <c r="G184" i="42"/>
  <c r="G128" i="42"/>
  <c r="G133" i="42"/>
  <c r="G138" i="42"/>
  <c r="G224" i="42"/>
  <c r="G113" i="42"/>
  <c r="G317" i="42"/>
  <c r="G245" i="42"/>
  <c r="G199" i="42"/>
  <c r="G346" i="42"/>
  <c r="G283" i="42"/>
  <c r="G312" i="42"/>
  <c r="G309" i="42"/>
  <c r="G219" i="42"/>
  <c r="G235" i="42"/>
  <c r="G93" i="42"/>
  <c r="G39" i="42"/>
  <c r="G44" i="42"/>
  <c r="G49" i="42"/>
  <c r="G54" i="42"/>
  <c r="G59" i="42"/>
  <c r="G341" i="42"/>
  <c r="G275" i="42"/>
  <c r="G230" i="42"/>
  <c r="G194" i="42"/>
  <c r="G139" i="42"/>
  <c r="G144" i="42"/>
  <c r="G149" i="42"/>
  <c r="G154" i="42"/>
  <c r="G338" i="42"/>
  <c r="G267" i="42"/>
  <c r="G147" i="42"/>
  <c r="G105" i="42"/>
  <c r="G32" i="42"/>
  <c r="G226" i="42"/>
  <c r="G189" i="42"/>
  <c r="G178" i="42"/>
  <c r="G80" i="42"/>
  <c r="G232" i="42"/>
  <c r="G274" i="42"/>
  <c r="G45" i="42"/>
  <c r="G51" i="42"/>
  <c r="G124" i="42"/>
  <c r="G57" i="42"/>
  <c r="G342" i="42"/>
  <c r="G354" i="42"/>
  <c r="G360" i="42"/>
  <c r="G366" i="42"/>
  <c r="G160" i="42"/>
  <c r="G68" i="42"/>
  <c r="G284" i="42"/>
  <c r="G249" i="42"/>
  <c r="G208" i="42"/>
  <c r="G99" i="42"/>
  <c r="G62" i="42"/>
  <c r="G367" i="42"/>
  <c r="G166" i="42"/>
  <c r="G111" i="42"/>
  <c r="G21" i="42"/>
  <c r="G185" i="42"/>
  <c r="G117" i="42"/>
  <c r="G16" i="42"/>
  <c r="G355" i="42"/>
  <c r="G305" i="42"/>
  <c r="G297" i="42"/>
  <c r="G148" i="42"/>
  <c r="G92" i="42"/>
  <c r="G75" i="42"/>
  <c r="G27" i="42"/>
  <c r="G333" i="42"/>
  <c r="G298" i="42"/>
  <c r="G106" i="42"/>
  <c r="G285" i="42"/>
  <c r="G291" i="42"/>
  <c r="G368" i="42"/>
  <c r="G313" i="42"/>
  <c r="G190" i="42"/>
  <c r="G215" i="42"/>
  <c r="G172" i="42"/>
  <c r="G136" i="42"/>
  <c r="G86" i="42"/>
  <c r="G348" i="42"/>
  <c r="G361" i="42"/>
  <c r="G246" i="42"/>
  <c r="G256" i="42"/>
  <c r="G196" i="42"/>
  <c r="G9" i="42"/>
  <c r="G33" i="42"/>
  <c r="G155" i="42"/>
  <c r="G221" i="42"/>
  <c r="G320" i="42"/>
  <c r="G326" i="42"/>
  <c r="G262" i="42"/>
  <c r="G239" i="42"/>
  <c r="G202" i="42"/>
  <c r="G142" i="42"/>
  <c r="G40" i="42"/>
  <c r="G90" i="42"/>
  <c r="G120" i="42"/>
  <c r="G12" i="42"/>
  <c r="G301" i="42"/>
  <c r="G205" i="42"/>
  <c r="G150" i="42"/>
  <c r="G276" i="42"/>
  <c r="G48" i="42"/>
  <c r="G325" i="42"/>
  <c r="G335" i="42"/>
  <c r="G282" i="42"/>
  <c r="G292" i="42"/>
  <c r="G161" i="42"/>
  <c r="G132" i="42"/>
  <c r="G96" i="42"/>
  <c r="G63" i="42"/>
  <c r="G19" i="42"/>
  <c r="G195" i="42"/>
  <c r="G168" i="42"/>
  <c r="G112" i="42"/>
  <c r="G28" i="42"/>
  <c r="G231" i="42"/>
  <c r="G266" i="42"/>
  <c r="G278" i="42"/>
  <c r="G241" i="42"/>
  <c r="G343" i="42"/>
  <c r="G213" i="42"/>
  <c r="G339" i="42"/>
  <c r="G187" i="42"/>
  <c r="G327" i="42"/>
  <c r="G201" i="42"/>
  <c r="G134" i="42"/>
  <c r="G102" i="42"/>
  <c r="G81" i="42"/>
  <c r="G300" i="42"/>
  <c r="G11" i="42"/>
  <c r="G279" i="42"/>
  <c r="G135" i="42"/>
  <c r="G22" i="42"/>
  <c r="G318" i="42"/>
  <c r="G263" i="42"/>
  <c r="G73" i="42"/>
  <c r="G197" i="42"/>
  <c r="G251" i="42"/>
  <c r="G271" i="42"/>
  <c r="G243" i="42"/>
  <c r="G114" i="42"/>
  <c r="G71" i="42"/>
  <c r="G233" i="42"/>
  <c r="G50" i="42"/>
  <c r="G163" i="42"/>
  <c r="G183" i="42"/>
  <c r="G153" i="42"/>
  <c r="G52" i="42"/>
  <c r="G145" i="42"/>
  <c r="G272" i="42"/>
  <c r="G43" i="42"/>
  <c r="G357" i="42"/>
  <c r="G125" i="42"/>
  <c r="G303" i="42"/>
  <c r="G264" i="42"/>
  <c r="G107" i="42"/>
  <c r="G206" i="42"/>
  <c r="G53" i="42"/>
  <c r="G369" i="42"/>
  <c r="G146" i="42"/>
  <c r="G127" i="42"/>
  <c r="G76" i="42"/>
  <c r="G103" i="42"/>
  <c r="G175" i="42"/>
  <c r="G91" i="42"/>
  <c r="G186" i="42"/>
  <c r="G61" i="42"/>
  <c r="G94" i="42"/>
  <c r="G365" i="42"/>
  <c r="G329" i="42"/>
  <c r="G192" i="42"/>
  <c r="G223" i="42"/>
  <c r="G165" i="42"/>
  <c r="G84" i="42"/>
  <c r="G273" i="42"/>
  <c r="G13" i="42"/>
  <c r="G97" i="42"/>
  <c r="G345" i="42"/>
  <c r="G236" i="42"/>
  <c r="G137" i="42"/>
  <c r="G261" i="42"/>
  <c r="G126" i="42"/>
  <c r="G290" i="42"/>
  <c r="G252" i="42"/>
  <c r="G115" i="42"/>
  <c r="G31" i="42"/>
  <c r="G167" i="42"/>
  <c r="G316" i="42"/>
  <c r="G222" i="42"/>
  <c r="G244" i="42"/>
  <c r="G95" i="42"/>
  <c r="G330" i="42"/>
  <c r="G176" i="42"/>
  <c r="G281" i="42"/>
  <c r="G269" i="42"/>
  <c r="G14" i="42"/>
  <c r="G29" i="42"/>
  <c r="G121" i="42"/>
  <c r="G37" i="42"/>
  <c r="G270" i="42"/>
  <c r="G170" i="42"/>
  <c r="G308" i="42"/>
  <c r="G108" i="42"/>
  <c r="G253" i="42"/>
  <c r="G295" i="42"/>
  <c r="G191" i="42"/>
  <c r="G41" i="42"/>
  <c r="G350" i="42"/>
  <c r="G131" i="42"/>
  <c r="G352" i="42"/>
  <c r="G173" i="42"/>
  <c r="G6" i="42"/>
  <c r="G47" i="42"/>
  <c r="G116" i="42"/>
  <c r="G347" i="42"/>
  <c r="G228" i="42"/>
  <c r="G210" i="42"/>
  <c r="G287" i="42"/>
  <c r="G38" i="42"/>
  <c r="G65" i="42"/>
  <c r="G331" i="42"/>
  <c r="G58" i="42"/>
  <c r="G34" i="42"/>
  <c r="G129" i="42"/>
  <c r="G17" i="42"/>
  <c r="G171" i="42"/>
  <c r="G151" i="42"/>
  <c r="G5" i="42"/>
  <c r="G158" i="42"/>
  <c r="G363" i="42"/>
  <c r="G140" i="42"/>
  <c r="G306" i="42"/>
  <c r="G141" i="42"/>
  <c r="G69" i="42"/>
  <c r="G152" i="42"/>
  <c r="G314" i="42"/>
  <c r="G257" i="42"/>
  <c r="G315" i="42"/>
  <c r="G242" i="42"/>
  <c r="G286" i="42"/>
  <c r="G217" i="42"/>
  <c r="G26" i="42"/>
  <c r="G248" i="42"/>
  <c r="G237" i="42"/>
  <c r="G110" i="42"/>
  <c r="G18" i="42"/>
  <c r="G336" i="42"/>
  <c r="G89" i="42"/>
  <c r="G260" i="42"/>
  <c r="G64" i="42"/>
  <c r="G334" i="42"/>
  <c r="G85" i="42"/>
  <c r="G311" i="42"/>
  <c r="G277" i="42"/>
  <c r="G211" i="42"/>
  <c r="G157" i="42"/>
  <c r="G46" i="42"/>
  <c r="G296" i="42"/>
  <c r="G180" i="42"/>
  <c r="G258" i="42"/>
  <c r="G7" i="42"/>
  <c r="G159" i="42"/>
  <c r="G227" i="42"/>
  <c r="G254" i="42"/>
  <c r="G66" i="42"/>
  <c r="G24" i="42"/>
  <c r="G98" i="42"/>
  <c r="G200" i="42"/>
  <c r="G265" i="42"/>
  <c r="G8" i="42"/>
  <c r="G324" i="42"/>
  <c r="G101" i="42"/>
  <c r="G70" i="42"/>
  <c r="G321" i="42"/>
  <c r="G359" i="42"/>
  <c r="G218" i="42"/>
  <c r="G181" i="42"/>
  <c r="G119" i="42"/>
  <c r="G162" i="42"/>
  <c r="G364" i="42"/>
  <c r="G56" i="42"/>
  <c r="G78" i="42"/>
  <c r="F353" i="42"/>
  <c r="F332" i="42"/>
  <c r="F250" i="42"/>
  <c r="F229" i="42"/>
  <c r="F207" i="42"/>
  <c r="F104" i="42"/>
  <c r="F83" i="42"/>
  <c r="F164" i="42"/>
  <c r="F362" i="42"/>
  <c r="F280" i="42"/>
  <c r="F259" i="42"/>
  <c r="F238" i="42"/>
  <c r="F216" i="42"/>
  <c r="F134" i="42"/>
  <c r="F113" i="42"/>
  <c r="F92" i="42"/>
  <c r="F14" i="42"/>
  <c r="F247" i="42"/>
  <c r="F310" i="42"/>
  <c r="F289" i="42"/>
  <c r="F268" i="42"/>
  <c r="F340" i="42"/>
  <c r="F319" i="42"/>
  <c r="F298" i="42"/>
  <c r="F277" i="42"/>
  <c r="F194" i="42"/>
  <c r="F173" i="42"/>
  <c r="F152" i="42"/>
  <c r="F70" i="42"/>
  <c r="F51" i="42"/>
  <c r="F32" i="42"/>
  <c r="F349" i="42"/>
  <c r="F328" i="42"/>
  <c r="F358" i="42"/>
  <c r="F337" i="42"/>
  <c r="F255" i="42"/>
  <c r="F234" i="42"/>
  <c r="F212" i="42"/>
  <c r="F130" i="42"/>
  <c r="F109" i="42"/>
  <c r="F88" i="42"/>
  <c r="F10" i="42"/>
  <c r="F367" i="42"/>
  <c r="F285" i="42"/>
  <c r="F264" i="42"/>
  <c r="F243" i="42"/>
  <c r="F160" i="42"/>
  <c r="F139" i="42"/>
  <c r="F118" i="42"/>
  <c r="F38" i="42"/>
  <c r="F19" i="42"/>
  <c r="F322" i="42"/>
  <c r="F299" i="42"/>
  <c r="F193" i="42"/>
  <c r="F209" i="42"/>
  <c r="F123" i="42"/>
  <c r="F67" i="42"/>
  <c r="F72" i="42"/>
  <c r="F77" i="42"/>
  <c r="F82" i="42"/>
  <c r="F87" i="42"/>
  <c r="F39" i="42"/>
  <c r="F351" i="42"/>
  <c r="F288" i="42"/>
  <c r="F294" i="42"/>
  <c r="F188" i="42"/>
  <c r="F204" i="42"/>
  <c r="F169" i="42"/>
  <c r="F174" i="42"/>
  <c r="F179" i="42"/>
  <c r="F184" i="42"/>
  <c r="F128" i="42"/>
  <c r="F133" i="42"/>
  <c r="F138" i="42"/>
  <c r="F219" i="42"/>
  <c r="F93" i="42"/>
  <c r="F317" i="42"/>
  <c r="F245" i="42"/>
  <c r="F199" i="42"/>
  <c r="F346" i="42"/>
  <c r="F283" i="42"/>
  <c r="F224" i="42"/>
  <c r="F240" i="42"/>
  <c r="F36" i="42"/>
  <c r="F235" i="42"/>
  <c r="F312" i="42"/>
  <c r="F309" i="42"/>
  <c r="F341" i="42"/>
  <c r="F275" i="42"/>
  <c r="F230" i="42"/>
  <c r="F144" i="42"/>
  <c r="F149" i="42"/>
  <c r="F154" i="42"/>
  <c r="F98" i="42"/>
  <c r="F103" i="42"/>
  <c r="F108" i="42"/>
  <c r="F368" i="42"/>
  <c r="F254" i="42"/>
  <c r="F270" i="42"/>
  <c r="F354" i="42"/>
  <c r="F360" i="42"/>
  <c r="F366" i="42"/>
  <c r="F68" i="42"/>
  <c r="F62" i="42"/>
  <c r="F214" i="42"/>
  <c r="F166" i="42"/>
  <c r="F215" i="42"/>
  <c r="F15" i="42"/>
  <c r="F106" i="42"/>
  <c r="F355" i="42"/>
  <c r="F69" i="42"/>
  <c r="F284" i="42"/>
  <c r="F249" i="42"/>
  <c r="F226" i="42"/>
  <c r="F189" i="42"/>
  <c r="F208" i="42"/>
  <c r="F178" i="42"/>
  <c r="F99" i="42"/>
  <c r="F80" i="42"/>
  <c r="F232" i="42"/>
  <c r="F111" i="42"/>
  <c r="F291" i="42"/>
  <c r="F297" i="42"/>
  <c r="F274" i="42"/>
  <c r="F148" i="42"/>
  <c r="F74" i="42"/>
  <c r="F45" i="42"/>
  <c r="F313" i="42"/>
  <c r="F136" i="42"/>
  <c r="F86" i="42"/>
  <c r="F9" i="42"/>
  <c r="F75" i="42"/>
  <c r="F40" i="42"/>
  <c r="F16" i="42"/>
  <c r="F305" i="42"/>
  <c r="F227" i="42"/>
  <c r="F27" i="42"/>
  <c r="F221" i="42"/>
  <c r="F161" i="42"/>
  <c r="F21" i="42"/>
  <c r="F172" i="42"/>
  <c r="F124" i="42"/>
  <c r="F155" i="42"/>
  <c r="F333" i="42"/>
  <c r="F334" i="42"/>
  <c r="F190" i="42"/>
  <c r="F256" i="42"/>
  <c r="F196" i="42"/>
  <c r="F185" i="42"/>
  <c r="F117" i="42"/>
  <c r="F220" i="42"/>
  <c r="F142" i="42"/>
  <c r="F57" i="42"/>
  <c r="F33" i="42"/>
  <c r="F100" i="42"/>
  <c r="F279" i="42"/>
  <c r="F320" i="42"/>
  <c r="F326" i="42"/>
  <c r="F262" i="42"/>
  <c r="F239" i="42"/>
  <c r="F202" i="42"/>
  <c r="F361" i="42"/>
  <c r="F342" i="42"/>
  <c r="F348" i="42"/>
  <c r="F304" i="42"/>
  <c r="F246" i="42"/>
  <c r="F325" i="42"/>
  <c r="F335" i="42"/>
  <c r="F282" i="42"/>
  <c r="F292" i="42"/>
  <c r="F132" i="42"/>
  <c r="F96" i="42"/>
  <c r="F63" i="42"/>
  <c r="F231" i="42"/>
  <c r="F301" i="42"/>
  <c r="F266" i="42"/>
  <c r="F156" i="42"/>
  <c r="F55" i="42"/>
  <c r="F150" i="42"/>
  <c r="F276" i="42"/>
  <c r="F48" i="42"/>
  <c r="F339" i="42"/>
  <c r="F187" i="42"/>
  <c r="F76" i="42"/>
  <c r="F352" i="42"/>
  <c r="F223" i="42"/>
  <c r="F170" i="42"/>
  <c r="F141" i="42"/>
  <c r="F195" i="42"/>
  <c r="F168" i="42"/>
  <c r="F112" i="42"/>
  <c r="F120" i="42"/>
  <c r="F28" i="42"/>
  <c r="F12" i="42"/>
  <c r="F205" i="42"/>
  <c r="F278" i="42"/>
  <c r="F241" i="42"/>
  <c r="F35" i="42"/>
  <c r="F343" i="42"/>
  <c r="F213" i="42"/>
  <c r="F84" i="42"/>
  <c r="F327" i="42"/>
  <c r="F258" i="42"/>
  <c r="F177" i="42"/>
  <c r="F251" i="42"/>
  <c r="F271" i="42"/>
  <c r="F114" i="42"/>
  <c r="F71" i="42"/>
  <c r="F60" i="42"/>
  <c r="F300" i="42"/>
  <c r="F122" i="42"/>
  <c r="F90" i="42"/>
  <c r="F91" i="42"/>
  <c r="F165" i="42"/>
  <c r="F272" i="42"/>
  <c r="F31" i="42"/>
  <c r="F330" i="42"/>
  <c r="F73" i="42"/>
  <c r="F281" i="42"/>
  <c r="F137" i="42"/>
  <c r="F197" i="42"/>
  <c r="F293" i="42"/>
  <c r="F127" i="42"/>
  <c r="F233" i="42"/>
  <c r="F102" i="42"/>
  <c r="F81" i="42"/>
  <c r="F50" i="42"/>
  <c r="F203" i="42"/>
  <c r="F163" i="42"/>
  <c r="F183" i="42"/>
  <c r="F153" i="42"/>
  <c r="F11" i="42"/>
  <c r="F365" i="42"/>
  <c r="F329" i="42"/>
  <c r="F192" i="42"/>
  <c r="F42" i="42"/>
  <c r="F20" i="42"/>
  <c r="F175" i="42"/>
  <c r="F30" i="42"/>
  <c r="F186" i="42"/>
  <c r="F252" i="42"/>
  <c r="F95" i="42"/>
  <c r="F206" i="42"/>
  <c r="F263" i="42"/>
  <c r="F44" i="42"/>
  <c r="F97" i="42"/>
  <c r="F22" i="42"/>
  <c r="F356" i="42"/>
  <c r="F115" i="42"/>
  <c r="F43" i="42"/>
  <c r="F357" i="42"/>
  <c r="F369" i="42"/>
  <c r="F303" i="42"/>
  <c r="F236" i="42"/>
  <c r="F6" i="42"/>
  <c r="F338" i="42"/>
  <c r="F52" i="42"/>
  <c r="F145" i="42"/>
  <c r="F135" i="42"/>
  <c r="F345" i="42"/>
  <c r="F126" i="42"/>
  <c r="F318" i="42"/>
  <c r="F244" i="42"/>
  <c r="F105" i="42"/>
  <c r="F13" i="42"/>
  <c r="F225" i="42"/>
  <c r="F321" i="42"/>
  <c r="F265" i="42"/>
  <c r="F157" i="42"/>
  <c r="F261" i="42"/>
  <c r="F61" i="42"/>
  <c r="F302" i="42"/>
  <c r="F344" i="42"/>
  <c r="F316" i="42"/>
  <c r="F222" i="42"/>
  <c r="F290" i="42"/>
  <c r="F273" i="42"/>
  <c r="F53" i="42"/>
  <c r="F146" i="42"/>
  <c r="F23" i="42"/>
  <c r="F107" i="42"/>
  <c r="F253" i="42"/>
  <c r="F125" i="42"/>
  <c r="F94" i="42"/>
  <c r="F176" i="42"/>
  <c r="F167" i="42"/>
  <c r="F116" i="42"/>
  <c r="F347" i="42"/>
  <c r="F228" i="42"/>
  <c r="F210" i="42"/>
  <c r="F121" i="42"/>
  <c r="F37" i="42"/>
  <c r="F287" i="42"/>
  <c r="F79" i="42"/>
  <c r="F34" i="42"/>
  <c r="F295" i="42"/>
  <c r="F191" i="42"/>
  <c r="F129" i="42"/>
  <c r="F17" i="42"/>
  <c r="F350" i="42"/>
  <c r="F151" i="42"/>
  <c r="F5" i="42"/>
  <c r="F336" i="42"/>
  <c r="F257" i="42"/>
  <c r="F180" i="42"/>
  <c r="F260" i="42"/>
  <c r="F242" i="42"/>
  <c r="F140" i="42"/>
  <c r="F286" i="42"/>
  <c r="F54" i="42"/>
  <c r="F308" i="42"/>
  <c r="F147" i="42"/>
  <c r="F65" i="42"/>
  <c r="F331" i="42"/>
  <c r="F58" i="42"/>
  <c r="F41" i="42"/>
  <c r="F311" i="42"/>
  <c r="F66" i="42"/>
  <c r="F47" i="42"/>
  <c r="F315" i="42"/>
  <c r="F359" i="42"/>
  <c r="F200" i="42"/>
  <c r="F159" i="42"/>
  <c r="F181" i="42"/>
  <c r="F25" i="42"/>
  <c r="F306" i="42"/>
  <c r="F364" i="42"/>
  <c r="F248" i="42"/>
  <c r="F46" i="42"/>
  <c r="F7" i="42"/>
  <c r="F158" i="42"/>
  <c r="F363" i="42"/>
  <c r="F8" i="42"/>
  <c r="F171" i="42"/>
  <c r="F119" i="42"/>
  <c r="F64" i="42"/>
  <c r="F201" i="42"/>
  <c r="F324" i="42"/>
  <c r="F85" i="42"/>
  <c r="F211" i="42"/>
  <c r="F131" i="42"/>
  <c r="F59" i="42"/>
  <c r="F296" i="42"/>
  <c r="F24" i="42"/>
  <c r="F49" i="42"/>
  <c r="F323" i="42"/>
  <c r="F237" i="42"/>
  <c r="F110" i="42"/>
  <c r="F18" i="42"/>
  <c r="F314" i="42"/>
  <c r="F162" i="42"/>
  <c r="F198" i="42"/>
  <c r="F89" i="42"/>
  <c r="F182" i="42"/>
  <c r="F78" i="42"/>
  <c r="F217" i="42"/>
  <c r="F101" i="42"/>
  <c r="F218" i="42"/>
  <c r="F26" i="42"/>
  <c r="F56" i="42"/>
  <c r="F307" i="42"/>
  <c r="F29" i="42"/>
  <c r="F267" i="42"/>
  <c r="F269" i="42"/>
  <c r="F143" i="42"/>
  <c r="D310" i="42"/>
  <c r="D289" i="42"/>
  <c r="D268" i="42"/>
  <c r="D247" i="42"/>
  <c r="D164" i="42"/>
  <c r="D143" i="42"/>
  <c r="D122" i="42"/>
  <c r="D42" i="42"/>
  <c r="D23" i="42"/>
  <c r="D340" i="42"/>
  <c r="D319" i="42"/>
  <c r="D298" i="42"/>
  <c r="D277" i="42"/>
  <c r="D194" i="42"/>
  <c r="D173" i="42"/>
  <c r="D152" i="42"/>
  <c r="D70" i="42"/>
  <c r="D51" i="42"/>
  <c r="D32" i="42"/>
  <c r="D349" i="42"/>
  <c r="D328" i="42"/>
  <c r="D307" i="42"/>
  <c r="D225" i="42"/>
  <c r="D203" i="42"/>
  <c r="D358" i="42"/>
  <c r="D337" i="42"/>
  <c r="D255" i="42"/>
  <c r="D234" i="42"/>
  <c r="D212" i="42"/>
  <c r="D130" i="42"/>
  <c r="D109" i="42"/>
  <c r="D88" i="42"/>
  <c r="D10" i="42"/>
  <c r="D367" i="42"/>
  <c r="D285" i="42"/>
  <c r="D315" i="42"/>
  <c r="D294" i="42"/>
  <c r="D273" i="42"/>
  <c r="D190" i="42"/>
  <c r="D169" i="42"/>
  <c r="D148" i="42"/>
  <c r="D66" i="42"/>
  <c r="D47" i="42"/>
  <c r="D28" i="42"/>
  <c r="D345" i="42"/>
  <c r="D324" i="42"/>
  <c r="D303" i="42"/>
  <c r="D221" i="42"/>
  <c r="D199" i="42"/>
  <c r="D178" i="42"/>
  <c r="D96" i="42"/>
  <c r="D75" i="42"/>
  <c r="D56" i="42"/>
  <c r="D317" i="42"/>
  <c r="D229" i="42"/>
  <c r="D245" i="42"/>
  <c r="D118" i="42"/>
  <c r="D39" i="42"/>
  <c r="D59" i="42"/>
  <c r="D346" i="42"/>
  <c r="D283" i="42"/>
  <c r="D224" i="42"/>
  <c r="D240" i="42"/>
  <c r="D36" i="42"/>
  <c r="D49" i="42"/>
  <c r="D312" i="42"/>
  <c r="D309" i="42"/>
  <c r="D219" i="42"/>
  <c r="D235" i="42"/>
  <c r="D93" i="42"/>
  <c r="D44" i="42"/>
  <c r="D54" i="42"/>
  <c r="D341" i="42"/>
  <c r="D259" i="42"/>
  <c r="D275" i="42"/>
  <c r="D230" i="42"/>
  <c r="D144" i="42"/>
  <c r="D149" i="42"/>
  <c r="D154" i="42"/>
  <c r="D98" i="42"/>
  <c r="D103" i="42"/>
  <c r="D108" i="42"/>
  <c r="D113" i="42"/>
  <c r="D270" i="42"/>
  <c r="D362" i="42"/>
  <c r="D368" i="42"/>
  <c r="D254" i="42"/>
  <c r="D334" i="42"/>
  <c r="D249" i="42"/>
  <c r="D265" i="42"/>
  <c r="D159" i="42"/>
  <c r="D139" i="42"/>
  <c r="D5" i="42"/>
  <c r="D357" i="42"/>
  <c r="D363" i="42"/>
  <c r="D305" i="42"/>
  <c r="D260" i="42"/>
  <c r="D215" i="42"/>
  <c r="D232" i="42"/>
  <c r="D214" i="42"/>
  <c r="D160" i="42"/>
  <c r="D166" i="42"/>
  <c r="D111" i="42"/>
  <c r="D45" i="42"/>
  <c r="D21" i="42"/>
  <c r="D313" i="42"/>
  <c r="D117" i="42"/>
  <c r="D9" i="42"/>
  <c r="D326" i="42"/>
  <c r="D239" i="42"/>
  <c r="D202" i="42"/>
  <c r="D142" i="42"/>
  <c r="D33" i="42"/>
  <c r="D106" i="42"/>
  <c r="D52" i="42"/>
  <c r="D291" i="42"/>
  <c r="D297" i="42"/>
  <c r="D274" i="42"/>
  <c r="D238" i="42"/>
  <c r="D184" i="42"/>
  <c r="D123" i="42"/>
  <c r="D74" i="42"/>
  <c r="D172" i="42"/>
  <c r="D136" i="42"/>
  <c r="D86" i="42"/>
  <c r="D15" i="42"/>
  <c r="D256" i="42"/>
  <c r="D196" i="42"/>
  <c r="D220" i="42"/>
  <c r="D124" i="42"/>
  <c r="D279" i="42"/>
  <c r="D227" i="42"/>
  <c r="D179" i="42"/>
  <c r="D167" i="42"/>
  <c r="D292" i="42"/>
  <c r="D210" i="42"/>
  <c r="D16" i="42"/>
  <c r="D209" i="42"/>
  <c r="D112" i="42"/>
  <c r="D185" i="42"/>
  <c r="D57" i="42"/>
  <c r="D100" i="42"/>
  <c r="D250" i="42"/>
  <c r="D269" i="42"/>
  <c r="D233" i="42"/>
  <c r="D131" i="42"/>
  <c r="D320" i="42"/>
  <c r="D332" i="42"/>
  <c r="D262" i="42"/>
  <c r="D342" i="42"/>
  <c r="D348" i="42"/>
  <c r="D304" i="42"/>
  <c r="D155" i="42"/>
  <c r="D92" i="42"/>
  <c r="D27" i="42"/>
  <c r="D40" i="42"/>
  <c r="D69" i="42"/>
  <c r="D333" i="42"/>
  <c r="D81" i="42"/>
  <c r="D63" i="42"/>
  <c r="D286" i="42"/>
  <c r="D355" i="42"/>
  <c r="D361" i="42"/>
  <c r="D246" i="42"/>
  <c r="D161" i="42"/>
  <c r="D231" i="42"/>
  <c r="D83" i="42"/>
  <c r="D12" i="42"/>
  <c r="D19" i="42"/>
  <c r="D150" i="42"/>
  <c r="D35" i="42"/>
  <c r="D351" i="42"/>
  <c r="D213" i="42"/>
  <c r="D187" i="42"/>
  <c r="D76" i="42"/>
  <c r="D352" i="42"/>
  <c r="D327" i="42"/>
  <c r="D258" i="42"/>
  <c r="D177" i="42"/>
  <c r="D91" i="42"/>
  <c r="D6" i="42"/>
  <c r="D318" i="42"/>
  <c r="D336" i="42"/>
  <c r="D293" i="42"/>
  <c r="D97" i="42"/>
  <c r="D301" i="42"/>
  <c r="D266" i="42"/>
  <c r="D205" i="42"/>
  <c r="D156" i="42"/>
  <c r="D55" i="42"/>
  <c r="D278" i="42"/>
  <c r="D241" i="42"/>
  <c r="D343" i="42"/>
  <c r="D276" i="42"/>
  <c r="D104" i="42"/>
  <c r="D48" i="42"/>
  <c r="D339" i="42"/>
  <c r="D84" i="42"/>
  <c r="D360" i="42"/>
  <c r="D223" i="42"/>
  <c r="D170" i="42"/>
  <c r="D141" i="42"/>
  <c r="D67" i="42"/>
  <c r="D41" i="42"/>
  <c r="D251" i="42"/>
  <c r="D197" i="42"/>
  <c r="D126" i="42"/>
  <c r="D114" i="42"/>
  <c r="D162" i="42"/>
  <c r="D133" i="42"/>
  <c r="D105" i="42"/>
  <c r="D354" i="42"/>
  <c r="D300" i="42"/>
  <c r="D243" i="42"/>
  <c r="D163" i="42"/>
  <c r="D183" i="42"/>
  <c r="D153" i="42"/>
  <c r="D80" i="42"/>
  <c r="D60" i="42"/>
  <c r="D11" i="42"/>
  <c r="D338" i="42"/>
  <c r="D20" i="42"/>
  <c r="D145" i="42"/>
  <c r="D222" i="42"/>
  <c r="D135" i="42"/>
  <c r="D115" i="42"/>
  <c r="D43" i="42"/>
  <c r="D125" i="42"/>
  <c r="D94" i="42"/>
  <c r="D31" i="42"/>
  <c r="D302" i="42"/>
  <c r="D206" i="42"/>
  <c r="D264" i="42"/>
  <c r="D62" i="42"/>
  <c r="D116" i="42"/>
  <c r="D365" i="42"/>
  <c r="D329" i="42"/>
  <c r="D192" i="42"/>
  <c r="D174" i="42"/>
  <c r="D134" i="42"/>
  <c r="D90" i="42"/>
  <c r="D288" i="42"/>
  <c r="D261" i="42"/>
  <c r="D175" i="42"/>
  <c r="D344" i="42"/>
  <c r="D216" i="42"/>
  <c r="D30" i="42"/>
  <c r="D13" i="42"/>
  <c r="D127" i="42"/>
  <c r="D65" i="42"/>
  <c r="D186" i="42"/>
  <c r="D330" i="42"/>
  <c r="D73" i="42"/>
  <c r="D72" i="42"/>
  <c r="D366" i="42"/>
  <c r="D263" i="42"/>
  <c r="D146" i="42"/>
  <c r="D281" i="42"/>
  <c r="D157" i="42"/>
  <c r="D316" i="42"/>
  <c r="D22" i="42"/>
  <c r="D61" i="42"/>
  <c r="D95" i="42"/>
  <c r="D53" i="42"/>
  <c r="D195" i="42"/>
  <c r="D347" i="42"/>
  <c r="D64" i="42"/>
  <c r="D165" i="42"/>
  <c r="D193" i="42"/>
  <c r="D176" i="42"/>
  <c r="D137" i="42"/>
  <c r="D107" i="42"/>
  <c r="D321" i="42"/>
  <c r="D356" i="42"/>
  <c r="D290" i="42"/>
  <c r="D252" i="42"/>
  <c r="D272" i="42"/>
  <c r="D244" i="42"/>
  <c r="D204" i="42"/>
  <c r="D82" i="42"/>
  <c r="D280" i="42"/>
  <c r="D369" i="42"/>
  <c r="D236" i="42"/>
  <c r="D253" i="42"/>
  <c r="D85" i="42"/>
  <c r="D217" i="42"/>
  <c r="D180" i="42"/>
  <c r="D287" i="42"/>
  <c r="D325" i="42"/>
  <c r="D308" i="42"/>
  <c r="D102" i="42"/>
  <c r="D147" i="42"/>
  <c r="D128" i="42"/>
  <c r="D58" i="42"/>
  <c r="D34" i="42"/>
  <c r="D295" i="42"/>
  <c r="D191" i="42"/>
  <c r="D311" i="42"/>
  <c r="D271" i="42"/>
  <c r="D46" i="42"/>
  <c r="D296" i="42"/>
  <c r="D24" i="42"/>
  <c r="D322" i="42"/>
  <c r="D99" i="42"/>
  <c r="D8" i="42"/>
  <c r="D323" i="42"/>
  <c r="D26" i="42"/>
  <c r="D120" i="42"/>
  <c r="D168" i="42"/>
  <c r="D79" i="42"/>
  <c r="D188" i="42"/>
  <c r="D331" i="42"/>
  <c r="D38" i="42"/>
  <c r="D189" i="42"/>
  <c r="D129" i="42"/>
  <c r="D17" i="42"/>
  <c r="D350" i="42"/>
  <c r="D211" i="42"/>
  <c r="D171" i="42"/>
  <c r="D110" i="42"/>
  <c r="D132" i="42"/>
  <c r="D7" i="42"/>
  <c r="D359" i="42"/>
  <c r="D119" i="42"/>
  <c r="D25" i="42"/>
  <c r="D364" i="42"/>
  <c r="D257" i="42"/>
  <c r="D158" i="42"/>
  <c r="D71" i="42"/>
  <c r="D267" i="42"/>
  <c r="D68" i="42"/>
  <c r="D218" i="42"/>
  <c r="D299" i="42"/>
  <c r="D242" i="42"/>
  <c r="D284" i="42"/>
  <c r="D201" i="42"/>
  <c r="D78" i="42"/>
  <c r="D151" i="42"/>
  <c r="D87" i="42"/>
  <c r="D335" i="42"/>
  <c r="D138" i="42"/>
  <c r="D181" i="42"/>
  <c r="D282" i="42"/>
  <c r="D182" i="42"/>
  <c r="D237" i="42"/>
  <c r="D18" i="42"/>
  <c r="D314" i="42"/>
  <c r="D198" i="42"/>
  <c r="D200" i="42"/>
  <c r="D140" i="42"/>
  <c r="D306" i="42"/>
  <c r="D77" i="42"/>
  <c r="D101" i="42"/>
  <c r="D207" i="42"/>
  <c r="D248" i="42"/>
  <c r="D353" i="42"/>
  <c r="D89" i="42"/>
  <c r="D226" i="42"/>
  <c r="D50" i="42"/>
  <c r="D37" i="42"/>
  <c r="D14" i="42"/>
  <c r="D29" i="42"/>
  <c r="D228" i="42"/>
  <c r="D208" i="42"/>
  <c r="D121" i="42"/>
  <c r="O7" i="42"/>
  <c r="O18" i="42"/>
  <c r="O17" i="42"/>
  <c r="O16" i="42"/>
  <c r="O15" i="42"/>
  <c r="O14" i="42"/>
  <c r="O13" i="42"/>
  <c r="O12" i="42"/>
  <c r="O11" i="42"/>
  <c r="O10" i="42"/>
  <c r="C3" i="42"/>
  <c r="K3" i="42"/>
  <c r="J3" i="42"/>
  <c r="I3" i="42"/>
  <c r="H3" i="42"/>
  <c r="H314" i="42" l="1"/>
  <c r="H293" i="42"/>
  <c r="H272" i="42"/>
  <c r="H189" i="42"/>
  <c r="H168" i="42"/>
  <c r="H147" i="42"/>
  <c r="H125" i="42"/>
  <c r="H65" i="42"/>
  <c r="H46" i="42"/>
  <c r="H27" i="42"/>
  <c r="H5" i="42"/>
  <c r="H344" i="42"/>
  <c r="H323" i="42"/>
  <c r="H302" i="42"/>
  <c r="H220" i="42"/>
  <c r="H198" i="42"/>
  <c r="H177" i="42"/>
  <c r="H156" i="42"/>
  <c r="H74" i="42"/>
  <c r="H55" i="42"/>
  <c r="H36" i="42"/>
  <c r="H353" i="42"/>
  <c r="H332" i="42"/>
  <c r="H250" i="42"/>
  <c r="H229" i="42"/>
  <c r="H207" i="42"/>
  <c r="H362" i="42"/>
  <c r="H280" i="42"/>
  <c r="H259" i="42"/>
  <c r="H238" i="42"/>
  <c r="H216" i="42"/>
  <c r="H134" i="42"/>
  <c r="H113" i="42"/>
  <c r="H92" i="42"/>
  <c r="H14" i="42"/>
  <c r="H310" i="42"/>
  <c r="H289" i="42"/>
  <c r="H340" i="42"/>
  <c r="H319" i="42"/>
  <c r="H298" i="42"/>
  <c r="H277" i="42"/>
  <c r="H194" i="42"/>
  <c r="H173" i="42"/>
  <c r="H152" i="42"/>
  <c r="H70" i="42"/>
  <c r="H51" i="42"/>
  <c r="H32" i="42"/>
  <c r="H349" i="42"/>
  <c r="H328" i="42"/>
  <c r="H307" i="42"/>
  <c r="H225" i="42"/>
  <c r="H203" i="42"/>
  <c r="H182" i="42"/>
  <c r="H100" i="42"/>
  <c r="H79" i="42"/>
  <c r="H60" i="42"/>
  <c r="H327" i="42"/>
  <c r="H333" i="42"/>
  <c r="H264" i="42"/>
  <c r="H158" i="42"/>
  <c r="H163" i="42"/>
  <c r="H143" i="42"/>
  <c r="H15" i="42"/>
  <c r="H25" i="42"/>
  <c r="H35" i="42"/>
  <c r="H356" i="42"/>
  <c r="H304" i="42"/>
  <c r="H214" i="42"/>
  <c r="H10" i="42"/>
  <c r="H20" i="42"/>
  <c r="H30" i="42"/>
  <c r="H245" i="42"/>
  <c r="H322" i="42"/>
  <c r="H299" i="42"/>
  <c r="H193" i="42"/>
  <c r="H209" i="42"/>
  <c r="H118" i="42"/>
  <c r="H123" i="42"/>
  <c r="H67" i="42"/>
  <c r="H72" i="42"/>
  <c r="H77" i="42"/>
  <c r="H82" i="42"/>
  <c r="H87" i="42"/>
  <c r="H351" i="42"/>
  <c r="H288" i="42"/>
  <c r="H294" i="42"/>
  <c r="H188" i="42"/>
  <c r="H204" i="42"/>
  <c r="H169" i="42"/>
  <c r="H174" i="42"/>
  <c r="H179" i="42"/>
  <c r="H184" i="42"/>
  <c r="H128" i="42"/>
  <c r="H133" i="42"/>
  <c r="H138" i="42"/>
  <c r="H199" i="42"/>
  <c r="H317" i="42"/>
  <c r="H346" i="42"/>
  <c r="H283" i="42"/>
  <c r="H224" i="42"/>
  <c r="H240" i="42"/>
  <c r="H164" i="42"/>
  <c r="H312" i="42"/>
  <c r="H309" i="42"/>
  <c r="H219" i="42"/>
  <c r="H235" i="42"/>
  <c r="H341" i="42"/>
  <c r="H347" i="42"/>
  <c r="H303" i="42"/>
  <c r="H278" i="42"/>
  <c r="H244" i="42"/>
  <c r="H129" i="42"/>
  <c r="H154" i="42"/>
  <c r="H91" i="42"/>
  <c r="H50" i="42"/>
  <c r="H26" i="42"/>
  <c r="H39" i="42"/>
  <c r="H354" i="42"/>
  <c r="H360" i="42"/>
  <c r="H366" i="42"/>
  <c r="H68" i="42"/>
  <c r="H80" i="42"/>
  <c r="H166" i="42"/>
  <c r="H21" i="42"/>
  <c r="H268" i="42"/>
  <c r="H136" i="42"/>
  <c r="H57" i="42"/>
  <c r="H155" i="42"/>
  <c r="H338" i="42"/>
  <c r="H267" i="42"/>
  <c r="H105" i="42"/>
  <c r="H160" i="42"/>
  <c r="H284" i="42"/>
  <c r="H249" i="42"/>
  <c r="H226" i="42"/>
  <c r="H208" i="42"/>
  <c r="H178" i="42"/>
  <c r="H99" i="42"/>
  <c r="H62" i="42"/>
  <c r="H215" i="42"/>
  <c r="H86" i="42"/>
  <c r="H149" i="42"/>
  <c r="H348" i="42"/>
  <c r="H262" i="42"/>
  <c r="H124" i="42"/>
  <c r="H33" i="42"/>
  <c r="H232" i="42"/>
  <c r="H130" i="42"/>
  <c r="H111" i="42"/>
  <c r="H9" i="42"/>
  <c r="H326" i="42"/>
  <c r="H239" i="42"/>
  <c r="H75" i="42"/>
  <c r="H367" i="42"/>
  <c r="H285" i="42"/>
  <c r="H291" i="42"/>
  <c r="H297" i="42"/>
  <c r="H274" i="42"/>
  <c r="H148" i="42"/>
  <c r="H45" i="42"/>
  <c r="H142" i="42"/>
  <c r="H342" i="42"/>
  <c r="H368" i="42"/>
  <c r="H313" i="42"/>
  <c r="H190" i="42"/>
  <c r="H172" i="42"/>
  <c r="H117" i="42"/>
  <c r="H256" i="42"/>
  <c r="H275" i="42"/>
  <c r="H196" i="42"/>
  <c r="H185" i="42"/>
  <c r="H93" i="42"/>
  <c r="H320" i="42"/>
  <c r="H202" i="42"/>
  <c r="H359" i="42"/>
  <c r="H369" i="42"/>
  <c r="H316" i="42"/>
  <c r="H257" i="42"/>
  <c r="H222" i="42"/>
  <c r="H176" i="42"/>
  <c r="H140" i="42"/>
  <c r="H66" i="42"/>
  <c r="H40" i="42"/>
  <c r="H325" i="42"/>
  <c r="H282" i="42"/>
  <c r="H161" i="42"/>
  <c r="H132" i="42"/>
  <c r="H63" i="42"/>
  <c r="H19" i="42"/>
  <c r="H195" i="42"/>
  <c r="H112" i="42"/>
  <c r="H28" i="42"/>
  <c r="H231" i="42"/>
  <c r="H12" i="42"/>
  <c r="H301" i="42"/>
  <c r="H205" i="42"/>
  <c r="H104" i="42"/>
  <c r="H150" i="42"/>
  <c r="H361" i="42"/>
  <c r="H213" i="42"/>
  <c r="H90" i="42"/>
  <c r="H335" i="42"/>
  <c r="H292" i="42"/>
  <c r="H96" i="42"/>
  <c r="H83" i="42"/>
  <c r="H120" i="42"/>
  <c r="H266" i="42"/>
  <c r="H241" i="42"/>
  <c r="H343" i="42"/>
  <c r="H276" i="42"/>
  <c r="H18" i="42"/>
  <c r="H29" i="42"/>
  <c r="H251" i="42"/>
  <c r="H271" i="42"/>
  <c r="H243" i="42"/>
  <c r="H102" i="42"/>
  <c r="H11" i="42"/>
  <c r="H192" i="42"/>
  <c r="H52" i="42"/>
  <c r="H175" i="42"/>
  <c r="H318" i="42"/>
  <c r="H197" i="42"/>
  <c r="H201" i="42"/>
  <c r="H355" i="42"/>
  <c r="H114" i="42"/>
  <c r="H71" i="42"/>
  <c r="H233" i="42"/>
  <c r="H122" i="42"/>
  <c r="H183" i="42"/>
  <c r="H153" i="42"/>
  <c r="H234" i="42"/>
  <c r="H290" i="42"/>
  <c r="H252" i="42"/>
  <c r="H246" i="42"/>
  <c r="H115" i="42"/>
  <c r="H43" i="42"/>
  <c r="H273" i="42"/>
  <c r="H206" i="42"/>
  <c r="H358" i="42"/>
  <c r="H146" i="42"/>
  <c r="H167" i="42"/>
  <c r="H135" i="42"/>
  <c r="H84" i="42"/>
  <c r="H305" i="42"/>
  <c r="H81" i="42"/>
  <c r="H223" i="42"/>
  <c r="H186" i="42"/>
  <c r="H106" i="42"/>
  <c r="H95" i="42"/>
  <c r="H94" i="42"/>
  <c r="H13" i="42"/>
  <c r="H44" i="42"/>
  <c r="H236" i="42"/>
  <c r="H300" i="42"/>
  <c r="H42" i="42"/>
  <c r="H103" i="42"/>
  <c r="H22" i="42"/>
  <c r="H345" i="42"/>
  <c r="H330" i="42"/>
  <c r="H73" i="42"/>
  <c r="H23" i="42"/>
  <c r="H137" i="42"/>
  <c r="H365" i="42"/>
  <c r="H329" i="42"/>
  <c r="H339" i="42"/>
  <c r="H279" i="42"/>
  <c r="H165" i="42"/>
  <c r="H61" i="42"/>
  <c r="H357" i="42"/>
  <c r="H263" i="42"/>
  <c r="H53" i="42"/>
  <c r="H247" i="42"/>
  <c r="H261" i="42"/>
  <c r="H145" i="42"/>
  <c r="H126" i="42"/>
  <c r="H31" i="42"/>
  <c r="H281" i="42"/>
  <c r="H56" i="42"/>
  <c r="H16" i="42"/>
  <c r="H228" i="42"/>
  <c r="H210" i="42"/>
  <c r="H121" i="42"/>
  <c r="H287" i="42"/>
  <c r="H331" i="42"/>
  <c r="H58" i="42"/>
  <c r="H85" i="42"/>
  <c r="H350" i="42"/>
  <c r="H6" i="42"/>
  <c r="H159" i="42"/>
  <c r="H242" i="42"/>
  <c r="H141" i="42"/>
  <c r="H269" i="42"/>
  <c r="H37" i="42"/>
  <c r="H270" i="42"/>
  <c r="H170" i="42"/>
  <c r="H107" i="42"/>
  <c r="H308" i="42"/>
  <c r="H108" i="42"/>
  <c r="H38" i="42"/>
  <c r="H230" i="42"/>
  <c r="H34" i="42"/>
  <c r="H334" i="42"/>
  <c r="H191" i="42"/>
  <c r="H212" i="42"/>
  <c r="H248" i="42"/>
  <c r="H180" i="42"/>
  <c r="H139" i="42"/>
  <c r="H98" i="42"/>
  <c r="H200" i="42"/>
  <c r="H49" i="42"/>
  <c r="H181" i="42"/>
  <c r="H119" i="42"/>
  <c r="H151" i="42"/>
  <c r="H255" i="42"/>
  <c r="H89" i="42"/>
  <c r="H162" i="42"/>
  <c r="H295" i="42"/>
  <c r="H41" i="42"/>
  <c r="H254" i="42"/>
  <c r="H131" i="42"/>
  <c r="H110" i="42"/>
  <c r="H258" i="42"/>
  <c r="H97" i="42"/>
  <c r="H24" i="42"/>
  <c r="H116" i="42"/>
  <c r="H260" i="42"/>
  <c r="H265" i="42"/>
  <c r="H109" i="42"/>
  <c r="H17" i="42"/>
  <c r="H311" i="42"/>
  <c r="H157" i="42"/>
  <c r="H296" i="42"/>
  <c r="H336" i="42"/>
  <c r="H315" i="42"/>
  <c r="H363" i="42"/>
  <c r="H221" i="42"/>
  <c r="H8" i="42"/>
  <c r="H217" i="42"/>
  <c r="H253" i="42"/>
  <c r="H211" i="42"/>
  <c r="H171" i="42"/>
  <c r="H59" i="42"/>
  <c r="H352" i="42"/>
  <c r="H69" i="42"/>
  <c r="H88" i="42"/>
  <c r="H237" i="42"/>
  <c r="H47" i="42"/>
  <c r="H337" i="42"/>
  <c r="H48" i="42"/>
  <c r="H321" i="42"/>
  <c r="H7" i="42"/>
  <c r="H218" i="42"/>
  <c r="H64" i="42"/>
  <c r="H76" i="42"/>
  <c r="H306" i="42"/>
  <c r="H54" i="42"/>
  <c r="H286" i="42"/>
  <c r="H227" i="42"/>
  <c r="H364" i="42"/>
  <c r="H324" i="42"/>
  <c r="H187" i="42"/>
  <c r="H127" i="42"/>
  <c r="H144" i="42"/>
  <c r="H101" i="42"/>
  <c r="H78" i="42"/>
  <c r="I366" i="42"/>
  <c r="I284" i="42"/>
  <c r="I263" i="42"/>
  <c r="I242" i="42"/>
  <c r="I159" i="42"/>
  <c r="I138" i="42"/>
  <c r="I117" i="42"/>
  <c r="I37" i="42"/>
  <c r="I18" i="42"/>
  <c r="I314" i="42"/>
  <c r="I293" i="42"/>
  <c r="I272" i="42"/>
  <c r="I189" i="42"/>
  <c r="I168" i="42"/>
  <c r="I147" i="42"/>
  <c r="I125" i="42"/>
  <c r="I65" i="42"/>
  <c r="I46" i="42"/>
  <c r="I27" i="42"/>
  <c r="I5" i="42"/>
  <c r="I344" i="42"/>
  <c r="I323" i="42"/>
  <c r="I302" i="42"/>
  <c r="I220" i="42"/>
  <c r="I198" i="42"/>
  <c r="I353" i="42"/>
  <c r="I332" i="42"/>
  <c r="I250" i="42"/>
  <c r="I229" i="42"/>
  <c r="I207" i="42"/>
  <c r="I104" i="42"/>
  <c r="I83" i="42"/>
  <c r="I362" i="42"/>
  <c r="I280" i="42"/>
  <c r="I310" i="42"/>
  <c r="I289" i="42"/>
  <c r="I268" i="42"/>
  <c r="I247" i="42"/>
  <c r="I164" i="42"/>
  <c r="I143" i="42"/>
  <c r="I122" i="42"/>
  <c r="I42" i="42"/>
  <c r="I23" i="42"/>
  <c r="I340" i="42"/>
  <c r="I319" i="42"/>
  <c r="I298" i="42"/>
  <c r="I277" i="42"/>
  <c r="I194" i="42"/>
  <c r="I173" i="42"/>
  <c r="I152" i="42"/>
  <c r="I70" i="42"/>
  <c r="I51" i="42"/>
  <c r="I32" i="42"/>
  <c r="I361" i="42"/>
  <c r="I367" i="42"/>
  <c r="I278" i="42"/>
  <c r="I253" i="42"/>
  <c r="I269" i="42"/>
  <c r="I92" i="42"/>
  <c r="I15" i="42"/>
  <c r="I30" i="42"/>
  <c r="I35" i="42"/>
  <c r="I169" i="42"/>
  <c r="I184" i="42"/>
  <c r="I327" i="42"/>
  <c r="I333" i="42"/>
  <c r="I264" i="42"/>
  <c r="I158" i="42"/>
  <c r="I163" i="42"/>
  <c r="I10" i="42"/>
  <c r="I25" i="42"/>
  <c r="I128" i="42"/>
  <c r="I356" i="42"/>
  <c r="I304" i="42"/>
  <c r="I214" i="42"/>
  <c r="I20" i="42"/>
  <c r="I204" i="42"/>
  <c r="I174" i="42"/>
  <c r="I322" i="42"/>
  <c r="I328" i="42"/>
  <c r="I299" i="42"/>
  <c r="I193" i="42"/>
  <c r="I209" i="42"/>
  <c r="I118" i="42"/>
  <c r="I123" i="42"/>
  <c r="I67" i="42"/>
  <c r="I72" i="42"/>
  <c r="I77" i="42"/>
  <c r="I82" i="42"/>
  <c r="I87" i="42"/>
  <c r="I188" i="42"/>
  <c r="I179" i="42"/>
  <c r="I133" i="42"/>
  <c r="I351" i="42"/>
  <c r="I288" i="42"/>
  <c r="I294" i="42"/>
  <c r="I259" i="42"/>
  <c r="I317" i="42"/>
  <c r="I245" i="42"/>
  <c r="I199" i="42"/>
  <c r="I113" i="42"/>
  <c r="I346" i="42"/>
  <c r="I283" i="42"/>
  <c r="I224" i="42"/>
  <c r="I240" i="42"/>
  <c r="I325" i="42"/>
  <c r="I331" i="42"/>
  <c r="I261" i="42"/>
  <c r="I219" i="42"/>
  <c r="I201" i="42"/>
  <c r="I141" i="42"/>
  <c r="I56" i="42"/>
  <c r="I14" i="42"/>
  <c r="I338" i="42"/>
  <c r="I238" i="42"/>
  <c r="I105" i="42"/>
  <c r="I68" i="42"/>
  <c r="I74" i="42"/>
  <c r="I62" i="42"/>
  <c r="I45" i="42"/>
  <c r="I86" i="42"/>
  <c r="I202" i="42"/>
  <c r="I341" i="42"/>
  <c r="I347" i="42"/>
  <c r="I303" i="42"/>
  <c r="I244" i="42"/>
  <c r="I129" i="42"/>
  <c r="I154" i="42"/>
  <c r="I91" i="42"/>
  <c r="I50" i="42"/>
  <c r="I26" i="42"/>
  <c r="I267" i="42"/>
  <c r="I39" i="42"/>
  <c r="I354" i="42"/>
  <c r="I360" i="42"/>
  <c r="I309" i="42"/>
  <c r="I160" i="42"/>
  <c r="I178" i="42"/>
  <c r="I99" i="42"/>
  <c r="I21" i="42"/>
  <c r="I256" i="42"/>
  <c r="I196" i="42"/>
  <c r="I149" i="42"/>
  <c r="I239" i="42"/>
  <c r="I326" i="42"/>
  <c r="I342" i="42"/>
  <c r="I208" i="42"/>
  <c r="I80" i="42"/>
  <c r="I274" i="42"/>
  <c r="I185" i="42"/>
  <c r="I100" i="42"/>
  <c r="I249" i="42"/>
  <c r="I226" i="42"/>
  <c r="I232" i="42"/>
  <c r="I166" i="42"/>
  <c r="I130" i="42"/>
  <c r="I111" i="42"/>
  <c r="I93" i="42"/>
  <c r="I9" i="42"/>
  <c r="I124" i="42"/>
  <c r="I57" i="42"/>
  <c r="I33" i="42"/>
  <c r="I285" i="42"/>
  <c r="I291" i="42"/>
  <c r="I297" i="42"/>
  <c r="I148" i="42"/>
  <c r="I275" i="42"/>
  <c r="I262" i="42"/>
  <c r="I142" i="42"/>
  <c r="I348" i="42"/>
  <c r="I368" i="42"/>
  <c r="I313" i="42"/>
  <c r="I190" i="42"/>
  <c r="I215" i="42"/>
  <c r="I172" i="42"/>
  <c r="I136" i="42"/>
  <c r="I320" i="42"/>
  <c r="I75" i="42"/>
  <c r="I90" i="42"/>
  <c r="I282" i="42"/>
  <c r="I96" i="42"/>
  <c r="I120" i="42"/>
  <c r="I28" i="42"/>
  <c r="I231" i="42"/>
  <c r="I36" i="42"/>
  <c r="I301" i="42"/>
  <c r="I205" i="42"/>
  <c r="I241" i="42"/>
  <c r="I359" i="42"/>
  <c r="I369" i="42"/>
  <c r="I316" i="42"/>
  <c r="I257" i="42"/>
  <c r="I222" i="42"/>
  <c r="I176" i="42"/>
  <c r="I140" i="42"/>
  <c r="I66" i="42"/>
  <c r="I40" i="42"/>
  <c r="I335" i="42"/>
  <c r="I292" i="42"/>
  <c r="I161" i="42"/>
  <c r="I132" i="42"/>
  <c r="I63" i="42"/>
  <c r="I19" i="42"/>
  <c r="I195" i="42"/>
  <c r="I156" i="42"/>
  <c r="I112" i="42"/>
  <c r="I55" i="42"/>
  <c r="I12" i="42"/>
  <c r="I266" i="42"/>
  <c r="I150" i="42"/>
  <c r="I343" i="42"/>
  <c r="I315" i="42"/>
  <c r="I221" i="42"/>
  <c r="I213" i="42"/>
  <c r="I41" i="42"/>
  <c r="I60" i="42"/>
  <c r="I203" i="42"/>
  <c r="I114" i="42"/>
  <c r="I71" i="42"/>
  <c r="I11" i="42"/>
  <c r="I52" i="42"/>
  <c r="I106" i="42"/>
  <c r="I357" i="42"/>
  <c r="I94" i="42"/>
  <c r="I206" i="42"/>
  <c r="I358" i="42"/>
  <c r="I29" i="42"/>
  <c r="I355" i="42"/>
  <c r="I251" i="42"/>
  <c r="I271" i="42"/>
  <c r="I243" i="42"/>
  <c r="I134" i="42"/>
  <c r="I153" i="42"/>
  <c r="I103" i="42"/>
  <c r="I235" i="42"/>
  <c r="I186" i="42"/>
  <c r="I126" i="42"/>
  <c r="I43" i="42"/>
  <c r="I31" i="42"/>
  <c r="I273" i="42"/>
  <c r="I13" i="42"/>
  <c r="I281" i="42"/>
  <c r="I305" i="42"/>
  <c r="I236" i="42"/>
  <c r="I135" i="42"/>
  <c r="I22" i="42"/>
  <c r="I276" i="42"/>
  <c r="I44" i="42"/>
  <c r="I216" i="42"/>
  <c r="I183" i="42"/>
  <c r="I155" i="42"/>
  <c r="I175" i="42"/>
  <c r="I145" i="42"/>
  <c r="I318" i="42"/>
  <c r="I137" i="42"/>
  <c r="I233" i="42"/>
  <c r="I102" i="42"/>
  <c r="I81" i="42"/>
  <c r="I300" i="42"/>
  <c r="I192" i="42"/>
  <c r="I223" i="42"/>
  <c r="I177" i="42"/>
  <c r="I53" i="42"/>
  <c r="I365" i="42"/>
  <c r="I329" i="42"/>
  <c r="I345" i="42"/>
  <c r="I61" i="42"/>
  <c r="I290" i="42"/>
  <c r="I252" i="42"/>
  <c r="I246" i="42"/>
  <c r="I95" i="42"/>
  <c r="I339" i="42"/>
  <c r="I279" i="42"/>
  <c r="I234" i="42"/>
  <c r="I165" i="42"/>
  <c r="I115" i="42"/>
  <c r="I84" i="42"/>
  <c r="I330" i="42"/>
  <c r="I225" i="42"/>
  <c r="I73" i="42"/>
  <c r="I146" i="42"/>
  <c r="I127" i="42"/>
  <c r="I144" i="42"/>
  <c r="I16" i="42"/>
  <c r="I349" i="42"/>
  <c r="I228" i="42"/>
  <c r="I210" i="42"/>
  <c r="I121" i="42"/>
  <c r="I270" i="42"/>
  <c r="I107" i="42"/>
  <c r="I254" i="42"/>
  <c r="I296" i="42"/>
  <c r="I258" i="42"/>
  <c r="I139" i="42"/>
  <c r="I98" i="42"/>
  <c r="I162" i="42"/>
  <c r="I79" i="42"/>
  <c r="I170" i="42"/>
  <c r="I287" i="42"/>
  <c r="I308" i="42"/>
  <c r="I108" i="42"/>
  <c r="I38" i="42"/>
  <c r="I230" i="42"/>
  <c r="I334" i="42"/>
  <c r="I85" i="42"/>
  <c r="I311" i="42"/>
  <c r="I312" i="42"/>
  <c r="I255" i="42"/>
  <c r="I97" i="42"/>
  <c r="I7" i="42"/>
  <c r="I265" i="42"/>
  <c r="I295" i="42"/>
  <c r="I59" i="42"/>
  <c r="I88" i="42"/>
  <c r="I110" i="42"/>
  <c r="I47" i="42"/>
  <c r="I337" i="42"/>
  <c r="I24" i="42"/>
  <c r="I321" i="42"/>
  <c r="I116" i="42"/>
  <c r="I49" i="42"/>
  <c r="I181" i="42"/>
  <c r="I58" i="42"/>
  <c r="I191" i="42"/>
  <c r="I17" i="42"/>
  <c r="I151" i="42"/>
  <c r="I69" i="42"/>
  <c r="I336" i="42"/>
  <c r="I260" i="42"/>
  <c r="I8" i="42"/>
  <c r="I34" i="42"/>
  <c r="I211" i="42"/>
  <c r="I197" i="42"/>
  <c r="I6" i="42"/>
  <c r="I200" i="42"/>
  <c r="I119" i="42"/>
  <c r="I227" i="42"/>
  <c r="I306" i="42"/>
  <c r="I54" i="42"/>
  <c r="I109" i="42"/>
  <c r="I350" i="42"/>
  <c r="I171" i="42"/>
  <c r="I131" i="42"/>
  <c r="I212" i="42"/>
  <c r="I180" i="42"/>
  <c r="I89" i="42"/>
  <c r="I76" i="42"/>
  <c r="I352" i="42"/>
  <c r="I248" i="42"/>
  <c r="I157" i="42"/>
  <c r="I237" i="42"/>
  <c r="I48" i="42"/>
  <c r="I363" i="42"/>
  <c r="I64" i="42"/>
  <c r="I182" i="42"/>
  <c r="I286" i="42"/>
  <c r="I218" i="42"/>
  <c r="I78" i="42"/>
  <c r="I364" i="42"/>
  <c r="I324" i="42"/>
  <c r="I307" i="42"/>
  <c r="I217" i="42"/>
  <c r="I187" i="42"/>
  <c r="I167" i="42"/>
  <c r="I101" i="42"/>
  <c r="J357" i="42"/>
  <c r="J336" i="42"/>
  <c r="J254" i="42"/>
  <c r="J233" i="42"/>
  <c r="J211" i="42"/>
  <c r="J129" i="42"/>
  <c r="J108" i="42"/>
  <c r="J87" i="42"/>
  <c r="J9" i="42"/>
  <c r="J189" i="42"/>
  <c r="J366" i="42"/>
  <c r="J284" i="42"/>
  <c r="J263" i="42"/>
  <c r="J242" i="42"/>
  <c r="J159" i="42"/>
  <c r="J138" i="42"/>
  <c r="J117" i="42"/>
  <c r="J37" i="42"/>
  <c r="J18" i="42"/>
  <c r="J314" i="42"/>
  <c r="J293" i="42"/>
  <c r="J272" i="42"/>
  <c r="J344" i="42"/>
  <c r="J323" i="42"/>
  <c r="J302" i="42"/>
  <c r="J220" i="42"/>
  <c r="J198" i="42"/>
  <c r="J177" i="42"/>
  <c r="J156" i="42"/>
  <c r="J74" i="42"/>
  <c r="J55" i="42"/>
  <c r="J36" i="42"/>
  <c r="J353" i="42"/>
  <c r="J332" i="42"/>
  <c r="J362" i="42"/>
  <c r="J280" i="42"/>
  <c r="J259" i="42"/>
  <c r="J238" i="42"/>
  <c r="J216" i="42"/>
  <c r="J134" i="42"/>
  <c r="J113" i="42"/>
  <c r="J92" i="42"/>
  <c r="J14" i="42"/>
  <c r="J310" i="42"/>
  <c r="J289" i="42"/>
  <c r="J268" i="42"/>
  <c r="J247" i="42"/>
  <c r="J164" i="42"/>
  <c r="J143" i="42"/>
  <c r="J122" i="42"/>
  <c r="J42" i="42"/>
  <c r="J23" i="42"/>
  <c r="J340" i="42"/>
  <c r="J338" i="42"/>
  <c r="J258" i="42"/>
  <c r="J274" i="42"/>
  <c r="J148" i="42"/>
  <c r="J153" i="42"/>
  <c r="J97" i="42"/>
  <c r="J102" i="42"/>
  <c r="J107" i="42"/>
  <c r="J112" i="42"/>
  <c r="J193" i="42"/>
  <c r="J123" i="42"/>
  <c r="J77" i="42"/>
  <c r="J361" i="42"/>
  <c r="J367" i="42"/>
  <c r="J278" i="42"/>
  <c r="J253" i="42"/>
  <c r="J269" i="42"/>
  <c r="J67" i="42"/>
  <c r="J327" i="42"/>
  <c r="J333" i="42"/>
  <c r="J264" i="42"/>
  <c r="J229" i="42"/>
  <c r="J158" i="42"/>
  <c r="J163" i="42"/>
  <c r="J82" i="42"/>
  <c r="J356" i="42"/>
  <c r="J304" i="42"/>
  <c r="J214" i="42"/>
  <c r="J10" i="42"/>
  <c r="J15" i="42"/>
  <c r="J20" i="42"/>
  <c r="J25" i="42"/>
  <c r="J30" i="42"/>
  <c r="J35" i="42"/>
  <c r="J209" i="42"/>
  <c r="J118" i="42"/>
  <c r="J72" i="42"/>
  <c r="J322" i="42"/>
  <c r="J328" i="42"/>
  <c r="J299" i="42"/>
  <c r="J351" i="42"/>
  <c r="J288" i="42"/>
  <c r="J294" i="42"/>
  <c r="J188" i="42"/>
  <c r="J204" i="42"/>
  <c r="J169" i="42"/>
  <c r="J174" i="42"/>
  <c r="J179" i="42"/>
  <c r="J184" i="42"/>
  <c r="J128" i="42"/>
  <c r="J133" i="42"/>
  <c r="J317" i="42"/>
  <c r="J245" i="42"/>
  <c r="J199" i="42"/>
  <c r="J255" i="42"/>
  <c r="J195" i="42"/>
  <c r="J116" i="42"/>
  <c r="J38" i="42"/>
  <c r="J8" i="42"/>
  <c r="J56" i="42"/>
  <c r="J32" i="42"/>
  <c r="J341" i="42"/>
  <c r="J303" i="42"/>
  <c r="J154" i="42"/>
  <c r="J91" i="42"/>
  <c r="J105" i="42"/>
  <c r="J21" i="42"/>
  <c r="J136" i="42"/>
  <c r="J86" i="42"/>
  <c r="J275" i="42"/>
  <c r="J27" i="42"/>
  <c r="J326" i="42"/>
  <c r="J298" i="42"/>
  <c r="J262" i="42"/>
  <c r="J319" i="42"/>
  <c r="J325" i="42"/>
  <c r="J331" i="42"/>
  <c r="J261" i="42"/>
  <c r="J219" i="42"/>
  <c r="J201" i="42"/>
  <c r="J141" i="42"/>
  <c r="J147" i="42"/>
  <c r="J347" i="42"/>
  <c r="J244" i="42"/>
  <c r="J50" i="42"/>
  <c r="J26" i="42"/>
  <c r="J267" i="42"/>
  <c r="J39" i="42"/>
  <c r="J160" i="42"/>
  <c r="J51" i="42"/>
  <c r="J100" i="42"/>
  <c r="J45" i="42"/>
  <c r="J256" i="42"/>
  <c r="J196" i="42"/>
  <c r="J68" i="42"/>
  <c r="J130" i="42"/>
  <c r="J313" i="42"/>
  <c r="J215" i="42"/>
  <c r="J250" i="42"/>
  <c r="J239" i="42"/>
  <c r="J202" i="42"/>
  <c r="J354" i="42"/>
  <c r="J360" i="42"/>
  <c r="J309" i="42"/>
  <c r="J249" i="42"/>
  <c r="J226" i="42"/>
  <c r="J208" i="42"/>
  <c r="J178" i="42"/>
  <c r="J99" i="42"/>
  <c r="J80" i="42"/>
  <c r="J62" i="42"/>
  <c r="J166" i="42"/>
  <c r="J111" i="42"/>
  <c r="J190" i="42"/>
  <c r="J185" i="42"/>
  <c r="J232" i="42"/>
  <c r="J368" i="42"/>
  <c r="J172" i="42"/>
  <c r="J93" i="42"/>
  <c r="J285" i="42"/>
  <c r="J291" i="42"/>
  <c r="J297" i="42"/>
  <c r="J149" i="42"/>
  <c r="J320" i="42"/>
  <c r="J342" i="42"/>
  <c r="J350" i="42"/>
  <c r="J308" i="42"/>
  <c r="J273" i="42"/>
  <c r="J217" i="42"/>
  <c r="J212" i="42"/>
  <c r="J103" i="42"/>
  <c r="J47" i="42"/>
  <c r="J359" i="42"/>
  <c r="J316" i="42"/>
  <c r="J257" i="42"/>
  <c r="J176" i="42"/>
  <c r="J168" i="42"/>
  <c r="J83" i="42"/>
  <c r="J282" i="42"/>
  <c r="J161" i="42"/>
  <c r="J132" i="42"/>
  <c r="J120" i="42"/>
  <c r="J283" i="42"/>
  <c r="J231" i="42"/>
  <c r="J104" i="42"/>
  <c r="J266" i="42"/>
  <c r="J75" i="42"/>
  <c r="J369" i="42"/>
  <c r="J222" i="42"/>
  <c r="J140" i="42"/>
  <c r="J66" i="42"/>
  <c r="J40" i="42"/>
  <c r="J90" i="42"/>
  <c r="J335" i="42"/>
  <c r="J292" i="42"/>
  <c r="J96" i="42"/>
  <c r="J63" i="42"/>
  <c r="J19" i="42"/>
  <c r="J28" i="42"/>
  <c r="J12" i="42"/>
  <c r="J301" i="42"/>
  <c r="J205" i="42"/>
  <c r="J287" i="42"/>
  <c r="J260" i="42"/>
  <c r="J144" i="42"/>
  <c r="J41" i="42"/>
  <c r="J355" i="42"/>
  <c r="J234" i="42"/>
  <c r="J126" i="42"/>
  <c r="J290" i="42"/>
  <c r="J13" i="42"/>
  <c r="J343" i="42"/>
  <c r="J315" i="42"/>
  <c r="J221" i="42"/>
  <c r="J213" i="42"/>
  <c r="J29" i="42"/>
  <c r="J60" i="42"/>
  <c r="J271" i="42"/>
  <c r="J71" i="42"/>
  <c r="J11" i="42"/>
  <c r="J145" i="42"/>
  <c r="J223" i="42"/>
  <c r="J246" i="42"/>
  <c r="J125" i="42"/>
  <c r="J43" i="42"/>
  <c r="J94" i="42"/>
  <c r="J206" i="42"/>
  <c r="J73" i="42"/>
  <c r="J358" i="42"/>
  <c r="J235" i="42"/>
  <c r="J194" i="42"/>
  <c r="J95" i="42"/>
  <c r="J330" i="42"/>
  <c r="J339" i="42"/>
  <c r="J243" i="42"/>
  <c r="J114" i="42"/>
  <c r="J81" i="42"/>
  <c r="J279" i="42"/>
  <c r="J52" i="42"/>
  <c r="J252" i="42"/>
  <c r="J251" i="42"/>
  <c r="J203" i="42"/>
  <c r="J124" i="42"/>
  <c r="J183" i="42"/>
  <c r="J155" i="42"/>
  <c r="J135" i="42"/>
  <c r="J345" i="42"/>
  <c r="J186" i="42"/>
  <c r="J106" i="42"/>
  <c r="J318" i="42"/>
  <c r="J115" i="42"/>
  <c r="J225" i="42"/>
  <c r="J300" i="42"/>
  <c r="J224" i="42"/>
  <c r="J84" i="42"/>
  <c r="J276" i="42"/>
  <c r="J53" i="42"/>
  <c r="J146" i="42"/>
  <c r="J365" i="42"/>
  <c r="J329" i="42"/>
  <c r="J192" i="42"/>
  <c r="J175" i="42"/>
  <c r="J22" i="42"/>
  <c r="J165" i="42"/>
  <c r="J61" i="42"/>
  <c r="J31" i="42"/>
  <c r="J346" i="42"/>
  <c r="J364" i="42"/>
  <c r="J187" i="42"/>
  <c r="J78" i="42"/>
  <c r="J57" i="42"/>
  <c r="J33" i="42"/>
  <c r="J348" i="42"/>
  <c r="J16" i="42"/>
  <c r="J349" i="42"/>
  <c r="J79" i="42"/>
  <c r="J150" i="42"/>
  <c r="J65" i="42"/>
  <c r="J34" i="42"/>
  <c r="J236" i="42"/>
  <c r="J85" i="42"/>
  <c r="J171" i="42"/>
  <c r="J59" i="42"/>
  <c r="J296" i="42"/>
  <c r="J337" i="42"/>
  <c r="J98" i="42"/>
  <c r="J76" i="42"/>
  <c r="J181" i="42"/>
  <c r="J127" i="42"/>
  <c r="J228" i="42"/>
  <c r="J210" i="42"/>
  <c r="J121" i="42"/>
  <c r="J270" i="42"/>
  <c r="J170" i="42"/>
  <c r="J230" i="42"/>
  <c r="J58" i="42"/>
  <c r="J352" i="42"/>
  <c r="J173" i="42"/>
  <c r="J46" i="42"/>
  <c r="J248" i="42"/>
  <c r="J157" i="42"/>
  <c r="J24" i="42"/>
  <c r="J218" i="42"/>
  <c r="J49" i="42"/>
  <c r="J64" i="42"/>
  <c r="J207" i="42"/>
  <c r="J197" i="42"/>
  <c r="J151" i="42"/>
  <c r="J152" i="42"/>
  <c r="J70" i="42"/>
  <c r="J265" i="42"/>
  <c r="J119" i="42"/>
  <c r="J142" i="42"/>
  <c r="J54" i="42"/>
  <c r="J334" i="42"/>
  <c r="J191" i="42"/>
  <c r="J5" i="42"/>
  <c r="J312" i="42"/>
  <c r="J69" i="42"/>
  <c r="J137" i="42"/>
  <c r="J110" i="42"/>
  <c r="J180" i="42"/>
  <c r="J240" i="42"/>
  <c r="J139" i="42"/>
  <c r="J7" i="42"/>
  <c r="J295" i="42"/>
  <c r="J109" i="42"/>
  <c r="J17" i="42"/>
  <c r="J311" i="42"/>
  <c r="J131" i="42"/>
  <c r="J6" i="42"/>
  <c r="J281" i="42"/>
  <c r="J305" i="42"/>
  <c r="J89" i="42"/>
  <c r="J363" i="42"/>
  <c r="J162" i="42"/>
  <c r="J277" i="42"/>
  <c r="J44" i="42"/>
  <c r="J237" i="42"/>
  <c r="J241" i="42"/>
  <c r="J321" i="42"/>
  <c r="J88" i="42"/>
  <c r="J48" i="42"/>
  <c r="J200" i="42"/>
  <c r="J227" i="42"/>
  <c r="J306" i="42"/>
  <c r="J182" i="42"/>
  <c r="J324" i="42"/>
  <c r="J286" i="42"/>
  <c r="J307" i="42"/>
  <c r="J167" i="42"/>
  <c r="J101" i="42"/>
  <c r="C340" i="42"/>
  <c r="C319" i="42"/>
  <c r="C298" i="42"/>
  <c r="C277" i="42"/>
  <c r="C194" i="42"/>
  <c r="L194" i="42" s="1"/>
  <c r="C173" i="42"/>
  <c r="C152" i="42"/>
  <c r="C70" i="42"/>
  <c r="L70" i="42" s="1"/>
  <c r="C51" i="42"/>
  <c r="C32" i="42"/>
  <c r="L32" i="42" s="1"/>
  <c r="C212" i="42"/>
  <c r="C349" i="42"/>
  <c r="L349" i="42" s="1"/>
  <c r="C328" i="42"/>
  <c r="L328" i="42" s="1"/>
  <c r="C307" i="42"/>
  <c r="C225" i="42"/>
  <c r="L225" i="42" s="1"/>
  <c r="C203" i="42"/>
  <c r="L203" i="42" s="1"/>
  <c r="C182" i="42"/>
  <c r="C100" i="42"/>
  <c r="C79" i="42"/>
  <c r="C60" i="42"/>
  <c r="C358" i="42"/>
  <c r="C337" i="42"/>
  <c r="C255" i="42"/>
  <c r="C234" i="42"/>
  <c r="L234" i="42" s="1"/>
  <c r="C367" i="42"/>
  <c r="L367" i="42" s="1"/>
  <c r="C285" i="42"/>
  <c r="C264" i="42"/>
  <c r="C243" i="42"/>
  <c r="C160" i="42"/>
  <c r="C139" i="42"/>
  <c r="C118" i="42"/>
  <c r="C38" i="42"/>
  <c r="C19" i="42"/>
  <c r="C315" i="42"/>
  <c r="C294" i="42"/>
  <c r="C345" i="42"/>
  <c r="C324" i="42"/>
  <c r="C303" i="42"/>
  <c r="C221" i="42"/>
  <c r="C199" i="42"/>
  <c r="C178" i="42"/>
  <c r="C156" i="42"/>
  <c r="C96" i="42"/>
  <c r="C75" i="42"/>
  <c r="C56" i="42"/>
  <c r="C36" i="42"/>
  <c r="C354" i="42"/>
  <c r="C333" i="42"/>
  <c r="C251" i="42"/>
  <c r="C230" i="42"/>
  <c r="C208" i="42"/>
  <c r="C126" i="42"/>
  <c r="C105" i="42"/>
  <c r="C84" i="42"/>
  <c r="C6" i="42"/>
  <c r="L6" i="42" s="1"/>
  <c r="C346" i="42"/>
  <c r="L346" i="42" s="1"/>
  <c r="C283" i="42"/>
  <c r="L283" i="42" s="1"/>
  <c r="C224" i="42"/>
  <c r="C240" i="42"/>
  <c r="C169" i="42"/>
  <c r="C312" i="42"/>
  <c r="C219" i="42"/>
  <c r="L219" i="42" s="1"/>
  <c r="C235" i="42"/>
  <c r="C93" i="42"/>
  <c r="L93" i="42" s="1"/>
  <c r="C39" i="42"/>
  <c r="L39" i="42" s="1"/>
  <c r="C44" i="42"/>
  <c r="C49" i="42"/>
  <c r="C54" i="42"/>
  <c r="C59" i="42"/>
  <c r="C159" i="42"/>
  <c r="C341" i="42"/>
  <c r="C259" i="42"/>
  <c r="C275" i="42"/>
  <c r="C144" i="42"/>
  <c r="C149" i="42"/>
  <c r="C154" i="42"/>
  <c r="C98" i="42"/>
  <c r="C103" i="42"/>
  <c r="C108" i="42"/>
  <c r="C113" i="42"/>
  <c r="C362" i="42"/>
  <c r="C368" i="42"/>
  <c r="C278" i="42"/>
  <c r="C254" i="42"/>
  <c r="C270" i="42"/>
  <c r="C164" i="42"/>
  <c r="C88" i="42"/>
  <c r="C334" i="42"/>
  <c r="C249" i="42"/>
  <c r="C357" i="42"/>
  <c r="C363" i="42"/>
  <c r="C305" i="42"/>
  <c r="L305" i="42" s="1"/>
  <c r="C260" i="42"/>
  <c r="L260" i="42" s="1"/>
  <c r="C215" i="42"/>
  <c r="L215" i="42" s="1"/>
  <c r="C11" i="42"/>
  <c r="L11" i="42" s="1"/>
  <c r="C16" i="42"/>
  <c r="C21" i="42"/>
  <c r="L21" i="42" s="1"/>
  <c r="C26" i="42"/>
  <c r="C31" i="42"/>
  <c r="C323" i="42"/>
  <c r="C329" i="42"/>
  <c r="C300" i="42"/>
  <c r="L300" i="42" s="1"/>
  <c r="C210" i="42"/>
  <c r="C291" i="42"/>
  <c r="L291" i="42" s="1"/>
  <c r="C297" i="42"/>
  <c r="L297" i="42" s="1"/>
  <c r="C274" i="42"/>
  <c r="C238" i="42"/>
  <c r="C184" i="42"/>
  <c r="C123" i="42"/>
  <c r="C74" i="42"/>
  <c r="C45" i="42"/>
  <c r="C86" i="42"/>
  <c r="C15" i="42"/>
  <c r="C256" i="42"/>
  <c r="C130" i="42"/>
  <c r="C117" i="42"/>
  <c r="C9" i="42"/>
  <c r="C245" i="42"/>
  <c r="C92" i="42"/>
  <c r="C161" i="42"/>
  <c r="C69" i="42"/>
  <c r="C233" i="42"/>
  <c r="C292" i="42"/>
  <c r="C180" i="42"/>
  <c r="C314" i="42"/>
  <c r="C313" i="42"/>
  <c r="C172" i="42"/>
  <c r="C136" i="42"/>
  <c r="L136" i="42" s="1"/>
  <c r="C196" i="42"/>
  <c r="C185" i="42"/>
  <c r="C148" i="42"/>
  <c r="C320" i="42"/>
  <c r="L320" i="42" s="1"/>
  <c r="C326" i="42"/>
  <c r="C332" i="42"/>
  <c r="C262" i="42"/>
  <c r="L262" i="42" s="1"/>
  <c r="C220" i="42"/>
  <c r="L220" i="42" s="1"/>
  <c r="C239" i="42"/>
  <c r="L239" i="42" s="1"/>
  <c r="C190" i="42"/>
  <c r="C202" i="42"/>
  <c r="C142" i="42"/>
  <c r="L142" i="42" s="1"/>
  <c r="C124" i="42"/>
  <c r="C57" i="42"/>
  <c r="L57" i="42" s="1"/>
  <c r="C33" i="42"/>
  <c r="L33" i="42" s="1"/>
  <c r="C63" i="42"/>
  <c r="L63" i="42" s="1"/>
  <c r="C131" i="42"/>
  <c r="L131" i="42" s="1"/>
  <c r="C286" i="42"/>
  <c r="C191" i="42"/>
  <c r="C27" i="42"/>
  <c r="C81" i="42"/>
  <c r="C269" i="42"/>
  <c r="C52" i="42"/>
  <c r="C46" i="42"/>
  <c r="C22" i="42"/>
  <c r="C369" i="42"/>
  <c r="C342" i="42"/>
  <c r="C348" i="42"/>
  <c r="C304" i="42"/>
  <c r="C155" i="42"/>
  <c r="C268" i="42"/>
  <c r="C106" i="42"/>
  <c r="C40" i="42"/>
  <c r="C167" i="42"/>
  <c r="C112" i="42"/>
  <c r="C355" i="42"/>
  <c r="C361" i="42"/>
  <c r="C309" i="42"/>
  <c r="C246" i="42"/>
  <c r="C119" i="42"/>
  <c r="C10" i="42"/>
  <c r="C216" i="42"/>
  <c r="C279" i="42"/>
  <c r="C250" i="42"/>
  <c r="L250" i="42" s="1"/>
  <c r="C227" i="42"/>
  <c r="C209" i="42"/>
  <c r="C179" i="42"/>
  <c r="C301" i="42"/>
  <c r="L301" i="42" s="1"/>
  <c r="C266" i="42"/>
  <c r="L266" i="42" s="1"/>
  <c r="C205" i="42"/>
  <c r="C55" i="42"/>
  <c r="C28" i="42"/>
  <c r="C351" i="42"/>
  <c r="C276" i="42"/>
  <c r="C217" i="42"/>
  <c r="C104" i="42"/>
  <c r="L104" i="42" s="1"/>
  <c r="C48" i="42"/>
  <c r="L48" i="42" s="1"/>
  <c r="C317" i="42"/>
  <c r="C258" i="42"/>
  <c r="C177" i="42"/>
  <c r="C91" i="42"/>
  <c r="C162" i="42"/>
  <c r="C133" i="42"/>
  <c r="C20" i="42"/>
  <c r="C241" i="42"/>
  <c r="C150" i="42"/>
  <c r="C35" i="42"/>
  <c r="C343" i="42"/>
  <c r="C213" i="42"/>
  <c r="C187" i="42"/>
  <c r="L187" i="42" s="1"/>
  <c r="C76" i="42"/>
  <c r="C352" i="42"/>
  <c r="C360" i="42"/>
  <c r="C327" i="42"/>
  <c r="C223" i="42"/>
  <c r="C170" i="42"/>
  <c r="C141" i="42"/>
  <c r="C67" i="42"/>
  <c r="C41" i="42"/>
  <c r="C197" i="42"/>
  <c r="L197" i="42" s="1"/>
  <c r="C114" i="42"/>
  <c r="C318" i="42"/>
  <c r="L318" i="42" s="1"/>
  <c r="C336" i="42"/>
  <c r="C293" i="42"/>
  <c r="C97" i="42"/>
  <c r="C365" i="42"/>
  <c r="C232" i="42"/>
  <c r="C192" i="42"/>
  <c r="L192" i="42" s="1"/>
  <c r="C174" i="42"/>
  <c r="L174" i="42" s="1"/>
  <c r="C134" i="42"/>
  <c r="C90" i="42"/>
  <c r="C288" i="42"/>
  <c r="C175" i="42"/>
  <c r="C145" i="42"/>
  <c r="L145" i="42" s="1"/>
  <c r="C344" i="42"/>
  <c r="L344" i="42" s="1"/>
  <c r="C244" i="42"/>
  <c r="L244" i="42" s="1"/>
  <c r="C366" i="42"/>
  <c r="L366" i="42" s="1"/>
  <c r="C193" i="42"/>
  <c r="C166" i="42"/>
  <c r="C95" i="42"/>
  <c r="C265" i="42"/>
  <c r="C338" i="42"/>
  <c r="C122" i="42"/>
  <c r="C261" i="42"/>
  <c r="C316" i="42"/>
  <c r="C222" i="42"/>
  <c r="C214" i="42"/>
  <c r="C42" i="42"/>
  <c r="C12" i="42"/>
  <c r="C330" i="42"/>
  <c r="C206" i="42"/>
  <c r="C83" i="42"/>
  <c r="C146" i="42"/>
  <c r="C127" i="42"/>
  <c r="C107" i="42"/>
  <c r="C24" i="42"/>
  <c r="C281" i="42"/>
  <c r="C137" i="42"/>
  <c r="C23" i="42"/>
  <c r="C125" i="42"/>
  <c r="L125" i="42" s="1"/>
  <c r="C247" i="42"/>
  <c r="C61" i="42"/>
  <c r="C204" i="42"/>
  <c r="C115" i="42"/>
  <c r="L115" i="42" s="1"/>
  <c r="C236" i="42"/>
  <c r="C186" i="42"/>
  <c r="C347" i="42"/>
  <c r="L347" i="42" s="1"/>
  <c r="C226" i="42"/>
  <c r="C289" i="42"/>
  <c r="L289" i="42" s="1"/>
  <c r="C135" i="42"/>
  <c r="C30" i="42"/>
  <c r="C165" i="42"/>
  <c r="C72" i="42"/>
  <c r="C43" i="42"/>
  <c r="C94" i="42"/>
  <c r="L94" i="42" s="1"/>
  <c r="C263" i="42"/>
  <c r="L263" i="42" s="1"/>
  <c r="C53" i="42"/>
  <c r="L53" i="42" s="1"/>
  <c r="C273" i="42"/>
  <c r="C116" i="42"/>
  <c r="C356" i="42"/>
  <c r="C290" i="42"/>
  <c r="C252" i="42"/>
  <c r="C272" i="42"/>
  <c r="C176" i="42"/>
  <c r="C195" i="42"/>
  <c r="C321" i="42"/>
  <c r="C253" i="42"/>
  <c r="C157" i="42"/>
  <c r="C331" i="42"/>
  <c r="C207" i="42"/>
  <c r="C82" i="42"/>
  <c r="C302" i="42"/>
  <c r="C73" i="42"/>
  <c r="C280" i="42"/>
  <c r="C13" i="42"/>
  <c r="C62" i="42"/>
  <c r="L62" i="42" s="1"/>
  <c r="C65" i="42"/>
  <c r="C295" i="42"/>
  <c r="C168" i="42"/>
  <c r="C188" i="42"/>
  <c r="C189" i="42"/>
  <c r="L189" i="42" s="1"/>
  <c r="C129" i="42"/>
  <c r="C350" i="42"/>
  <c r="C271" i="42"/>
  <c r="L271" i="42" s="1"/>
  <c r="C151" i="42"/>
  <c r="C66" i="42"/>
  <c r="L66" i="42" s="1"/>
  <c r="C335" i="42"/>
  <c r="L335" i="42" s="1"/>
  <c r="C257" i="42"/>
  <c r="L257" i="42" s="1"/>
  <c r="C153" i="42"/>
  <c r="L153" i="42" s="1"/>
  <c r="C138" i="42"/>
  <c r="C111" i="42"/>
  <c r="C282" i="42"/>
  <c r="C267" i="42"/>
  <c r="C120" i="42"/>
  <c r="L120" i="42" s="1"/>
  <c r="C325" i="42"/>
  <c r="C308" i="42"/>
  <c r="L308" i="42" s="1"/>
  <c r="C102" i="42"/>
  <c r="L102" i="42" s="1"/>
  <c r="C147" i="42"/>
  <c r="C339" i="42"/>
  <c r="C128" i="42"/>
  <c r="C58" i="42"/>
  <c r="C34" i="42"/>
  <c r="C310" i="42"/>
  <c r="C17" i="42"/>
  <c r="C311" i="42"/>
  <c r="C229" i="42"/>
  <c r="C211" i="42"/>
  <c r="C80" i="42"/>
  <c r="C171" i="42"/>
  <c r="C85" i="42"/>
  <c r="C109" i="42"/>
  <c r="C353" i="42"/>
  <c r="C248" i="42"/>
  <c r="C242" i="42"/>
  <c r="C64" i="42"/>
  <c r="C140" i="42"/>
  <c r="C306" i="42"/>
  <c r="C99" i="42"/>
  <c r="C284" i="42"/>
  <c r="C163" i="42"/>
  <c r="C68" i="42"/>
  <c r="C237" i="42"/>
  <c r="C18" i="42"/>
  <c r="C7" i="42"/>
  <c r="C101" i="42"/>
  <c r="C364" i="42"/>
  <c r="C78" i="42"/>
  <c r="L78" i="42" s="1"/>
  <c r="C29" i="42"/>
  <c r="C296" i="42"/>
  <c r="L296" i="42" s="1"/>
  <c r="C299" i="42"/>
  <c r="C77" i="42"/>
  <c r="C231" i="42"/>
  <c r="C87" i="42"/>
  <c r="C198" i="42"/>
  <c r="C47" i="42"/>
  <c r="L47" i="42" s="1"/>
  <c r="C89" i="42"/>
  <c r="L89" i="42" s="1"/>
  <c r="C181" i="42"/>
  <c r="L181" i="42" s="1"/>
  <c r="C25" i="42"/>
  <c r="C322" i="42"/>
  <c r="C110" i="42"/>
  <c r="C5" i="42"/>
  <c r="C132" i="42"/>
  <c r="C359" i="42"/>
  <c r="C218" i="42"/>
  <c r="C8" i="42"/>
  <c r="C50" i="42"/>
  <c r="C158" i="42"/>
  <c r="C200" i="42"/>
  <c r="C71" i="42"/>
  <c r="C201" i="42"/>
  <c r="C37" i="42"/>
  <c r="C287" i="42"/>
  <c r="C14" i="42"/>
  <c r="C228" i="42"/>
  <c r="C183" i="42"/>
  <c r="C143" i="42"/>
  <c r="C121" i="42"/>
  <c r="K348" i="42"/>
  <c r="K327" i="42"/>
  <c r="K306" i="42"/>
  <c r="K224" i="42"/>
  <c r="K202" i="42"/>
  <c r="K181" i="42"/>
  <c r="K99" i="42"/>
  <c r="K78" i="42"/>
  <c r="K59" i="42"/>
  <c r="K357" i="42"/>
  <c r="K336" i="42"/>
  <c r="K254" i="42"/>
  <c r="K233" i="42"/>
  <c r="K211" i="42"/>
  <c r="K129" i="42"/>
  <c r="K108" i="42"/>
  <c r="K87" i="42"/>
  <c r="K9" i="42"/>
  <c r="K366" i="42"/>
  <c r="K284" i="42"/>
  <c r="K263" i="42"/>
  <c r="K242" i="42"/>
  <c r="K314" i="42"/>
  <c r="K293" i="42"/>
  <c r="K272" i="42"/>
  <c r="K189" i="42"/>
  <c r="K168" i="42"/>
  <c r="K147" i="42"/>
  <c r="K125" i="42"/>
  <c r="K65" i="42"/>
  <c r="K46" i="42"/>
  <c r="K27" i="42"/>
  <c r="K5" i="42"/>
  <c r="K344" i="42"/>
  <c r="K323" i="42"/>
  <c r="K353" i="42"/>
  <c r="K332" i="42"/>
  <c r="K250" i="42"/>
  <c r="K229" i="42"/>
  <c r="K207" i="42"/>
  <c r="K104" i="42"/>
  <c r="K83" i="42"/>
  <c r="K362" i="42"/>
  <c r="K280" i="42"/>
  <c r="K259" i="42"/>
  <c r="K238" i="42"/>
  <c r="K216" i="42"/>
  <c r="K134" i="42"/>
  <c r="K113" i="42"/>
  <c r="K92" i="42"/>
  <c r="K14" i="42"/>
  <c r="K311" i="42"/>
  <c r="K218" i="42"/>
  <c r="K234" i="42"/>
  <c r="K198" i="42"/>
  <c r="K38" i="42"/>
  <c r="K43" i="42"/>
  <c r="K48" i="42"/>
  <c r="K53" i="42"/>
  <c r="K58" i="42"/>
  <c r="K63" i="42"/>
  <c r="K214" i="42"/>
  <c r="K138" i="42"/>
  <c r="K340" i="42"/>
  <c r="K338" i="42"/>
  <c r="K258" i="42"/>
  <c r="K274" i="42"/>
  <c r="K143" i="42"/>
  <c r="K148" i="42"/>
  <c r="K153" i="42"/>
  <c r="K97" i="42"/>
  <c r="K102" i="42"/>
  <c r="K107" i="42"/>
  <c r="K112" i="42"/>
  <c r="K361" i="42"/>
  <c r="K367" i="42"/>
  <c r="K278" i="42"/>
  <c r="K253" i="42"/>
  <c r="K269" i="42"/>
  <c r="K333" i="42"/>
  <c r="K264" i="42"/>
  <c r="K158" i="42"/>
  <c r="K163" i="42"/>
  <c r="K356" i="42"/>
  <c r="K304" i="42"/>
  <c r="K322" i="42"/>
  <c r="K328" i="42"/>
  <c r="K299" i="42"/>
  <c r="K193" i="42"/>
  <c r="K209" i="42"/>
  <c r="K118" i="42"/>
  <c r="K123" i="42"/>
  <c r="K67" i="42"/>
  <c r="K72" i="42"/>
  <c r="K77" i="42"/>
  <c r="K82" i="42"/>
  <c r="K36" i="42"/>
  <c r="K351" i="42"/>
  <c r="K288" i="42"/>
  <c r="K294" i="42"/>
  <c r="K188" i="42"/>
  <c r="K204" i="42"/>
  <c r="K169" i="42"/>
  <c r="K174" i="42"/>
  <c r="K179" i="42"/>
  <c r="K184" i="42"/>
  <c r="K128" i="42"/>
  <c r="K133" i="42"/>
  <c r="K312" i="42"/>
  <c r="K318" i="42"/>
  <c r="K171" i="42"/>
  <c r="K135" i="42"/>
  <c r="K85" i="42"/>
  <c r="K20" i="42"/>
  <c r="K8" i="42"/>
  <c r="K319" i="42"/>
  <c r="K325" i="42"/>
  <c r="K331" i="42"/>
  <c r="K261" i="42"/>
  <c r="K201" i="42"/>
  <c r="K141" i="42"/>
  <c r="K56" i="42"/>
  <c r="K32" i="42"/>
  <c r="K347" i="42"/>
  <c r="K154" i="42"/>
  <c r="K91" i="42"/>
  <c r="K50" i="42"/>
  <c r="K105" i="42"/>
  <c r="K291" i="42"/>
  <c r="K196" i="42"/>
  <c r="K255" i="42"/>
  <c r="K195" i="42"/>
  <c r="K116" i="42"/>
  <c r="K219" i="42"/>
  <c r="K341" i="42"/>
  <c r="K303" i="42"/>
  <c r="K244" i="42"/>
  <c r="K26" i="42"/>
  <c r="K226" i="42"/>
  <c r="K86" i="42"/>
  <c r="K178" i="42"/>
  <c r="K45" i="42"/>
  <c r="K313" i="42"/>
  <c r="K136" i="42"/>
  <c r="K39" i="42"/>
  <c r="K15" i="42"/>
  <c r="K208" i="42"/>
  <c r="K62" i="42"/>
  <c r="K285" i="42"/>
  <c r="K368" i="42"/>
  <c r="K215" i="42"/>
  <c r="K267" i="42"/>
  <c r="K354" i="42"/>
  <c r="K360" i="42"/>
  <c r="K309" i="42"/>
  <c r="K245" i="42"/>
  <c r="K160" i="42"/>
  <c r="K68" i="42"/>
  <c r="K74" i="42"/>
  <c r="K297" i="42"/>
  <c r="K190" i="42"/>
  <c r="K256" i="42"/>
  <c r="K249" i="42"/>
  <c r="K80" i="42"/>
  <c r="K51" i="42"/>
  <c r="K172" i="42"/>
  <c r="K268" i="42"/>
  <c r="K220" i="42"/>
  <c r="K232" i="42"/>
  <c r="K166" i="42"/>
  <c r="K130" i="42"/>
  <c r="K111" i="42"/>
  <c r="K117" i="42"/>
  <c r="K21" i="42"/>
  <c r="K275" i="42"/>
  <c r="K240" i="42"/>
  <c r="K159" i="42"/>
  <c r="K185" i="42"/>
  <c r="K149" i="42"/>
  <c r="K34" i="42"/>
  <c r="K75" i="42"/>
  <c r="K369" i="42"/>
  <c r="K326" i="42"/>
  <c r="K257" i="42"/>
  <c r="K222" i="42"/>
  <c r="K140" i="42"/>
  <c r="K66" i="42"/>
  <c r="K40" i="42"/>
  <c r="K90" i="42"/>
  <c r="K282" i="42"/>
  <c r="K161" i="42"/>
  <c r="K132" i="42"/>
  <c r="K19" i="42"/>
  <c r="K35" i="42"/>
  <c r="K120" i="42"/>
  <c r="K342" i="42"/>
  <c r="K350" i="42"/>
  <c r="K308" i="42"/>
  <c r="K273" i="42"/>
  <c r="K217" i="42"/>
  <c r="K212" i="42"/>
  <c r="K103" i="42"/>
  <c r="K47" i="42"/>
  <c r="K359" i="42"/>
  <c r="K316" i="42"/>
  <c r="K176" i="42"/>
  <c r="K317" i="42"/>
  <c r="K335" i="42"/>
  <c r="K292" i="42"/>
  <c r="K156" i="42"/>
  <c r="K96" i="42"/>
  <c r="K55" i="42"/>
  <c r="K28" i="42"/>
  <c r="K283" i="42"/>
  <c r="K231" i="42"/>
  <c r="K337" i="42"/>
  <c r="K121" i="42"/>
  <c r="K18" i="42"/>
  <c r="K343" i="42"/>
  <c r="K315" i="42"/>
  <c r="K221" i="42"/>
  <c r="K213" i="42"/>
  <c r="K41" i="42"/>
  <c r="K29" i="42"/>
  <c r="K164" i="42"/>
  <c r="K122" i="42"/>
  <c r="K114" i="42"/>
  <c r="K124" i="42"/>
  <c r="K329" i="42"/>
  <c r="K192" i="42"/>
  <c r="K235" i="42"/>
  <c r="K223" i="42"/>
  <c r="K302" i="42"/>
  <c r="K186" i="42"/>
  <c r="K61" i="42"/>
  <c r="K31" i="42"/>
  <c r="K73" i="42"/>
  <c r="K287" i="42"/>
  <c r="K260" i="42"/>
  <c r="K144" i="42"/>
  <c r="K289" i="42"/>
  <c r="K243" i="42"/>
  <c r="K71" i="42"/>
  <c r="K81" i="42"/>
  <c r="K183" i="42"/>
  <c r="K93" i="42"/>
  <c r="K12" i="42"/>
  <c r="K175" i="42"/>
  <c r="K252" i="42"/>
  <c r="K365" i="42"/>
  <c r="K279" i="42"/>
  <c r="K52" i="42"/>
  <c r="K345" i="42"/>
  <c r="K320" i="42"/>
  <c r="K246" i="42"/>
  <c r="K94" i="42"/>
  <c r="K206" i="42"/>
  <c r="K276" i="42"/>
  <c r="K60" i="42"/>
  <c r="K251" i="42"/>
  <c r="K271" i="42"/>
  <c r="K301" i="42"/>
  <c r="K262" i="42"/>
  <c r="K205" i="42"/>
  <c r="K194" i="42"/>
  <c r="K106" i="42"/>
  <c r="K95" i="42"/>
  <c r="K84" i="42"/>
  <c r="K330" i="42"/>
  <c r="K177" i="42"/>
  <c r="K358" i="42"/>
  <c r="K11" i="42"/>
  <c r="K145" i="42"/>
  <c r="K22" i="42"/>
  <c r="K165" i="42"/>
  <c r="K346" i="42"/>
  <c r="K225" i="42"/>
  <c r="K355" i="42"/>
  <c r="K203" i="42"/>
  <c r="K30" i="42"/>
  <c r="K42" i="42"/>
  <c r="K155" i="42"/>
  <c r="K290" i="42"/>
  <c r="K300" i="42"/>
  <c r="K126" i="42"/>
  <c r="K115" i="42"/>
  <c r="K23" i="42"/>
  <c r="K247" i="42"/>
  <c r="K324" i="42"/>
  <c r="K307" i="42"/>
  <c r="K101" i="42"/>
  <c r="K127" i="42"/>
  <c r="K57" i="42"/>
  <c r="K33" i="42"/>
  <c r="K37" i="42"/>
  <c r="K310" i="42"/>
  <c r="K228" i="42"/>
  <c r="K210" i="42"/>
  <c r="K79" i="42"/>
  <c r="K270" i="42"/>
  <c r="K170" i="42"/>
  <c r="K230" i="42"/>
  <c r="K131" i="42"/>
  <c r="K69" i="42"/>
  <c r="K157" i="42"/>
  <c r="K296" i="42"/>
  <c r="K281" i="42"/>
  <c r="K305" i="42"/>
  <c r="K76" i="42"/>
  <c r="K266" i="42"/>
  <c r="K227" i="42"/>
  <c r="K364" i="42"/>
  <c r="K187" i="42"/>
  <c r="K146" i="42"/>
  <c r="K339" i="42"/>
  <c r="K16" i="42"/>
  <c r="K349" i="42"/>
  <c r="K150" i="42"/>
  <c r="K277" i="42"/>
  <c r="K191" i="42"/>
  <c r="K109" i="42"/>
  <c r="K17" i="42"/>
  <c r="K173" i="42"/>
  <c r="K152" i="42"/>
  <c r="K239" i="42"/>
  <c r="K25" i="42"/>
  <c r="K162" i="42"/>
  <c r="K151" i="42"/>
  <c r="K237" i="42"/>
  <c r="K241" i="42"/>
  <c r="K265" i="42"/>
  <c r="K119" i="42"/>
  <c r="K334" i="42"/>
  <c r="K248" i="42"/>
  <c r="K24" i="42"/>
  <c r="K139" i="42"/>
  <c r="K7" i="42"/>
  <c r="K236" i="42"/>
  <c r="K199" i="42"/>
  <c r="K137" i="42"/>
  <c r="K70" i="42"/>
  <c r="K298" i="42"/>
  <c r="K180" i="42"/>
  <c r="K89" i="42"/>
  <c r="K100" i="42"/>
  <c r="K142" i="42"/>
  <c r="K10" i="42"/>
  <c r="K295" i="42"/>
  <c r="K197" i="42"/>
  <c r="K6" i="42"/>
  <c r="K98" i="42"/>
  <c r="K49" i="42"/>
  <c r="K64" i="42"/>
  <c r="K44" i="42"/>
  <c r="K352" i="42"/>
  <c r="K88" i="42"/>
  <c r="K110" i="42"/>
  <c r="K321" i="42"/>
  <c r="K200" i="42"/>
  <c r="K363" i="42"/>
  <c r="K54" i="42"/>
  <c r="K286" i="42"/>
  <c r="K13" i="42"/>
  <c r="K167" i="42"/>
  <c r="K182" i="42"/>
  <c r="O26" i="40"/>
  <c r="O25" i="40"/>
  <c r="L325" i="42" l="1"/>
  <c r="L217" i="42"/>
  <c r="L210" i="42"/>
  <c r="L235" i="42"/>
  <c r="L255" i="42"/>
  <c r="L198" i="42"/>
  <c r="L43" i="42"/>
  <c r="L276" i="42"/>
  <c r="L337" i="42"/>
  <c r="L87" i="42"/>
  <c r="L267" i="42"/>
  <c r="L72" i="42"/>
  <c r="L175" i="42"/>
  <c r="L351" i="42"/>
  <c r="L124" i="42"/>
  <c r="L329" i="42"/>
  <c r="L312" i="42"/>
  <c r="L358" i="42"/>
  <c r="L231" i="42"/>
  <c r="L282" i="42"/>
  <c r="L165" i="42"/>
  <c r="L288" i="42"/>
  <c r="L28" i="42"/>
  <c r="L323" i="42"/>
  <c r="L169" i="42"/>
  <c r="L60" i="42"/>
  <c r="L77" i="42"/>
  <c r="L111" i="42"/>
  <c r="L30" i="42"/>
  <c r="L90" i="42"/>
  <c r="L55" i="42"/>
  <c r="L202" i="42"/>
  <c r="L31" i="42"/>
  <c r="L240" i="42"/>
  <c r="L79" i="42"/>
  <c r="L299" i="42"/>
  <c r="L138" i="42"/>
  <c r="L135" i="42"/>
  <c r="L134" i="42"/>
  <c r="L205" i="42"/>
  <c r="L190" i="42"/>
  <c r="L26" i="42"/>
  <c r="L224" i="42"/>
  <c r="L100" i="42"/>
  <c r="L141" i="42"/>
  <c r="L292" i="42"/>
  <c r="L278" i="42"/>
  <c r="L96" i="42"/>
  <c r="L298" i="42"/>
  <c r="L216" i="42"/>
  <c r="L65" i="42"/>
  <c r="L368" i="42"/>
  <c r="L156" i="42"/>
  <c r="L319" i="42"/>
  <c r="L84" i="42"/>
  <c r="L151" i="42"/>
  <c r="L212" i="42"/>
  <c r="L129" i="42"/>
  <c r="L334" i="42"/>
  <c r="L313" i="42"/>
  <c r="L306" i="42"/>
  <c r="L112" i="42"/>
  <c r="L14" i="42"/>
  <c r="L40" i="42"/>
  <c r="L362" i="42"/>
  <c r="L178" i="42"/>
  <c r="L340" i="42"/>
  <c r="L106" i="42"/>
  <c r="L209" i="42"/>
  <c r="L97" i="42"/>
  <c r="L363" i="42"/>
  <c r="L247" i="42"/>
  <c r="L295" i="42"/>
  <c r="L121" i="42"/>
  <c r="L242" i="42"/>
  <c r="L353" i="42"/>
  <c r="L109" i="42"/>
  <c r="L76" i="42"/>
  <c r="L268" i="42"/>
  <c r="L92" i="42"/>
  <c r="L108" i="42"/>
  <c r="L221" i="42"/>
  <c r="L361" i="42"/>
  <c r="L69" i="42"/>
  <c r="L303" i="42"/>
  <c r="L281" i="42"/>
  <c r="L206" i="42"/>
  <c r="L182" i="42"/>
  <c r="L16" i="42"/>
  <c r="L307" i="42"/>
  <c r="L101" i="42"/>
  <c r="L126" i="42"/>
  <c r="L148" i="42"/>
  <c r="L333" i="42"/>
  <c r="L172" i="42"/>
  <c r="L67" i="42"/>
  <c r="L107" i="42"/>
  <c r="L248" i="42"/>
  <c r="L302" i="42"/>
  <c r="L348" i="42"/>
  <c r="L204" i="42"/>
  <c r="L61" i="42"/>
  <c r="L119" i="42"/>
  <c r="L284" i="42"/>
  <c r="L99" i="42"/>
  <c r="L280" i="42"/>
  <c r="L85" i="42"/>
  <c r="L35" i="42"/>
  <c r="L365" i="42"/>
  <c r="L236" i="42"/>
  <c r="L208" i="42"/>
  <c r="L357" i="42"/>
  <c r="L152" i="42"/>
  <c r="L143" i="42"/>
  <c r="L75" i="42"/>
  <c r="L223" i="42"/>
  <c r="L360" i="42"/>
  <c r="L287" i="42"/>
  <c r="L82" i="42"/>
  <c r="L226" i="42"/>
  <c r="L232" i="42"/>
  <c r="L18" i="42"/>
  <c r="L185" i="42"/>
  <c r="L249" i="42"/>
  <c r="L164" i="42"/>
  <c r="L180" i="42"/>
  <c r="L127" i="42"/>
  <c r="L155" i="42"/>
  <c r="L213" i="42"/>
  <c r="L157" i="42"/>
  <c r="L321" i="42"/>
  <c r="L256" i="42"/>
  <c r="L8" i="42"/>
  <c r="L311" i="42"/>
  <c r="L195" i="42"/>
  <c r="L316" i="42"/>
  <c r="L241" i="42"/>
  <c r="L22" i="42"/>
  <c r="L15" i="42"/>
  <c r="L275" i="42"/>
  <c r="L19" i="42"/>
  <c r="L68" i="42"/>
  <c r="L51" i="42"/>
  <c r="L168" i="42"/>
  <c r="L354" i="42"/>
  <c r="L173" i="42"/>
  <c r="L270" i="42"/>
  <c r="L233" i="42"/>
  <c r="L103" i="42"/>
  <c r="L171" i="42"/>
  <c r="L9" i="42"/>
  <c r="L42" i="42"/>
  <c r="L294" i="42"/>
  <c r="L218" i="42"/>
  <c r="L17" i="42"/>
  <c r="L176" i="42"/>
  <c r="L261" i="42"/>
  <c r="L20" i="42"/>
  <c r="L46" i="42"/>
  <c r="L86" i="42"/>
  <c r="L259" i="42"/>
  <c r="L38" i="42"/>
  <c r="L364" i="42"/>
  <c r="L326" i="42"/>
  <c r="L237" i="42"/>
  <c r="L251" i="42"/>
  <c r="L309" i="42"/>
  <c r="L314" i="42"/>
  <c r="L355" i="42"/>
  <c r="L64" i="42"/>
  <c r="L73" i="42"/>
  <c r="L352" i="42"/>
  <c r="L201" i="42"/>
  <c r="L71" i="42"/>
  <c r="L154" i="42"/>
  <c r="L253" i="42"/>
  <c r="L222" i="42"/>
  <c r="L359" i="42"/>
  <c r="L310" i="42"/>
  <c r="L272" i="42"/>
  <c r="L122" i="42"/>
  <c r="L133" i="42"/>
  <c r="L52" i="42"/>
  <c r="L45" i="42"/>
  <c r="L341" i="42"/>
  <c r="L118" i="42"/>
  <c r="L332" i="42"/>
  <c r="L279" i="42"/>
  <c r="L230" i="42"/>
  <c r="L114" i="42"/>
  <c r="L188" i="42"/>
  <c r="L246" i="42"/>
  <c r="L137" i="42"/>
  <c r="L24" i="42"/>
  <c r="L228" i="42"/>
  <c r="L113" i="42"/>
  <c r="L207" i="42"/>
  <c r="L331" i="42"/>
  <c r="L98" i="42"/>
  <c r="L80" i="42"/>
  <c r="L214" i="42"/>
  <c r="L132" i="42"/>
  <c r="L34" i="42"/>
  <c r="L252" i="42"/>
  <c r="L338" i="42"/>
  <c r="L162" i="42"/>
  <c r="L269" i="42"/>
  <c r="L74" i="42"/>
  <c r="L159" i="42"/>
  <c r="L139" i="42"/>
  <c r="L29" i="42"/>
  <c r="L186" i="42"/>
  <c r="L227" i="42"/>
  <c r="L7" i="42"/>
  <c r="L88" i="42"/>
  <c r="L140" i="42"/>
  <c r="L277" i="42"/>
  <c r="L13" i="42"/>
  <c r="L146" i="42"/>
  <c r="L83" i="42"/>
  <c r="L37" i="42"/>
  <c r="L304" i="42"/>
  <c r="L200" i="42"/>
  <c r="L211" i="42"/>
  <c r="L369" i="42"/>
  <c r="L5" i="42"/>
  <c r="L58" i="42"/>
  <c r="L290" i="42"/>
  <c r="L265" i="42"/>
  <c r="L91" i="42"/>
  <c r="L81" i="42"/>
  <c r="L123" i="42"/>
  <c r="L59" i="42"/>
  <c r="L160" i="42"/>
  <c r="L179" i="42"/>
  <c r="L105" i="42"/>
  <c r="L336" i="42"/>
  <c r="L196" i="42"/>
  <c r="L23" i="42"/>
  <c r="L56" i="42"/>
  <c r="L167" i="42"/>
  <c r="L245" i="42"/>
  <c r="L343" i="42"/>
  <c r="L342" i="42"/>
  <c r="L144" i="42"/>
  <c r="L110" i="42"/>
  <c r="L128" i="42"/>
  <c r="L356" i="42"/>
  <c r="L95" i="42"/>
  <c r="L177" i="42"/>
  <c r="L27" i="42"/>
  <c r="L184" i="42"/>
  <c r="L54" i="42"/>
  <c r="L243" i="42"/>
  <c r="L350" i="42"/>
  <c r="L10" i="42"/>
  <c r="L41" i="42"/>
  <c r="L170" i="42"/>
  <c r="L183" i="42"/>
  <c r="L199" i="42"/>
  <c r="L12" i="42"/>
  <c r="L324" i="42"/>
  <c r="L345" i="42"/>
  <c r="L158" i="42"/>
  <c r="L149" i="42"/>
  <c r="L229" i="42"/>
  <c r="L322" i="42"/>
  <c r="L339" i="42"/>
  <c r="L116" i="42"/>
  <c r="L166" i="42"/>
  <c r="L258" i="42"/>
  <c r="L191" i="42"/>
  <c r="L238" i="42"/>
  <c r="L49" i="42"/>
  <c r="L264" i="42"/>
  <c r="L293" i="42"/>
  <c r="L163" i="42"/>
  <c r="L36" i="42"/>
  <c r="L254" i="42"/>
  <c r="L327" i="42"/>
  <c r="L161" i="42"/>
  <c r="L330" i="42"/>
  <c r="L117" i="42"/>
  <c r="L130" i="42"/>
  <c r="L50" i="42"/>
  <c r="L150" i="42"/>
  <c r="L315" i="42"/>
  <c r="L25" i="42"/>
  <c r="L147" i="42"/>
  <c r="L273" i="42"/>
  <c r="L193" i="42"/>
  <c r="L317" i="42"/>
  <c r="L286" i="42"/>
  <c r="L274" i="42"/>
  <c r="L44" i="42"/>
  <c r="L285" i="42"/>
  <c r="B46" i="41"/>
  <c r="B18" i="41" l="1"/>
  <c r="B34" i="41" s="1"/>
  <c r="I8" i="40" l="1"/>
  <c r="X14" i="40" l="1"/>
  <c r="Y14" i="40" s="1"/>
  <c r="V13" i="40"/>
  <c r="W13" i="40" s="1"/>
  <c r="A1" i="40"/>
  <c r="D1" i="41"/>
  <c r="C1" i="41"/>
  <c r="B1" i="41"/>
  <c r="D1" i="40" l="1"/>
  <c r="B1" i="40" l="1"/>
  <c r="I6" i="40"/>
</calcChain>
</file>

<file path=xl/sharedStrings.xml><?xml version="1.0" encoding="utf-8"?>
<sst xmlns="http://schemas.openxmlformats.org/spreadsheetml/2006/main" count="227" uniqueCount="150">
  <si>
    <t>Water Electrolysis</t>
    <phoneticPr fontId="18"/>
  </si>
  <si>
    <t>Fischer-Tropsch Process</t>
    <phoneticPr fontId="18"/>
  </si>
  <si>
    <t>FIRES Recharge</t>
    <phoneticPr fontId="18"/>
  </si>
  <si>
    <t>FIRES Storage</t>
    <phoneticPr fontId="18"/>
  </si>
  <si>
    <t>Direct Air Capture</t>
    <phoneticPr fontId="18"/>
  </si>
  <si>
    <t>[kYen/kWh]</t>
    <phoneticPr fontId="18"/>
  </si>
  <si>
    <t>[kYen/kW]</t>
    <phoneticPr fontId="18"/>
  </si>
  <si>
    <t>[kYen/(TOE-Olefin/year)]</t>
    <phoneticPr fontId="18"/>
  </si>
  <si>
    <t>[kYen/kW]</t>
    <phoneticPr fontId="18"/>
  </si>
  <si>
    <t>[GW]</t>
    <phoneticPr fontId="18"/>
  </si>
  <si>
    <t>[GWh]</t>
    <phoneticPr fontId="18"/>
  </si>
  <si>
    <t>[MTOE-Olefin/year]</t>
    <phoneticPr fontId="18"/>
  </si>
  <si>
    <t>Annual O&amp;M Cost Rate</t>
  </si>
  <si>
    <t>FIRES Discharge
(For DAC use)</t>
  </si>
  <si>
    <t>FIRES Recharge</t>
  </si>
  <si>
    <t>FIRES Storage</t>
  </si>
  <si>
    <t>Direct Air Capture</t>
  </si>
  <si>
    <t>Water Electrolysis</t>
  </si>
  <si>
    <t>Facility Type No.</t>
    <phoneticPr fontId="18"/>
  </si>
  <si>
    <t>NaS Battery</t>
  </si>
  <si>
    <t>Li-Ion Battery</t>
  </si>
  <si>
    <t>NaS Battery Interface</t>
  </si>
  <si>
    <t>Li-Ion Battery Interface</t>
  </si>
  <si>
    <t>Storage (0:No. 1:Yes)</t>
    <phoneticPr fontId="18"/>
  </si>
  <si>
    <t>Supply Capability Flag</t>
    <phoneticPr fontId="18"/>
  </si>
  <si>
    <t>Sense of constraints
0:==, 1: &gt;=</t>
    <phoneticPr fontId="18"/>
  </si>
  <si>
    <t>Commodity Index</t>
    <phoneticPr fontId="18"/>
  </si>
  <si>
    <t>Unit Construction Cost</t>
    <phoneticPr fontId="18"/>
  </si>
  <si>
    <t>Life Time [year]</t>
    <phoneticPr fontId="18"/>
  </si>
  <si>
    <t>Annual Average Usage Rate</t>
    <phoneticPr fontId="18"/>
  </si>
  <si>
    <t>Life Cycle [times]</t>
    <phoneticPr fontId="18"/>
  </si>
  <si>
    <t>Duration Time [hour]</t>
    <phoneticPr fontId="18"/>
  </si>
  <si>
    <t>C-Rate [1/hour]</t>
    <phoneticPr fontId="18"/>
  </si>
  <si>
    <t>Facility Type Name</t>
    <phoneticPr fontId="18"/>
  </si>
  <si>
    <t>Stored Heat Power Generation</t>
    <phoneticPr fontId="18"/>
  </si>
  <si>
    <t>Facility Index</t>
    <phoneticPr fontId="18"/>
  </si>
  <si>
    <t>Node\Unit</t>
    <phoneticPr fontId="18"/>
  </si>
  <si>
    <t>Minimum Capacity</t>
    <phoneticPr fontId="18"/>
  </si>
  <si>
    <t>Maximum Capacity</t>
    <phoneticPr fontId="18"/>
  </si>
  <si>
    <t>NaS Battery Recharge</t>
    <phoneticPr fontId="18"/>
  </si>
  <si>
    <t>NaS Battery Discharge</t>
    <phoneticPr fontId="18"/>
  </si>
  <si>
    <t>Li-Ion Battery Recharge</t>
    <phoneticPr fontId="18"/>
  </si>
  <si>
    <t>Li-Ion Battery Discharge</t>
    <phoneticPr fontId="18"/>
  </si>
  <si>
    <t>SMR</t>
    <phoneticPr fontId="18"/>
  </si>
  <si>
    <t>SMR</t>
    <phoneticPr fontId="18"/>
  </si>
  <si>
    <r>
      <t>[kYen/(t-CO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/year)]</t>
    </r>
    <phoneticPr fontId="18"/>
  </si>
  <si>
    <r>
      <t>[Mt-CO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/year]</t>
    </r>
    <phoneticPr fontId="18"/>
  </si>
  <si>
    <t>[GW]</t>
    <phoneticPr fontId="18"/>
  </si>
  <si>
    <r>
      <t>High Pressure H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Storage (Recharge)</t>
    </r>
    <phoneticPr fontId="18"/>
  </si>
  <si>
    <r>
      <t>High Pressure H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Storage (Discharge)</t>
    </r>
    <phoneticPr fontId="18"/>
  </si>
  <si>
    <r>
      <t>High Pressure H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Storage (Storage)</t>
    </r>
    <phoneticPr fontId="18"/>
  </si>
  <si>
    <r>
      <t>H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Power Generation</t>
    </r>
    <phoneticPr fontId="18"/>
  </si>
  <si>
    <r>
      <t xml:space="preserve">FIRES Discharge
</t>
    </r>
    <r>
      <rPr>
        <sz val="6"/>
        <color theme="1"/>
        <rFont val="Times New Roman"/>
        <family val="1"/>
      </rPr>
      <t>(For PowerGen)</t>
    </r>
    <phoneticPr fontId="18"/>
  </si>
  <si>
    <r>
      <t xml:space="preserve">FIRES Discharge
</t>
    </r>
    <r>
      <rPr>
        <sz val="6"/>
        <color theme="1"/>
        <rFont val="Times New Roman"/>
        <family val="1"/>
      </rPr>
      <t>(For DAC use)</t>
    </r>
    <phoneticPr fontId="18"/>
  </si>
  <si>
    <t>FIRES Discharge
(For PowerGen)</t>
    <phoneticPr fontId="18"/>
  </si>
  <si>
    <r>
      <t>High PressureH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Storage Interface</t>
    </r>
    <phoneticPr fontId="18"/>
  </si>
  <si>
    <r>
      <t>High Pressure H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Storage Tank</t>
    </r>
    <phoneticPr fontId="18"/>
  </si>
  <si>
    <t>蓄電池コスト参照</t>
    <rPh sb="0" eb="3">
      <t>チクデンチ</t>
    </rPh>
    <rPh sb="6" eb="8">
      <t>サンショウ</t>
    </rPh>
    <phoneticPr fontId="18"/>
  </si>
  <si>
    <t>W.Cost and A.W.Frazier: "Cost Projecions for Utility-Scale Battery Storage", National Renewable Energy Laboratory (NREL) Technical Report, TP-6A20-73222(2019)</t>
    <phoneticPr fontId="18"/>
  </si>
  <si>
    <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[kt-CO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]</t>
    </r>
    <phoneticPr fontId="18"/>
  </si>
  <si>
    <t>Electrcity [GWh]</t>
    <phoneticPr fontId="18"/>
  </si>
  <si>
    <t>Heat1 [GWh]</t>
    <phoneticPr fontId="18"/>
  </si>
  <si>
    <t>Heat2 [GWh]</t>
    <phoneticPr fontId="18"/>
  </si>
  <si>
    <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[GWh]</t>
    </r>
    <phoneticPr fontId="18"/>
  </si>
  <si>
    <t>Syn.Oil [kt]</t>
    <phoneticPr fontId="18"/>
  </si>
  <si>
    <t>Stored Heat [GWh]</t>
    <phoneticPr fontId="18"/>
  </si>
  <si>
    <t>Stored Electricity in NaS [GWh]</t>
    <phoneticPr fontId="18"/>
  </si>
  <si>
    <t>Stored Electricity in Li-Ion [GWh]</t>
    <phoneticPr fontId="18"/>
  </si>
  <si>
    <t>Variable Cost [GWh/yen]</t>
    <phoneticPr fontId="18"/>
  </si>
  <si>
    <t>Temporal Unit Conversion [year to hour]</t>
    <phoneticPr fontId="18"/>
  </si>
  <si>
    <r>
      <t>High Pressure CO</t>
    </r>
    <r>
      <rPr>
        <sz val="6"/>
        <color theme="1"/>
        <rFont val="Times New Roman"/>
        <family val="1"/>
      </rPr>
      <t xml:space="preserve">2 </t>
    </r>
    <r>
      <rPr>
        <sz val="9"/>
        <color theme="1"/>
        <rFont val="Times New Roman"/>
        <family val="1"/>
      </rPr>
      <t xml:space="preserve"> Storage Tank</t>
    </r>
    <phoneticPr fontId="18"/>
  </si>
  <si>
    <r>
      <t>High Pressure CO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Storage Interface</t>
    </r>
    <phoneticPr fontId="18"/>
  </si>
  <si>
    <r>
      <t>High Pressure CO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Storage (Recharge)</t>
    </r>
    <phoneticPr fontId="18"/>
  </si>
  <si>
    <r>
      <t>High Pressure CO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Storage (Discharge)</t>
    </r>
    <phoneticPr fontId="18"/>
  </si>
  <si>
    <t>nsp</t>
    <phoneticPr fontId="18"/>
  </si>
  <si>
    <t>sdi</t>
    <phoneticPr fontId="18"/>
  </si>
  <si>
    <t>ksz</t>
    <phoneticPr fontId="18"/>
  </si>
  <si>
    <t>tta</t>
    <phoneticPr fontId="18"/>
  </si>
  <si>
    <t>sto</t>
    <phoneticPr fontId="18"/>
  </si>
  <si>
    <t>sgi</t>
    <phoneticPr fontId="18"/>
  </si>
  <si>
    <t>kgw</t>
    <phoneticPr fontId="18"/>
  </si>
  <si>
    <t>sym</t>
    <phoneticPr fontId="18"/>
  </si>
  <si>
    <t>ooi</t>
    <phoneticPr fontId="18"/>
  </si>
  <si>
    <t>kbo</t>
    <phoneticPr fontId="18"/>
  </si>
  <si>
    <t>hmj</t>
    <phoneticPr fontId="18"/>
  </si>
  <si>
    <t>Sabatier reactor</t>
    <phoneticPr fontId="18"/>
  </si>
  <si>
    <t>Methan[ktoe]</t>
    <phoneticPr fontId="18"/>
  </si>
  <si>
    <t>City Gas Load</t>
    <phoneticPr fontId="18"/>
  </si>
  <si>
    <t>Hokkaido</t>
    <phoneticPr fontId="18"/>
  </si>
  <si>
    <t>Tohoku</t>
    <phoneticPr fontId="18"/>
  </si>
  <si>
    <t>Kanto</t>
    <phoneticPr fontId="18"/>
  </si>
  <si>
    <t>Chubu</t>
    <phoneticPr fontId="18"/>
  </si>
  <si>
    <t>Hokuriku</t>
    <phoneticPr fontId="18"/>
  </si>
  <si>
    <t>Kansai</t>
    <phoneticPr fontId="18"/>
  </si>
  <si>
    <t>Shikoku</t>
    <phoneticPr fontId="18"/>
  </si>
  <si>
    <t>Chugoku</t>
    <phoneticPr fontId="18"/>
  </si>
  <si>
    <t>Kyusyu</t>
    <phoneticPr fontId="18"/>
  </si>
  <si>
    <t>引用：資源エネルギー庁による都道府県別エネルギー消費統計(https://www.enecho.meti.go.jp/statistics/energy_consumption/ec002/results.html#headline2)</t>
    <rPh sb="0" eb="2">
      <t>インヨウ</t>
    </rPh>
    <rPh sb="3" eb="5">
      <t>シゲン</t>
    </rPh>
    <rPh sb="10" eb="11">
      <t>チョウ</t>
    </rPh>
    <rPh sb="14" eb="18">
      <t>トドウフケン</t>
    </rPh>
    <rPh sb="18" eb="19">
      <t>ベツ</t>
    </rPh>
    <rPh sb="24" eb="26">
      <t>ショウヒ</t>
    </rPh>
    <rPh sb="26" eb="28">
      <t>トウケイ</t>
    </rPh>
    <phoneticPr fontId="18"/>
  </si>
  <si>
    <t>Unit: TJ</t>
    <phoneticPr fontId="18"/>
  </si>
  <si>
    <t>2018 data</t>
    <phoneticPr fontId="18"/>
  </si>
  <si>
    <t>ktoe</t>
    <phoneticPr fontId="18"/>
  </si>
  <si>
    <t>toe</t>
    <phoneticPr fontId="18"/>
  </si>
  <si>
    <t>GJ</t>
    <phoneticPr fontId="18"/>
  </si>
  <si>
    <t>TJ</t>
    <phoneticPr fontId="18"/>
  </si>
  <si>
    <t>month</t>
    <phoneticPr fontId="18"/>
  </si>
  <si>
    <t>unit 1000MJ</t>
    <phoneticPr fontId="18"/>
  </si>
  <si>
    <t>sum</t>
    <phoneticPr fontId="18"/>
  </si>
  <si>
    <t xml:space="preserve">monthly rate </t>
    <phoneticPr fontId="18"/>
  </si>
  <si>
    <t>Unit: ktoe</t>
    <phoneticPr fontId="18"/>
  </si>
  <si>
    <t>(ガス事業便覧H19)</t>
    <rPh sb="3" eb="5">
      <t>ジギョウ</t>
    </rPh>
    <rPh sb="5" eb="7">
      <t>ビンラン</t>
    </rPh>
    <phoneticPr fontId="18"/>
  </si>
  <si>
    <t>Japan</t>
    <phoneticPr fontId="18"/>
  </si>
  <si>
    <t>Sabatier reactor</t>
    <phoneticPr fontId="18"/>
  </si>
  <si>
    <t>Requested supply ratio (0~1)</t>
    <phoneticPr fontId="18"/>
  </si>
  <si>
    <r>
      <t>[kYen/(t-CO</t>
    </r>
    <r>
      <rPr>
        <sz val="6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/year)]</t>
    </r>
    <phoneticPr fontId="18"/>
  </si>
  <si>
    <t>CO2 emission decrease index</t>
    <phoneticPr fontId="18"/>
  </si>
  <si>
    <r>
      <t xml:space="preserve"> CO</t>
    </r>
    <r>
      <rPr>
        <sz val="6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Geologic Storage </t>
    </r>
    <phoneticPr fontId="18"/>
  </si>
  <si>
    <t xml:space="preserve"> CO2 Geological Storage </t>
    <phoneticPr fontId="18"/>
  </si>
  <si>
    <r>
      <t>Stored 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[kt-CO2]</t>
    </r>
    <phoneticPr fontId="18"/>
  </si>
  <si>
    <t>LFC coefficient(Charge:minus Discharge:plus)</t>
    <phoneticPr fontId="18"/>
  </si>
  <si>
    <t>Liquified H2 storage (Recharge)</t>
    <phoneticPr fontId="18"/>
  </si>
  <si>
    <t>Liquified H2 storage (Discharge)</t>
    <phoneticPr fontId="18"/>
  </si>
  <si>
    <t>Liquified H2 storage (Storage)</t>
    <phoneticPr fontId="18"/>
  </si>
  <si>
    <t>Liquified H2 storage Interface</t>
    <phoneticPr fontId="18"/>
  </si>
  <si>
    <t>Liquified H2 storage Tank</t>
    <phoneticPr fontId="18"/>
  </si>
  <si>
    <t>[GW]</t>
  </si>
  <si>
    <t>[GWh]</t>
  </si>
  <si>
    <r>
      <t xml:space="preserve">H2 storage </t>
    </r>
    <r>
      <rPr>
        <sz val="11"/>
        <color theme="1"/>
        <rFont val="ＭＳ Ｐ明朝"/>
        <family val="1"/>
        <charset val="128"/>
      </rPr>
      <t>コスト</t>
    </r>
    <phoneticPr fontId="18"/>
  </si>
  <si>
    <r>
      <rPr>
        <sz val="11"/>
        <color theme="1"/>
        <rFont val="ＭＳ Ｐ明朝"/>
        <family val="1"/>
        <charset val="128"/>
      </rPr>
      <t>電中研</t>
    </r>
    <r>
      <rPr>
        <sz val="11"/>
        <color theme="1"/>
        <rFont val="Times New Roman"/>
        <family val="1"/>
      </rPr>
      <t>,"</t>
    </r>
    <r>
      <rPr>
        <sz val="11"/>
        <color theme="1"/>
        <rFont val="ＭＳ Ｐ明朝"/>
        <family val="1"/>
        <charset val="128"/>
      </rPr>
      <t>再生可能エネルギーを用いた電解水素の経済性</t>
    </r>
    <r>
      <rPr>
        <sz val="11"/>
        <color theme="1"/>
        <rFont val="Times New Roman"/>
        <family val="1"/>
      </rPr>
      <t>",</t>
    </r>
    <r>
      <rPr>
        <sz val="11"/>
        <color theme="1"/>
        <rFont val="ＭＳ Ｐ明朝"/>
        <family val="1"/>
        <charset val="128"/>
      </rPr>
      <t>研究報告</t>
    </r>
    <r>
      <rPr>
        <sz val="11"/>
        <color theme="1"/>
        <rFont val="Times New Roman"/>
        <family val="1"/>
      </rPr>
      <t>:M19003,2020</t>
    </r>
    <rPh sb="0" eb="3">
      <t>デンチュウケン</t>
    </rPh>
    <rPh sb="5" eb="7">
      <t>サイセイ</t>
    </rPh>
    <rPh sb="7" eb="9">
      <t>カノウ</t>
    </rPh>
    <rPh sb="15" eb="16">
      <t>モチ</t>
    </rPh>
    <rPh sb="18" eb="20">
      <t>デンカイ</t>
    </rPh>
    <rPh sb="20" eb="22">
      <t>スイソ</t>
    </rPh>
    <rPh sb="23" eb="26">
      <t>ケイザイセイ</t>
    </rPh>
    <rPh sb="28" eb="30">
      <t>ケンキュウ</t>
    </rPh>
    <rPh sb="30" eb="32">
      <t>ホウコク</t>
    </rPh>
    <phoneticPr fontId="18"/>
  </si>
  <si>
    <r>
      <rPr>
        <sz val="11"/>
        <color theme="1"/>
        <rFont val="ＭＳ Ｐ明朝"/>
        <family val="1"/>
        <charset val="128"/>
      </rPr>
      <t>闞思超</t>
    </r>
    <r>
      <rPr>
        <sz val="11"/>
        <color theme="1"/>
        <rFont val="Times New Roman"/>
        <family val="1"/>
      </rPr>
      <t>,</t>
    </r>
    <r>
      <rPr>
        <sz val="11"/>
        <color theme="1"/>
        <rFont val="ＭＳ Ｐ明朝"/>
        <family val="1"/>
        <charset val="128"/>
      </rPr>
      <t>柴田善朗</t>
    </r>
    <r>
      <rPr>
        <sz val="11"/>
        <color theme="1"/>
        <rFont val="Times New Roman"/>
        <family val="1"/>
      </rPr>
      <t xml:space="preserve">,"APEC </t>
    </r>
    <r>
      <rPr>
        <sz val="11"/>
        <color theme="1"/>
        <rFont val="ＭＳ Ｐ明朝"/>
        <family val="1"/>
        <charset val="128"/>
      </rPr>
      <t>地域における</t>
    </r>
    <r>
      <rPr>
        <sz val="11"/>
        <color theme="1"/>
        <rFont val="Times New Roman"/>
        <family val="1"/>
      </rPr>
      <t xml:space="preserve"> CO2</t>
    </r>
    <r>
      <rPr>
        <sz val="11"/>
        <color theme="1"/>
        <rFont val="ＭＳ Ｐ明朝"/>
        <family val="1"/>
        <charset val="128"/>
      </rPr>
      <t>フリー水素の経済性評価</t>
    </r>
    <r>
      <rPr>
        <sz val="11"/>
        <color theme="1"/>
        <rFont val="Times New Roman"/>
        <family val="1"/>
      </rPr>
      <t>",Journal of Japan Society of Energy and Resources, Vol.40, No.1,2018</t>
    </r>
    <rPh sb="2" eb="3">
      <t>コ</t>
    </rPh>
    <phoneticPr fontId="18"/>
  </si>
  <si>
    <r>
      <t>Stored High pressure 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[GWh]</t>
    </r>
    <phoneticPr fontId="18"/>
  </si>
  <si>
    <r>
      <t>Stored liquified H</t>
    </r>
    <r>
      <rPr>
        <sz val="8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 xml:space="preserve"> [GWh]</t>
    </r>
    <r>
      <rPr>
        <sz val="11"/>
        <color theme="1"/>
        <rFont val="Times New Roman"/>
        <family val="1"/>
      </rPr>
      <t/>
    </r>
    <phoneticPr fontId="18"/>
  </si>
  <si>
    <t>Import Hydrogen Flag</t>
    <phoneticPr fontId="18"/>
  </si>
  <si>
    <t>Unit: GWh</t>
    <phoneticPr fontId="18"/>
  </si>
  <si>
    <t>Tokyo</t>
    <phoneticPr fontId="18"/>
  </si>
  <si>
    <t>Kyushu</t>
    <phoneticPr fontId="18"/>
  </si>
  <si>
    <t>bsu</t>
  </si>
  <si>
    <t>bsu</t>
    <phoneticPr fontId="18"/>
  </si>
  <si>
    <t>kzk</t>
  </si>
  <si>
    <t>kzk</t>
    <phoneticPr fontId="18"/>
  </si>
  <si>
    <t>nsp</t>
  </si>
  <si>
    <t>sdi</t>
  </si>
  <si>
    <t>ksz</t>
  </si>
  <si>
    <t>kbo</t>
  </si>
  <si>
    <t>tta</t>
  </si>
  <si>
    <t>sto</t>
  </si>
  <si>
    <t>sgi</t>
  </si>
  <si>
    <t>hmj</t>
  </si>
  <si>
    <t>kgw</t>
  </si>
  <si>
    <t>sym</t>
  </si>
  <si>
    <t>ooi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</si>
</sst>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1"/>
    </font>
    <font>
      <sz val="11"/>
      <name val="ＭＳ Ｐゴシック"/>
      <family val="3"/>
      <charset val="128"/>
    </font>
    <font>
      <sz val="10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vertAlign val="subscript"/>
      <sz val="9"/>
      <color theme="1"/>
      <name val="Times New Roman"/>
      <family val="1"/>
    </font>
    <font>
      <sz val="11"/>
      <name val="Times New Roman"/>
      <family val="1"/>
    </font>
    <font>
      <sz val="6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8"/>
      <color theme="1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38" fontId="20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1" fillId="0" borderId="10" xfId="0" applyFont="1" applyBorder="1">
      <alignment vertical="center"/>
    </xf>
    <xf numFmtId="0" fontId="21" fillId="0" borderId="12" xfId="0" applyFont="1" applyBorder="1" applyAlignment="1">
      <alignment horizontal="center" vertical="center"/>
    </xf>
    <xf numFmtId="0" fontId="21" fillId="35" borderId="10" xfId="0" applyFont="1" applyFill="1" applyBorder="1">
      <alignment vertical="center"/>
    </xf>
    <xf numFmtId="0" fontId="21" fillId="33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shrinkToFit="1"/>
    </xf>
    <xf numFmtId="0" fontId="21" fillId="34" borderId="10" xfId="0" applyFont="1" applyFill="1" applyBorder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0" fontId="26" fillId="0" borderId="13" xfId="0" applyFont="1" applyBorder="1" applyAlignment="1">
      <alignment horizontal="center" vertical="center" wrapText="1" shrinkToFit="1"/>
    </xf>
    <xf numFmtId="0" fontId="23" fillId="0" borderId="10" xfId="0" applyFont="1" applyBorder="1" applyAlignment="1">
      <alignment horizontal="center" vertical="center" wrapText="1"/>
    </xf>
    <xf numFmtId="0" fontId="23" fillId="37" borderId="13" xfId="0" applyFont="1" applyFill="1" applyBorder="1" applyAlignment="1">
      <alignment horizontal="center" vertical="center" wrapText="1" shrinkToFit="1"/>
    </xf>
    <xf numFmtId="0" fontId="23" fillId="37" borderId="13" xfId="0" applyFont="1" applyFill="1" applyBorder="1" applyAlignment="1">
      <alignment horizontal="center" vertical="center"/>
    </xf>
    <xf numFmtId="0" fontId="28" fillId="38" borderId="0" xfId="0" applyFont="1" applyFill="1" applyAlignment="1">
      <alignment horizontal="center" vertical="center"/>
    </xf>
    <xf numFmtId="0" fontId="21" fillId="38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 shrinkToFit="1"/>
    </xf>
    <xf numFmtId="0" fontId="21" fillId="0" borderId="10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 shrinkToFit="1"/>
    </xf>
    <xf numFmtId="0" fontId="21" fillId="39" borderId="10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21" fillId="0" borderId="15" xfId="0" applyFont="1" applyBorder="1">
      <alignment vertical="center"/>
    </xf>
    <xf numFmtId="0" fontId="21" fillId="0" borderId="16" xfId="0" applyFont="1" applyBorder="1">
      <alignment vertical="center"/>
    </xf>
    <xf numFmtId="0" fontId="21" fillId="0" borderId="0" xfId="0" applyFont="1" applyFill="1" applyBorder="1">
      <alignment vertical="center"/>
    </xf>
    <xf numFmtId="0" fontId="21" fillId="0" borderId="17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16" fontId="21" fillId="0" borderId="10" xfId="0" applyNumberFormat="1" applyFont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0" fontId="26" fillId="0" borderId="13" xfId="0" applyFont="1" applyBorder="1" applyAlignment="1">
      <alignment horizontal="center" vertical="center" wrapText="1"/>
    </xf>
    <xf numFmtId="0" fontId="21" fillId="0" borderId="10" xfId="0" applyFont="1" applyFill="1" applyBorder="1">
      <alignment vertical="center"/>
    </xf>
    <xf numFmtId="0" fontId="23" fillId="0" borderId="1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21" fillId="0" borderId="22" xfId="0" applyFont="1" applyBorder="1">
      <alignment vertical="center"/>
    </xf>
    <xf numFmtId="0" fontId="21" fillId="35" borderId="22" xfId="0" applyFont="1" applyFill="1" applyBorder="1">
      <alignment vertical="center"/>
    </xf>
    <xf numFmtId="0" fontId="21" fillId="0" borderId="22" xfId="0" applyFont="1" applyFill="1" applyBorder="1">
      <alignment vertical="center"/>
    </xf>
    <xf numFmtId="0" fontId="23" fillId="0" borderId="23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center" vertical="center" wrapText="1" shrinkToFit="1"/>
    </xf>
    <xf numFmtId="0" fontId="23" fillId="0" borderId="16" xfId="0" applyFont="1" applyFill="1" applyBorder="1" applyAlignment="1">
      <alignment horizontal="center" vertical="center" wrapText="1" shrinkToFit="1"/>
    </xf>
    <xf numFmtId="0" fontId="23" fillId="0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 wrapText="1" shrinkToFit="1"/>
    </xf>
    <xf numFmtId="0" fontId="23" fillId="0" borderId="13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0" fillId="40" borderId="0" xfId="0" applyFill="1">
      <alignment vertical="center"/>
    </xf>
    <xf numFmtId="0" fontId="0" fillId="0" borderId="0" xfId="0" applyFill="1">
      <alignment vertical="center"/>
    </xf>
    <xf numFmtId="0" fontId="21" fillId="0" borderId="11" xfId="0" applyFont="1" applyBorder="1" applyAlignment="1">
      <alignment horizontal="center" vertical="center"/>
    </xf>
  </cellXfs>
  <cellStyles count="47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 2" xfId="4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/>
    <cellStyle name="標準 2 2" xfId="43"/>
    <cellStyle name="標準 2 3" xfId="45"/>
    <cellStyle name="標準 3" xfId="44"/>
    <cellStyle name="良い" xfId="6" builtinId="26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putData_S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opLeftCell="A16" zoomScale="130" zoomScaleNormal="130" workbookViewId="0">
      <selection activeCell="B38" sqref="B38"/>
    </sheetView>
  </sheetViews>
  <sheetFormatPr defaultColWidth="9" defaultRowHeight="15" x14ac:dyDescent="0.15"/>
  <cols>
    <col min="1" max="1" width="9" style="4"/>
    <col min="2" max="2" width="39.5" style="4" customWidth="1"/>
    <col min="3" max="3" width="12.75" style="2" customWidth="1"/>
    <col min="4" max="23" width="12.75" style="4" customWidth="1"/>
    <col min="24" max="16384" width="9" style="4"/>
  </cols>
  <sheetData>
    <row r="1" spans="2:26" ht="15.75" thickBot="1" x14ac:dyDescent="0.2">
      <c r="B1" s="19">
        <f>COLUMNS(EUC)</f>
        <v>21</v>
      </c>
      <c r="C1" s="20">
        <f>ROWS(KEmin)</f>
        <v>13</v>
      </c>
      <c r="D1" s="2">
        <f>ROWS(KEmax)</f>
        <v>13</v>
      </c>
    </row>
    <row r="2" spans="2:26" ht="15.75" thickBot="1" x14ac:dyDescent="0.2">
      <c r="B2" s="8" t="s">
        <v>18</v>
      </c>
      <c r="C2" s="3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</row>
    <row r="3" spans="2:26" ht="25.5" x14ac:dyDescent="0.15">
      <c r="B3" s="2" t="s">
        <v>33</v>
      </c>
      <c r="C3" s="28" t="s">
        <v>14</v>
      </c>
      <c r="D3" s="15" t="s">
        <v>54</v>
      </c>
      <c r="E3" s="28" t="s">
        <v>13</v>
      </c>
      <c r="F3" s="28" t="s">
        <v>15</v>
      </c>
      <c r="G3" s="28" t="s">
        <v>16</v>
      </c>
      <c r="H3" s="28" t="s">
        <v>71</v>
      </c>
      <c r="I3" s="28" t="s">
        <v>70</v>
      </c>
      <c r="J3" s="28" t="s">
        <v>116</v>
      </c>
      <c r="K3" s="28" t="s">
        <v>17</v>
      </c>
      <c r="L3" s="28" t="s">
        <v>111</v>
      </c>
      <c r="M3" s="28" t="s">
        <v>122</v>
      </c>
      <c r="N3" s="28" t="s">
        <v>123</v>
      </c>
      <c r="O3" s="28" t="s">
        <v>55</v>
      </c>
      <c r="P3" s="28" t="s">
        <v>56</v>
      </c>
      <c r="Q3" s="28" t="s">
        <v>21</v>
      </c>
      <c r="R3" s="28" t="s">
        <v>22</v>
      </c>
      <c r="S3" s="28" t="s">
        <v>19</v>
      </c>
      <c r="T3" s="28" t="s">
        <v>20</v>
      </c>
      <c r="U3" s="28" t="s">
        <v>51</v>
      </c>
      <c r="V3" s="28" t="s">
        <v>44</v>
      </c>
      <c r="W3" s="29" t="s">
        <v>34</v>
      </c>
      <c r="Y3" s="31" t="s">
        <v>57</v>
      </c>
      <c r="Z3" s="4" t="s">
        <v>58</v>
      </c>
    </row>
    <row r="4" spans="2:26" x14ac:dyDescent="0.15">
      <c r="B4" s="22" t="s">
        <v>23</v>
      </c>
      <c r="C4" s="11">
        <v>0</v>
      </c>
      <c r="D4" s="23">
        <v>0</v>
      </c>
      <c r="E4" s="11">
        <v>0</v>
      </c>
      <c r="F4" s="11">
        <v>1</v>
      </c>
      <c r="G4" s="11">
        <v>0</v>
      </c>
      <c r="H4" s="11">
        <v>0</v>
      </c>
      <c r="I4" s="11">
        <v>1</v>
      </c>
      <c r="J4" s="11">
        <v>0</v>
      </c>
      <c r="K4" s="11">
        <v>0</v>
      </c>
      <c r="L4" s="11">
        <v>0</v>
      </c>
      <c r="M4" s="3">
        <v>0</v>
      </c>
      <c r="N4" s="3">
        <v>1</v>
      </c>
      <c r="O4" s="11">
        <v>0</v>
      </c>
      <c r="P4" s="11">
        <v>1</v>
      </c>
      <c r="Q4" s="11">
        <v>0</v>
      </c>
      <c r="R4" s="11">
        <v>0</v>
      </c>
      <c r="S4" s="11">
        <v>1</v>
      </c>
      <c r="T4" s="11">
        <v>1</v>
      </c>
      <c r="U4" s="11">
        <v>0</v>
      </c>
      <c r="V4" s="11">
        <v>0</v>
      </c>
      <c r="W4" s="23">
        <v>0</v>
      </c>
    </row>
    <row r="5" spans="2:26" x14ac:dyDescent="0.15">
      <c r="B5" s="22" t="s">
        <v>24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3">
        <v>0</v>
      </c>
      <c r="N5" s="3">
        <v>0</v>
      </c>
      <c r="O5" s="11">
        <v>0</v>
      </c>
      <c r="P5" s="11">
        <v>0</v>
      </c>
      <c r="Q5" s="11">
        <v>1</v>
      </c>
      <c r="R5" s="11">
        <v>1</v>
      </c>
      <c r="S5" s="11">
        <v>0</v>
      </c>
      <c r="T5" s="11">
        <v>0</v>
      </c>
      <c r="U5" s="11">
        <v>1</v>
      </c>
      <c r="V5" s="11">
        <v>1</v>
      </c>
      <c r="W5" s="11">
        <v>0</v>
      </c>
      <c r="Y5" s="4" t="s">
        <v>126</v>
      </c>
      <c r="Z5" s="4" t="s">
        <v>127</v>
      </c>
    </row>
    <row r="6" spans="2:26" x14ac:dyDescent="0.15">
      <c r="B6" s="58" t="s">
        <v>27</v>
      </c>
      <c r="C6" s="3">
        <v>0.1</v>
      </c>
      <c r="D6" s="3">
        <v>1</v>
      </c>
      <c r="E6" s="3">
        <v>0.1</v>
      </c>
      <c r="F6" s="3">
        <v>1</v>
      </c>
      <c r="G6" s="3">
        <f>694*110/1000</f>
        <v>76.34</v>
      </c>
      <c r="H6" s="3">
        <v>1</v>
      </c>
      <c r="I6" s="3">
        <v>1.5</v>
      </c>
      <c r="J6" s="3">
        <v>15.964</v>
      </c>
      <c r="K6" s="3">
        <v>65</v>
      </c>
      <c r="L6" s="3">
        <v>73.48</v>
      </c>
      <c r="M6" s="3">
        <v>1</v>
      </c>
      <c r="N6" s="3">
        <v>0.22700000000000001</v>
      </c>
      <c r="O6" s="3">
        <v>70</v>
      </c>
      <c r="P6" s="3">
        <v>1.5</v>
      </c>
      <c r="Q6" s="3">
        <v>2</v>
      </c>
      <c r="R6" s="3">
        <v>2</v>
      </c>
      <c r="S6" s="3">
        <v>15</v>
      </c>
      <c r="T6" s="3">
        <v>17.16</v>
      </c>
      <c r="U6" s="3">
        <v>120</v>
      </c>
      <c r="V6" s="3">
        <v>400</v>
      </c>
      <c r="W6" s="3">
        <v>100</v>
      </c>
      <c r="Z6" s="4" t="s">
        <v>128</v>
      </c>
    </row>
    <row r="7" spans="2:26" ht="16.5" x14ac:dyDescent="0.15">
      <c r="B7" s="58"/>
      <c r="C7" s="24" t="s">
        <v>6</v>
      </c>
      <c r="D7" s="24" t="s">
        <v>6</v>
      </c>
      <c r="E7" s="24" t="s">
        <v>6</v>
      </c>
      <c r="F7" s="24" t="s">
        <v>5</v>
      </c>
      <c r="G7" s="24" t="s">
        <v>45</v>
      </c>
      <c r="H7" s="24" t="s">
        <v>6</v>
      </c>
      <c r="I7" s="24" t="s">
        <v>5</v>
      </c>
      <c r="J7" s="24" t="s">
        <v>113</v>
      </c>
      <c r="K7" s="24" t="s">
        <v>8</v>
      </c>
      <c r="L7" s="24" t="s">
        <v>7</v>
      </c>
      <c r="M7" s="24" t="s">
        <v>6</v>
      </c>
      <c r="N7" s="24" t="s">
        <v>5</v>
      </c>
      <c r="O7" s="24" t="s">
        <v>6</v>
      </c>
      <c r="P7" s="24" t="s">
        <v>5</v>
      </c>
      <c r="Q7" s="24" t="s">
        <v>6</v>
      </c>
      <c r="R7" s="24" t="s">
        <v>6</v>
      </c>
      <c r="S7" s="24" t="s">
        <v>5</v>
      </c>
      <c r="T7" s="24" t="s">
        <v>5</v>
      </c>
      <c r="U7" s="24" t="s">
        <v>6</v>
      </c>
      <c r="V7" s="24" t="s">
        <v>6</v>
      </c>
      <c r="W7" s="24" t="s">
        <v>6</v>
      </c>
    </row>
    <row r="8" spans="2:26" x14ac:dyDescent="0.15">
      <c r="B8" s="22" t="s">
        <v>69</v>
      </c>
      <c r="C8" s="3">
        <v>1</v>
      </c>
      <c r="D8" s="3">
        <v>1</v>
      </c>
      <c r="E8" s="3">
        <v>1</v>
      </c>
      <c r="F8" s="3">
        <v>1</v>
      </c>
      <c r="G8" s="3">
        <v>8.76</v>
      </c>
      <c r="H8" s="3">
        <v>1</v>
      </c>
      <c r="I8" s="3">
        <v>1</v>
      </c>
      <c r="J8" s="3">
        <v>8.76</v>
      </c>
      <c r="K8" s="3">
        <v>1</v>
      </c>
      <c r="L8" s="3">
        <v>8.76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24">
        <v>1</v>
      </c>
    </row>
    <row r="9" spans="2:26" x14ac:dyDescent="0.15">
      <c r="B9" s="22" t="s">
        <v>28</v>
      </c>
      <c r="C9" s="3">
        <v>15</v>
      </c>
      <c r="D9" s="3">
        <v>15</v>
      </c>
      <c r="E9" s="3">
        <v>15</v>
      </c>
      <c r="F9" s="3">
        <v>15</v>
      </c>
      <c r="G9" s="3">
        <v>20</v>
      </c>
      <c r="H9" s="3">
        <v>15</v>
      </c>
      <c r="I9" s="3">
        <v>15</v>
      </c>
      <c r="J9" s="3">
        <v>15</v>
      </c>
      <c r="K9" s="3">
        <v>20</v>
      </c>
      <c r="L9" s="3">
        <v>30</v>
      </c>
      <c r="M9" s="3">
        <v>15</v>
      </c>
      <c r="N9" s="3">
        <v>15</v>
      </c>
      <c r="O9" s="3">
        <v>15</v>
      </c>
      <c r="P9" s="3">
        <v>15</v>
      </c>
      <c r="Q9" s="3">
        <v>15</v>
      </c>
      <c r="R9" s="3">
        <v>8</v>
      </c>
      <c r="S9" s="3">
        <v>15</v>
      </c>
      <c r="T9" s="3">
        <v>8</v>
      </c>
      <c r="U9" s="3">
        <v>40</v>
      </c>
      <c r="V9" s="3">
        <v>40</v>
      </c>
      <c r="W9" s="3">
        <v>40</v>
      </c>
    </row>
    <row r="10" spans="2:26" x14ac:dyDescent="0.15">
      <c r="B10" s="22" t="s">
        <v>12</v>
      </c>
      <c r="C10" s="3">
        <v>0.01</v>
      </c>
      <c r="D10" s="3">
        <v>0.01</v>
      </c>
      <c r="E10" s="3">
        <v>0.01</v>
      </c>
      <c r="F10" s="3">
        <v>0.01</v>
      </c>
      <c r="G10" s="3">
        <v>0.05</v>
      </c>
      <c r="H10" s="3">
        <v>0.01</v>
      </c>
      <c r="I10" s="3">
        <v>0.01</v>
      </c>
      <c r="J10" s="3">
        <v>0.05</v>
      </c>
      <c r="K10" s="3">
        <v>0.05</v>
      </c>
      <c r="L10" s="3">
        <v>0.05</v>
      </c>
      <c r="M10" s="3">
        <v>0.01</v>
      </c>
      <c r="N10" s="3">
        <v>0.01</v>
      </c>
      <c r="O10" s="3">
        <v>0.01</v>
      </c>
      <c r="P10" s="3">
        <v>0.01</v>
      </c>
      <c r="Q10" s="3">
        <v>0.01</v>
      </c>
      <c r="R10" s="3">
        <v>0.01</v>
      </c>
      <c r="S10" s="3">
        <v>0.01</v>
      </c>
      <c r="T10" s="3">
        <v>0.01</v>
      </c>
      <c r="U10" s="3">
        <v>0.05</v>
      </c>
      <c r="V10" s="3">
        <v>0.05</v>
      </c>
      <c r="W10" s="3">
        <v>0.05</v>
      </c>
    </row>
    <row r="11" spans="2:26" x14ac:dyDescent="0.15">
      <c r="B11" s="22" t="s">
        <v>29</v>
      </c>
      <c r="C11" s="3">
        <v>0.9</v>
      </c>
      <c r="D11" s="3">
        <v>0.9</v>
      </c>
      <c r="E11" s="3">
        <v>0.9</v>
      </c>
      <c r="F11" s="3">
        <v>0.9</v>
      </c>
      <c r="G11" s="3">
        <v>0.9</v>
      </c>
      <c r="H11" s="3">
        <v>0.9</v>
      </c>
      <c r="I11" s="3">
        <v>0.9</v>
      </c>
      <c r="J11" s="3">
        <v>0.9</v>
      </c>
      <c r="K11" s="3">
        <v>0.9</v>
      </c>
      <c r="L11" s="3">
        <v>0.9</v>
      </c>
      <c r="M11" s="3">
        <v>0.9</v>
      </c>
      <c r="N11" s="3">
        <v>0.9</v>
      </c>
      <c r="O11" s="3">
        <v>0.9</v>
      </c>
      <c r="P11" s="3">
        <v>0.9</v>
      </c>
      <c r="Q11" s="3">
        <v>0.9</v>
      </c>
      <c r="R11" s="3">
        <v>0.9</v>
      </c>
      <c r="S11" s="3">
        <v>0.9</v>
      </c>
      <c r="T11" s="3">
        <v>0.9</v>
      </c>
      <c r="U11" s="3">
        <v>0.9</v>
      </c>
      <c r="V11" s="3">
        <v>0.9</v>
      </c>
      <c r="W11" s="3">
        <v>0.9</v>
      </c>
    </row>
    <row r="12" spans="2:26" x14ac:dyDescent="0.15">
      <c r="B12" s="22" t="s">
        <v>30</v>
      </c>
      <c r="C12" s="10"/>
      <c r="D12" s="10"/>
      <c r="E12" s="10"/>
      <c r="F12" s="1">
        <v>-1</v>
      </c>
      <c r="G12" s="10"/>
      <c r="H12" s="10"/>
      <c r="I12" s="1">
        <v>-1</v>
      </c>
      <c r="J12" s="10"/>
      <c r="K12" s="10"/>
      <c r="L12" s="10"/>
      <c r="M12" s="10"/>
      <c r="N12" s="1">
        <v>-1</v>
      </c>
      <c r="O12" s="10"/>
      <c r="P12" s="1">
        <v>-1</v>
      </c>
      <c r="Q12" s="10"/>
      <c r="R12" s="10"/>
      <c r="S12" s="1">
        <v>4500</v>
      </c>
      <c r="T12" s="1">
        <v>6000</v>
      </c>
      <c r="U12" s="10"/>
      <c r="V12" s="10"/>
      <c r="W12" s="10"/>
    </row>
    <row r="13" spans="2:26" x14ac:dyDescent="0.15">
      <c r="B13" s="22" t="s">
        <v>31</v>
      </c>
      <c r="C13" s="10"/>
      <c r="D13" s="10"/>
      <c r="E13" s="10"/>
      <c r="F13" s="1">
        <v>-1</v>
      </c>
      <c r="G13" s="10"/>
      <c r="H13" s="10"/>
      <c r="I13" s="1">
        <v>-1</v>
      </c>
      <c r="J13" s="10"/>
      <c r="K13" s="10"/>
      <c r="L13" s="10"/>
      <c r="M13" s="10"/>
      <c r="N13" s="1">
        <v>-1</v>
      </c>
      <c r="O13" s="10"/>
      <c r="P13" s="1">
        <v>-1</v>
      </c>
      <c r="Q13" s="10"/>
      <c r="R13" s="10"/>
      <c r="S13" s="1">
        <v>6</v>
      </c>
      <c r="T13" s="1">
        <v>4</v>
      </c>
      <c r="U13" s="10"/>
      <c r="V13" s="10"/>
      <c r="W13" s="10"/>
    </row>
    <row r="14" spans="2:26" x14ac:dyDescent="0.15">
      <c r="B14" s="22" t="s">
        <v>32</v>
      </c>
      <c r="C14" s="10"/>
      <c r="D14" s="10"/>
      <c r="E14" s="10"/>
      <c r="F14" s="3">
        <v>-1</v>
      </c>
      <c r="G14" s="10"/>
      <c r="H14" s="10"/>
      <c r="I14" s="3">
        <v>-1</v>
      </c>
      <c r="J14" s="10"/>
      <c r="K14" s="10"/>
      <c r="L14" s="10"/>
      <c r="M14" s="10"/>
      <c r="N14" s="3">
        <v>-1</v>
      </c>
      <c r="O14" s="10"/>
      <c r="P14" s="3">
        <v>-1</v>
      </c>
      <c r="Q14" s="10"/>
      <c r="R14" s="10"/>
      <c r="S14" s="3">
        <v>0.14000000000000001</v>
      </c>
      <c r="T14" s="3">
        <v>2</v>
      </c>
      <c r="U14" s="10"/>
      <c r="V14" s="10"/>
      <c r="W14" s="10"/>
    </row>
    <row r="15" spans="2:26" s="25" customFormat="1" ht="13.5" x14ac:dyDescent="0.15"/>
    <row r="16" spans="2:26" x14ac:dyDescent="0.15">
      <c r="B16" s="21" t="s">
        <v>37</v>
      </c>
    </row>
    <row r="17" spans="1:23" ht="16.5" x14ac:dyDescent="0.15">
      <c r="B17" s="3" t="s">
        <v>36</v>
      </c>
      <c r="C17" s="3" t="s">
        <v>9</v>
      </c>
      <c r="D17" s="3" t="s">
        <v>9</v>
      </c>
      <c r="E17" s="3" t="s">
        <v>9</v>
      </c>
      <c r="F17" s="3" t="s">
        <v>10</v>
      </c>
      <c r="G17" s="3" t="s">
        <v>46</v>
      </c>
      <c r="H17" s="3" t="s">
        <v>9</v>
      </c>
      <c r="I17" s="3" t="s">
        <v>10</v>
      </c>
      <c r="J17" s="3" t="s">
        <v>46</v>
      </c>
      <c r="K17" s="3" t="s">
        <v>9</v>
      </c>
      <c r="L17" s="3" t="s">
        <v>11</v>
      </c>
      <c r="M17" s="3" t="s">
        <v>124</v>
      </c>
      <c r="N17" s="3" t="s">
        <v>125</v>
      </c>
      <c r="O17" s="3" t="s">
        <v>9</v>
      </c>
      <c r="P17" s="3" t="s">
        <v>10</v>
      </c>
      <c r="Q17" s="3" t="s">
        <v>9</v>
      </c>
      <c r="R17" s="3" t="s">
        <v>9</v>
      </c>
      <c r="S17" s="3" t="s">
        <v>10</v>
      </c>
      <c r="T17" s="3" t="s">
        <v>10</v>
      </c>
      <c r="U17" s="3" t="s">
        <v>9</v>
      </c>
      <c r="V17" s="3" t="s">
        <v>47</v>
      </c>
      <c r="W17" s="3" t="s">
        <v>9</v>
      </c>
    </row>
    <row r="18" spans="1:23" x14ac:dyDescent="0.15">
      <c r="A18" s="4" t="s">
        <v>74</v>
      </c>
      <c r="B18" s="3">
        <f>VLOOKUP(A18,[1]SYS!$F$5:$G$359,2,FALSE)</f>
        <v>6</v>
      </c>
      <c r="C18" s="1">
        <v>0</v>
      </c>
      <c r="D18" s="1">
        <v>0</v>
      </c>
      <c r="E18" s="1">
        <v>0</v>
      </c>
      <c r="F18" s="1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</row>
    <row r="19" spans="1:23" x14ac:dyDescent="0.15">
      <c r="A19" s="4" t="s">
        <v>75</v>
      </c>
      <c r="B19" s="3">
        <f>VLOOKUP(A19,[1]SYS!$F$5:$G$359,2,FALSE)</f>
        <v>47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3">
        <v>0</v>
      </c>
      <c r="K19" s="1">
        <v>0</v>
      </c>
      <c r="L19" s="1">
        <v>0</v>
      </c>
      <c r="M19" s="3">
        <v>0</v>
      </c>
      <c r="N19" s="3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</row>
    <row r="20" spans="1:23" x14ac:dyDescent="0.15">
      <c r="A20" s="4" t="s">
        <v>76</v>
      </c>
      <c r="B20" s="3">
        <f>VLOOKUP(A20,[1]SYS!$F$5:$G$359,2,FALSE)</f>
        <v>73</v>
      </c>
      <c r="C20" s="1">
        <v>0</v>
      </c>
      <c r="D20" s="1">
        <v>0</v>
      </c>
      <c r="E20" s="1">
        <v>0</v>
      </c>
      <c r="F20" s="1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1:23" x14ac:dyDescent="0.15">
      <c r="A21" s="4" t="s">
        <v>136</v>
      </c>
      <c r="B21" s="3">
        <f>VLOOKUP(A21,[1]SYS!$F$5:$G$359,2,FALSE)</f>
        <v>74</v>
      </c>
      <c r="C21" s="1">
        <v>0</v>
      </c>
      <c r="D21" s="1">
        <v>0</v>
      </c>
      <c r="E21" s="1">
        <v>0</v>
      </c>
      <c r="F21" s="1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</row>
    <row r="22" spans="1:23" x14ac:dyDescent="0.15">
      <c r="A22" s="4" t="s">
        <v>138</v>
      </c>
      <c r="B22" s="3">
        <f>VLOOKUP(A22,[1]SYS!$F$5:$G$359,2,FALSE)</f>
        <v>82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</row>
    <row r="23" spans="1:23" x14ac:dyDescent="0.15">
      <c r="A23" s="4" t="s">
        <v>83</v>
      </c>
      <c r="B23" s="3">
        <f>VLOOKUP(A23,[1]SYS!$F$5:$G$359,2,FALSE)</f>
        <v>98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</row>
    <row r="24" spans="1:23" x14ac:dyDescent="0.15">
      <c r="A24" s="34" t="s">
        <v>77</v>
      </c>
      <c r="B24" s="3">
        <f>VLOOKUP(A24,[1]SYS!$F$5:$G$359,2,FALSE)</f>
        <v>175</v>
      </c>
      <c r="C24" s="1">
        <v>0</v>
      </c>
      <c r="D24" s="1">
        <v>0</v>
      </c>
      <c r="E24" s="1">
        <v>0</v>
      </c>
      <c r="F24" s="1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1:23" x14ac:dyDescent="0.15">
      <c r="A25" s="34" t="s">
        <v>78</v>
      </c>
      <c r="B25" s="3">
        <f>VLOOKUP(A25,[1]SYS!$F$5:$G$359,2,FALSE)</f>
        <v>206</v>
      </c>
      <c r="C25" s="1">
        <v>0</v>
      </c>
      <c r="D25" s="1">
        <v>0</v>
      </c>
      <c r="E25" s="1">
        <v>0</v>
      </c>
      <c r="F25" s="1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1:23" x14ac:dyDescent="0.15">
      <c r="A26" s="34" t="s">
        <v>79</v>
      </c>
      <c r="B26" s="3">
        <f>VLOOKUP(A26,[1]SYS!$F$5:$G$359,2,FALSE)</f>
        <v>225</v>
      </c>
      <c r="C26" s="1">
        <v>0</v>
      </c>
      <c r="D26" s="1">
        <v>0</v>
      </c>
      <c r="E26" s="1">
        <v>0</v>
      </c>
      <c r="F26" s="1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1:23" x14ac:dyDescent="0.15">
      <c r="A27" s="4" t="s">
        <v>84</v>
      </c>
      <c r="B27" s="3">
        <f>VLOOKUP(A27,[1]SYS!$F$5:$G$359,2,FALSE)</f>
        <v>226</v>
      </c>
      <c r="C27" s="1">
        <v>0</v>
      </c>
      <c r="D27" s="1">
        <v>0</v>
      </c>
      <c r="E27" s="1">
        <v>0</v>
      </c>
      <c r="F27" s="1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</row>
    <row r="28" spans="1:23" x14ac:dyDescent="0.15">
      <c r="A28" s="34" t="s">
        <v>80</v>
      </c>
      <c r="B28" s="3">
        <f>VLOOKUP(A28,[1]SYS!$F$5:$G$359,2,FALSE)</f>
        <v>272</v>
      </c>
      <c r="C28" s="1">
        <v>0</v>
      </c>
      <c r="D28" s="1">
        <v>0</v>
      </c>
      <c r="E28" s="1">
        <v>0</v>
      </c>
      <c r="F28" s="1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1:23" x14ac:dyDescent="0.15">
      <c r="A29" s="34" t="s">
        <v>81</v>
      </c>
      <c r="B29" s="3">
        <f>VLOOKUP(A29,[1]SYS!$F$5:$G$359,2,FALSE)</f>
        <v>278</v>
      </c>
      <c r="C29" s="1">
        <v>0</v>
      </c>
      <c r="D29" s="1">
        <v>0</v>
      </c>
      <c r="E29" s="1">
        <v>0</v>
      </c>
      <c r="F29" s="1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1:23" x14ac:dyDescent="0.15">
      <c r="A30" s="34" t="s">
        <v>82</v>
      </c>
      <c r="B30" s="3">
        <f>VLOOKUP(A30,[1]SYS!$F$5:$G$359,2,FALSE)</f>
        <v>324</v>
      </c>
      <c r="C30" s="1">
        <v>0</v>
      </c>
      <c r="D30" s="1">
        <v>0</v>
      </c>
      <c r="E30" s="1">
        <v>0</v>
      </c>
      <c r="F30" s="1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1:23" x14ac:dyDescent="0.15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"/>
      <c r="N31" s="2"/>
      <c r="O31" s="25"/>
      <c r="P31" s="25"/>
      <c r="Q31" s="25"/>
      <c r="R31" s="25"/>
      <c r="S31" s="25"/>
      <c r="T31" s="25"/>
      <c r="U31" s="25"/>
      <c r="V31" s="25"/>
      <c r="W31" s="25"/>
    </row>
    <row r="32" spans="1:23" x14ac:dyDescent="0.15">
      <c r="B32" s="21" t="s">
        <v>38</v>
      </c>
    </row>
    <row r="33" spans="1:23" ht="16.5" x14ac:dyDescent="0.15">
      <c r="B33" s="3" t="s">
        <v>36</v>
      </c>
      <c r="C33" s="3" t="s">
        <v>9</v>
      </c>
      <c r="D33" s="3" t="s">
        <v>9</v>
      </c>
      <c r="E33" s="3" t="s">
        <v>9</v>
      </c>
      <c r="F33" s="3" t="s">
        <v>10</v>
      </c>
      <c r="G33" s="3" t="s">
        <v>46</v>
      </c>
      <c r="H33" s="3" t="s">
        <v>9</v>
      </c>
      <c r="I33" s="3" t="s">
        <v>10</v>
      </c>
      <c r="J33" s="3" t="s">
        <v>46</v>
      </c>
      <c r="K33" s="3" t="s">
        <v>9</v>
      </c>
      <c r="L33" s="3" t="s">
        <v>11</v>
      </c>
      <c r="M33" s="3" t="s">
        <v>124</v>
      </c>
      <c r="N33" s="3" t="s">
        <v>125</v>
      </c>
      <c r="O33" s="3" t="s">
        <v>9</v>
      </c>
      <c r="P33" s="3" t="s">
        <v>10</v>
      </c>
      <c r="Q33" s="3" t="s">
        <v>9</v>
      </c>
      <c r="R33" s="3" t="s">
        <v>9</v>
      </c>
      <c r="S33" s="3" t="s">
        <v>10</v>
      </c>
      <c r="T33" s="3" t="s">
        <v>10</v>
      </c>
      <c r="U33" s="3" t="s">
        <v>9</v>
      </c>
      <c r="V33" s="3" t="s">
        <v>9</v>
      </c>
      <c r="W33" s="3" t="s">
        <v>9</v>
      </c>
    </row>
    <row r="34" spans="1:23" x14ac:dyDescent="0.15">
      <c r="A34" s="4" t="s">
        <v>139</v>
      </c>
      <c r="B34" s="3">
        <f t="shared" ref="B34:B45" si="0">B18</f>
        <v>6</v>
      </c>
      <c r="C34" s="1">
        <v>1000</v>
      </c>
      <c r="D34" s="1">
        <v>1000</v>
      </c>
      <c r="E34" s="1">
        <v>1000</v>
      </c>
      <c r="F34" s="1">
        <v>1000</v>
      </c>
      <c r="G34" s="1">
        <v>1000</v>
      </c>
      <c r="H34" s="1">
        <v>1000</v>
      </c>
      <c r="I34" s="1">
        <v>1000</v>
      </c>
      <c r="J34" s="1">
        <v>1000</v>
      </c>
      <c r="K34" s="1">
        <v>1000</v>
      </c>
      <c r="L34" s="1">
        <v>1000</v>
      </c>
      <c r="M34" s="1">
        <v>1000</v>
      </c>
      <c r="N34" s="1">
        <v>1000</v>
      </c>
      <c r="O34" s="1">
        <v>1000</v>
      </c>
      <c r="P34" s="1">
        <v>1000</v>
      </c>
      <c r="Q34" s="1">
        <v>1000</v>
      </c>
      <c r="R34" s="1">
        <v>1000</v>
      </c>
      <c r="S34" s="1">
        <v>1000</v>
      </c>
      <c r="T34" s="1">
        <v>1000</v>
      </c>
      <c r="U34" s="1">
        <v>0</v>
      </c>
      <c r="V34" s="30">
        <v>0</v>
      </c>
      <c r="W34" s="1">
        <v>1000</v>
      </c>
    </row>
    <row r="35" spans="1:23" x14ac:dyDescent="0.15">
      <c r="A35" s="4" t="s">
        <v>140</v>
      </c>
      <c r="B35" s="3">
        <f t="shared" si="0"/>
        <v>47</v>
      </c>
      <c r="C35" s="1">
        <v>1000</v>
      </c>
      <c r="D35" s="1">
        <v>1000</v>
      </c>
      <c r="E35" s="1">
        <v>1000</v>
      </c>
      <c r="F35" s="1">
        <v>1000</v>
      </c>
      <c r="G35" s="1">
        <v>1000</v>
      </c>
      <c r="H35" s="1">
        <v>1000</v>
      </c>
      <c r="I35" s="1">
        <v>1000</v>
      </c>
      <c r="J35" s="1">
        <v>1000</v>
      </c>
      <c r="K35" s="1">
        <v>1000</v>
      </c>
      <c r="L35" s="1">
        <v>1000</v>
      </c>
      <c r="M35" s="1">
        <v>1000</v>
      </c>
      <c r="N35" s="1">
        <v>1000</v>
      </c>
      <c r="O35" s="1">
        <v>1000</v>
      </c>
      <c r="P35" s="1">
        <v>1000</v>
      </c>
      <c r="Q35" s="1">
        <v>1000</v>
      </c>
      <c r="R35" s="1">
        <v>1000</v>
      </c>
      <c r="S35" s="1">
        <v>1000</v>
      </c>
      <c r="T35" s="1">
        <v>1000</v>
      </c>
      <c r="U35" s="1">
        <v>0</v>
      </c>
      <c r="V35" s="30">
        <v>0</v>
      </c>
      <c r="W35" s="1">
        <v>1000</v>
      </c>
    </row>
    <row r="36" spans="1:23" x14ac:dyDescent="0.15">
      <c r="A36" s="4" t="s">
        <v>141</v>
      </c>
      <c r="B36" s="3">
        <f t="shared" si="0"/>
        <v>73</v>
      </c>
      <c r="C36" s="1">
        <v>1000</v>
      </c>
      <c r="D36" s="1">
        <v>1000</v>
      </c>
      <c r="E36" s="1">
        <v>1000</v>
      </c>
      <c r="F36" s="1">
        <v>1000</v>
      </c>
      <c r="G36" s="1">
        <v>1000</v>
      </c>
      <c r="H36" s="1">
        <v>1000</v>
      </c>
      <c r="I36" s="1">
        <v>1000</v>
      </c>
      <c r="J36" s="1">
        <v>1000</v>
      </c>
      <c r="K36" s="1">
        <v>1000</v>
      </c>
      <c r="L36" s="1">
        <v>1000</v>
      </c>
      <c r="M36" s="1">
        <v>1000</v>
      </c>
      <c r="N36" s="1">
        <v>1000</v>
      </c>
      <c r="O36" s="1">
        <v>1000</v>
      </c>
      <c r="P36" s="1">
        <v>1000</v>
      </c>
      <c r="Q36" s="1">
        <v>1000</v>
      </c>
      <c r="R36" s="1">
        <v>1000</v>
      </c>
      <c r="S36" s="1">
        <v>1000</v>
      </c>
      <c r="T36" s="1">
        <v>1000</v>
      </c>
      <c r="U36" s="1">
        <v>0</v>
      </c>
      <c r="V36" s="30">
        <v>0</v>
      </c>
      <c r="W36" s="1">
        <v>1000</v>
      </c>
    </row>
    <row r="37" spans="1:23" x14ac:dyDescent="0.15">
      <c r="A37" s="4" t="s">
        <v>135</v>
      </c>
      <c r="B37" s="3">
        <f t="shared" si="0"/>
        <v>74</v>
      </c>
      <c r="C37" s="1">
        <v>1000</v>
      </c>
      <c r="D37" s="1">
        <v>1000</v>
      </c>
      <c r="E37" s="1">
        <v>1000</v>
      </c>
      <c r="F37" s="1">
        <v>1000</v>
      </c>
      <c r="G37" s="1">
        <v>1000</v>
      </c>
      <c r="H37" s="1">
        <v>1000</v>
      </c>
      <c r="I37" s="1">
        <v>1000</v>
      </c>
      <c r="J37" s="1">
        <v>1000</v>
      </c>
      <c r="K37" s="1">
        <v>1000</v>
      </c>
      <c r="L37" s="1">
        <v>1000</v>
      </c>
      <c r="M37" s="1">
        <v>1000</v>
      </c>
      <c r="N37" s="1">
        <v>1000</v>
      </c>
      <c r="O37" s="1">
        <v>1000</v>
      </c>
      <c r="P37" s="1">
        <v>1000</v>
      </c>
      <c r="Q37" s="1">
        <v>1000</v>
      </c>
      <c r="R37" s="1">
        <v>1000</v>
      </c>
      <c r="S37" s="1">
        <v>1000</v>
      </c>
      <c r="T37" s="1">
        <v>1000</v>
      </c>
      <c r="U37" s="1">
        <v>0</v>
      </c>
      <c r="V37" s="30">
        <v>0</v>
      </c>
      <c r="W37" s="1">
        <v>1000</v>
      </c>
    </row>
    <row r="38" spans="1:23" x14ac:dyDescent="0.15">
      <c r="A38" s="4" t="s">
        <v>137</v>
      </c>
      <c r="B38" s="3">
        <f t="shared" si="0"/>
        <v>82</v>
      </c>
      <c r="C38" s="1">
        <v>1000</v>
      </c>
      <c r="D38" s="1">
        <v>1000</v>
      </c>
      <c r="E38" s="1">
        <v>1000</v>
      </c>
      <c r="F38" s="1">
        <v>1000</v>
      </c>
      <c r="G38" s="1">
        <v>1000</v>
      </c>
      <c r="H38" s="1">
        <v>1000</v>
      </c>
      <c r="I38" s="1">
        <v>1000</v>
      </c>
      <c r="J38" s="1">
        <v>1000</v>
      </c>
      <c r="K38" s="1">
        <v>1000</v>
      </c>
      <c r="L38" s="1">
        <v>1000</v>
      </c>
      <c r="M38" s="1">
        <v>1000</v>
      </c>
      <c r="N38" s="1">
        <v>1000</v>
      </c>
      <c r="O38" s="1">
        <v>1000</v>
      </c>
      <c r="P38" s="1">
        <v>1000</v>
      </c>
      <c r="Q38" s="1">
        <v>1000</v>
      </c>
      <c r="R38" s="1">
        <v>1000</v>
      </c>
      <c r="S38" s="1">
        <v>1000</v>
      </c>
      <c r="T38" s="1">
        <v>1000</v>
      </c>
      <c r="U38" s="1">
        <v>0</v>
      </c>
      <c r="V38" s="30">
        <v>0</v>
      </c>
      <c r="W38" s="1">
        <v>1000</v>
      </c>
    </row>
    <row r="39" spans="1:23" x14ac:dyDescent="0.15">
      <c r="A39" s="4" t="s">
        <v>142</v>
      </c>
      <c r="B39" s="3">
        <f t="shared" si="0"/>
        <v>98</v>
      </c>
      <c r="C39" s="1">
        <v>1000</v>
      </c>
      <c r="D39" s="1">
        <v>1000</v>
      </c>
      <c r="E39" s="1">
        <v>1000</v>
      </c>
      <c r="F39" s="1">
        <v>1000</v>
      </c>
      <c r="G39" s="1">
        <v>1000</v>
      </c>
      <c r="H39" s="1">
        <v>1000</v>
      </c>
      <c r="I39" s="1">
        <v>1000</v>
      </c>
      <c r="J39" s="1">
        <v>1000</v>
      </c>
      <c r="K39" s="1">
        <v>1000</v>
      </c>
      <c r="L39" s="1">
        <v>1000</v>
      </c>
      <c r="M39" s="1">
        <v>1000</v>
      </c>
      <c r="N39" s="1">
        <v>1000</v>
      </c>
      <c r="O39" s="1">
        <v>1000</v>
      </c>
      <c r="P39" s="1">
        <v>1000</v>
      </c>
      <c r="Q39" s="1">
        <v>1000</v>
      </c>
      <c r="R39" s="1">
        <v>1000</v>
      </c>
      <c r="S39" s="1">
        <v>1000</v>
      </c>
      <c r="T39" s="1">
        <v>1000</v>
      </c>
      <c r="U39" s="1">
        <v>0</v>
      </c>
      <c r="V39" s="30">
        <v>0</v>
      </c>
      <c r="W39" s="1">
        <v>1000</v>
      </c>
    </row>
    <row r="40" spans="1:23" x14ac:dyDescent="0.15">
      <c r="A40" s="34" t="s">
        <v>143</v>
      </c>
      <c r="B40" s="3">
        <f t="shared" si="0"/>
        <v>175</v>
      </c>
      <c r="C40" s="1">
        <v>1000</v>
      </c>
      <c r="D40" s="1">
        <v>1000</v>
      </c>
      <c r="E40" s="1">
        <v>1000</v>
      </c>
      <c r="F40" s="1">
        <v>1000</v>
      </c>
      <c r="G40" s="1">
        <v>1000</v>
      </c>
      <c r="H40" s="1">
        <v>1000</v>
      </c>
      <c r="I40" s="1">
        <v>1000</v>
      </c>
      <c r="J40" s="1">
        <v>1000</v>
      </c>
      <c r="K40" s="1">
        <v>1000</v>
      </c>
      <c r="L40" s="1">
        <v>1000</v>
      </c>
      <c r="M40" s="1">
        <v>1000</v>
      </c>
      <c r="N40" s="1">
        <v>1000</v>
      </c>
      <c r="O40" s="1">
        <v>1000</v>
      </c>
      <c r="P40" s="1">
        <v>1000</v>
      </c>
      <c r="Q40" s="1">
        <v>1000</v>
      </c>
      <c r="R40" s="1">
        <v>1000</v>
      </c>
      <c r="S40" s="1">
        <v>1000</v>
      </c>
      <c r="T40" s="1">
        <v>1000</v>
      </c>
      <c r="U40" s="1">
        <v>0</v>
      </c>
      <c r="V40" s="30">
        <v>0</v>
      </c>
      <c r="W40" s="1">
        <v>1000</v>
      </c>
    </row>
    <row r="41" spans="1:23" x14ac:dyDescent="0.15">
      <c r="A41" s="34" t="s">
        <v>144</v>
      </c>
      <c r="B41" s="3">
        <f t="shared" si="0"/>
        <v>206</v>
      </c>
      <c r="C41" s="1">
        <v>1000</v>
      </c>
      <c r="D41" s="1">
        <v>1000</v>
      </c>
      <c r="E41" s="1">
        <v>1000</v>
      </c>
      <c r="F41" s="1">
        <v>1000</v>
      </c>
      <c r="G41" s="1">
        <v>1000</v>
      </c>
      <c r="H41" s="1">
        <v>1000</v>
      </c>
      <c r="I41" s="1">
        <v>1000</v>
      </c>
      <c r="J41" s="1">
        <v>1000</v>
      </c>
      <c r="K41" s="1">
        <v>1000</v>
      </c>
      <c r="L41" s="1">
        <v>1000</v>
      </c>
      <c r="M41" s="1">
        <v>1000</v>
      </c>
      <c r="N41" s="1">
        <v>1000</v>
      </c>
      <c r="O41" s="1">
        <v>1000</v>
      </c>
      <c r="P41" s="1">
        <v>1000</v>
      </c>
      <c r="Q41" s="1">
        <v>1000</v>
      </c>
      <c r="R41" s="1">
        <v>1000</v>
      </c>
      <c r="S41" s="1">
        <v>1000</v>
      </c>
      <c r="T41" s="1">
        <v>1000</v>
      </c>
      <c r="U41" s="1">
        <v>0</v>
      </c>
      <c r="V41" s="30">
        <v>0</v>
      </c>
      <c r="W41" s="1">
        <v>1000</v>
      </c>
    </row>
    <row r="42" spans="1:23" x14ac:dyDescent="0.15">
      <c r="A42" s="34" t="s">
        <v>145</v>
      </c>
      <c r="B42" s="3">
        <f t="shared" si="0"/>
        <v>225</v>
      </c>
      <c r="C42" s="1">
        <v>1000</v>
      </c>
      <c r="D42" s="1">
        <v>1000</v>
      </c>
      <c r="E42" s="1">
        <v>1000</v>
      </c>
      <c r="F42" s="1">
        <v>1000</v>
      </c>
      <c r="G42" s="1">
        <v>1000</v>
      </c>
      <c r="H42" s="1">
        <v>1000</v>
      </c>
      <c r="I42" s="1">
        <v>1000</v>
      </c>
      <c r="J42" s="1">
        <v>1000</v>
      </c>
      <c r="K42" s="1">
        <v>1000</v>
      </c>
      <c r="L42" s="1">
        <v>1000</v>
      </c>
      <c r="M42" s="1">
        <v>1000</v>
      </c>
      <c r="N42" s="1">
        <v>1000</v>
      </c>
      <c r="O42" s="1">
        <v>1000</v>
      </c>
      <c r="P42" s="1">
        <v>1000</v>
      </c>
      <c r="Q42" s="1">
        <v>1000</v>
      </c>
      <c r="R42" s="1">
        <v>1000</v>
      </c>
      <c r="S42" s="1">
        <v>1000</v>
      </c>
      <c r="T42" s="1">
        <v>1000</v>
      </c>
      <c r="U42" s="1">
        <v>0</v>
      </c>
      <c r="V42" s="30">
        <v>0</v>
      </c>
      <c r="W42" s="1">
        <v>1000</v>
      </c>
    </row>
    <row r="43" spans="1:23" x14ac:dyDescent="0.15">
      <c r="A43" s="4" t="s">
        <v>146</v>
      </c>
      <c r="B43" s="3">
        <f t="shared" si="0"/>
        <v>226</v>
      </c>
      <c r="C43" s="1">
        <v>1000</v>
      </c>
      <c r="D43" s="1">
        <v>1000</v>
      </c>
      <c r="E43" s="1">
        <v>1000</v>
      </c>
      <c r="F43" s="1">
        <v>1000</v>
      </c>
      <c r="G43" s="1">
        <v>1000</v>
      </c>
      <c r="H43" s="1">
        <v>1000</v>
      </c>
      <c r="I43" s="1">
        <v>1000</v>
      </c>
      <c r="J43" s="1">
        <v>1000</v>
      </c>
      <c r="K43" s="1">
        <v>1000</v>
      </c>
      <c r="L43" s="1">
        <v>1000</v>
      </c>
      <c r="M43" s="1">
        <v>1000</v>
      </c>
      <c r="N43" s="1">
        <v>1000</v>
      </c>
      <c r="O43" s="1">
        <v>1000</v>
      </c>
      <c r="P43" s="1">
        <v>1000</v>
      </c>
      <c r="Q43" s="1">
        <v>1000</v>
      </c>
      <c r="R43" s="1">
        <v>1000</v>
      </c>
      <c r="S43" s="1">
        <v>1000</v>
      </c>
      <c r="T43" s="1">
        <v>1000</v>
      </c>
      <c r="U43" s="1">
        <v>0</v>
      </c>
      <c r="V43" s="30">
        <v>0</v>
      </c>
      <c r="W43" s="1">
        <v>1000</v>
      </c>
    </row>
    <row r="44" spans="1:23" x14ac:dyDescent="0.15">
      <c r="A44" s="34" t="s">
        <v>147</v>
      </c>
      <c r="B44" s="3">
        <f t="shared" si="0"/>
        <v>272</v>
      </c>
      <c r="C44" s="1">
        <v>1000</v>
      </c>
      <c r="D44" s="1">
        <v>1000</v>
      </c>
      <c r="E44" s="1">
        <v>1000</v>
      </c>
      <c r="F44" s="1">
        <v>1000</v>
      </c>
      <c r="G44" s="1">
        <v>1000</v>
      </c>
      <c r="H44" s="1">
        <v>1000</v>
      </c>
      <c r="I44" s="1">
        <v>1000</v>
      </c>
      <c r="J44" s="1">
        <v>1000</v>
      </c>
      <c r="K44" s="1">
        <v>1000</v>
      </c>
      <c r="L44" s="1">
        <v>1000</v>
      </c>
      <c r="M44" s="1">
        <v>1000</v>
      </c>
      <c r="N44" s="1">
        <v>1000</v>
      </c>
      <c r="O44" s="1">
        <v>1000</v>
      </c>
      <c r="P44" s="1">
        <v>1000</v>
      </c>
      <c r="Q44" s="1">
        <v>1000</v>
      </c>
      <c r="R44" s="1">
        <v>1000</v>
      </c>
      <c r="S44" s="1">
        <v>1000</v>
      </c>
      <c r="T44" s="1">
        <v>1000</v>
      </c>
      <c r="U44" s="1">
        <v>0</v>
      </c>
      <c r="V44" s="30">
        <v>0</v>
      </c>
      <c r="W44" s="1">
        <v>1000</v>
      </c>
    </row>
    <row r="45" spans="1:23" x14ac:dyDescent="0.15">
      <c r="A45" s="34" t="s">
        <v>148</v>
      </c>
      <c r="B45" s="3">
        <f t="shared" si="0"/>
        <v>278</v>
      </c>
      <c r="C45" s="1">
        <v>1000</v>
      </c>
      <c r="D45" s="1">
        <v>1000</v>
      </c>
      <c r="E45" s="1">
        <v>1000</v>
      </c>
      <c r="F45" s="1">
        <v>1000</v>
      </c>
      <c r="G45" s="1">
        <v>1000</v>
      </c>
      <c r="H45" s="1">
        <v>1000</v>
      </c>
      <c r="I45" s="1">
        <v>1000</v>
      </c>
      <c r="J45" s="1">
        <v>1000</v>
      </c>
      <c r="K45" s="1">
        <v>1000</v>
      </c>
      <c r="L45" s="1">
        <v>1000</v>
      </c>
      <c r="M45" s="1">
        <v>1000</v>
      </c>
      <c r="N45" s="1">
        <v>1000</v>
      </c>
      <c r="O45" s="1">
        <v>1000</v>
      </c>
      <c r="P45" s="1">
        <v>1000</v>
      </c>
      <c r="Q45" s="1">
        <v>1000</v>
      </c>
      <c r="R45" s="1">
        <v>1000</v>
      </c>
      <c r="S45" s="1">
        <v>1000</v>
      </c>
      <c r="T45" s="1">
        <v>1000</v>
      </c>
      <c r="U45" s="1">
        <v>0</v>
      </c>
      <c r="V45" s="30">
        <v>0</v>
      </c>
      <c r="W45" s="1">
        <v>1000</v>
      </c>
    </row>
    <row r="46" spans="1:23" x14ac:dyDescent="0.15">
      <c r="A46" s="34" t="s">
        <v>149</v>
      </c>
      <c r="B46" s="3">
        <f t="shared" ref="B46" si="1">B30</f>
        <v>324</v>
      </c>
      <c r="C46" s="1">
        <v>1000</v>
      </c>
      <c r="D46" s="1">
        <v>1000</v>
      </c>
      <c r="E46" s="1">
        <v>1000</v>
      </c>
      <c r="F46" s="1">
        <v>1000</v>
      </c>
      <c r="G46" s="1">
        <v>1000</v>
      </c>
      <c r="H46" s="1">
        <v>1000</v>
      </c>
      <c r="I46" s="1">
        <v>1000</v>
      </c>
      <c r="J46" s="1">
        <v>1000</v>
      </c>
      <c r="K46" s="1">
        <v>1000</v>
      </c>
      <c r="L46" s="1">
        <v>1000</v>
      </c>
      <c r="M46" s="1">
        <v>1000</v>
      </c>
      <c r="N46" s="1">
        <v>1000</v>
      </c>
      <c r="O46" s="1">
        <v>1000</v>
      </c>
      <c r="P46" s="1">
        <v>1000</v>
      </c>
      <c r="Q46" s="1">
        <v>1000</v>
      </c>
      <c r="R46" s="1">
        <v>1000</v>
      </c>
      <c r="S46" s="1">
        <v>1000</v>
      </c>
      <c r="T46" s="1">
        <v>1000</v>
      </c>
      <c r="U46" s="1">
        <v>0</v>
      </c>
      <c r="V46" s="30">
        <v>0</v>
      </c>
      <c r="W46" s="1">
        <v>1000</v>
      </c>
    </row>
    <row r="47" spans="1:23" x14ac:dyDescent="0.15">
      <c r="C47" s="1">
        <v>3</v>
      </c>
      <c r="D47" s="1">
        <v>5</v>
      </c>
      <c r="E47" s="1">
        <v>5</v>
      </c>
      <c r="F47" s="1">
        <v>10</v>
      </c>
      <c r="G47" s="1">
        <v>3</v>
      </c>
      <c r="H47" s="1"/>
      <c r="I47" s="1"/>
      <c r="J47" s="1">
        <v>2.5</v>
      </c>
      <c r="K47" s="1">
        <v>10</v>
      </c>
      <c r="L47" s="1">
        <v>1</v>
      </c>
      <c r="M47" s="3">
        <v>10</v>
      </c>
      <c r="N47" s="3">
        <v>60</v>
      </c>
      <c r="O47" s="1">
        <v>10</v>
      </c>
      <c r="P47" s="1">
        <v>60</v>
      </c>
      <c r="Q47" s="13">
        <v>10</v>
      </c>
      <c r="R47" s="13">
        <v>10</v>
      </c>
      <c r="S47" s="13">
        <v>60</v>
      </c>
      <c r="T47" s="13">
        <v>60</v>
      </c>
      <c r="U47" s="1">
        <v>10</v>
      </c>
      <c r="V47" s="30">
        <v>0</v>
      </c>
      <c r="W47" s="1">
        <v>5</v>
      </c>
    </row>
    <row r="48" spans="1:23" x14ac:dyDescent="0.15">
      <c r="C48" s="1">
        <v>3</v>
      </c>
      <c r="D48" s="1">
        <v>5</v>
      </c>
      <c r="E48" s="1">
        <v>5</v>
      </c>
      <c r="F48" s="1">
        <v>10</v>
      </c>
      <c r="G48" s="1">
        <v>3</v>
      </c>
      <c r="H48" s="1"/>
      <c r="I48" s="1"/>
      <c r="J48" s="1">
        <v>2.5</v>
      </c>
      <c r="K48" s="1">
        <v>0</v>
      </c>
      <c r="L48" s="1">
        <v>0</v>
      </c>
      <c r="M48" s="3">
        <v>0</v>
      </c>
      <c r="N48" s="3">
        <v>0</v>
      </c>
      <c r="O48" s="1">
        <v>0</v>
      </c>
      <c r="P48" s="1">
        <v>0</v>
      </c>
      <c r="Q48" s="13">
        <v>10</v>
      </c>
      <c r="R48" s="13">
        <v>10</v>
      </c>
      <c r="S48" s="13">
        <v>60</v>
      </c>
      <c r="T48" s="13">
        <v>60</v>
      </c>
      <c r="U48" s="1">
        <v>10</v>
      </c>
      <c r="V48" s="30">
        <v>0</v>
      </c>
      <c r="W48" s="1">
        <v>5</v>
      </c>
    </row>
    <row r="49" spans="3:23" x14ac:dyDescent="0.15">
      <c r="C49" s="1">
        <v>3</v>
      </c>
      <c r="D49" s="1">
        <v>5</v>
      </c>
      <c r="E49" s="1">
        <v>5</v>
      </c>
      <c r="F49" s="1">
        <v>10</v>
      </c>
      <c r="G49" s="1">
        <v>3</v>
      </c>
      <c r="H49" s="1"/>
      <c r="I49" s="1"/>
      <c r="J49" s="1">
        <v>2.5</v>
      </c>
      <c r="K49" s="1">
        <v>10</v>
      </c>
      <c r="L49" s="3">
        <v>1</v>
      </c>
      <c r="M49" s="3">
        <v>10</v>
      </c>
      <c r="N49" s="3">
        <v>60</v>
      </c>
      <c r="O49" s="1">
        <v>10</v>
      </c>
      <c r="P49" s="1">
        <v>60</v>
      </c>
      <c r="Q49" s="13">
        <v>10</v>
      </c>
      <c r="R49" s="13">
        <v>10</v>
      </c>
      <c r="S49" s="13">
        <v>60</v>
      </c>
      <c r="T49" s="13">
        <v>60</v>
      </c>
      <c r="U49" s="1">
        <v>10</v>
      </c>
      <c r="V49" s="30">
        <v>0</v>
      </c>
      <c r="W49" s="1">
        <v>5</v>
      </c>
    </row>
    <row r="50" spans="3:23" x14ac:dyDescent="0.15">
      <c r="C50" s="1">
        <v>3</v>
      </c>
      <c r="D50" s="1">
        <v>5</v>
      </c>
      <c r="E50" s="1">
        <v>5</v>
      </c>
      <c r="F50" s="1">
        <v>10</v>
      </c>
      <c r="G50" s="1">
        <v>3</v>
      </c>
      <c r="H50" s="1"/>
      <c r="I50" s="1"/>
      <c r="J50" s="1">
        <v>0</v>
      </c>
      <c r="K50" s="1">
        <v>10</v>
      </c>
      <c r="L50" s="3">
        <v>1</v>
      </c>
      <c r="M50" s="3">
        <v>10</v>
      </c>
      <c r="N50" s="3">
        <v>60</v>
      </c>
      <c r="O50" s="1">
        <v>10</v>
      </c>
      <c r="P50" s="1">
        <v>60</v>
      </c>
      <c r="Q50" s="13">
        <v>60</v>
      </c>
      <c r="R50" s="13">
        <v>60</v>
      </c>
      <c r="S50" s="13">
        <v>180</v>
      </c>
      <c r="T50" s="13">
        <v>180</v>
      </c>
      <c r="U50" s="1">
        <v>10</v>
      </c>
      <c r="V50" s="30">
        <v>0</v>
      </c>
      <c r="W50" s="1">
        <v>5</v>
      </c>
    </row>
    <row r="51" spans="3:23" x14ac:dyDescent="0.15">
      <c r="C51" s="1">
        <v>3</v>
      </c>
      <c r="D51" s="1">
        <v>5</v>
      </c>
      <c r="E51" s="1">
        <v>5</v>
      </c>
      <c r="F51" s="1">
        <v>10</v>
      </c>
      <c r="G51" s="1">
        <v>3</v>
      </c>
      <c r="H51" s="1"/>
      <c r="I51" s="1"/>
      <c r="J51" s="1">
        <v>2.5</v>
      </c>
      <c r="K51" s="1">
        <v>10</v>
      </c>
      <c r="L51" s="3">
        <v>1</v>
      </c>
      <c r="M51" s="3">
        <v>10</v>
      </c>
      <c r="N51" s="3">
        <v>60</v>
      </c>
      <c r="O51" s="1">
        <v>10</v>
      </c>
      <c r="P51" s="1">
        <v>60</v>
      </c>
      <c r="Q51" s="13">
        <v>10</v>
      </c>
      <c r="R51" s="13">
        <v>10</v>
      </c>
      <c r="S51" s="13">
        <v>60</v>
      </c>
      <c r="T51" s="13">
        <v>60</v>
      </c>
      <c r="U51" s="1">
        <v>10</v>
      </c>
      <c r="V51" s="30">
        <v>0</v>
      </c>
      <c r="W51" s="1">
        <v>5</v>
      </c>
    </row>
    <row r="52" spans="3:23" x14ac:dyDescent="0.15">
      <c r="C52" s="1">
        <v>3</v>
      </c>
      <c r="D52" s="1">
        <v>5</v>
      </c>
      <c r="E52" s="1">
        <v>5</v>
      </c>
      <c r="F52" s="1">
        <v>10</v>
      </c>
      <c r="G52" s="1">
        <v>3</v>
      </c>
      <c r="H52" s="1"/>
      <c r="I52" s="1"/>
      <c r="J52" s="1">
        <v>2.5</v>
      </c>
      <c r="K52" s="1">
        <v>10</v>
      </c>
      <c r="L52" s="3">
        <v>1</v>
      </c>
      <c r="M52" s="3">
        <v>10</v>
      </c>
      <c r="N52" s="3">
        <v>60</v>
      </c>
      <c r="O52" s="1">
        <v>10</v>
      </c>
      <c r="P52" s="1">
        <v>60</v>
      </c>
      <c r="Q52" s="13">
        <v>10</v>
      </c>
      <c r="R52" s="13">
        <v>10</v>
      </c>
      <c r="S52" s="13">
        <v>60</v>
      </c>
      <c r="T52" s="13">
        <v>60</v>
      </c>
      <c r="U52" s="1">
        <v>10</v>
      </c>
      <c r="V52" s="30">
        <v>0</v>
      </c>
      <c r="W52" s="1">
        <v>5</v>
      </c>
    </row>
    <row r="53" spans="3:23" x14ac:dyDescent="0.15">
      <c r="C53" s="1">
        <v>3</v>
      </c>
      <c r="D53" s="1">
        <v>5</v>
      </c>
      <c r="E53" s="1">
        <v>5</v>
      </c>
      <c r="F53" s="1">
        <v>10</v>
      </c>
      <c r="G53" s="1">
        <v>3</v>
      </c>
      <c r="H53" s="1"/>
      <c r="I53" s="1"/>
      <c r="J53" s="1">
        <v>0</v>
      </c>
      <c r="K53" s="1">
        <v>10</v>
      </c>
      <c r="L53" s="3">
        <v>1</v>
      </c>
      <c r="M53" s="3">
        <v>10</v>
      </c>
      <c r="N53" s="3">
        <v>60</v>
      </c>
      <c r="O53" s="1">
        <v>10</v>
      </c>
      <c r="P53" s="1">
        <v>60</v>
      </c>
      <c r="Q53" s="13">
        <v>10</v>
      </c>
      <c r="R53" s="13">
        <v>10</v>
      </c>
      <c r="S53" s="13">
        <v>60</v>
      </c>
      <c r="T53" s="13">
        <v>60</v>
      </c>
      <c r="U53" s="1">
        <v>10</v>
      </c>
      <c r="V53" s="30">
        <v>0</v>
      </c>
      <c r="W53" s="1">
        <v>5</v>
      </c>
    </row>
    <row r="54" spans="3:23" x14ac:dyDescent="0.15">
      <c r="C54" s="1">
        <v>3</v>
      </c>
      <c r="D54" s="1">
        <v>5</v>
      </c>
      <c r="E54" s="1">
        <v>5</v>
      </c>
      <c r="F54" s="1">
        <v>10</v>
      </c>
      <c r="G54" s="1">
        <v>3</v>
      </c>
      <c r="H54" s="1"/>
      <c r="I54" s="1"/>
      <c r="J54" s="1">
        <v>2.5</v>
      </c>
      <c r="K54" s="1">
        <v>10</v>
      </c>
      <c r="L54" s="3">
        <v>1</v>
      </c>
      <c r="M54" s="3">
        <v>10</v>
      </c>
      <c r="N54" s="3">
        <v>60</v>
      </c>
      <c r="O54" s="1">
        <v>10</v>
      </c>
      <c r="P54" s="1">
        <v>60</v>
      </c>
      <c r="Q54" s="13">
        <v>10</v>
      </c>
      <c r="R54" s="13">
        <v>10</v>
      </c>
      <c r="S54" s="13">
        <v>60</v>
      </c>
      <c r="T54" s="13">
        <v>60</v>
      </c>
      <c r="U54" s="1">
        <v>10</v>
      </c>
      <c r="V54" s="30">
        <v>0</v>
      </c>
      <c r="W54" s="1">
        <v>5</v>
      </c>
    </row>
    <row r="55" spans="3:23" x14ac:dyDescent="0.15">
      <c r="C55" s="1">
        <v>3</v>
      </c>
      <c r="D55" s="1">
        <v>5</v>
      </c>
      <c r="E55" s="1">
        <v>5</v>
      </c>
      <c r="F55" s="1">
        <v>10</v>
      </c>
      <c r="G55" s="1">
        <v>3</v>
      </c>
      <c r="H55" s="1"/>
      <c r="I55" s="1"/>
      <c r="J55" s="1">
        <v>2.5</v>
      </c>
      <c r="K55" s="1">
        <v>10</v>
      </c>
      <c r="L55" s="3">
        <v>1</v>
      </c>
      <c r="M55" s="3">
        <v>10</v>
      </c>
      <c r="N55" s="3">
        <v>60</v>
      </c>
      <c r="O55" s="1">
        <v>10</v>
      </c>
      <c r="P55" s="1">
        <v>60</v>
      </c>
      <c r="Q55" s="13">
        <v>10</v>
      </c>
      <c r="R55" s="13">
        <v>10</v>
      </c>
      <c r="S55" s="13">
        <v>60</v>
      </c>
      <c r="T55" s="13">
        <v>60</v>
      </c>
      <c r="U55" s="1">
        <v>10</v>
      </c>
      <c r="V55" s="30">
        <v>0</v>
      </c>
      <c r="W55" s="1">
        <v>5</v>
      </c>
    </row>
    <row r="56" spans="3:23" x14ac:dyDescent="0.15">
      <c r="C56" s="1">
        <v>3</v>
      </c>
      <c r="D56" s="1">
        <v>5</v>
      </c>
      <c r="E56" s="1">
        <v>5</v>
      </c>
      <c r="F56" s="1">
        <v>10</v>
      </c>
      <c r="G56" s="1">
        <v>3</v>
      </c>
      <c r="H56" s="1"/>
      <c r="I56" s="1"/>
      <c r="J56" s="1">
        <v>2.5</v>
      </c>
      <c r="K56" s="1">
        <v>10</v>
      </c>
      <c r="L56" s="3">
        <v>1</v>
      </c>
      <c r="M56" s="3">
        <v>10</v>
      </c>
      <c r="N56" s="3">
        <v>60</v>
      </c>
      <c r="O56" s="1">
        <v>10</v>
      </c>
      <c r="P56" s="1">
        <v>60</v>
      </c>
      <c r="Q56" s="13">
        <v>10</v>
      </c>
      <c r="R56" s="13">
        <v>10</v>
      </c>
      <c r="S56" s="13">
        <v>60</v>
      </c>
      <c r="T56" s="13">
        <v>60</v>
      </c>
      <c r="U56" s="1">
        <v>10</v>
      </c>
      <c r="V56" s="30">
        <v>0</v>
      </c>
      <c r="W56" s="1">
        <v>5</v>
      </c>
    </row>
    <row r="57" spans="3:23" x14ac:dyDescent="0.15">
      <c r="C57" s="1">
        <v>3</v>
      </c>
      <c r="D57" s="1">
        <v>5</v>
      </c>
      <c r="E57" s="1">
        <v>5</v>
      </c>
      <c r="F57" s="1">
        <v>10</v>
      </c>
      <c r="G57" s="1">
        <v>3</v>
      </c>
      <c r="H57" s="1"/>
      <c r="I57" s="1"/>
      <c r="J57" s="1">
        <v>2.5</v>
      </c>
      <c r="K57" s="1">
        <v>10</v>
      </c>
      <c r="L57" s="3">
        <v>1</v>
      </c>
      <c r="M57" s="3">
        <v>10</v>
      </c>
      <c r="N57" s="3">
        <v>60</v>
      </c>
      <c r="O57" s="1">
        <v>10</v>
      </c>
      <c r="P57" s="1">
        <v>60</v>
      </c>
      <c r="Q57" s="13">
        <v>10</v>
      </c>
      <c r="R57" s="13">
        <v>10</v>
      </c>
      <c r="S57" s="13">
        <v>60</v>
      </c>
      <c r="T57" s="13">
        <v>60</v>
      </c>
      <c r="U57" s="1">
        <v>10</v>
      </c>
      <c r="V57" s="30">
        <v>0</v>
      </c>
      <c r="W57" s="1">
        <v>5</v>
      </c>
    </row>
    <row r="58" spans="3:23" x14ac:dyDescent="0.15">
      <c r="C58" s="2">
        <v>100</v>
      </c>
      <c r="D58" s="4">
        <v>100</v>
      </c>
      <c r="E58" s="4">
        <v>100</v>
      </c>
      <c r="F58" s="4">
        <v>100</v>
      </c>
      <c r="G58" s="4">
        <v>100</v>
      </c>
      <c r="H58" s="4">
        <v>100</v>
      </c>
      <c r="I58" s="4">
        <v>100</v>
      </c>
      <c r="J58" s="4">
        <v>5</v>
      </c>
      <c r="K58" s="4">
        <v>100</v>
      </c>
      <c r="L58" s="4">
        <v>100</v>
      </c>
      <c r="M58" s="4">
        <v>500</v>
      </c>
      <c r="N58" s="4">
        <v>500</v>
      </c>
      <c r="O58" s="4">
        <v>500</v>
      </c>
      <c r="P58" s="4">
        <v>500</v>
      </c>
      <c r="Q58" s="4">
        <v>100</v>
      </c>
      <c r="R58" s="4">
        <v>100</v>
      </c>
      <c r="S58" s="4">
        <v>200</v>
      </c>
      <c r="T58" s="4">
        <v>200</v>
      </c>
      <c r="U58" s="4">
        <v>0</v>
      </c>
      <c r="V58" s="4">
        <v>0</v>
      </c>
      <c r="W58" s="4">
        <v>5</v>
      </c>
    </row>
    <row r="59" spans="3:23" x14ac:dyDescent="0.15">
      <c r="C59" s="2">
        <v>100</v>
      </c>
      <c r="D59" s="4">
        <v>100</v>
      </c>
      <c r="E59" s="4">
        <v>100</v>
      </c>
      <c r="F59" s="4">
        <v>100</v>
      </c>
      <c r="G59" s="4">
        <v>100</v>
      </c>
      <c r="H59" s="4">
        <v>100</v>
      </c>
      <c r="I59" s="4">
        <v>100</v>
      </c>
      <c r="J59" s="4">
        <v>5</v>
      </c>
      <c r="K59" s="4">
        <v>100</v>
      </c>
      <c r="L59" s="4">
        <v>100</v>
      </c>
      <c r="M59" s="4">
        <v>500</v>
      </c>
      <c r="N59" s="4">
        <v>500</v>
      </c>
      <c r="O59" s="4">
        <v>500</v>
      </c>
      <c r="P59" s="4">
        <v>500</v>
      </c>
      <c r="Q59" s="4">
        <v>100</v>
      </c>
      <c r="R59" s="4">
        <v>100</v>
      </c>
      <c r="S59" s="4">
        <v>200</v>
      </c>
      <c r="T59" s="4">
        <v>200</v>
      </c>
      <c r="U59" s="4">
        <v>0</v>
      </c>
      <c r="V59" s="4">
        <v>0</v>
      </c>
      <c r="W59" s="4">
        <v>5</v>
      </c>
    </row>
    <row r="60" spans="3:23" x14ac:dyDescent="0.15">
      <c r="C60" s="2">
        <v>100</v>
      </c>
      <c r="D60" s="4">
        <v>100</v>
      </c>
      <c r="E60" s="4">
        <v>100</v>
      </c>
      <c r="F60" s="4">
        <v>100</v>
      </c>
      <c r="G60" s="4">
        <v>100</v>
      </c>
      <c r="H60" s="4">
        <v>100</v>
      </c>
      <c r="I60" s="4">
        <v>100</v>
      </c>
      <c r="J60" s="4">
        <v>5</v>
      </c>
      <c r="K60" s="4">
        <v>100</v>
      </c>
      <c r="L60" s="3">
        <v>100</v>
      </c>
      <c r="M60" s="4">
        <v>500</v>
      </c>
      <c r="N60" s="4">
        <v>500</v>
      </c>
      <c r="O60" s="4">
        <v>500</v>
      </c>
      <c r="P60" s="4">
        <v>500</v>
      </c>
      <c r="Q60" s="4">
        <v>100</v>
      </c>
      <c r="R60" s="4">
        <v>100</v>
      </c>
      <c r="S60" s="4">
        <v>200</v>
      </c>
      <c r="T60" s="4">
        <v>200</v>
      </c>
      <c r="U60" s="4">
        <v>0</v>
      </c>
      <c r="V60" s="4">
        <v>0</v>
      </c>
      <c r="W60" s="4">
        <v>5</v>
      </c>
    </row>
    <row r="61" spans="3:23" x14ac:dyDescent="0.15">
      <c r="C61" s="2">
        <v>100</v>
      </c>
      <c r="D61" s="4">
        <v>100</v>
      </c>
      <c r="E61" s="4">
        <v>100</v>
      </c>
      <c r="F61" s="4">
        <v>100</v>
      </c>
      <c r="G61" s="4">
        <v>100</v>
      </c>
      <c r="H61" s="4">
        <v>100</v>
      </c>
      <c r="I61" s="4">
        <v>100</v>
      </c>
      <c r="J61" s="4">
        <v>5</v>
      </c>
      <c r="K61" s="4">
        <v>100</v>
      </c>
      <c r="L61" s="28">
        <v>100</v>
      </c>
      <c r="M61" s="4">
        <v>500</v>
      </c>
      <c r="N61" s="4">
        <v>500</v>
      </c>
      <c r="O61" s="4">
        <v>500</v>
      </c>
      <c r="P61" s="4">
        <v>500</v>
      </c>
      <c r="Q61" s="4">
        <v>100</v>
      </c>
      <c r="R61" s="4">
        <v>100</v>
      </c>
      <c r="S61" s="4">
        <v>200</v>
      </c>
      <c r="T61" s="4">
        <v>200</v>
      </c>
      <c r="U61" s="4">
        <v>0</v>
      </c>
      <c r="V61" s="4">
        <v>0</v>
      </c>
      <c r="W61" s="4">
        <v>5</v>
      </c>
    </row>
    <row r="62" spans="3:23" x14ac:dyDescent="0.15">
      <c r="C62" s="2">
        <v>100</v>
      </c>
      <c r="D62" s="4">
        <v>100</v>
      </c>
      <c r="E62" s="4">
        <v>100</v>
      </c>
      <c r="F62" s="4">
        <v>100</v>
      </c>
      <c r="G62" s="4">
        <v>100</v>
      </c>
      <c r="H62" s="4">
        <v>100</v>
      </c>
      <c r="I62" s="4">
        <v>100</v>
      </c>
      <c r="J62" s="4">
        <v>5</v>
      </c>
      <c r="K62" s="4">
        <v>100</v>
      </c>
      <c r="L62" s="11">
        <v>100</v>
      </c>
      <c r="M62" s="4">
        <v>500</v>
      </c>
      <c r="N62" s="4">
        <v>500</v>
      </c>
      <c r="O62" s="4">
        <v>500</v>
      </c>
      <c r="P62" s="4">
        <v>500</v>
      </c>
      <c r="Q62" s="4">
        <v>100</v>
      </c>
      <c r="R62" s="4">
        <v>100</v>
      </c>
      <c r="S62" s="4">
        <v>200</v>
      </c>
      <c r="T62" s="4">
        <v>200</v>
      </c>
      <c r="U62" s="4">
        <v>0</v>
      </c>
      <c r="V62" s="4">
        <v>0</v>
      </c>
      <c r="W62" s="4">
        <v>5</v>
      </c>
    </row>
    <row r="63" spans="3:23" x14ac:dyDescent="0.15">
      <c r="C63" s="2">
        <v>100</v>
      </c>
      <c r="D63" s="4">
        <v>100</v>
      </c>
      <c r="E63" s="4">
        <v>100</v>
      </c>
      <c r="F63" s="4">
        <v>100</v>
      </c>
      <c r="G63" s="4">
        <v>100</v>
      </c>
      <c r="H63" s="4">
        <v>100</v>
      </c>
      <c r="I63" s="4">
        <v>100</v>
      </c>
      <c r="J63" s="4">
        <v>2.5</v>
      </c>
      <c r="K63" s="4">
        <v>100</v>
      </c>
      <c r="L63" s="11">
        <v>100</v>
      </c>
      <c r="M63" s="4">
        <v>500</v>
      </c>
      <c r="N63" s="4">
        <v>500</v>
      </c>
      <c r="O63" s="4">
        <v>500</v>
      </c>
      <c r="P63" s="4">
        <v>500</v>
      </c>
      <c r="Q63" s="4">
        <v>100</v>
      </c>
      <c r="R63" s="4">
        <v>100</v>
      </c>
      <c r="S63" s="4">
        <v>200</v>
      </c>
      <c r="T63" s="4">
        <v>200</v>
      </c>
      <c r="U63" s="4">
        <v>0</v>
      </c>
      <c r="V63" s="4">
        <v>0</v>
      </c>
      <c r="W63" s="4">
        <v>5</v>
      </c>
    </row>
    <row r="64" spans="3:23" x14ac:dyDescent="0.15">
      <c r="C64" s="2">
        <v>100</v>
      </c>
      <c r="D64" s="4">
        <v>100</v>
      </c>
      <c r="E64" s="4">
        <v>100</v>
      </c>
      <c r="F64" s="4">
        <v>100</v>
      </c>
      <c r="G64" s="4">
        <v>100</v>
      </c>
      <c r="H64" s="4">
        <v>100</v>
      </c>
      <c r="I64" s="4">
        <v>100</v>
      </c>
      <c r="J64" s="4">
        <v>5</v>
      </c>
      <c r="K64" s="4">
        <v>100</v>
      </c>
      <c r="L64" s="3">
        <v>100</v>
      </c>
      <c r="M64" s="4">
        <v>500</v>
      </c>
      <c r="N64" s="4">
        <v>500</v>
      </c>
      <c r="O64" s="4">
        <v>500</v>
      </c>
      <c r="P64" s="4">
        <v>500</v>
      </c>
      <c r="Q64" s="4">
        <v>100</v>
      </c>
      <c r="R64" s="4">
        <v>100</v>
      </c>
      <c r="S64" s="4">
        <v>200</v>
      </c>
      <c r="T64" s="4">
        <v>200</v>
      </c>
      <c r="U64" s="4">
        <v>0</v>
      </c>
      <c r="V64" s="4">
        <v>0</v>
      </c>
      <c r="W64" s="4">
        <v>5</v>
      </c>
    </row>
    <row r="65" spans="3:23" x14ac:dyDescent="0.15">
      <c r="C65" s="2">
        <v>100</v>
      </c>
      <c r="D65" s="4">
        <v>100</v>
      </c>
      <c r="E65" s="4">
        <v>100</v>
      </c>
      <c r="F65" s="4">
        <v>100</v>
      </c>
      <c r="G65" s="4">
        <v>100</v>
      </c>
      <c r="H65" s="4">
        <v>100</v>
      </c>
      <c r="I65" s="4">
        <v>100</v>
      </c>
      <c r="J65" s="4">
        <v>5</v>
      </c>
      <c r="K65" s="4">
        <v>100</v>
      </c>
      <c r="L65" s="24">
        <v>100</v>
      </c>
      <c r="M65" s="4">
        <v>500</v>
      </c>
      <c r="N65" s="4">
        <v>500</v>
      </c>
      <c r="O65" s="4">
        <v>500</v>
      </c>
      <c r="P65" s="4">
        <v>500</v>
      </c>
      <c r="Q65" s="4">
        <v>100</v>
      </c>
      <c r="R65" s="4">
        <v>100</v>
      </c>
      <c r="S65" s="4">
        <v>200</v>
      </c>
      <c r="T65" s="4">
        <v>200</v>
      </c>
      <c r="U65" s="4">
        <v>0</v>
      </c>
      <c r="V65" s="4">
        <v>0</v>
      </c>
      <c r="W65" s="4">
        <v>5</v>
      </c>
    </row>
    <row r="66" spans="3:23" x14ac:dyDescent="0.15">
      <c r="C66" s="2">
        <v>100</v>
      </c>
      <c r="D66" s="4">
        <v>100</v>
      </c>
      <c r="E66" s="4">
        <v>100</v>
      </c>
      <c r="F66" s="4">
        <v>100</v>
      </c>
      <c r="G66" s="4">
        <v>100</v>
      </c>
      <c r="H66" s="4">
        <v>100</v>
      </c>
      <c r="I66" s="4">
        <v>100</v>
      </c>
      <c r="J66" s="4">
        <v>2.5</v>
      </c>
      <c r="K66" s="4">
        <v>100</v>
      </c>
      <c r="L66" s="3">
        <v>100</v>
      </c>
      <c r="M66" s="4">
        <v>500</v>
      </c>
      <c r="N66" s="4">
        <v>500</v>
      </c>
      <c r="O66" s="4">
        <v>500</v>
      </c>
      <c r="P66" s="4">
        <v>500</v>
      </c>
      <c r="Q66" s="4">
        <v>100</v>
      </c>
      <c r="R66" s="4">
        <v>100</v>
      </c>
      <c r="S66" s="4">
        <v>200</v>
      </c>
      <c r="T66" s="4">
        <v>200</v>
      </c>
      <c r="U66" s="4">
        <v>0</v>
      </c>
      <c r="V66" s="4">
        <v>0</v>
      </c>
      <c r="W66" s="4">
        <v>5</v>
      </c>
    </row>
    <row r="67" spans="3:23" x14ac:dyDescent="0.15">
      <c r="C67" s="2">
        <v>100</v>
      </c>
      <c r="D67" s="4">
        <v>100</v>
      </c>
      <c r="E67" s="4">
        <v>100</v>
      </c>
      <c r="F67" s="4">
        <v>100</v>
      </c>
      <c r="G67" s="4">
        <v>100</v>
      </c>
      <c r="H67" s="4">
        <v>100</v>
      </c>
      <c r="I67" s="4">
        <v>100</v>
      </c>
      <c r="J67" s="4">
        <v>5</v>
      </c>
      <c r="K67" s="4">
        <v>100</v>
      </c>
      <c r="L67" s="3">
        <v>100</v>
      </c>
      <c r="M67" s="4">
        <v>500</v>
      </c>
      <c r="N67" s="4">
        <v>500</v>
      </c>
      <c r="O67" s="4">
        <v>500</v>
      </c>
      <c r="P67" s="4">
        <v>500</v>
      </c>
      <c r="Q67" s="4">
        <v>100</v>
      </c>
      <c r="R67" s="4">
        <v>100</v>
      </c>
      <c r="S67" s="4">
        <v>200</v>
      </c>
      <c r="T67" s="4">
        <v>200</v>
      </c>
      <c r="U67" s="4">
        <v>0</v>
      </c>
      <c r="V67" s="4">
        <v>0</v>
      </c>
      <c r="W67" s="4">
        <v>5</v>
      </c>
    </row>
    <row r="68" spans="3:23" x14ac:dyDescent="0.15">
      <c r="C68" s="2">
        <v>100</v>
      </c>
      <c r="D68" s="4">
        <v>100</v>
      </c>
      <c r="E68" s="4">
        <v>100</v>
      </c>
      <c r="F68" s="4">
        <v>100</v>
      </c>
      <c r="G68" s="4">
        <v>100</v>
      </c>
      <c r="H68" s="4">
        <v>100</v>
      </c>
      <c r="I68" s="4">
        <v>100</v>
      </c>
      <c r="J68" s="4">
        <v>5</v>
      </c>
      <c r="K68" s="4">
        <v>100</v>
      </c>
      <c r="L68" s="3">
        <v>100</v>
      </c>
      <c r="M68" s="4">
        <v>500</v>
      </c>
      <c r="N68" s="4">
        <v>500</v>
      </c>
      <c r="O68" s="4">
        <v>500</v>
      </c>
      <c r="P68" s="4">
        <v>500</v>
      </c>
      <c r="Q68" s="4">
        <v>100</v>
      </c>
      <c r="R68" s="4">
        <v>100</v>
      </c>
      <c r="S68" s="4">
        <v>200</v>
      </c>
      <c r="T68" s="4">
        <v>200</v>
      </c>
      <c r="U68" s="4">
        <v>0</v>
      </c>
      <c r="V68" s="4">
        <v>0</v>
      </c>
      <c r="W68" s="4">
        <v>5</v>
      </c>
    </row>
    <row r="69" spans="3:23" x14ac:dyDescent="0.15">
      <c r="L69"/>
    </row>
    <row r="70" spans="3:23" x14ac:dyDescent="0.15">
      <c r="L70"/>
    </row>
    <row r="71" spans="3:23" x14ac:dyDescent="0.15">
      <c r="L71"/>
    </row>
    <row r="72" spans="3:23" x14ac:dyDescent="0.15">
      <c r="L72"/>
    </row>
  </sheetData>
  <mergeCells count="1">
    <mergeCell ref="B6:B7"/>
  </mergeCells>
  <phoneticPr fontId="18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zoomScale="120" zoomScaleNormal="120" workbookViewId="0">
      <selection activeCell="F20" sqref="F20"/>
    </sheetView>
  </sheetViews>
  <sheetFormatPr defaultColWidth="8.875" defaultRowHeight="15" x14ac:dyDescent="0.15"/>
  <cols>
    <col min="1" max="1" width="12.875" style="4" customWidth="1"/>
    <col min="2" max="3" width="16.25" style="2" customWidth="1"/>
    <col min="4" max="4" width="34.25" style="2" customWidth="1"/>
    <col min="5" max="23" width="10.625" style="4" customWidth="1"/>
    <col min="24" max="24" width="11.5" style="4" customWidth="1"/>
    <col min="25" max="30" width="10.625" style="4" customWidth="1"/>
    <col min="31" max="16384" width="8.875" style="4"/>
  </cols>
  <sheetData>
    <row r="1" spans="1:30" x14ac:dyDescent="0.15">
      <c r="A1" s="14">
        <f>COLUMNS(IFD)</f>
        <v>26</v>
      </c>
      <c r="B1" s="14">
        <f>ROWS(HCE)</f>
        <v>6</v>
      </c>
      <c r="C1" s="14"/>
      <c r="D1" s="14">
        <f>ROWS(HSC)</f>
        <v>6</v>
      </c>
      <c r="E1" s="4">
        <v>0</v>
      </c>
      <c r="F1" s="4">
        <v>1</v>
      </c>
      <c r="G1" s="4">
        <v>2</v>
      </c>
      <c r="H1" s="4">
        <v>3</v>
      </c>
      <c r="I1" s="4">
        <v>4</v>
      </c>
      <c r="J1" s="4">
        <v>5</v>
      </c>
      <c r="K1" s="4">
        <v>6</v>
      </c>
      <c r="L1" s="4">
        <v>7</v>
      </c>
      <c r="M1" s="4">
        <v>8</v>
      </c>
      <c r="N1" s="4">
        <v>9</v>
      </c>
      <c r="O1" s="4">
        <v>10</v>
      </c>
      <c r="P1" s="4">
        <v>11</v>
      </c>
      <c r="Q1" s="4">
        <v>12</v>
      </c>
      <c r="R1" s="4">
        <v>13</v>
      </c>
      <c r="S1" s="4">
        <v>14</v>
      </c>
      <c r="T1" s="4">
        <v>15</v>
      </c>
      <c r="U1" s="4">
        <v>16</v>
      </c>
      <c r="V1" s="4">
        <v>17</v>
      </c>
      <c r="W1" s="4">
        <v>18</v>
      </c>
      <c r="X1" s="4">
        <v>19</v>
      </c>
      <c r="Y1" s="4">
        <v>20</v>
      </c>
      <c r="Z1" s="4">
        <v>21</v>
      </c>
      <c r="AA1" s="4">
        <v>22</v>
      </c>
      <c r="AB1" s="4">
        <v>23</v>
      </c>
      <c r="AC1" s="4">
        <v>24</v>
      </c>
      <c r="AD1" s="4">
        <v>25</v>
      </c>
    </row>
    <row r="2" spans="1:30" s="6" customFormat="1" ht="37.5" x14ac:dyDescent="0.15">
      <c r="B2"/>
      <c r="C2"/>
      <c r="D2" s="5"/>
      <c r="E2" s="15" t="s">
        <v>2</v>
      </c>
      <c r="F2" s="15" t="s">
        <v>52</v>
      </c>
      <c r="G2" s="15" t="s">
        <v>53</v>
      </c>
      <c r="H2" s="15" t="s">
        <v>3</v>
      </c>
      <c r="I2" s="15" t="s">
        <v>4</v>
      </c>
      <c r="J2" s="15" t="s">
        <v>72</v>
      </c>
      <c r="K2" s="15" t="s">
        <v>73</v>
      </c>
      <c r="L2" s="28" t="s">
        <v>70</v>
      </c>
      <c r="M2" s="42" t="s">
        <v>115</v>
      </c>
      <c r="N2" s="15" t="s">
        <v>0</v>
      </c>
      <c r="O2" s="15" t="s">
        <v>85</v>
      </c>
      <c r="P2" s="28" t="s">
        <v>119</v>
      </c>
      <c r="Q2" s="28" t="s">
        <v>120</v>
      </c>
      <c r="R2" s="28" t="s">
        <v>121</v>
      </c>
      <c r="S2" s="15" t="s">
        <v>48</v>
      </c>
      <c r="T2" s="15" t="s">
        <v>49</v>
      </c>
      <c r="U2" s="15" t="s">
        <v>50</v>
      </c>
      <c r="V2" s="15" t="s">
        <v>39</v>
      </c>
      <c r="W2" s="15" t="s">
        <v>40</v>
      </c>
      <c r="X2" s="15" t="s">
        <v>41</v>
      </c>
      <c r="Y2" s="15" t="s">
        <v>42</v>
      </c>
      <c r="Z2" s="15" t="s">
        <v>19</v>
      </c>
      <c r="AA2" s="15" t="s">
        <v>20</v>
      </c>
      <c r="AB2" s="15" t="s">
        <v>51</v>
      </c>
      <c r="AC2" s="15" t="s">
        <v>43</v>
      </c>
      <c r="AD2" s="15" t="s">
        <v>34</v>
      </c>
    </row>
    <row r="3" spans="1:30" ht="25.5" x14ac:dyDescent="0.15">
      <c r="A3" s="12" t="s">
        <v>26</v>
      </c>
      <c r="B3" s="16" t="s">
        <v>25</v>
      </c>
      <c r="C3" s="54" t="s">
        <v>131</v>
      </c>
      <c r="D3" s="18" t="s">
        <v>35</v>
      </c>
      <c r="E3" s="17">
        <v>0</v>
      </c>
      <c r="F3" s="17">
        <v>1</v>
      </c>
      <c r="G3" s="17">
        <v>2</v>
      </c>
      <c r="H3" s="17">
        <v>3</v>
      </c>
      <c r="I3" s="17">
        <v>4</v>
      </c>
      <c r="J3" s="17">
        <v>5</v>
      </c>
      <c r="K3" s="17">
        <v>5</v>
      </c>
      <c r="L3" s="17">
        <v>6</v>
      </c>
      <c r="M3" s="17">
        <v>7</v>
      </c>
      <c r="N3" s="17">
        <v>8</v>
      </c>
      <c r="O3" s="17">
        <v>9</v>
      </c>
      <c r="P3" s="17">
        <v>10</v>
      </c>
      <c r="Q3" s="17">
        <v>10</v>
      </c>
      <c r="R3" s="17">
        <v>11</v>
      </c>
      <c r="S3" s="17">
        <v>12</v>
      </c>
      <c r="T3" s="17">
        <v>12</v>
      </c>
      <c r="U3" s="17">
        <v>13</v>
      </c>
      <c r="V3" s="17">
        <v>14</v>
      </c>
      <c r="W3" s="17">
        <v>14</v>
      </c>
      <c r="X3" s="17">
        <v>15</v>
      </c>
      <c r="Y3" s="17">
        <v>15</v>
      </c>
      <c r="Z3" s="17">
        <v>16</v>
      </c>
      <c r="AA3" s="17">
        <v>17</v>
      </c>
      <c r="AB3" s="17">
        <v>18</v>
      </c>
      <c r="AC3" s="17">
        <v>19</v>
      </c>
      <c r="AD3" s="17">
        <v>20</v>
      </c>
    </row>
    <row r="4" spans="1:30" x14ac:dyDescent="0.15">
      <c r="A4" s="12"/>
      <c r="B4" s="44"/>
      <c r="C4" s="44"/>
      <c r="D4" s="52" t="s">
        <v>118</v>
      </c>
      <c r="E4" s="53">
        <v>0</v>
      </c>
      <c r="F4" s="53">
        <v>0</v>
      </c>
      <c r="G4" s="53">
        <v>0</v>
      </c>
      <c r="H4" s="53">
        <v>0</v>
      </c>
      <c r="I4" s="53">
        <v>0</v>
      </c>
      <c r="J4" s="53">
        <v>0</v>
      </c>
      <c r="K4" s="53">
        <v>0</v>
      </c>
      <c r="L4" s="53">
        <v>0</v>
      </c>
      <c r="M4" s="53">
        <v>0</v>
      </c>
      <c r="N4" s="53">
        <v>0</v>
      </c>
      <c r="O4" s="53">
        <v>0</v>
      </c>
      <c r="P4" s="53">
        <v>0</v>
      </c>
      <c r="Q4" s="53">
        <v>0</v>
      </c>
      <c r="R4" s="53">
        <v>0</v>
      </c>
      <c r="S4" s="53">
        <v>0</v>
      </c>
      <c r="T4" s="53">
        <v>0</v>
      </c>
      <c r="U4" s="53">
        <v>0</v>
      </c>
      <c r="V4" s="53">
        <v>-1</v>
      </c>
      <c r="W4" s="53">
        <v>1</v>
      </c>
      <c r="X4" s="53">
        <v>-1</v>
      </c>
      <c r="Y4" s="53">
        <v>1</v>
      </c>
      <c r="Z4" s="53">
        <v>0</v>
      </c>
      <c r="AA4" s="53">
        <v>0</v>
      </c>
      <c r="AB4" s="53">
        <v>0</v>
      </c>
      <c r="AC4" s="53">
        <v>0</v>
      </c>
      <c r="AD4" s="53">
        <v>0</v>
      </c>
    </row>
    <row r="5" spans="1:30" ht="15.75" thickBot="1" x14ac:dyDescent="0.2">
      <c r="A5" s="12"/>
      <c r="B5" s="44"/>
      <c r="C5" s="55"/>
      <c r="D5" s="49" t="s">
        <v>114</v>
      </c>
      <c r="E5" s="50">
        <v>0</v>
      </c>
      <c r="F5" s="50">
        <v>0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50">
        <v>1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50">
        <v>0</v>
      </c>
      <c r="V5" s="50">
        <v>0</v>
      </c>
      <c r="W5" s="50">
        <v>0</v>
      </c>
      <c r="X5" s="50">
        <v>0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1">
        <v>0</v>
      </c>
    </row>
    <row r="6" spans="1:30" x14ac:dyDescent="0.15">
      <c r="A6" s="3">
        <v>0</v>
      </c>
      <c r="B6" s="3">
        <v>0</v>
      </c>
      <c r="C6" s="45"/>
      <c r="D6" s="45" t="s">
        <v>60</v>
      </c>
      <c r="E6" s="46">
        <v>-1</v>
      </c>
      <c r="F6" s="46"/>
      <c r="G6" s="46"/>
      <c r="H6" s="47"/>
      <c r="I6" s="46">
        <f>-(0.55+0.7)/3.6</f>
        <v>-0.34722222222222221</v>
      </c>
      <c r="J6" s="46">
        <v>-0.1</v>
      </c>
      <c r="K6" s="46"/>
      <c r="L6" s="47"/>
      <c r="M6" s="48">
        <v>-0.1</v>
      </c>
      <c r="N6" s="46">
        <v>-1</v>
      </c>
      <c r="O6" s="46">
        <v>-0.37</v>
      </c>
      <c r="P6" s="46">
        <v>-0.185748</v>
      </c>
      <c r="Q6" s="46"/>
      <c r="R6" s="47"/>
      <c r="S6" s="46">
        <v>-0.1</v>
      </c>
      <c r="T6" s="46"/>
      <c r="U6" s="47"/>
      <c r="V6" s="46">
        <v>-1</v>
      </c>
      <c r="W6" s="46">
        <v>1</v>
      </c>
      <c r="X6" s="46">
        <v>-1</v>
      </c>
      <c r="Y6" s="46">
        <v>1</v>
      </c>
      <c r="Z6" s="47"/>
      <c r="AA6" s="47"/>
      <c r="AB6" s="46">
        <v>0.4</v>
      </c>
      <c r="AC6" s="46">
        <v>1</v>
      </c>
      <c r="AD6" s="46">
        <v>0.2</v>
      </c>
    </row>
    <row r="7" spans="1:30" x14ac:dyDescent="0.15">
      <c r="A7" s="3">
        <v>1</v>
      </c>
      <c r="B7" s="3">
        <v>1</v>
      </c>
      <c r="C7" s="3"/>
      <c r="D7" s="3" t="s">
        <v>61</v>
      </c>
      <c r="E7" s="7"/>
      <c r="F7" s="7">
        <v>0.99</v>
      </c>
      <c r="G7" s="7"/>
      <c r="H7" s="9"/>
      <c r="I7" s="7"/>
      <c r="J7" s="7"/>
      <c r="K7" s="7"/>
      <c r="L7" s="9"/>
      <c r="M7" s="43"/>
      <c r="N7" s="7"/>
      <c r="O7" s="7"/>
      <c r="P7" s="7"/>
      <c r="Q7" s="7"/>
      <c r="R7" s="9"/>
      <c r="S7" s="7"/>
      <c r="T7" s="7"/>
      <c r="U7" s="9"/>
      <c r="V7" s="7"/>
      <c r="W7" s="7"/>
      <c r="X7" s="7"/>
      <c r="Y7" s="7"/>
      <c r="Z7" s="9"/>
      <c r="AA7" s="9"/>
      <c r="AB7" s="7"/>
      <c r="AC7" s="7"/>
      <c r="AD7" s="7">
        <v>-1</v>
      </c>
    </row>
    <row r="8" spans="1:30" x14ac:dyDescent="0.15">
      <c r="A8" s="3">
        <v>2</v>
      </c>
      <c r="B8" s="3">
        <v>1</v>
      </c>
      <c r="C8" s="3"/>
      <c r="D8" s="3" t="s">
        <v>62</v>
      </c>
      <c r="E8" s="7"/>
      <c r="F8" s="7"/>
      <c r="G8" s="7">
        <v>0.99</v>
      </c>
      <c r="H8" s="9"/>
      <c r="I8" s="7">
        <f>-8.1/3.6</f>
        <v>-2.25</v>
      </c>
      <c r="J8" s="7"/>
      <c r="K8" s="7"/>
      <c r="L8" s="9"/>
      <c r="M8" s="43"/>
      <c r="N8" s="7"/>
      <c r="O8" s="7"/>
      <c r="P8" s="7"/>
      <c r="Q8" s="7"/>
      <c r="R8" s="9"/>
      <c r="S8" s="7"/>
      <c r="T8" s="7"/>
      <c r="U8" s="9"/>
      <c r="V8" s="7"/>
      <c r="W8" s="7"/>
      <c r="X8" s="7"/>
      <c r="Y8" s="7"/>
      <c r="Z8" s="9"/>
      <c r="AA8" s="9"/>
      <c r="AB8" s="7"/>
      <c r="AC8" s="7"/>
      <c r="AD8" s="7"/>
    </row>
    <row r="9" spans="1:30" ht="16.5" x14ac:dyDescent="0.15">
      <c r="A9" s="3">
        <v>3</v>
      </c>
      <c r="B9" s="3">
        <v>0</v>
      </c>
      <c r="C9" s="3"/>
      <c r="D9" s="3" t="s">
        <v>63</v>
      </c>
      <c r="E9" s="7"/>
      <c r="F9" s="7"/>
      <c r="G9" s="7"/>
      <c r="H9" s="9"/>
      <c r="I9" s="7"/>
      <c r="J9" s="7"/>
      <c r="K9" s="7"/>
      <c r="L9" s="9"/>
      <c r="M9" s="43"/>
      <c r="N9" s="7">
        <v>0.85</v>
      </c>
      <c r="O9" s="7">
        <v>-13.956</v>
      </c>
      <c r="P9" s="7">
        <v>-1</v>
      </c>
      <c r="Q9" s="7">
        <v>1</v>
      </c>
      <c r="R9" s="9"/>
      <c r="S9" s="7">
        <v>-1</v>
      </c>
      <c r="T9" s="7">
        <v>1</v>
      </c>
      <c r="U9" s="9"/>
      <c r="V9" s="7"/>
      <c r="W9" s="7"/>
      <c r="X9" s="7"/>
      <c r="Y9" s="7"/>
      <c r="Z9" s="9"/>
      <c r="AA9" s="9"/>
      <c r="AB9" s="7">
        <v>-1</v>
      </c>
      <c r="AC9" s="7"/>
      <c r="AD9" s="7"/>
    </row>
    <row r="10" spans="1:30" ht="16.5" x14ac:dyDescent="0.15">
      <c r="A10" s="3">
        <v>4</v>
      </c>
      <c r="B10" s="3">
        <v>0</v>
      </c>
      <c r="C10" s="3"/>
      <c r="D10" s="3" t="s">
        <v>59</v>
      </c>
      <c r="E10" s="7"/>
      <c r="F10" s="7"/>
      <c r="G10" s="7"/>
      <c r="H10" s="9"/>
      <c r="I10" s="7">
        <v>1</v>
      </c>
      <c r="J10" s="7">
        <v>-1</v>
      </c>
      <c r="K10" s="7">
        <v>1</v>
      </c>
      <c r="L10" s="9"/>
      <c r="M10" s="43">
        <v>-1</v>
      </c>
      <c r="N10" s="7"/>
      <c r="O10" s="7">
        <v>-2.2999999999999998</v>
      </c>
      <c r="P10" s="7"/>
      <c r="Q10" s="7"/>
      <c r="R10" s="9"/>
      <c r="S10" s="7"/>
      <c r="T10" s="7"/>
      <c r="U10" s="9"/>
      <c r="V10" s="7"/>
      <c r="W10" s="7"/>
      <c r="X10" s="7"/>
      <c r="Y10" s="7"/>
      <c r="Z10" s="9"/>
      <c r="AA10" s="9"/>
      <c r="AB10" s="7"/>
      <c r="AC10" s="7"/>
      <c r="AD10" s="7"/>
    </row>
    <row r="11" spans="1:30" x14ac:dyDescent="0.15">
      <c r="A11" s="3">
        <v>5</v>
      </c>
      <c r="B11" s="3">
        <v>1</v>
      </c>
      <c r="C11" s="3"/>
      <c r="D11" s="3" t="s">
        <v>86</v>
      </c>
      <c r="E11" s="7"/>
      <c r="F11" s="7"/>
      <c r="G11" s="7"/>
      <c r="H11" s="9"/>
      <c r="I11" s="7"/>
      <c r="J11" s="7"/>
      <c r="K11" s="7"/>
      <c r="L11" s="9"/>
      <c r="M11" s="43"/>
      <c r="N11" s="7"/>
      <c r="O11" s="7">
        <v>1</v>
      </c>
      <c r="P11" s="7"/>
      <c r="Q11" s="7"/>
      <c r="R11" s="9"/>
      <c r="S11" s="7"/>
      <c r="T11" s="7"/>
      <c r="U11" s="9"/>
      <c r="V11" s="7"/>
      <c r="W11" s="7"/>
      <c r="X11" s="7"/>
      <c r="Y11" s="7"/>
      <c r="Z11" s="9"/>
      <c r="AA11" s="9"/>
      <c r="AB11" s="7"/>
      <c r="AC11" s="7"/>
      <c r="AD11" s="7"/>
    </row>
    <row r="12" spans="1:30" x14ac:dyDescent="0.15">
      <c r="B12"/>
      <c r="C12" s="3">
        <v>0</v>
      </c>
      <c r="D12" s="3" t="s">
        <v>65</v>
      </c>
      <c r="E12" s="7">
        <v>0.99</v>
      </c>
      <c r="F12" s="7">
        <v>-1</v>
      </c>
      <c r="G12" s="7">
        <v>-1</v>
      </c>
      <c r="H12" s="7">
        <v>0.99</v>
      </c>
      <c r="I12" s="9"/>
      <c r="J12" s="7"/>
      <c r="K12" s="7"/>
      <c r="L12" s="7"/>
      <c r="M12" s="9"/>
      <c r="N12" s="9"/>
      <c r="O12" s="9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9"/>
      <c r="AC12" s="9"/>
      <c r="AD12" s="9"/>
    </row>
    <row r="13" spans="1:30" x14ac:dyDescent="0.15">
      <c r="B13"/>
      <c r="C13" s="3">
        <v>0</v>
      </c>
      <c r="D13" s="3" t="s">
        <v>66</v>
      </c>
      <c r="E13" s="7"/>
      <c r="F13" s="7"/>
      <c r="G13" s="7"/>
      <c r="H13" s="7"/>
      <c r="I13" s="9"/>
      <c r="J13" s="7"/>
      <c r="K13" s="7"/>
      <c r="L13" s="7"/>
      <c r="M13" s="9"/>
      <c r="N13" s="9"/>
      <c r="O13" s="9"/>
      <c r="P13" s="7"/>
      <c r="Q13" s="7"/>
      <c r="R13" s="7"/>
      <c r="S13" s="7"/>
      <c r="T13" s="7"/>
      <c r="U13" s="7"/>
      <c r="V13" s="7">
        <f>0.85^0.5</f>
        <v>0.92195444572928875</v>
      </c>
      <c r="W13" s="7">
        <f>-1/V13</f>
        <v>-1.0846522890932808</v>
      </c>
      <c r="X13" s="7"/>
      <c r="Y13" s="7"/>
      <c r="Z13" s="7">
        <v>0.995</v>
      </c>
      <c r="AA13" s="7"/>
      <c r="AB13" s="9"/>
      <c r="AC13" s="9"/>
      <c r="AD13" s="9"/>
    </row>
    <row r="14" spans="1:30" x14ac:dyDescent="0.15">
      <c r="B14"/>
      <c r="C14" s="3">
        <v>0</v>
      </c>
      <c r="D14" s="3" t="s">
        <v>67</v>
      </c>
      <c r="E14" s="7"/>
      <c r="F14" s="7"/>
      <c r="G14" s="7"/>
      <c r="H14" s="7"/>
      <c r="I14" s="9"/>
      <c r="J14" s="7"/>
      <c r="K14" s="7"/>
      <c r="L14" s="7"/>
      <c r="M14" s="9"/>
      <c r="N14" s="9"/>
      <c r="O14" s="9"/>
      <c r="P14" s="7"/>
      <c r="Q14" s="7"/>
      <c r="R14" s="7"/>
      <c r="S14" s="7"/>
      <c r="T14" s="7"/>
      <c r="U14" s="7"/>
      <c r="V14" s="7"/>
      <c r="W14" s="7"/>
      <c r="X14" s="7">
        <f>0.85^0.5</f>
        <v>0.92195444572928875</v>
      </c>
      <c r="Y14" s="7">
        <f>-1/X14</f>
        <v>-1.0846522890932808</v>
      </c>
      <c r="Z14" s="7"/>
      <c r="AA14" s="7">
        <v>0.99987000000000004</v>
      </c>
      <c r="AB14" s="9"/>
      <c r="AC14" s="9"/>
      <c r="AD14" s="9"/>
    </row>
    <row r="15" spans="1:30" ht="16.5" x14ac:dyDescent="0.15">
      <c r="B15"/>
      <c r="C15" s="3">
        <v>1</v>
      </c>
      <c r="D15" s="26" t="s">
        <v>130</v>
      </c>
      <c r="E15" s="7"/>
      <c r="F15" s="7"/>
      <c r="G15" s="7"/>
      <c r="H15" s="7"/>
      <c r="I15" s="9"/>
      <c r="J15" s="7"/>
      <c r="K15" s="7"/>
      <c r="L15" s="7"/>
      <c r="M15" s="9"/>
      <c r="N15" s="9"/>
      <c r="O15" s="9"/>
      <c r="P15" s="4">
        <f>0.99^0.5</f>
        <v>0.99498743710661997</v>
      </c>
      <c r="Q15" s="7">
        <v>-1.0050378152592101</v>
      </c>
      <c r="R15" s="7">
        <f>(0.999)^(1/24)</f>
        <v>0.99995831335501306</v>
      </c>
      <c r="S15" s="7"/>
      <c r="T15" s="7"/>
      <c r="U15" s="7"/>
      <c r="V15" s="7"/>
      <c r="W15" s="7"/>
      <c r="X15" s="7"/>
      <c r="Y15" s="7"/>
      <c r="Z15" s="7"/>
      <c r="AA15" s="7"/>
      <c r="AB15" s="9"/>
      <c r="AC15" s="9"/>
      <c r="AD15" s="9"/>
    </row>
    <row r="16" spans="1:30" ht="16.5" x14ac:dyDescent="0.15">
      <c r="B16"/>
      <c r="C16" s="3">
        <v>2</v>
      </c>
      <c r="D16" s="26" t="s">
        <v>129</v>
      </c>
      <c r="E16" s="7"/>
      <c r="F16" s="7"/>
      <c r="G16" s="7"/>
      <c r="H16" s="7"/>
      <c r="I16" s="9"/>
      <c r="J16" s="7"/>
      <c r="K16" s="7"/>
      <c r="L16" s="7"/>
      <c r="M16" s="9"/>
      <c r="N16" s="9"/>
      <c r="O16" s="9"/>
      <c r="P16" s="7"/>
      <c r="Q16" s="7"/>
      <c r="R16" s="7"/>
      <c r="S16" s="7">
        <v>0.99498743710661997</v>
      </c>
      <c r="T16" s="7">
        <v>-1.0050378152592101</v>
      </c>
      <c r="U16" s="7">
        <v>1</v>
      </c>
      <c r="V16" s="7"/>
      <c r="W16" s="7"/>
      <c r="X16" s="7"/>
      <c r="Y16" s="7"/>
      <c r="Z16" s="7"/>
      <c r="AA16" s="7"/>
      <c r="AB16" s="9"/>
      <c r="AC16" s="9"/>
      <c r="AD16" s="9"/>
    </row>
    <row r="17" spans="2:30" ht="17.25" thickBot="1" x14ac:dyDescent="0.2">
      <c r="B17"/>
      <c r="C17" s="3">
        <v>0</v>
      </c>
      <c r="D17" s="26" t="s">
        <v>117</v>
      </c>
      <c r="E17" s="7"/>
      <c r="F17" s="7"/>
      <c r="G17" s="7"/>
      <c r="H17" s="7"/>
      <c r="I17" s="9"/>
      <c r="J17" s="7">
        <v>0.94868330000000001</v>
      </c>
      <c r="K17" s="7">
        <v>-1.5409254999999999</v>
      </c>
      <c r="L17" s="7">
        <v>0.999</v>
      </c>
      <c r="M17" s="9"/>
      <c r="N17" s="9"/>
      <c r="O17" s="9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9"/>
      <c r="AC17" s="9"/>
      <c r="AD17" s="9"/>
    </row>
    <row r="18" spans="2:30" ht="15.75" thickBot="1" x14ac:dyDescent="0.2">
      <c r="D18" s="27" t="s">
        <v>68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2</v>
      </c>
      <c r="AD18" s="33">
        <v>0</v>
      </c>
    </row>
    <row r="20" spans="2:30" customFormat="1" ht="24" x14ac:dyDescent="0.15">
      <c r="O20" s="15" t="s">
        <v>1</v>
      </c>
    </row>
    <row r="21" spans="2:30" customFormat="1" x14ac:dyDescent="0.15">
      <c r="D21" s="3" t="s">
        <v>64</v>
      </c>
      <c r="O21" s="17">
        <v>8</v>
      </c>
    </row>
    <row r="22" spans="2:30" customFormat="1" x14ac:dyDescent="0.15">
      <c r="O22" s="7">
        <v>-1.2</v>
      </c>
    </row>
    <row r="23" spans="2:30" customFormat="1" x14ac:dyDescent="0.15">
      <c r="D23" s="3"/>
      <c r="O23" s="7"/>
    </row>
    <row r="24" spans="2:30" customFormat="1" x14ac:dyDescent="0.15">
      <c r="O24" s="7"/>
    </row>
    <row r="25" spans="2:30" customFormat="1" x14ac:dyDescent="0.15">
      <c r="O25" s="7">
        <f>-1.5/0.086</f>
        <v>-17.441860465116282</v>
      </c>
    </row>
    <row r="26" spans="2:30" customFormat="1" x14ac:dyDescent="0.15">
      <c r="O26" s="7">
        <f>-0.8*11/3</f>
        <v>-2.9333333333333336</v>
      </c>
    </row>
    <row r="27" spans="2:30" customFormat="1" x14ac:dyDescent="0.15">
      <c r="O27" s="7">
        <v>1</v>
      </c>
    </row>
    <row r="28" spans="2:30" customFormat="1" x14ac:dyDescent="0.15">
      <c r="O28" s="9"/>
    </row>
    <row r="29" spans="2:30" customFormat="1" x14ac:dyDescent="0.15">
      <c r="O29" s="9"/>
    </row>
    <row r="30" spans="2:30" customFormat="1" x14ac:dyDescent="0.15">
      <c r="O30" s="9"/>
    </row>
    <row r="31" spans="2:30" customFormat="1" x14ac:dyDescent="0.15">
      <c r="O31" s="9"/>
    </row>
    <row r="32" spans="2:30" customFormat="1" x14ac:dyDescent="0.15">
      <c r="O32" s="9"/>
    </row>
    <row r="33" spans="15:15" customFormat="1" ht="15.75" thickBot="1" x14ac:dyDescent="0.2">
      <c r="O33" s="32">
        <v>0</v>
      </c>
    </row>
    <row r="34" spans="15:15" customFormat="1" ht="13.5" x14ac:dyDescent="0.15"/>
    <row r="35" spans="15:15" customFormat="1" ht="13.5" x14ac:dyDescent="0.15"/>
    <row r="36" spans="15:15" customFormat="1" ht="13.5" x14ac:dyDescent="0.15"/>
    <row r="37" spans="15:15" customFormat="1" ht="13.5" x14ac:dyDescent="0.15"/>
    <row r="38" spans="15:15" customFormat="1" ht="13.5" x14ac:dyDescent="0.15"/>
    <row r="39" spans="15:15" customFormat="1" ht="13.5" x14ac:dyDescent="0.15"/>
    <row r="40" spans="15:15" customFormat="1" ht="13.5" x14ac:dyDescent="0.15"/>
    <row r="41" spans="15:15" customFormat="1" ht="13.5" x14ac:dyDescent="0.15"/>
    <row r="42" spans="15:15" customFormat="1" ht="13.5" x14ac:dyDescent="0.15"/>
    <row r="43" spans="15:15" customFormat="1" ht="13.5" x14ac:dyDescent="0.15"/>
  </sheetData>
  <phoneticPr fontId="18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9"/>
  <sheetViews>
    <sheetView tabSelected="1" workbookViewId="0">
      <selection activeCell="P26" sqref="P26"/>
    </sheetView>
  </sheetViews>
  <sheetFormatPr defaultRowHeight="13.5" x14ac:dyDescent="0.15"/>
  <cols>
    <col min="1" max="1" width="8.125" customWidth="1"/>
    <col min="2" max="2" width="11.625" bestFit="1" customWidth="1"/>
    <col min="3" max="11" width="12.625" customWidth="1"/>
    <col min="12" max="12" width="12.5" bestFit="1" customWidth="1"/>
    <col min="14" max="14" width="11.625" bestFit="1" customWidth="1"/>
    <col min="17" max="17" width="11.375" bestFit="1" customWidth="1"/>
  </cols>
  <sheetData>
    <row r="1" spans="1:29" x14ac:dyDescent="0.15">
      <c r="A1" t="s">
        <v>99</v>
      </c>
      <c r="B1" t="s">
        <v>97</v>
      </c>
      <c r="S1" t="s">
        <v>98</v>
      </c>
      <c r="U1">
        <v>36258</v>
      </c>
      <c r="V1">
        <v>49751</v>
      </c>
      <c r="W1">
        <v>512283</v>
      </c>
      <c r="X1">
        <v>228882</v>
      </c>
      <c r="Y1">
        <v>20653</v>
      </c>
      <c r="Z1">
        <v>286250</v>
      </c>
      <c r="AA1">
        <v>19498</v>
      </c>
      <c r="AB1">
        <v>61038</v>
      </c>
      <c r="AC1">
        <v>77471</v>
      </c>
    </row>
    <row r="2" spans="1:29" ht="15.75" thickBot="1" x14ac:dyDescent="0.2">
      <c r="A2" t="s">
        <v>87</v>
      </c>
      <c r="U2" s="35" t="s">
        <v>88</v>
      </c>
      <c r="V2" s="36" t="s">
        <v>89</v>
      </c>
      <c r="W2" s="36" t="s">
        <v>90</v>
      </c>
      <c r="X2" s="36" t="s">
        <v>91</v>
      </c>
      <c r="Y2" s="36" t="s">
        <v>92</v>
      </c>
      <c r="Z2" s="36" t="s">
        <v>93</v>
      </c>
      <c r="AA2" s="36" t="s">
        <v>94</v>
      </c>
      <c r="AB2" s="36" t="s">
        <v>95</v>
      </c>
      <c r="AC2" s="37" t="s">
        <v>96</v>
      </c>
    </row>
    <row r="3" spans="1:29" x14ac:dyDescent="0.15">
      <c r="A3" t="s">
        <v>108</v>
      </c>
      <c r="C3">
        <f>U1*$Q$4</f>
        <v>865.96608550274664</v>
      </c>
      <c r="D3">
        <f t="shared" ref="D3:K3" si="0">V1*$Q$4</f>
        <v>1188.225459756389</v>
      </c>
      <c r="E3">
        <f t="shared" si="0"/>
        <v>12235.084786243135</v>
      </c>
      <c r="F3">
        <f t="shared" si="0"/>
        <v>5466.4915213756867</v>
      </c>
      <c r="G3">
        <f t="shared" si="0"/>
        <v>493.26486744685934</v>
      </c>
      <c r="H3">
        <f t="shared" si="0"/>
        <v>6836.6372104131842</v>
      </c>
      <c r="I3">
        <f t="shared" si="0"/>
        <v>465.6794841175066</v>
      </c>
      <c r="J3">
        <f t="shared" si="0"/>
        <v>1457.7979460234058</v>
      </c>
      <c r="K3">
        <f t="shared" si="0"/>
        <v>1850.2746596608551</v>
      </c>
      <c r="M3" t="s">
        <v>100</v>
      </c>
      <c r="N3" t="s">
        <v>101</v>
      </c>
      <c r="O3" t="s">
        <v>102</v>
      </c>
      <c r="Q3" t="s">
        <v>100</v>
      </c>
      <c r="R3" t="s">
        <v>103</v>
      </c>
    </row>
    <row r="4" spans="1:29" ht="15.75" thickBot="1" x14ac:dyDescent="0.2">
      <c r="C4" s="35" t="s">
        <v>88</v>
      </c>
      <c r="D4" s="36" t="s">
        <v>89</v>
      </c>
      <c r="E4" s="36" t="s">
        <v>90</v>
      </c>
      <c r="F4" s="36" t="s">
        <v>91</v>
      </c>
      <c r="G4" s="36" t="s">
        <v>92</v>
      </c>
      <c r="H4" s="36" t="s">
        <v>93</v>
      </c>
      <c r="I4" s="36" t="s">
        <v>94</v>
      </c>
      <c r="J4" s="36" t="s">
        <v>95</v>
      </c>
      <c r="K4" s="37" t="s">
        <v>96</v>
      </c>
      <c r="L4" s="40" t="s">
        <v>110</v>
      </c>
      <c r="N4" s="39">
        <v>1</v>
      </c>
      <c r="O4">
        <v>41.87</v>
      </c>
      <c r="Q4">
        <f>1/O4</f>
        <v>2.388344877000239E-2</v>
      </c>
      <c r="R4">
        <v>1</v>
      </c>
    </row>
    <row r="5" spans="1:29" ht="15" x14ac:dyDescent="0.15">
      <c r="B5" s="38">
        <v>42736</v>
      </c>
      <c r="C5">
        <f>C$3*$O$7/4</f>
        <v>23.072816089595417</v>
      </c>
      <c r="D5">
        <f t="shared" ref="D5:K20" si="1">D$3*$O$7/4</f>
        <v>31.65910070256114</v>
      </c>
      <c r="E5">
        <f t="shared" si="1"/>
        <v>325.99182097264634</v>
      </c>
      <c r="F5">
        <f t="shared" si="1"/>
        <v>145.64929925033863</v>
      </c>
      <c r="G5">
        <f t="shared" si="1"/>
        <v>13.142558075415472</v>
      </c>
      <c r="H5">
        <f t="shared" si="1"/>
        <v>182.15548584165396</v>
      </c>
      <c r="I5">
        <f t="shared" si="1"/>
        <v>12.407572621626441</v>
      </c>
      <c r="J5">
        <f t="shared" si="1"/>
        <v>38.841594916341911</v>
      </c>
      <c r="K5">
        <f t="shared" si="1"/>
        <v>49.298751593497897</v>
      </c>
      <c r="L5">
        <f>SUM(C5:K5)</f>
        <v>822.21900006367719</v>
      </c>
    </row>
    <row r="6" spans="1:29" ht="15" x14ac:dyDescent="0.15">
      <c r="B6" s="38">
        <v>42737</v>
      </c>
      <c r="C6">
        <f t="shared" ref="C6:K35" si="2">C$3*$O$7/4</f>
        <v>23.072816089595417</v>
      </c>
      <c r="D6">
        <f t="shared" si="1"/>
        <v>31.65910070256114</v>
      </c>
      <c r="E6">
        <f t="shared" si="1"/>
        <v>325.99182097264634</v>
      </c>
      <c r="F6">
        <f t="shared" si="1"/>
        <v>145.64929925033863</v>
      </c>
      <c r="G6">
        <f t="shared" si="1"/>
        <v>13.142558075415472</v>
      </c>
      <c r="H6">
        <f t="shared" si="1"/>
        <v>182.15548584165396</v>
      </c>
      <c r="I6">
        <f t="shared" si="1"/>
        <v>12.407572621626441</v>
      </c>
      <c r="J6">
        <f t="shared" si="1"/>
        <v>38.841594916341911</v>
      </c>
      <c r="K6">
        <f t="shared" si="1"/>
        <v>49.298751593497897</v>
      </c>
      <c r="L6">
        <f t="shared" ref="L6:L69" si="3">SUM(C6:K6)</f>
        <v>822.21900006367719</v>
      </c>
      <c r="M6" t="s">
        <v>104</v>
      </c>
      <c r="N6" t="s">
        <v>105</v>
      </c>
      <c r="O6" t="s">
        <v>107</v>
      </c>
      <c r="P6" t="s">
        <v>109</v>
      </c>
    </row>
    <row r="7" spans="1:29" ht="15" x14ac:dyDescent="0.15">
      <c r="B7" s="38">
        <v>42738</v>
      </c>
      <c r="C7">
        <f t="shared" si="2"/>
        <v>23.072816089595417</v>
      </c>
      <c r="D7">
        <f t="shared" si="1"/>
        <v>31.65910070256114</v>
      </c>
      <c r="E7">
        <f t="shared" si="1"/>
        <v>325.99182097264634</v>
      </c>
      <c r="F7">
        <f t="shared" si="1"/>
        <v>145.64929925033863</v>
      </c>
      <c r="G7">
        <f t="shared" si="1"/>
        <v>13.142558075415472</v>
      </c>
      <c r="H7">
        <f t="shared" si="1"/>
        <v>182.15548584165396</v>
      </c>
      <c r="I7">
        <f t="shared" si="1"/>
        <v>12.407572621626441</v>
      </c>
      <c r="J7">
        <f t="shared" si="1"/>
        <v>38.841594916341911</v>
      </c>
      <c r="K7">
        <f t="shared" si="1"/>
        <v>49.298751593497897</v>
      </c>
      <c r="L7">
        <f t="shared" si="3"/>
        <v>822.21900006367719</v>
      </c>
      <c r="M7">
        <v>1</v>
      </c>
      <c r="N7">
        <v>151388751</v>
      </c>
      <c r="O7">
        <f>N7/$N$19</f>
        <v>0.10657607255462079</v>
      </c>
    </row>
    <row r="8" spans="1:29" ht="15" x14ac:dyDescent="0.15">
      <c r="B8" s="38">
        <v>42739</v>
      </c>
      <c r="C8">
        <f t="shared" si="2"/>
        <v>23.072816089595417</v>
      </c>
      <c r="D8">
        <f t="shared" si="1"/>
        <v>31.65910070256114</v>
      </c>
      <c r="E8">
        <f t="shared" si="1"/>
        <v>325.99182097264634</v>
      </c>
      <c r="F8">
        <f t="shared" si="1"/>
        <v>145.64929925033863</v>
      </c>
      <c r="G8">
        <f t="shared" si="1"/>
        <v>13.142558075415472</v>
      </c>
      <c r="H8">
        <f t="shared" si="1"/>
        <v>182.15548584165396</v>
      </c>
      <c r="I8">
        <f t="shared" si="1"/>
        <v>12.407572621626441</v>
      </c>
      <c r="J8">
        <f t="shared" si="1"/>
        <v>38.841594916341911</v>
      </c>
      <c r="K8">
        <f t="shared" si="1"/>
        <v>49.298751593497897</v>
      </c>
      <c r="L8">
        <f t="shared" si="3"/>
        <v>822.21900006367719</v>
      </c>
      <c r="M8">
        <v>2</v>
      </c>
      <c r="N8">
        <v>135861867</v>
      </c>
      <c r="O8">
        <f t="shared" ref="O8:O18" si="4">N8/$N$19</f>
        <v>9.5645311155240595E-2</v>
      </c>
    </row>
    <row r="9" spans="1:29" ht="15" x14ac:dyDescent="0.15">
      <c r="B9" s="38">
        <v>42740</v>
      </c>
      <c r="C9">
        <f t="shared" si="2"/>
        <v>23.072816089595417</v>
      </c>
      <c r="D9">
        <f t="shared" si="1"/>
        <v>31.65910070256114</v>
      </c>
      <c r="E9">
        <f t="shared" si="1"/>
        <v>325.99182097264634</v>
      </c>
      <c r="F9">
        <f t="shared" si="1"/>
        <v>145.64929925033863</v>
      </c>
      <c r="G9">
        <f t="shared" si="1"/>
        <v>13.142558075415472</v>
      </c>
      <c r="H9">
        <f t="shared" si="1"/>
        <v>182.15548584165396</v>
      </c>
      <c r="I9">
        <f t="shared" si="1"/>
        <v>12.407572621626441</v>
      </c>
      <c r="J9">
        <f t="shared" si="1"/>
        <v>38.841594916341911</v>
      </c>
      <c r="K9">
        <f t="shared" si="1"/>
        <v>49.298751593497897</v>
      </c>
      <c r="L9">
        <f t="shared" si="3"/>
        <v>822.21900006367719</v>
      </c>
      <c r="M9">
        <v>3</v>
      </c>
      <c r="N9">
        <v>136490336</v>
      </c>
      <c r="O9">
        <f t="shared" si="4"/>
        <v>9.608774665523577E-2</v>
      </c>
    </row>
    <row r="10" spans="1:29" ht="15" x14ac:dyDescent="0.15">
      <c r="B10" s="38">
        <v>42741</v>
      </c>
      <c r="C10">
        <f t="shared" si="2"/>
        <v>23.072816089595417</v>
      </c>
      <c r="D10">
        <f t="shared" si="1"/>
        <v>31.65910070256114</v>
      </c>
      <c r="E10">
        <f t="shared" si="1"/>
        <v>325.99182097264634</v>
      </c>
      <c r="F10">
        <f t="shared" si="1"/>
        <v>145.64929925033863</v>
      </c>
      <c r="G10">
        <f t="shared" si="1"/>
        <v>13.142558075415472</v>
      </c>
      <c r="H10">
        <f t="shared" si="1"/>
        <v>182.15548584165396</v>
      </c>
      <c r="I10">
        <f t="shared" si="1"/>
        <v>12.407572621626441</v>
      </c>
      <c r="J10">
        <f t="shared" si="1"/>
        <v>38.841594916341911</v>
      </c>
      <c r="K10">
        <f t="shared" si="1"/>
        <v>49.298751593497897</v>
      </c>
      <c r="L10">
        <f t="shared" si="3"/>
        <v>822.21900006367719</v>
      </c>
      <c r="M10">
        <v>4</v>
      </c>
      <c r="N10">
        <v>121948670</v>
      </c>
      <c r="O10">
        <f t="shared" si="4"/>
        <v>8.5850568262231766E-2</v>
      </c>
    </row>
    <row r="11" spans="1:29" ht="15" x14ac:dyDescent="0.15">
      <c r="B11" s="38">
        <v>42742</v>
      </c>
      <c r="C11">
        <f t="shared" si="2"/>
        <v>23.072816089595417</v>
      </c>
      <c r="D11">
        <f t="shared" si="1"/>
        <v>31.65910070256114</v>
      </c>
      <c r="E11">
        <f t="shared" si="1"/>
        <v>325.99182097264634</v>
      </c>
      <c r="F11">
        <f t="shared" si="1"/>
        <v>145.64929925033863</v>
      </c>
      <c r="G11">
        <f t="shared" si="1"/>
        <v>13.142558075415472</v>
      </c>
      <c r="H11">
        <f t="shared" si="1"/>
        <v>182.15548584165396</v>
      </c>
      <c r="I11">
        <f t="shared" si="1"/>
        <v>12.407572621626441</v>
      </c>
      <c r="J11">
        <f t="shared" si="1"/>
        <v>38.841594916341911</v>
      </c>
      <c r="K11">
        <f t="shared" si="1"/>
        <v>49.298751593497897</v>
      </c>
      <c r="L11">
        <f t="shared" si="3"/>
        <v>822.21900006367719</v>
      </c>
      <c r="M11">
        <v>5</v>
      </c>
      <c r="N11">
        <v>109857912</v>
      </c>
      <c r="O11">
        <f t="shared" si="4"/>
        <v>7.7338803066095349E-2</v>
      </c>
    </row>
    <row r="12" spans="1:29" ht="15" x14ac:dyDescent="0.15">
      <c r="B12" s="38">
        <v>42743</v>
      </c>
      <c r="C12">
        <f t="shared" si="2"/>
        <v>23.072816089595417</v>
      </c>
      <c r="D12">
        <f t="shared" si="1"/>
        <v>31.65910070256114</v>
      </c>
      <c r="E12">
        <f t="shared" si="1"/>
        <v>325.99182097264634</v>
      </c>
      <c r="F12">
        <f t="shared" si="1"/>
        <v>145.64929925033863</v>
      </c>
      <c r="G12">
        <f t="shared" si="1"/>
        <v>13.142558075415472</v>
      </c>
      <c r="H12">
        <f t="shared" si="1"/>
        <v>182.15548584165396</v>
      </c>
      <c r="I12">
        <f t="shared" si="1"/>
        <v>12.407572621626441</v>
      </c>
      <c r="J12">
        <f t="shared" si="1"/>
        <v>38.841594916341911</v>
      </c>
      <c r="K12">
        <f t="shared" si="1"/>
        <v>49.298751593497897</v>
      </c>
      <c r="L12">
        <f t="shared" si="3"/>
        <v>822.21900006367719</v>
      </c>
      <c r="M12">
        <v>6</v>
      </c>
      <c r="N12">
        <v>103926629</v>
      </c>
      <c r="O12">
        <f t="shared" si="4"/>
        <v>7.3163242840025525E-2</v>
      </c>
    </row>
    <row r="13" spans="1:29" ht="15" x14ac:dyDescent="0.15">
      <c r="B13" s="38">
        <v>42744</v>
      </c>
      <c r="C13">
        <f t="shared" si="2"/>
        <v>23.072816089595417</v>
      </c>
      <c r="D13">
        <f t="shared" si="1"/>
        <v>31.65910070256114</v>
      </c>
      <c r="E13">
        <f t="shared" si="1"/>
        <v>325.99182097264634</v>
      </c>
      <c r="F13">
        <f t="shared" si="1"/>
        <v>145.64929925033863</v>
      </c>
      <c r="G13">
        <f t="shared" si="1"/>
        <v>13.142558075415472</v>
      </c>
      <c r="H13">
        <f t="shared" si="1"/>
        <v>182.15548584165396</v>
      </c>
      <c r="I13">
        <f t="shared" si="1"/>
        <v>12.407572621626441</v>
      </c>
      <c r="J13">
        <f t="shared" si="1"/>
        <v>38.841594916341911</v>
      </c>
      <c r="K13">
        <f t="shared" si="1"/>
        <v>49.298751593497897</v>
      </c>
      <c r="L13">
        <f t="shared" si="3"/>
        <v>822.21900006367719</v>
      </c>
      <c r="M13">
        <v>7</v>
      </c>
      <c r="N13">
        <v>108642284</v>
      </c>
      <c r="O13">
        <f t="shared" si="4"/>
        <v>7.6483013867283428E-2</v>
      </c>
    </row>
    <row r="14" spans="1:29" ht="15" x14ac:dyDescent="0.15">
      <c r="B14" s="38">
        <v>42745</v>
      </c>
      <c r="C14">
        <f t="shared" si="2"/>
        <v>23.072816089595417</v>
      </c>
      <c r="D14">
        <f t="shared" si="1"/>
        <v>31.65910070256114</v>
      </c>
      <c r="E14">
        <f t="shared" si="1"/>
        <v>325.99182097264634</v>
      </c>
      <c r="F14">
        <f t="shared" si="1"/>
        <v>145.64929925033863</v>
      </c>
      <c r="G14">
        <f t="shared" si="1"/>
        <v>13.142558075415472</v>
      </c>
      <c r="H14">
        <f t="shared" si="1"/>
        <v>182.15548584165396</v>
      </c>
      <c r="I14">
        <f t="shared" si="1"/>
        <v>12.407572621626441</v>
      </c>
      <c r="J14">
        <f t="shared" si="1"/>
        <v>38.841594916341911</v>
      </c>
      <c r="K14">
        <f t="shared" si="1"/>
        <v>49.298751593497897</v>
      </c>
      <c r="L14">
        <f t="shared" si="3"/>
        <v>822.21900006367719</v>
      </c>
      <c r="M14">
        <v>8</v>
      </c>
      <c r="N14">
        <v>108305914</v>
      </c>
      <c r="O14">
        <f t="shared" si="4"/>
        <v>7.6246212960423457E-2</v>
      </c>
    </row>
    <row r="15" spans="1:29" ht="15" x14ac:dyDescent="0.15">
      <c r="B15" s="38">
        <v>42746</v>
      </c>
      <c r="C15">
        <f t="shared" si="2"/>
        <v>23.072816089595417</v>
      </c>
      <c r="D15">
        <f t="shared" si="1"/>
        <v>31.65910070256114</v>
      </c>
      <c r="E15">
        <f t="shared" si="1"/>
        <v>325.99182097264634</v>
      </c>
      <c r="F15">
        <f t="shared" si="1"/>
        <v>145.64929925033863</v>
      </c>
      <c r="G15">
        <f t="shared" si="1"/>
        <v>13.142558075415472</v>
      </c>
      <c r="H15">
        <f t="shared" si="1"/>
        <v>182.15548584165396</v>
      </c>
      <c r="I15">
        <f t="shared" si="1"/>
        <v>12.407572621626441</v>
      </c>
      <c r="J15">
        <f t="shared" si="1"/>
        <v>38.841594916341911</v>
      </c>
      <c r="K15">
        <f t="shared" si="1"/>
        <v>49.298751593497897</v>
      </c>
      <c r="L15">
        <f t="shared" si="3"/>
        <v>822.21900006367719</v>
      </c>
      <c r="M15">
        <v>9</v>
      </c>
      <c r="N15">
        <v>106279677</v>
      </c>
      <c r="O15">
        <f t="shared" si="4"/>
        <v>7.4819763636425424E-2</v>
      </c>
    </row>
    <row r="16" spans="1:29" ht="15" x14ac:dyDescent="0.15">
      <c r="B16" s="38">
        <v>42747</v>
      </c>
      <c r="C16">
        <f t="shared" si="2"/>
        <v>23.072816089595417</v>
      </c>
      <c r="D16">
        <f t="shared" si="1"/>
        <v>31.65910070256114</v>
      </c>
      <c r="E16">
        <f t="shared" si="1"/>
        <v>325.99182097264634</v>
      </c>
      <c r="F16">
        <f t="shared" si="1"/>
        <v>145.64929925033863</v>
      </c>
      <c r="G16">
        <f t="shared" si="1"/>
        <v>13.142558075415472</v>
      </c>
      <c r="H16">
        <f t="shared" si="1"/>
        <v>182.15548584165396</v>
      </c>
      <c r="I16">
        <f t="shared" si="1"/>
        <v>12.407572621626441</v>
      </c>
      <c r="J16">
        <f t="shared" si="1"/>
        <v>38.841594916341911</v>
      </c>
      <c r="K16">
        <f t="shared" si="1"/>
        <v>49.298751593497897</v>
      </c>
      <c r="L16">
        <f t="shared" si="3"/>
        <v>822.21900006367719</v>
      </c>
      <c r="M16">
        <v>10</v>
      </c>
      <c r="N16">
        <v>105778631</v>
      </c>
      <c r="O16">
        <f t="shared" si="4"/>
        <v>7.4467032574860592E-2</v>
      </c>
    </row>
    <row r="17" spans="2:15" ht="15" x14ac:dyDescent="0.15">
      <c r="B17" s="38">
        <v>42748</v>
      </c>
      <c r="C17">
        <f t="shared" si="2"/>
        <v>23.072816089595417</v>
      </c>
      <c r="D17">
        <f t="shared" si="1"/>
        <v>31.65910070256114</v>
      </c>
      <c r="E17">
        <f t="shared" si="1"/>
        <v>325.99182097264634</v>
      </c>
      <c r="F17">
        <f t="shared" si="1"/>
        <v>145.64929925033863</v>
      </c>
      <c r="G17">
        <f t="shared" si="1"/>
        <v>13.142558075415472</v>
      </c>
      <c r="H17">
        <f t="shared" si="1"/>
        <v>182.15548584165396</v>
      </c>
      <c r="I17">
        <f t="shared" si="1"/>
        <v>12.407572621626441</v>
      </c>
      <c r="J17">
        <f t="shared" si="1"/>
        <v>38.841594916341911</v>
      </c>
      <c r="K17">
        <f t="shared" si="1"/>
        <v>49.298751593497897</v>
      </c>
      <c r="L17">
        <f t="shared" si="3"/>
        <v>822.21900006367719</v>
      </c>
      <c r="M17">
        <v>11</v>
      </c>
      <c r="N17">
        <v>107593411</v>
      </c>
      <c r="O17">
        <f t="shared" si="4"/>
        <v>7.5744618417091861E-2</v>
      </c>
    </row>
    <row r="18" spans="2:15" ht="15" x14ac:dyDescent="0.15">
      <c r="B18" s="38">
        <v>42749</v>
      </c>
      <c r="C18">
        <f t="shared" si="2"/>
        <v>23.072816089595417</v>
      </c>
      <c r="D18">
        <f t="shared" si="1"/>
        <v>31.65910070256114</v>
      </c>
      <c r="E18">
        <f t="shared" si="1"/>
        <v>325.99182097264634</v>
      </c>
      <c r="F18">
        <f t="shared" si="1"/>
        <v>145.64929925033863</v>
      </c>
      <c r="G18">
        <f t="shared" si="1"/>
        <v>13.142558075415472</v>
      </c>
      <c r="H18">
        <f t="shared" si="1"/>
        <v>182.15548584165396</v>
      </c>
      <c r="I18">
        <f t="shared" si="1"/>
        <v>12.407572621626441</v>
      </c>
      <c r="J18">
        <f t="shared" si="1"/>
        <v>38.841594916341911</v>
      </c>
      <c r="K18">
        <f t="shared" si="1"/>
        <v>49.298751593497897</v>
      </c>
      <c r="L18">
        <f t="shared" si="3"/>
        <v>822.21900006367719</v>
      </c>
      <c r="M18">
        <v>12</v>
      </c>
      <c r="N18">
        <v>124401897</v>
      </c>
      <c r="O18">
        <f t="shared" si="4"/>
        <v>8.7577614010465432E-2</v>
      </c>
    </row>
    <row r="19" spans="2:15" ht="15" x14ac:dyDescent="0.15">
      <c r="B19" s="38">
        <v>42750</v>
      </c>
      <c r="C19">
        <f t="shared" si="2"/>
        <v>23.072816089595417</v>
      </c>
      <c r="D19">
        <f t="shared" si="1"/>
        <v>31.65910070256114</v>
      </c>
      <c r="E19">
        <f t="shared" si="1"/>
        <v>325.99182097264634</v>
      </c>
      <c r="F19">
        <f t="shared" si="1"/>
        <v>145.64929925033863</v>
      </c>
      <c r="G19">
        <f t="shared" si="1"/>
        <v>13.142558075415472</v>
      </c>
      <c r="H19">
        <f t="shared" si="1"/>
        <v>182.15548584165396</v>
      </c>
      <c r="I19">
        <f t="shared" si="1"/>
        <v>12.407572621626441</v>
      </c>
      <c r="J19">
        <f t="shared" si="1"/>
        <v>38.841594916341911</v>
      </c>
      <c r="K19">
        <f t="shared" si="1"/>
        <v>49.298751593497897</v>
      </c>
      <c r="L19">
        <f t="shared" si="3"/>
        <v>822.21900006367719</v>
      </c>
      <c r="M19" t="s">
        <v>106</v>
      </c>
      <c r="N19">
        <f>SUM(N7:N18)</f>
        <v>1420475979</v>
      </c>
    </row>
    <row r="20" spans="2:15" ht="15" x14ac:dyDescent="0.15">
      <c r="B20" s="38">
        <v>42751</v>
      </c>
      <c r="C20">
        <f t="shared" si="2"/>
        <v>23.072816089595417</v>
      </c>
      <c r="D20">
        <f t="shared" si="1"/>
        <v>31.65910070256114</v>
      </c>
      <c r="E20">
        <f t="shared" si="1"/>
        <v>325.99182097264634</v>
      </c>
      <c r="F20">
        <f t="shared" si="1"/>
        <v>145.64929925033863</v>
      </c>
      <c r="G20">
        <f t="shared" si="1"/>
        <v>13.142558075415472</v>
      </c>
      <c r="H20">
        <f t="shared" si="1"/>
        <v>182.15548584165396</v>
      </c>
      <c r="I20">
        <f t="shared" si="1"/>
        <v>12.407572621626441</v>
      </c>
      <c r="J20">
        <f t="shared" si="1"/>
        <v>38.841594916341911</v>
      </c>
      <c r="K20">
        <f t="shared" si="1"/>
        <v>49.298751593497897</v>
      </c>
      <c r="L20">
        <f t="shared" si="3"/>
        <v>822.21900006367719</v>
      </c>
    </row>
    <row r="21" spans="2:15" ht="15" x14ac:dyDescent="0.15">
      <c r="B21" s="38">
        <v>42752</v>
      </c>
      <c r="C21">
        <f t="shared" si="2"/>
        <v>23.072816089595417</v>
      </c>
      <c r="D21">
        <f t="shared" si="2"/>
        <v>31.65910070256114</v>
      </c>
      <c r="E21">
        <f t="shared" si="2"/>
        <v>325.99182097264634</v>
      </c>
      <c r="F21">
        <f t="shared" si="2"/>
        <v>145.64929925033863</v>
      </c>
      <c r="G21">
        <f t="shared" si="2"/>
        <v>13.142558075415472</v>
      </c>
      <c r="H21">
        <f t="shared" si="2"/>
        <v>182.15548584165396</v>
      </c>
      <c r="I21">
        <f t="shared" si="2"/>
        <v>12.407572621626441</v>
      </c>
      <c r="J21">
        <f t="shared" si="2"/>
        <v>38.841594916341911</v>
      </c>
      <c r="K21">
        <f t="shared" si="2"/>
        <v>49.298751593497897</v>
      </c>
      <c r="L21">
        <f t="shared" si="3"/>
        <v>822.21900006367719</v>
      </c>
    </row>
    <row r="22" spans="2:15" ht="15.75" thickBot="1" x14ac:dyDescent="0.2">
      <c r="B22" s="38">
        <v>42753</v>
      </c>
      <c r="C22">
        <f t="shared" si="2"/>
        <v>23.072816089595417</v>
      </c>
      <c r="D22">
        <f t="shared" si="2"/>
        <v>31.65910070256114</v>
      </c>
      <c r="E22">
        <f t="shared" si="2"/>
        <v>325.99182097264634</v>
      </c>
      <c r="F22">
        <f t="shared" si="2"/>
        <v>145.64929925033863</v>
      </c>
      <c r="G22">
        <f t="shared" si="2"/>
        <v>13.142558075415472</v>
      </c>
      <c r="H22">
        <f t="shared" si="2"/>
        <v>182.15548584165396</v>
      </c>
      <c r="I22">
        <f t="shared" si="2"/>
        <v>12.407572621626441</v>
      </c>
      <c r="J22">
        <f t="shared" si="2"/>
        <v>38.841594916341911</v>
      </c>
      <c r="K22">
        <f t="shared" si="2"/>
        <v>49.298751593497897</v>
      </c>
      <c r="L22">
        <f t="shared" si="3"/>
        <v>822.21900006367719</v>
      </c>
      <c r="N22" t="s">
        <v>112</v>
      </c>
    </row>
    <row r="23" spans="2:15" ht="15.75" thickBot="1" x14ac:dyDescent="0.2">
      <c r="B23" s="38">
        <v>42754</v>
      </c>
      <c r="C23">
        <f t="shared" si="2"/>
        <v>23.072816089595417</v>
      </c>
      <c r="D23">
        <f t="shared" si="2"/>
        <v>31.65910070256114</v>
      </c>
      <c r="E23">
        <f t="shared" si="2"/>
        <v>325.99182097264634</v>
      </c>
      <c r="F23">
        <f t="shared" si="2"/>
        <v>145.64929925033863</v>
      </c>
      <c r="G23">
        <f t="shared" si="2"/>
        <v>13.142558075415472</v>
      </c>
      <c r="H23">
        <f t="shared" si="2"/>
        <v>182.15548584165396</v>
      </c>
      <c r="I23">
        <f t="shared" si="2"/>
        <v>12.407572621626441</v>
      </c>
      <c r="J23">
        <f t="shared" si="2"/>
        <v>38.841594916341911</v>
      </c>
      <c r="K23">
        <f t="shared" si="2"/>
        <v>49.298751593497897</v>
      </c>
      <c r="L23">
        <f t="shared" si="3"/>
        <v>822.21900006367719</v>
      </c>
      <c r="N23" s="41">
        <v>1</v>
      </c>
    </row>
    <row r="24" spans="2:15" ht="15" x14ac:dyDescent="0.15">
      <c r="B24" s="38">
        <v>42755</v>
      </c>
      <c r="C24">
        <f t="shared" si="2"/>
        <v>23.072816089595417</v>
      </c>
      <c r="D24">
        <f t="shared" si="2"/>
        <v>31.65910070256114</v>
      </c>
      <c r="E24">
        <f t="shared" si="2"/>
        <v>325.99182097264634</v>
      </c>
      <c r="F24">
        <f t="shared" si="2"/>
        <v>145.64929925033863</v>
      </c>
      <c r="G24">
        <f t="shared" si="2"/>
        <v>13.142558075415472</v>
      </c>
      <c r="H24">
        <f t="shared" si="2"/>
        <v>182.15548584165396</v>
      </c>
      <c r="I24">
        <f t="shared" si="2"/>
        <v>12.407572621626441</v>
      </c>
      <c r="J24">
        <f t="shared" si="2"/>
        <v>38.841594916341911</v>
      </c>
      <c r="K24">
        <f t="shared" si="2"/>
        <v>49.298751593497897</v>
      </c>
      <c r="L24">
        <f t="shared" si="3"/>
        <v>822.21900006367719</v>
      </c>
    </row>
    <row r="25" spans="2:15" ht="15" x14ac:dyDescent="0.15">
      <c r="B25" s="38">
        <v>42756</v>
      </c>
      <c r="C25">
        <f t="shared" si="2"/>
        <v>23.072816089595417</v>
      </c>
      <c r="D25">
        <f t="shared" si="2"/>
        <v>31.65910070256114</v>
      </c>
      <c r="E25">
        <f t="shared" si="2"/>
        <v>325.99182097264634</v>
      </c>
      <c r="F25">
        <f t="shared" si="2"/>
        <v>145.64929925033863</v>
      </c>
      <c r="G25">
        <f t="shared" si="2"/>
        <v>13.142558075415472</v>
      </c>
      <c r="H25">
        <f t="shared" si="2"/>
        <v>182.15548584165396</v>
      </c>
      <c r="I25">
        <f t="shared" si="2"/>
        <v>12.407572621626441</v>
      </c>
      <c r="J25">
        <f t="shared" si="2"/>
        <v>38.841594916341911</v>
      </c>
      <c r="K25">
        <f t="shared" si="2"/>
        <v>49.298751593497897</v>
      </c>
      <c r="L25">
        <f t="shared" si="3"/>
        <v>822.21900006367719</v>
      </c>
    </row>
    <row r="26" spans="2:15" ht="15" x14ac:dyDescent="0.15">
      <c r="B26" s="38">
        <v>42757</v>
      </c>
      <c r="C26">
        <f t="shared" si="2"/>
        <v>23.072816089595417</v>
      </c>
      <c r="D26">
        <f t="shared" si="2"/>
        <v>31.65910070256114</v>
      </c>
      <c r="E26">
        <f t="shared" si="2"/>
        <v>325.99182097264634</v>
      </c>
      <c r="F26">
        <f t="shared" si="2"/>
        <v>145.64929925033863</v>
      </c>
      <c r="G26">
        <f t="shared" si="2"/>
        <v>13.142558075415472</v>
      </c>
      <c r="H26">
        <f t="shared" si="2"/>
        <v>182.15548584165396</v>
      </c>
      <c r="I26">
        <f t="shared" si="2"/>
        <v>12.407572621626441</v>
      </c>
      <c r="J26">
        <f t="shared" si="2"/>
        <v>38.841594916341911</v>
      </c>
      <c r="K26">
        <f t="shared" si="2"/>
        <v>49.298751593497897</v>
      </c>
      <c r="L26">
        <f t="shared" si="3"/>
        <v>822.21900006367719</v>
      </c>
    </row>
    <row r="27" spans="2:15" ht="15" x14ac:dyDescent="0.15">
      <c r="B27" s="38">
        <v>42758</v>
      </c>
      <c r="C27">
        <f t="shared" si="2"/>
        <v>23.072816089595417</v>
      </c>
      <c r="D27">
        <f t="shared" si="2"/>
        <v>31.65910070256114</v>
      </c>
      <c r="E27">
        <f t="shared" si="2"/>
        <v>325.99182097264634</v>
      </c>
      <c r="F27">
        <f t="shared" si="2"/>
        <v>145.64929925033863</v>
      </c>
      <c r="G27">
        <f t="shared" si="2"/>
        <v>13.142558075415472</v>
      </c>
      <c r="H27">
        <f t="shared" si="2"/>
        <v>182.15548584165396</v>
      </c>
      <c r="I27">
        <f t="shared" si="2"/>
        <v>12.407572621626441</v>
      </c>
      <c r="J27">
        <f t="shared" si="2"/>
        <v>38.841594916341911</v>
      </c>
      <c r="K27">
        <f t="shared" si="2"/>
        <v>49.298751593497897</v>
      </c>
      <c r="L27">
        <f t="shared" si="3"/>
        <v>822.21900006367719</v>
      </c>
    </row>
    <row r="28" spans="2:15" ht="15" x14ac:dyDescent="0.15">
      <c r="B28" s="38">
        <v>42759</v>
      </c>
      <c r="C28">
        <f t="shared" si="2"/>
        <v>23.072816089595417</v>
      </c>
      <c r="D28">
        <f t="shared" si="2"/>
        <v>31.65910070256114</v>
      </c>
      <c r="E28">
        <f t="shared" si="2"/>
        <v>325.99182097264634</v>
      </c>
      <c r="F28">
        <f t="shared" si="2"/>
        <v>145.64929925033863</v>
      </c>
      <c r="G28">
        <f t="shared" si="2"/>
        <v>13.142558075415472</v>
      </c>
      <c r="H28">
        <f t="shared" si="2"/>
        <v>182.15548584165396</v>
      </c>
      <c r="I28">
        <f t="shared" si="2"/>
        <v>12.407572621626441</v>
      </c>
      <c r="J28">
        <f t="shared" si="2"/>
        <v>38.841594916341911</v>
      </c>
      <c r="K28">
        <f t="shared" si="2"/>
        <v>49.298751593497897</v>
      </c>
      <c r="L28">
        <f t="shared" si="3"/>
        <v>822.21900006367719</v>
      </c>
    </row>
    <row r="29" spans="2:15" ht="15" x14ac:dyDescent="0.15">
      <c r="B29" s="38">
        <v>42760</v>
      </c>
      <c r="C29">
        <f t="shared" si="2"/>
        <v>23.072816089595417</v>
      </c>
      <c r="D29">
        <f t="shared" si="2"/>
        <v>31.65910070256114</v>
      </c>
      <c r="E29">
        <f t="shared" si="2"/>
        <v>325.99182097264634</v>
      </c>
      <c r="F29">
        <f t="shared" si="2"/>
        <v>145.64929925033863</v>
      </c>
      <c r="G29">
        <f t="shared" si="2"/>
        <v>13.142558075415472</v>
      </c>
      <c r="H29">
        <f t="shared" si="2"/>
        <v>182.15548584165396</v>
      </c>
      <c r="I29">
        <f t="shared" si="2"/>
        <v>12.407572621626441</v>
      </c>
      <c r="J29">
        <f t="shared" si="2"/>
        <v>38.841594916341911</v>
      </c>
      <c r="K29">
        <f t="shared" si="2"/>
        <v>49.298751593497897</v>
      </c>
      <c r="L29">
        <f t="shared" si="3"/>
        <v>822.21900006367719</v>
      </c>
    </row>
    <row r="30" spans="2:15" ht="15" x14ac:dyDescent="0.15">
      <c r="B30" s="38">
        <v>42761</v>
      </c>
      <c r="C30">
        <f t="shared" si="2"/>
        <v>23.072816089595417</v>
      </c>
      <c r="D30">
        <f t="shared" si="2"/>
        <v>31.65910070256114</v>
      </c>
      <c r="E30">
        <f t="shared" si="2"/>
        <v>325.99182097264634</v>
      </c>
      <c r="F30">
        <f t="shared" si="2"/>
        <v>145.64929925033863</v>
      </c>
      <c r="G30">
        <f t="shared" si="2"/>
        <v>13.142558075415472</v>
      </c>
      <c r="H30">
        <f t="shared" si="2"/>
        <v>182.15548584165396</v>
      </c>
      <c r="I30">
        <f t="shared" si="2"/>
        <v>12.407572621626441</v>
      </c>
      <c r="J30">
        <f t="shared" si="2"/>
        <v>38.841594916341911</v>
      </c>
      <c r="K30">
        <f t="shared" si="2"/>
        <v>49.298751593497897</v>
      </c>
      <c r="L30">
        <f t="shared" si="3"/>
        <v>822.21900006367719</v>
      </c>
    </row>
    <row r="31" spans="2:15" ht="15" x14ac:dyDescent="0.15">
      <c r="B31" s="38">
        <v>42762</v>
      </c>
      <c r="C31">
        <f t="shared" si="2"/>
        <v>23.072816089595417</v>
      </c>
      <c r="D31">
        <f t="shared" si="2"/>
        <v>31.65910070256114</v>
      </c>
      <c r="E31">
        <f t="shared" si="2"/>
        <v>325.99182097264634</v>
      </c>
      <c r="F31">
        <f t="shared" si="2"/>
        <v>145.64929925033863</v>
      </c>
      <c r="G31">
        <f t="shared" si="2"/>
        <v>13.142558075415472</v>
      </c>
      <c r="H31">
        <f t="shared" si="2"/>
        <v>182.15548584165396</v>
      </c>
      <c r="I31">
        <f t="shared" si="2"/>
        <v>12.407572621626441</v>
      </c>
      <c r="J31">
        <f t="shared" si="2"/>
        <v>38.841594916341911</v>
      </c>
      <c r="K31">
        <f t="shared" si="2"/>
        <v>49.298751593497897</v>
      </c>
      <c r="L31">
        <f t="shared" si="3"/>
        <v>822.21900006367719</v>
      </c>
    </row>
    <row r="32" spans="2:15" ht="15" x14ac:dyDescent="0.15">
      <c r="B32" s="38">
        <v>42763</v>
      </c>
      <c r="C32">
        <f t="shared" si="2"/>
        <v>23.072816089595417</v>
      </c>
      <c r="D32">
        <f t="shared" si="2"/>
        <v>31.65910070256114</v>
      </c>
      <c r="E32">
        <f t="shared" si="2"/>
        <v>325.99182097264634</v>
      </c>
      <c r="F32">
        <f t="shared" si="2"/>
        <v>145.64929925033863</v>
      </c>
      <c r="G32">
        <f t="shared" si="2"/>
        <v>13.142558075415472</v>
      </c>
      <c r="H32">
        <f t="shared" si="2"/>
        <v>182.15548584165396</v>
      </c>
      <c r="I32">
        <f t="shared" si="2"/>
        <v>12.407572621626441</v>
      </c>
      <c r="J32">
        <f t="shared" si="2"/>
        <v>38.841594916341911</v>
      </c>
      <c r="K32">
        <f t="shared" si="2"/>
        <v>49.298751593497897</v>
      </c>
      <c r="L32">
        <f t="shared" si="3"/>
        <v>822.21900006367719</v>
      </c>
    </row>
    <row r="33" spans="2:12" ht="15" x14ac:dyDescent="0.15">
      <c r="B33" s="38">
        <v>42764</v>
      </c>
      <c r="C33">
        <f t="shared" si="2"/>
        <v>23.072816089595417</v>
      </c>
      <c r="D33">
        <f t="shared" si="2"/>
        <v>31.65910070256114</v>
      </c>
      <c r="E33">
        <f t="shared" si="2"/>
        <v>325.99182097264634</v>
      </c>
      <c r="F33">
        <f t="shared" si="2"/>
        <v>145.64929925033863</v>
      </c>
      <c r="G33">
        <f t="shared" si="2"/>
        <v>13.142558075415472</v>
      </c>
      <c r="H33">
        <f t="shared" si="2"/>
        <v>182.15548584165396</v>
      </c>
      <c r="I33">
        <f t="shared" si="2"/>
        <v>12.407572621626441</v>
      </c>
      <c r="J33">
        <f t="shared" si="2"/>
        <v>38.841594916341911</v>
      </c>
      <c r="K33">
        <f t="shared" si="2"/>
        <v>49.298751593497897</v>
      </c>
      <c r="L33">
        <f t="shared" si="3"/>
        <v>822.21900006367719</v>
      </c>
    </row>
    <row r="34" spans="2:12" ht="15" x14ac:dyDescent="0.15">
      <c r="B34" s="38">
        <v>42765</v>
      </c>
      <c r="C34">
        <f t="shared" si="2"/>
        <v>23.072816089595417</v>
      </c>
      <c r="D34">
        <f t="shared" si="2"/>
        <v>31.65910070256114</v>
      </c>
      <c r="E34">
        <f t="shared" si="2"/>
        <v>325.99182097264634</v>
      </c>
      <c r="F34">
        <f t="shared" si="2"/>
        <v>145.64929925033863</v>
      </c>
      <c r="G34">
        <f t="shared" si="2"/>
        <v>13.142558075415472</v>
      </c>
      <c r="H34">
        <f t="shared" si="2"/>
        <v>182.15548584165396</v>
      </c>
      <c r="I34">
        <f t="shared" si="2"/>
        <v>12.407572621626441</v>
      </c>
      <c r="J34">
        <f t="shared" si="2"/>
        <v>38.841594916341911</v>
      </c>
      <c r="K34">
        <f t="shared" si="2"/>
        <v>49.298751593497897</v>
      </c>
      <c r="L34">
        <f t="shared" si="3"/>
        <v>822.21900006367719</v>
      </c>
    </row>
    <row r="35" spans="2:12" ht="15" x14ac:dyDescent="0.15">
      <c r="B35" s="38">
        <v>42766</v>
      </c>
      <c r="C35">
        <f t="shared" si="2"/>
        <v>23.072816089595417</v>
      </c>
      <c r="D35">
        <f t="shared" si="2"/>
        <v>31.65910070256114</v>
      </c>
      <c r="E35">
        <f t="shared" si="2"/>
        <v>325.99182097264634</v>
      </c>
      <c r="F35">
        <f t="shared" si="2"/>
        <v>145.64929925033863</v>
      </c>
      <c r="G35">
        <f t="shared" si="2"/>
        <v>13.142558075415472</v>
      </c>
      <c r="H35">
        <f t="shared" si="2"/>
        <v>182.15548584165396</v>
      </c>
      <c r="I35">
        <f t="shared" si="2"/>
        <v>12.407572621626441</v>
      </c>
      <c r="J35">
        <f t="shared" si="2"/>
        <v>38.841594916341911</v>
      </c>
      <c r="K35">
        <f t="shared" si="2"/>
        <v>49.298751593497897</v>
      </c>
      <c r="L35">
        <f t="shared" si="3"/>
        <v>822.21900006367719</v>
      </c>
    </row>
    <row r="36" spans="2:12" ht="15" x14ac:dyDescent="0.15">
      <c r="B36" s="38">
        <v>42767</v>
      </c>
      <c r="C36">
        <f>C$3*$O$8/4</f>
        <v>20.706398924448973</v>
      </c>
      <c r="D36">
        <f t="shared" ref="D36:K51" si="5">D$3*$O$8/4</f>
        <v>28.412048455244658</v>
      </c>
      <c r="E36">
        <f t="shared" si="5"/>
        <v>292.55712284774376</v>
      </c>
      <c r="F36">
        <f t="shared" si="5"/>
        <v>130.71107062236553</v>
      </c>
      <c r="G36">
        <f t="shared" si="5"/>
        <v>11.794617932225842</v>
      </c>
      <c r="H36">
        <f t="shared" si="5"/>
        <v>163.47307331136628</v>
      </c>
      <c r="I36">
        <f t="shared" si="5"/>
        <v>11.13501478925771</v>
      </c>
      <c r="J36">
        <f t="shared" si="5"/>
        <v>34.857884537219817</v>
      </c>
      <c r="K36">
        <f t="shared" si="5"/>
        <v>44.242523886479844</v>
      </c>
      <c r="L36">
        <f t="shared" si="3"/>
        <v>737.88975530635241</v>
      </c>
    </row>
    <row r="37" spans="2:12" ht="15" x14ac:dyDescent="0.15">
      <c r="B37" s="38">
        <v>42768</v>
      </c>
      <c r="C37">
        <f t="shared" ref="C37:K63" si="6">C$3*$O$8/4</f>
        <v>20.706398924448973</v>
      </c>
      <c r="D37">
        <f t="shared" si="5"/>
        <v>28.412048455244658</v>
      </c>
      <c r="E37">
        <f t="shared" si="5"/>
        <v>292.55712284774376</v>
      </c>
      <c r="F37">
        <f t="shared" si="5"/>
        <v>130.71107062236553</v>
      </c>
      <c r="G37">
        <f t="shared" si="5"/>
        <v>11.794617932225842</v>
      </c>
      <c r="H37">
        <f t="shared" si="5"/>
        <v>163.47307331136628</v>
      </c>
      <c r="I37">
        <f t="shared" si="5"/>
        <v>11.13501478925771</v>
      </c>
      <c r="J37">
        <f t="shared" si="5"/>
        <v>34.857884537219817</v>
      </c>
      <c r="K37">
        <f t="shared" si="5"/>
        <v>44.242523886479844</v>
      </c>
      <c r="L37">
        <f t="shared" si="3"/>
        <v>737.88975530635241</v>
      </c>
    </row>
    <row r="38" spans="2:12" ht="15" x14ac:dyDescent="0.15">
      <c r="B38" s="38">
        <v>42769</v>
      </c>
      <c r="C38">
        <f t="shared" si="6"/>
        <v>20.706398924448973</v>
      </c>
      <c r="D38">
        <f t="shared" si="5"/>
        <v>28.412048455244658</v>
      </c>
      <c r="E38">
        <f t="shared" si="5"/>
        <v>292.55712284774376</v>
      </c>
      <c r="F38">
        <f t="shared" si="5"/>
        <v>130.71107062236553</v>
      </c>
      <c r="G38">
        <f t="shared" si="5"/>
        <v>11.794617932225842</v>
      </c>
      <c r="H38">
        <f t="shared" si="5"/>
        <v>163.47307331136628</v>
      </c>
      <c r="I38">
        <f t="shared" si="5"/>
        <v>11.13501478925771</v>
      </c>
      <c r="J38">
        <f t="shared" si="5"/>
        <v>34.857884537219817</v>
      </c>
      <c r="K38">
        <f t="shared" si="5"/>
        <v>44.242523886479844</v>
      </c>
      <c r="L38">
        <f t="shared" si="3"/>
        <v>737.88975530635241</v>
      </c>
    </row>
    <row r="39" spans="2:12" ht="15" x14ac:dyDescent="0.15">
      <c r="B39" s="38">
        <v>42770</v>
      </c>
      <c r="C39">
        <f t="shared" si="6"/>
        <v>20.706398924448973</v>
      </c>
      <c r="D39">
        <f t="shared" si="5"/>
        <v>28.412048455244658</v>
      </c>
      <c r="E39">
        <f t="shared" si="5"/>
        <v>292.55712284774376</v>
      </c>
      <c r="F39">
        <f t="shared" si="5"/>
        <v>130.71107062236553</v>
      </c>
      <c r="G39">
        <f t="shared" si="5"/>
        <v>11.794617932225842</v>
      </c>
      <c r="H39">
        <f t="shared" si="5"/>
        <v>163.47307331136628</v>
      </c>
      <c r="I39">
        <f t="shared" si="5"/>
        <v>11.13501478925771</v>
      </c>
      <c r="J39">
        <f t="shared" si="5"/>
        <v>34.857884537219817</v>
      </c>
      <c r="K39">
        <f t="shared" si="5"/>
        <v>44.242523886479844</v>
      </c>
      <c r="L39">
        <f t="shared" si="3"/>
        <v>737.88975530635241</v>
      </c>
    </row>
    <row r="40" spans="2:12" ht="15" x14ac:dyDescent="0.15">
      <c r="B40" s="38">
        <v>42771</v>
      </c>
      <c r="C40">
        <f t="shared" si="6"/>
        <v>20.706398924448973</v>
      </c>
      <c r="D40">
        <f t="shared" si="5"/>
        <v>28.412048455244658</v>
      </c>
      <c r="E40">
        <f t="shared" si="5"/>
        <v>292.55712284774376</v>
      </c>
      <c r="F40">
        <f t="shared" si="5"/>
        <v>130.71107062236553</v>
      </c>
      <c r="G40">
        <f t="shared" si="5"/>
        <v>11.794617932225842</v>
      </c>
      <c r="H40">
        <f t="shared" si="5"/>
        <v>163.47307331136628</v>
      </c>
      <c r="I40">
        <f t="shared" si="5"/>
        <v>11.13501478925771</v>
      </c>
      <c r="J40">
        <f t="shared" si="5"/>
        <v>34.857884537219817</v>
      </c>
      <c r="K40">
        <f t="shared" si="5"/>
        <v>44.242523886479844</v>
      </c>
      <c r="L40">
        <f t="shared" si="3"/>
        <v>737.88975530635241</v>
      </c>
    </row>
    <row r="41" spans="2:12" ht="15" x14ac:dyDescent="0.15">
      <c r="B41" s="38">
        <v>42772</v>
      </c>
      <c r="C41">
        <f t="shared" si="6"/>
        <v>20.706398924448973</v>
      </c>
      <c r="D41">
        <f t="shared" si="5"/>
        <v>28.412048455244658</v>
      </c>
      <c r="E41">
        <f t="shared" si="5"/>
        <v>292.55712284774376</v>
      </c>
      <c r="F41">
        <f t="shared" si="5"/>
        <v>130.71107062236553</v>
      </c>
      <c r="G41">
        <f t="shared" si="5"/>
        <v>11.794617932225842</v>
      </c>
      <c r="H41">
        <f t="shared" si="5"/>
        <v>163.47307331136628</v>
      </c>
      <c r="I41">
        <f t="shared" si="5"/>
        <v>11.13501478925771</v>
      </c>
      <c r="J41">
        <f t="shared" si="5"/>
        <v>34.857884537219817</v>
      </c>
      <c r="K41">
        <f t="shared" si="5"/>
        <v>44.242523886479844</v>
      </c>
      <c r="L41">
        <f t="shared" si="3"/>
        <v>737.88975530635241</v>
      </c>
    </row>
    <row r="42" spans="2:12" ht="15" x14ac:dyDescent="0.15">
      <c r="B42" s="38">
        <v>42773</v>
      </c>
      <c r="C42">
        <f t="shared" si="6"/>
        <v>20.706398924448973</v>
      </c>
      <c r="D42">
        <f t="shared" si="5"/>
        <v>28.412048455244658</v>
      </c>
      <c r="E42">
        <f t="shared" si="5"/>
        <v>292.55712284774376</v>
      </c>
      <c r="F42">
        <f t="shared" si="5"/>
        <v>130.71107062236553</v>
      </c>
      <c r="G42">
        <f t="shared" si="5"/>
        <v>11.794617932225842</v>
      </c>
      <c r="H42">
        <f t="shared" si="5"/>
        <v>163.47307331136628</v>
      </c>
      <c r="I42">
        <f t="shared" si="5"/>
        <v>11.13501478925771</v>
      </c>
      <c r="J42">
        <f t="shared" si="5"/>
        <v>34.857884537219817</v>
      </c>
      <c r="K42">
        <f t="shared" si="5"/>
        <v>44.242523886479844</v>
      </c>
      <c r="L42">
        <f t="shared" si="3"/>
        <v>737.88975530635241</v>
      </c>
    </row>
    <row r="43" spans="2:12" ht="15" x14ac:dyDescent="0.15">
      <c r="B43" s="38">
        <v>42774</v>
      </c>
      <c r="C43">
        <f t="shared" si="6"/>
        <v>20.706398924448973</v>
      </c>
      <c r="D43">
        <f t="shared" si="5"/>
        <v>28.412048455244658</v>
      </c>
      <c r="E43">
        <f t="shared" si="5"/>
        <v>292.55712284774376</v>
      </c>
      <c r="F43">
        <f t="shared" si="5"/>
        <v>130.71107062236553</v>
      </c>
      <c r="G43">
        <f t="shared" si="5"/>
        <v>11.794617932225842</v>
      </c>
      <c r="H43">
        <f t="shared" si="5"/>
        <v>163.47307331136628</v>
      </c>
      <c r="I43">
        <f t="shared" si="5"/>
        <v>11.13501478925771</v>
      </c>
      <c r="J43">
        <f t="shared" si="5"/>
        <v>34.857884537219817</v>
      </c>
      <c r="K43">
        <f t="shared" si="5"/>
        <v>44.242523886479844</v>
      </c>
      <c r="L43">
        <f t="shared" si="3"/>
        <v>737.88975530635241</v>
      </c>
    </row>
    <row r="44" spans="2:12" ht="15" x14ac:dyDescent="0.15">
      <c r="B44" s="38">
        <v>42775</v>
      </c>
      <c r="C44">
        <f t="shared" si="6"/>
        <v>20.706398924448973</v>
      </c>
      <c r="D44">
        <f t="shared" si="5"/>
        <v>28.412048455244658</v>
      </c>
      <c r="E44">
        <f t="shared" si="5"/>
        <v>292.55712284774376</v>
      </c>
      <c r="F44">
        <f t="shared" si="5"/>
        <v>130.71107062236553</v>
      </c>
      <c r="G44">
        <f t="shared" si="5"/>
        <v>11.794617932225842</v>
      </c>
      <c r="H44">
        <f t="shared" si="5"/>
        <v>163.47307331136628</v>
      </c>
      <c r="I44">
        <f t="shared" si="5"/>
        <v>11.13501478925771</v>
      </c>
      <c r="J44">
        <f t="shared" si="5"/>
        <v>34.857884537219817</v>
      </c>
      <c r="K44">
        <f t="shared" si="5"/>
        <v>44.242523886479844</v>
      </c>
      <c r="L44">
        <f t="shared" si="3"/>
        <v>737.88975530635241</v>
      </c>
    </row>
    <row r="45" spans="2:12" ht="15" x14ac:dyDescent="0.15">
      <c r="B45" s="38">
        <v>42776</v>
      </c>
      <c r="C45">
        <f t="shared" si="6"/>
        <v>20.706398924448973</v>
      </c>
      <c r="D45">
        <f t="shared" si="5"/>
        <v>28.412048455244658</v>
      </c>
      <c r="E45">
        <f t="shared" si="5"/>
        <v>292.55712284774376</v>
      </c>
      <c r="F45">
        <f t="shared" si="5"/>
        <v>130.71107062236553</v>
      </c>
      <c r="G45">
        <f t="shared" si="5"/>
        <v>11.794617932225842</v>
      </c>
      <c r="H45">
        <f t="shared" si="5"/>
        <v>163.47307331136628</v>
      </c>
      <c r="I45">
        <f t="shared" si="5"/>
        <v>11.13501478925771</v>
      </c>
      <c r="J45">
        <f t="shared" si="5"/>
        <v>34.857884537219817</v>
      </c>
      <c r="K45">
        <f t="shared" si="5"/>
        <v>44.242523886479844</v>
      </c>
      <c r="L45">
        <f t="shared" si="3"/>
        <v>737.88975530635241</v>
      </c>
    </row>
    <row r="46" spans="2:12" ht="15" x14ac:dyDescent="0.15">
      <c r="B46" s="38">
        <v>42777</v>
      </c>
      <c r="C46">
        <f t="shared" si="6"/>
        <v>20.706398924448973</v>
      </c>
      <c r="D46">
        <f t="shared" si="5"/>
        <v>28.412048455244658</v>
      </c>
      <c r="E46">
        <f t="shared" si="5"/>
        <v>292.55712284774376</v>
      </c>
      <c r="F46">
        <f t="shared" si="5"/>
        <v>130.71107062236553</v>
      </c>
      <c r="G46">
        <f t="shared" si="5"/>
        <v>11.794617932225842</v>
      </c>
      <c r="H46">
        <f t="shared" si="5"/>
        <v>163.47307331136628</v>
      </c>
      <c r="I46">
        <f t="shared" si="5"/>
        <v>11.13501478925771</v>
      </c>
      <c r="J46">
        <f t="shared" si="5"/>
        <v>34.857884537219817</v>
      </c>
      <c r="K46">
        <f t="shared" si="5"/>
        <v>44.242523886479844</v>
      </c>
      <c r="L46">
        <f t="shared" si="3"/>
        <v>737.88975530635241</v>
      </c>
    </row>
    <row r="47" spans="2:12" ht="15" x14ac:dyDescent="0.15">
      <c r="B47" s="38">
        <v>42778</v>
      </c>
      <c r="C47">
        <f t="shared" si="6"/>
        <v>20.706398924448973</v>
      </c>
      <c r="D47">
        <f t="shared" si="5"/>
        <v>28.412048455244658</v>
      </c>
      <c r="E47">
        <f t="shared" si="5"/>
        <v>292.55712284774376</v>
      </c>
      <c r="F47">
        <f t="shared" si="5"/>
        <v>130.71107062236553</v>
      </c>
      <c r="G47">
        <f t="shared" si="5"/>
        <v>11.794617932225842</v>
      </c>
      <c r="H47">
        <f t="shared" si="5"/>
        <v>163.47307331136628</v>
      </c>
      <c r="I47">
        <f t="shared" si="5"/>
        <v>11.13501478925771</v>
      </c>
      <c r="J47">
        <f t="shared" si="5"/>
        <v>34.857884537219817</v>
      </c>
      <c r="K47">
        <f t="shared" si="5"/>
        <v>44.242523886479844</v>
      </c>
      <c r="L47">
        <f t="shared" si="3"/>
        <v>737.88975530635241</v>
      </c>
    </row>
    <row r="48" spans="2:12" ht="15" x14ac:dyDescent="0.15">
      <c r="B48" s="38">
        <v>42779</v>
      </c>
      <c r="C48">
        <f t="shared" si="6"/>
        <v>20.706398924448973</v>
      </c>
      <c r="D48">
        <f t="shared" si="5"/>
        <v>28.412048455244658</v>
      </c>
      <c r="E48">
        <f t="shared" si="5"/>
        <v>292.55712284774376</v>
      </c>
      <c r="F48">
        <f t="shared" si="5"/>
        <v>130.71107062236553</v>
      </c>
      <c r="G48">
        <f t="shared" si="5"/>
        <v>11.794617932225842</v>
      </c>
      <c r="H48">
        <f t="shared" si="5"/>
        <v>163.47307331136628</v>
      </c>
      <c r="I48">
        <f t="shared" si="5"/>
        <v>11.13501478925771</v>
      </c>
      <c r="J48">
        <f t="shared" si="5"/>
        <v>34.857884537219817</v>
      </c>
      <c r="K48">
        <f t="shared" si="5"/>
        <v>44.242523886479844</v>
      </c>
      <c r="L48">
        <f t="shared" si="3"/>
        <v>737.88975530635241</v>
      </c>
    </row>
    <row r="49" spans="2:12" ht="15" x14ac:dyDescent="0.15">
      <c r="B49" s="38">
        <v>42780</v>
      </c>
      <c r="C49">
        <f t="shared" si="6"/>
        <v>20.706398924448973</v>
      </c>
      <c r="D49">
        <f t="shared" si="5"/>
        <v>28.412048455244658</v>
      </c>
      <c r="E49">
        <f t="shared" si="5"/>
        <v>292.55712284774376</v>
      </c>
      <c r="F49">
        <f t="shared" si="5"/>
        <v>130.71107062236553</v>
      </c>
      <c r="G49">
        <f t="shared" si="5"/>
        <v>11.794617932225842</v>
      </c>
      <c r="H49">
        <f t="shared" si="5"/>
        <v>163.47307331136628</v>
      </c>
      <c r="I49">
        <f t="shared" si="5"/>
        <v>11.13501478925771</v>
      </c>
      <c r="J49">
        <f t="shared" si="5"/>
        <v>34.857884537219817</v>
      </c>
      <c r="K49">
        <f t="shared" si="5"/>
        <v>44.242523886479844</v>
      </c>
      <c r="L49">
        <f t="shared" si="3"/>
        <v>737.88975530635241</v>
      </c>
    </row>
    <row r="50" spans="2:12" ht="15" x14ac:dyDescent="0.15">
      <c r="B50" s="38">
        <v>42781</v>
      </c>
      <c r="C50">
        <f t="shared" si="6"/>
        <v>20.706398924448973</v>
      </c>
      <c r="D50">
        <f t="shared" si="5"/>
        <v>28.412048455244658</v>
      </c>
      <c r="E50">
        <f t="shared" si="5"/>
        <v>292.55712284774376</v>
      </c>
      <c r="F50">
        <f t="shared" si="5"/>
        <v>130.71107062236553</v>
      </c>
      <c r="G50">
        <f t="shared" si="5"/>
        <v>11.794617932225842</v>
      </c>
      <c r="H50">
        <f t="shared" si="5"/>
        <v>163.47307331136628</v>
      </c>
      <c r="I50">
        <f t="shared" si="5"/>
        <v>11.13501478925771</v>
      </c>
      <c r="J50">
        <f t="shared" si="5"/>
        <v>34.857884537219817</v>
      </c>
      <c r="K50">
        <f t="shared" si="5"/>
        <v>44.242523886479844</v>
      </c>
      <c r="L50">
        <f t="shared" si="3"/>
        <v>737.88975530635241</v>
      </c>
    </row>
    <row r="51" spans="2:12" ht="15" x14ac:dyDescent="0.15">
      <c r="B51" s="38">
        <v>42782</v>
      </c>
      <c r="C51">
        <f t="shared" si="6"/>
        <v>20.706398924448973</v>
      </c>
      <c r="D51">
        <f t="shared" si="5"/>
        <v>28.412048455244658</v>
      </c>
      <c r="E51">
        <f t="shared" si="5"/>
        <v>292.55712284774376</v>
      </c>
      <c r="F51">
        <f t="shared" si="5"/>
        <v>130.71107062236553</v>
      </c>
      <c r="G51">
        <f t="shared" si="5"/>
        <v>11.794617932225842</v>
      </c>
      <c r="H51">
        <f t="shared" si="5"/>
        <v>163.47307331136628</v>
      </c>
      <c r="I51">
        <f t="shared" si="5"/>
        <v>11.13501478925771</v>
      </c>
      <c r="J51">
        <f t="shared" si="5"/>
        <v>34.857884537219817</v>
      </c>
      <c r="K51">
        <f t="shared" si="5"/>
        <v>44.242523886479844</v>
      </c>
      <c r="L51">
        <f t="shared" si="3"/>
        <v>737.88975530635241</v>
      </c>
    </row>
    <row r="52" spans="2:12" ht="15" x14ac:dyDescent="0.15">
      <c r="B52" s="38">
        <v>42783</v>
      </c>
      <c r="C52">
        <f t="shared" si="6"/>
        <v>20.706398924448973</v>
      </c>
      <c r="D52">
        <f t="shared" si="6"/>
        <v>28.412048455244658</v>
      </c>
      <c r="E52">
        <f t="shared" si="6"/>
        <v>292.55712284774376</v>
      </c>
      <c r="F52">
        <f t="shared" si="6"/>
        <v>130.71107062236553</v>
      </c>
      <c r="G52">
        <f t="shared" si="6"/>
        <v>11.794617932225842</v>
      </c>
      <c r="H52">
        <f t="shared" si="6"/>
        <v>163.47307331136628</v>
      </c>
      <c r="I52">
        <f t="shared" si="6"/>
        <v>11.13501478925771</v>
      </c>
      <c r="J52">
        <f t="shared" si="6"/>
        <v>34.857884537219817</v>
      </c>
      <c r="K52">
        <f t="shared" si="6"/>
        <v>44.242523886479844</v>
      </c>
      <c r="L52">
        <f t="shared" si="3"/>
        <v>737.88975530635241</v>
      </c>
    </row>
    <row r="53" spans="2:12" ht="15" x14ac:dyDescent="0.15">
      <c r="B53" s="38">
        <v>42784</v>
      </c>
      <c r="C53">
        <f t="shared" si="6"/>
        <v>20.706398924448973</v>
      </c>
      <c r="D53">
        <f t="shared" si="6"/>
        <v>28.412048455244658</v>
      </c>
      <c r="E53">
        <f t="shared" si="6"/>
        <v>292.55712284774376</v>
      </c>
      <c r="F53">
        <f t="shared" si="6"/>
        <v>130.71107062236553</v>
      </c>
      <c r="G53">
        <f t="shared" si="6"/>
        <v>11.794617932225842</v>
      </c>
      <c r="H53">
        <f t="shared" si="6"/>
        <v>163.47307331136628</v>
      </c>
      <c r="I53">
        <f t="shared" si="6"/>
        <v>11.13501478925771</v>
      </c>
      <c r="J53">
        <f t="shared" si="6"/>
        <v>34.857884537219817</v>
      </c>
      <c r="K53">
        <f t="shared" si="6"/>
        <v>44.242523886479844</v>
      </c>
      <c r="L53">
        <f t="shared" si="3"/>
        <v>737.88975530635241</v>
      </c>
    </row>
    <row r="54" spans="2:12" ht="15" x14ac:dyDescent="0.15">
      <c r="B54" s="38">
        <v>42785</v>
      </c>
      <c r="C54">
        <f t="shared" si="6"/>
        <v>20.706398924448973</v>
      </c>
      <c r="D54">
        <f t="shared" si="6"/>
        <v>28.412048455244658</v>
      </c>
      <c r="E54">
        <f t="shared" si="6"/>
        <v>292.55712284774376</v>
      </c>
      <c r="F54">
        <f t="shared" si="6"/>
        <v>130.71107062236553</v>
      </c>
      <c r="G54">
        <f t="shared" si="6"/>
        <v>11.794617932225842</v>
      </c>
      <c r="H54">
        <f t="shared" si="6"/>
        <v>163.47307331136628</v>
      </c>
      <c r="I54">
        <f t="shared" si="6"/>
        <v>11.13501478925771</v>
      </c>
      <c r="J54">
        <f t="shared" si="6"/>
        <v>34.857884537219817</v>
      </c>
      <c r="K54">
        <f t="shared" si="6"/>
        <v>44.242523886479844</v>
      </c>
      <c r="L54">
        <f t="shared" si="3"/>
        <v>737.88975530635241</v>
      </c>
    </row>
    <row r="55" spans="2:12" ht="15" x14ac:dyDescent="0.15">
      <c r="B55" s="38">
        <v>42786</v>
      </c>
      <c r="C55">
        <f t="shared" si="6"/>
        <v>20.706398924448973</v>
      </c>
      <c r="D55">
        <f t="shared" si="6"/>
        <v>28.412048455244658</v>
      </c>
      <c r="E55">
        <f t="shared" si="6"/>
        <v>292.55712284774376</v>
      </c>
      <c r="F55">
        <f t="shared" si="6"/>
        <v>130.71107062236553</v>
      </c>
      <c r="G55">
        <f t="shared" si="6"/>
        <v>11.794617932225842</v>
      </c>
      <c r="H55">
        <f t="shared" si="6"/>
        <v>163.47307331136628</v>
      </c>
      <c r="I55">
        <f t="shared" si="6"/>
        <v>11.13501478925771</v>
      </c>
      <c r="J55">
        <f t="shared" si="6"/>
        <v>34.857884537219817</v>
      </c>
      <c r="K55">
        <f t="shared" si="6"/>
        <v>44.242523886479844</v>
      </c>
      <c r="L55">
        <f t="shared" si="3"/>
        <v>737.88975530635241</v>
      </c>
    </row>
    <row r="56" spans="2:12" ht="15" x14ac:dyDescent="0.15">
      <c r="B56" s="38">
        <v>42787</v>
      </c>
      <c r="C56">
        <f t="shared" si="6"/>
        <v>20.706398924448973</v>
      </c>
      <c r="D56">
        <f t="shared" si="6"/>
        <v>28.412048455244658</v>
      </c>
      <c r="E56">
        <f t="shared" si="6"/>
        <v>292.55712284774376</v>
      </c>
      <c r="F56">
        <f t="shared" si="6"/>
        <v>130.71107062236553</v>
      </c>
      <c r="G56">
        <f t="shared" si="6"/>
        <v>11.794617932225842</v>
      </c>
      <c r="H56">
        <f t="shared" si="6"/>
        <v>163.47307331136628</v>
      </c>
      <c r="I56">
        <f t="shared" si="6"/>
        <v>11.13501478925771</v>
      </c>
      <c r="J56">
        <f t="shared" si="6"/>
        <v>34.857884537219817</v>
      </c>
      <c r="K56">
        <f t="shared" si="6"/>
        <v>44.242523886479844</v>
      </c>
      <c r="L56">
        <f t="shared" si="3"/>
        <v>737.88975530635241</v>
      </c>
    </row>
    <row r="57" spans="2:12" ht="15" x14ac:dyDescent="0.15">
      <c r="B57" s="38">
        <v>42788</v>
      </c>
      <c r="C57">
        <f t="shared" si="6"/>
        <v>20.706398924448973</v>
      </c>
      <c r="D57">
        <f t="shared" si="6"/>
        <v>28.412048455244658</v>
      </c>
      <c r="E57">
        <f t="shared" si="6"/>
        <v>292.55712284774376</v>
      </c>
      <c r="F57">
        <f t="shared" si="6"/>
        <v>130.71107062236553</v>
      </c>
      <c r="G57">
        <f t="shared" si="6"/>
        <v>11.794617932225842</v>
      </c>
      <c r="H57">
        <f t="shared" si="6"/>
        <v>163.47307331136628</v>
      </c>
      <c r="I57">
        <f t="shared" si="6"/>
        <v>11.13501478925771</v>
      </c>
      <c r="J57">
        <f t="shared" si="6"/>
        <v>34.857884537219817</v>
      </c>
      <c r="K57">
        <f t="shared" si="6"/>
        <v>44.242523886479844</v>
      </c>
      <c r="L57">
        <f t="shared" si="3"/>
        <v>737.88975530635241</v>
      </c>
    </row>
    <row r="58" spans="2:12" ht="15" x14ac:dyDescent="0.15">
      <c r="B58" s="38">
        <v>42789</v>
      </c>
      <c r="C58">
        <f t="shared" si="6"/>
        <v>20.706398924448973</v>
      </c>
      <c r="D58">
        <f t="shared" si="6"/>
        <v>28.412048455244658</v>
      </c>
      <c r="E58">
        <f t="shared" si="6"/>
        <v>292.55712284774376</v>
      </c>
      <c r="F58">
        <f t="shared" si="6"/>
        <v>130.71107062236553</v>
      </c>
      <c r="G58">
        <f t="shared" si="6"/>
        <v>11.794617932225842</v>
      </c>
      <c r="H58">
        <f t="shared" si="6"/>
        <v>163.47307331136628</v>
      </c>
      <c r="I58">
        <f t="shared" si="6"/>
        <v>11.13501478925771</v>
      </c>
      <c r="J58">
        <f t="shared" si="6"/>
        <v>34.857884537219817</v>
      </c>
      <c r="K58">
        <f t="shared" si="6"/>
        <v>44.242523886479844</v>
      </c>
      <c r="L58">
        <f t="shared" si="3"/>
        <v>737.88975530635241</v>
      </c>
    </row>
    <row r="59" spans="2:12" ht="15" x14ac:dyDescent="0.15">
      <c r="B59" s="38">
        <v>42790</v>
      </c>
      <c r="C59">
        <f t="shared" si="6"/>
        <v>20.706398924448973</v>
      </c>
      <c r="D59">
        <f t="shared" si="6"/>
        <v>28.412048455244658</v>
      </c>
      <c r="E59">
        <f t="shared" si="6"/>
        <v>292.55712284774376</v>
      </c>
      <c r="F59">
        <f t="shared" si="6"/>
        <v>130.71107062236553</v>
      </c>
      <c r="G59">
        <f t="shared" si="6"/>
        <v>11.794617932225842</v>
      </c>
      <c r="H59">
        <f t="shared" si="6"/>
        <v>163.47307331136628</v>
      </c>
      <c r="I59">
        <f t="shared" si="6"/>
        <v>11.13501478925771</v>
      </c>
      <c r="J59">
        <f t="shared" si="6"/>
        <v>34.857884537219817</v>
      </c>
      <c r="K59">
        <f t="shared" si="6"/>
        <v>44.242523886479844</v>
      </c>
      <c r="L59">
        <f t="shared" si="3"/>
        <v>737.88975530635241</v>
      </c>
    </row>
    <row r="60" spans="2:12" ht="15" x14ac:dyDescent="0.15">
      <c r="B60" s="38">
        <v>42791</v>
      </c>
      <c r="C60">
        <f t="shared" si="6"/>
        <v>20.706398924448973</v>
      </c>
      <c r="D60">
        <f t="shared" si="6"/>
        <v>28.412048455244658</v>
      </c>
      <c r="E60">
        <f t="shared" si="6"/>
        <v>292.55712284774376</v>
      </c>
      <c r="F60">
        <f t="shared" si="6"/>
        <v>130.71107062236553</v>
      </c>
      <c r="G60">
        <f t="shared" si="6"/>
        <v>11.794617932225842</v>
      </c>
      <c r="H60">
        <f t="shared" si="6"/>
        <v>163.47307331136628</v>
      </c>
      <c r="I60">
        <f t="shared" si="6"/>
        <v>11.13501478925771</v>
      </c>
      <c r="J60">
        <f t="shared" si="6"/>
        <v>34.857884537219817</v>
      </c>
      <c r="K60">
        <f t="shared" si="6"/>
        <v>44.242523886479844</v>
      </c>
      <c r="L60">
        <f t="shared" si="3"/>
        <v>737.88975530635241</v>
      </c>
    </row>
    <row r="61" spans="2:12" ht="15" x14ac:dyDescent="0.15">
      <c r="B61" s="38">
        <v>42792</v>
      </c>
      <c r="C61">
        <f t="shared" si="6"/>
        <v>20.706398924448973</v>
      </c>
      <c r="D61">
        <f t="shared" si="6"/>
        <v>28.412048455244658</v>
      </c>
      <c r="E61">
        <f t="shared" si="6"/>
        <v>292.55712284774376</v>
      </c>
      <c r="F61">
        <f t="shared" si="6"/>
        <v>130.71107062236553</v>
      </c>
      <c r="G61">
        <f t="shared" si="6"/>
        <v>11.794617932225842</v>
      </c>
      <c r="H61">
        <f t="shared" si="6"/>
        <v>163.47307331136628</v>
      </c>
      <c r="I61">
        <f t="shared" si="6"/>
        <v>11.13501478925771</v>
      </c>
      <c r="J61">
        <f t="shared" si="6"/>
        <v>34.857884537219817</v>
      </c>
      <c r="K61">
        <f t="shared" si="6"/>
        <v>44.242523886479844</v>
      </c>
      <c r="L61">
        <f t="shared" si="3"/>
        <v>737.88975530635241</v>
      </c>
    </row>
    <row r="62" spans="2:12" ht="15" x14ac:dyDescent="0.15">
      <c r="B62" s="38">
        <v>42793</v>
      </c>
      <c r="C62">
        <f t="shared" si="6"/>
        <v>20.706398924448973</v>
      </c>
      <c r="D62">
        <f t="shared" si="6"/>
        <v>28.412048455244658</v>
      </c>
      <c r="E62">
        <f t="shared" si="6"/>
        <v>292.55712284774376</v>
      </c>
      <c r="F62">
        <f t="shared" si="6"/>
        <v>130.71107062236553</v>
      </c>
      <c r="G62">
        <f t="shared" si="6"/>
        <v>11.794617932225842</v>
      </c>
      <c r="H62">
        <f t="shared" si="6"/>
        <v>163.47307331136628</v>
      </c>
      <c r="I62">
        <f t="shared" si="6"/>
        <v>11.13501478925771</v>
      </c>
      <c r="J62">
        <f t="shared" si="6"/>
        <v>34.857884537219817</v>
      </c>
      <c r="K62">
        <f t="shared" si="6"/>
        <v>44.242523886479844</v>
      </c>
      <c r="L62">
        <f t="shared" si="3"/>
        <v>737.88975530635241</v>
      </c>
    </row>
    <row r="63" spans="2:12" ht="15" x14ac:dyDescent="0.15">
      <c r="B63" s="38">
        <v>42794</v>
      </c>
      <c r="C63">
        <f t="shared" si="6"/>
        <v>20.706398924448973</v>
      </c>
      <c r="D63">
        <f t="shared" si="6"/>
        <v>28.412048455244658</v>
      </c>
      <c r="E63">
        <f t="shared" si="6"/>
        <v>292.55712284774376</v>
      </c>
      <c r="F63">
        <f t="shared" si="6"/>
        <v>130.71107062236553</v>
      </c>
      <c r="G63">
        <f t="shared" si="6"/>
        <v>11.794617932225842</v>
      </c>
      <c r="H63">
        <f t="shared" si="6"/>
        <v>163.47307331136628</v>
      </c>
      <c r="I63">
        <f t="shared" si="6"/>
        <v>11.13501478925771</v>
      </c>
      <c r="J63">
        <f t="shared" si="6"/>
        <v>34.857884537219817</v>
      </c>
      <c r="K63">
        <f t="shared" si="6"/>
        <v>44.242523886479844</v>
      </c>
      <c r="L63">
        <f t="shared" si="3"/>
        <v>737.88975530635241</v>
      </c>
    </row>
    <row r="64" spans="2:12" ht="15" x14ac:dyDescent="0.15">
      <c r="B64" s="38">
        <v>42795</v>
      </c>
      <c r="C64">
        <f>C$3*$O$9/4</f>
        <v>20.802182458953538</v>
      </c>
      <c r="D64">
        <f t="shared" ref="D64:K79" si="7">D$3*$O$9/4</f>
        <v>28.543476736593238</v>
      </c>
      <c r="E64">
        <f t="shared" si="7"/>
        <v>293.91043181146495</v>
      </c>
      <c r="F64">
        <f t="shared" si="7"/>
        <v>131.31571309973535</v>
      </c>
      <c r="G64">
        <f t="shared" si="7"/>
        <v>11.849177404290568</v>
      </c>
      <c r="H64">
        <f t="shared" si="7"/>
        <v>164.22926606198496</v>
      </c>
      <c r="I64">
        <f t="shared" si="7"/>
        <v>11.186523073105967</v>
      </c>
      <c r="J64">
        <f t="shared" si="7"/>
        <v>35.019129928005022</v>
      </c>
      <c r="K64">
        <f t="shared" si="7"/>
        <v>44.44718068502371</v>
      </c>
      <c r="L64">
        <f t="shared" si="3"/>
        <v>741.30308125915724</v>
      </c>
    </row>
    <row r="65" spans="2:12" ht="15" x14ac:dyDescent="0.15">
      <c r="B65" s="38">
        <v>42796</v>
      </c>
      <c r="C65">
        <f t="shared" ref="C65:K94" si="8">C$3*$O$9/4</f>
        <v>20.802182458953538</v>
      </c>
      <c r="D65">
        <f t="shared" si="7"/>
        <v>28.543476736593238</v>
      </c>
      <c r="E65">
        <f t="shared" si="7"/>
        <v>293.91043181146495</v>
      </c>
      <c r="F65">
        <f t="shared" si="7"/>
        <v>131.31571309973535</v>
      </c>
      <c r="G65">
        <f t="shared" si="7"/>
        <v>11.849177404290568</v>
      </c>
      <c r="H65">
        <f t="shared" si="7"/>
        <v>164.22926606198496</v>
      </c>
      <c r="I65">
        <f t="shared" si="7"/>
        <v>11.186523073105967</v>
      </c>
      <c r="J65">
        <f t="shared" si="7"/>
        <v>35.019129928005022</v>
      </c>
      <c r="K65">
        <f t="shared" si="7"/>
        <v>44.44718068502371</v>
      </c>
      <c r="L65">
        <f t="shared" si="3"/>
        <v>741.30308125915724</v>
      </c>
    </row>
    <row r="66" spans="2:12" ht="15" x14ac:dyDescent="0.15">
      <c r="B66" s="38">
        <v>42797</v>
      </c>
      <c r="C66">
        <f t="shared" si="8"/>
        <v>20.802182458953538</v>
      </c>
      <c r="D66">
        <f t="shared" si="7"/>
        <v>28.543476736593238</v>
      </c>
      <c r="E66">
        <f t="shared" si="7"/>
        <v>293.91043181146495</v>
      </c>
      <c r="F66">
        <f t="shared" si="7"/>
        <v>131.31571309973535</v>
      </c>
      <c r="G66">
        <f t="shared" si="7"/>
        <v>11.849177404290568</v>
      </c>
      <c r="H66">
        <f t="shared" si="7"/>
        <v>164.22926606198496</v>
      </c>
      <c r="I66">
        <f t="shared" si="7"/>
        <v>11.186523073105967</v>
      </c>
      <c r="J66">
        <f t="shared" si="7"/>
        <v>35.019129928005022</v>
      </c>
      <c r="K66">
        <f t="shared" si="7"/>
        <v>44.44718068502371</v>
      </c>
      <c r="L66">
        <f t="shared" si="3"/>
        <v>741.30308125915724</v>
      </c>
    </row>
    <row r="67" spans="2:12" ht="15" x14ac:dyDescent="0.15">
      <c r="B67" s="38">
        <v>42798</v>
      </c>
      <c r="C67">
        <f t="shared" si="8"/>
        <v>20.802182458953538</v>
      </c>
      <c r="D67">
        <f t="shared" si="7"/>
        <v>28.543476736593238</v>
      </c>
      <c r="E67">
        <f t="shared" si="7"/>
        <v>293.91043181146495</v>
      </c>
      <c r="F67">
        <f t="shared" si="7"/>
        <v>131.31571309973535</v>
      </c>
      <c r="G67">
        <f t="shared" si="7"/>
        <v>11.849177404290568</v>
      </c>
      <c r="H67">
        <f t="shared" si="7"/>
        <v>164.22926606198496</v>
      </c>
      <c r="I67">
        <f t="shared" si="7"/>
        <v>11.186523073105967</v>
      </c>
      <c r="J67">
        <f t="shared" si="7"/>
        <v>35.019129928005022</v>
      </c>
      <c r="K67">
        <f t="shared" si="7"/>
        <v>44.44718068502371</v>
      </c>
      <c r="L67">
        <f t="shared" si="3"/>
        <v>741.30308125915724</v>
      </c>
    </row>
    <row r="68" spans="2:12" ht="15" x14ac:dyDescent="0.15">
      <c r="B68" s="38">
        <v>42799</v>
      </c>
      <c r="C68">
        <f t="shared" si="8"/>
        <v>20.802182458953538</v>
      </c>
      <c r="D68">
        <f t="shared" si="7"/>
        <v>28.543476736593238</v>
      </c>
      <c r="E68">
        <f t="shared" si="7"/>
        <v>293.91043181146495</v>
      </c>
      <c r="F68">
        <f t="shared" si="7"/>
        <v>131.31571309973535</v>
      </c>
      <c r="G68">
        <f t="shared" si="7"/>
        <v>11.849177404290568</v>
      </c>
      <c r="H68">
        <f t="shared" si="7"/>
        <v>164.22926606198496</v>
      </c>
      <c r="I68">
        <f t="shared" si="7"/>
        <v>11.186523073105967</v>
      </c>
      <c r="J68">
        <f t="shared" si="7"/>
        <v>35.019129928005022</v>
      </c>
      <c r="K68">
        <f t="shared" si="7"/>
        <v>44.44718068502371</v>
      </c>
      <c r="L68">
        <f t="shared" si="3"/>
        <v>741.30308125915724</v>
      </c>
    </row>
    <row r="69" spans="2:12" ht="15" x14ac:dyDescent="0.15">
      <c r="B69" s="38">
        <v>42800</v>
      </c>
      <c r="C69">
        <f t="shared" si="8"/>
        <v>20.802182458953538</v>
      </c>
      <c r="D69">
        <f t="shared" si="7"/>
        <v>28.543476736593238</v>
      </c>
      <c r="E69">
        <f t="shared" si="7"/>
        <v>293.91043181146495</v>
      </c>
      <c r="F69">
        <f t="shared" si="7"/>
        <v>131.31571309973535</v>
      </c>
      <c r="G69">
        <f t="shared" si="7"/>
        <v>11.849177404290568</v>
      </c>
      <c r="H69">
        <f t="shared" si="7"/>
        <v>164.22926606198496</v>
      </c>
      <c r="I69">
        <f t="shared" si="7"/>
        <v>11.186523073105967</v>
      </c>
      <c r="J69">
        <f t="shared" si="7"/>
        <v>35.019129928005022</v>
      </c>
      <c r="K69">
        <f t="shared" si="7"/>
        <v>44.44718068502371</v>
      </c>
      <c r="L69">
        <f t="shared" si="3"/>
        <v>741.30308125915724</v>
      </c>
    </row>
    <row r="70" spans="2:12" ht="15" x14ac:dyDescent="0.15">
      <c r="B70" s="38">
        <v>42801</v>
      </c>
      <c r="C70">
        <f t="shared" si="8"/>
        <v>20.802182458953538</v>
      </c>
      <c r="D70">
        <f t="shared" si="7"/>
        <v>28.543476736593238</v>
      </c>
      <c r="E70">
        <f t="shared" si="7"/>
        <v>293.91043181146495</v>
      </c>
      <c r="F70">
        <f t="shared" si="7"/>
        <v>131.31571309973535</v>
      </c>
      <c r="G70">
        <f t="shared" si="7"/>
        <v>11.849177404290568</v>
      </c>
      <c r="H70">
        <f t="shared" si="7"/>
        <v>164.22926606198496</v>
      </c>
      <c r="I70">
        <f t="shared" si="7"/>
        <v>11.186523073105967</v>
      </c>
      <c r="J70">
        <f t="shared" si="7"/>
        <v>35.019129928005022</v>
      </c>
      <c r="K70">
        <f t="shared" si="7"/>
        <v>44.44718068502371</v>
      </c>
      <c r="L70">
        <f t="shared" ref="L70:L133" si="9">SUM(C70:K70)</f>
        <v>741.30308125915724</v>
      </c>
    </row>
    <row r="71" spans="2:12" ht="15" x14ac:dyDescent="0.15">
      <c r="B71" s="38">
        <v>42802</v>
      </c>
      <c r="C71">
        <f t="shared" si="8"/>
        <v>20.802182458953538</v>
      </c>
      <c r="D71">
        <f t="shared" si="7"/>
        <v>28.543476736593238</v>
      </c>
      <c r="E71">
        <f t="shared" si="7"/>
        <v>293.91043181146495</v>
      </c>
      <c r="F71">
        <f t="shared" si="7"/>
        <v>131.31571309973535</v>
      </c>
      <c r="G71">
        <f t="shared" si="7"/>
        <v>11.849177404290568</v>
      </c>
      <c r="H71">
        <f t="shared" si="7"/>
        <v>164.22926606198496</v>
      </c>
      <c r="I71">
        <f t="shared" si="7"/>
        <v>11.186523073105967</v>
      </c>
      <c r="J71">
        <f t="shared" si="7"/>
        <v>35.019129928005022</v>
      </c>
      <c r="K71">
        <f t="shared" si="7"/>
        <v>44.44718068502371</v>
      </c>
      <c r="L71">
        <f t="shared" si="9"/>
        <v>741.30308125915724</v>
      </c>
    </row>
    <row r="72" spans="2:12" ht="15" x14ac:dyDescent="0.15">
      <c r="B72" s="38">
        <v>42803</v>
      </c>
      <c r="C72">
        <f t="shared" si="8"/>
        <v>20.802182458953538</v>
      </c>
      <c r="D72">
        <f t="shared" si="7"/>
        <v>28.543476736593238</v>
      </c>
      <c r="E72">
        <f t="shared" si="7"/>
        <v>293.91043181146495</v>
      </c>
      <c r="F72">
        <f t="shared" si="7"/>
        <v>131.31571309973535</v>
      </c>
      <c r="G72">
        <f t="shared" si="7"/>
        <v>11.849177404290568</v>
      </c>
      <c r="H72">
        <f t="shared" si="7"/>
        <v>164.22926606198496</v>
      </c>
      <c r="I72">
        <f t="shared" si="7"/>
        <v>11.186523073105967</v>
      </c>
      <c r="J72">
        <f t="shared" si="7"/>
        <v>35.019129928005022</v>
      </c>
      <c r="K72">
        <f t="shared" si="7"/>
        <v>44.44718068502371</v>
      </c>
      <c r="L72">
        <f t="shared" si="9"/>
        <v>741.30308125915724</v>
      </c>
    </row>
    <row r="73" spans="2:12" ht="15" x14ac:dyDescent="0.15">
      <c r="B73" s="38">
        <v>42804</v>
      </c>
      <c r="C73">
        <f t="shared" si="8"/>
        <v>20.802182458953538</v>
      </c>
      <c r="D73">
        <f t="shared" si="7"/>
        <v>28.543476736593238</v>
      </c>
      <c r="E73">
        <f t="shared" si="7"/>
        <v>293.91043181146495</v>
      </c>
      <c r="F73">
        <f t="shared" si="7"/>
        <v>131.31571309973535</v>
      </c>
      <c r="G73">
        <f t="shared" si="7"/>
        <v>11.849177404290568</v>
      </c>
      <c r="H73">
        <f t="shared" si="7"/>
        <v>164.22926606198496</v>
      </c>
      <c r="I73">
        <f t="shared" si="7"/>
        <v>11.186523073105967</v>
      </c>
      <c r="J73">
        <f t="shared" si="7"/>
        <v>35.019129928005022</v>
      </c>
      <c r="K73">
        <f t="shared" si="7"/>
        <v>44.44718068502371</v>
      </c>
      <c r="L73">
        <f t="shared" si="9"/>
        <v>741.30308125915724</v>
      </c>
    </row>
    <row r="74" spans="2:12" ht="15" x14ac:dyDescent="0.15">
      <c r="B74" s="38">
        <v>42805</v>
      </c>
      <c r="C74">
        <f t="shared" si="8"/>
        <v>20.802182458953538</v>
      </c>
      <c r="D74">
        <f t="shared" si="7"/>
        <v>28.543476736593238</v>
      </c>
      <c r="E74">
        <f t="shared" si="7"/>
        <v>293.91043181146495</v>
      </c>
      <c r="F74">
        <f t="shared" si="7"/>
        <v>131.31571309973535</v>
      </c>
      <c r="G74">
        <f t="shared" si="7"/>
        <v>11.849177404290568</v>
      </c>
      <c r="H74">
        <f t="shared" si="7"/>
        <v>164.22926606198496</v>
      </c>
      <c r="I74">
        <f t="shared" si="7"/>
        <v>11.186523073105967</v>
      </c>
      <c r="J74">
        <f t="shared" si="7"/>
        <v>35.019129928005022</v>
      </c>
      <c r="K74">
        <f t="shared" si="7"/>
        <v>44.44718068502371</v>
      </c>
      <c r="L74">
        <f t="shared" si="9"/>
        <v>741.30308125915724</v>
      </c>
    </row>
    <row r="75" spans="2:12" ht="15" x14ac:dyDescent="0.15">
      <c r="B75" s="38">
        <v>42806</v>
      </c>
      <c r="C75">
        <f t="shared" si="8"/>
        <v>20.802182458953538</v>
      </c>
      <c r="D75">
        <f t="shared" si="7"/>
        <v>28.543476736593238</v>
      </c>
      <c r="E75">
        <f t="shared" si="7"/>
        <v>293.91043181146495</v>
      </c>
      <c r="F75">
        <f t="shared" si="7"/>
        <v>131.31571309973535</v>
      </c>
      <c r="G75">
        <f t="shared" si="7"/>
        <v>11.849177404290568</v>
      </c>
      <c r="H75">
        <f t="shared" si="7"/>
        <v>164.22926606198496</v>
      </c>
      <c r="I75">
        <f t="shared" si="7"/>
        <v>11.186523073105967</v>
      </c>
      <c r="J75">
        <f t="shared" si="7"/>
        <v>35.019129928005022</v>
      </c>
      <c r="K75">
        <f t="shared" si="7"/>
        <v>44.44718068502371</v>
      </c>
      <c r="L75">
        <f t="shared" si="9"/>
        <v>741.30308125915724</v>
      </c>
    </row>
    <row r="76" spans="2:12" ht="15" x14ac:dyDescent="0.15">
      <c r="B76" s="38">
        <v>42807</v>
      </c>
      <c r="C76">
        <f t="shared" si="8"/>
        <v>20.802182458953538</v>
      </c>
      <c r="D76">
        <f t="shared" si="7"/>
        <v>28.543476736593238</v>
      </c>
      <c r="E76">
        <f t="shared" si="7"/>
        <v>293.91043181146495</v>
      </c>
      <c r="F76">
        <f t="shared" si="7"/>
        <v>131.31571309973535</v>
      </c>
      <c r="G76">
        <f t="shared" si="7"/>
        <v>11.849177404290568</v>
      </c>
      <c r="H76">
        <f t="shared" si="7"/>
        <v>164.22926606198496</v>
      </c>
      <c r="I76">
        <f t="shared" si="7"/>
        <v>11.186523073105967</v>
      </c>
      <c r="J76">
        <f t="shared" si="7"/>
        <v>35.019129928005022</v>
      </c>
      <c r="K76">
        <f t="shared" si="7"/>
        <v>44.44718068502371</v>
      </c>
      <c r="L76">
        <f t="shared" si="9"/>
        <v>741.30308125915724</v>
      </c>
    </row>
    <row r="77" spans="2:12" ht="15" x14ac:dyDescent="0.15">
      <c r="B77" s="38">
        <v>42808</v>
      </c>
      <c r="C77">
        <f t="shared" si="8"/>
        <v>20.802182458953538</v>
      </c>
      <c r="D77">
        <f t="shared" si="7"/>
        <v>28.543476736593238</v>
      </c>
      <c r="E77">
        <f t="shared" si="7"/>
        <v>293.91043181146495</v>
      </c>
      <c r="F77">
        <f t="shared" si="7"/>
        <v>131.31571309973535</v>
      </c>
      <c r="G77">
        <f t="shared" si="7"/>
        <v>11.849177404290568</v>
      </c>
      <c r="H77">
        <f t="shared" si="7"/>
        <v>164.22926606198496</v>
      </c>
      <c r="I77">
        <f t="shared" si="7"/>
        <v>11.186523073105967</v>
      </c>
      <c r="J77">
        <f t="shared" si="7"/>
        <v>35.019129928005022</v>
      </c>
      <c r="K77">
        <f t="shared" si="7"/>
        <v>44.44718068502371</v>
      </c>
      <c r="L77">
        <f t="shared" si="9"/>
        <v>741.30308125915724</v>
      </c>
    </row>
    <row r="78" spans="2:12" ht="15" x14ac:dyDescent="0.15">
      <c r="B78" s="38">
        <v>42809</v>
      </c>
      <c r="C78">
        <f t="shared" si="8"/>
        <v>20.802182458953538</v>
      </c>
      <c r="D78">
        <f t="shared" si="7"/>
        <v>28.543476736593238</v>
      </c>
      <c r="E78">
        <f t="shared" si="7"/>
        <v>293.91043181146495</v>
      </c>
      <c r="F78">
        <f t="shared" si="7"/>
        <v>131.31571309973535</v>
      </c>
      <c r="G78">
        <f t="shared" si="7"/>
        <v>11.849177404290568</v>
      </c>
      <c r="H78">
        <f t="shared" si="7"/>
        <v>164.22926606198496</v>
      </c>
      <c r="I78">
        <f t="shared" si="7"/>
        <v>11.186523073105967</v>
      </c>
      <c r="J78">
        <f t="shared" si="7"/>
        <v>35.019129928005022</v>
      </c>
      <c r="K78">
        <f t="shared" si="7"/>
        <v>44.44718068502371</v>
      </c>
      <c r="L78">
        <f t="shared" si="9"/>
        <v>741.30308125915724</v>
      </c>
    </row>
    <row r="79" spans="2:12" ht="15" x14ac:dyDescent="0.15">
      <c r="B79" s="38">
        <v>42810</v>
      </c>
      <c r="C79">
        <f t="shared" si="8"/>
        <v>20.802182458953538</v>
      </c>
      <c r="D79">
        <f t="shared" si="7"/>
        <v>28.543476736593238</v>
      </c>
      <c r="E79">
        <f t="shared" si="7"/>
        <v>293.91043181146495</v>
      </c>
      <c r="F79">
        <f t="shared" si="7"/>
        <v>131.31571309973535</v>
      </c>
      <c r="G79">
        <f t="shared" si="7"/>
        <v>11.849177404290568</v>
      </c>
      <c r="H79">
        <f t="shared" si="7"/>
        <v>164.22926606198496</v>
      </c>
      <c r="I79">
        <f t="shared" si="7"/>
        <v>11.186523073105967</v>
      </c>
      <c r="J79">
        <f t="shared" si="7"/>
        <v>35.019129928005022</v>
      </c>
      <c r="K79">
        <f t="shared" si="7"/>
        <v>44.44718068502371</v>
      </c>
      <c r="L79">
        <f t="shared" si="9"/>
        <v>741.30308125915724</v>
      </c>
    </row>
    <row r="80" spans="2:12" ht="15" x14ac:dyDescent="0.15">
      <c r="B80" s="38">
        <v>42811</v>
      </c>
      <c r="C80">
        <f t="shared" si="8"/>
        <v>20.802182458953538</v>
      </c>
      <c r="D80">
        <f t="shared" si="8"/>
        <v>28.543476736593238</v>
      </c>
      <c r="E80">
        <f t="shared" si="8"/>
        <v>293.91043181146495</v>
      </c>
      <c r="F80">
        <f t="shared" si="8"/>
        <v>131.31571309973535</v>
      </c>
      <c r="G80">
        <f t="shared" si="8"/>
        <v>11.849177404290568</v>
      </c>
      <c r="H80">
        <f t="shared" si="8"/>
        <v>164.22926606198496</v>
      </c>
      <c r="I80">
        <f t="shared" si="8"/>
        <v>11.186523073105967</v>
      </c>
      <c r="J80">
        <f t="shared" si="8"/>
        <v>35.019129928005022</v>
      </c>
      <c r="K80">
        <f t="shared" si="8"/>
        <v>44.44718068502371</v>
      </c>
      <c r="L80">
        <f t="shared" si="9"/>
        <v>741.30308125915724</v>
      </c>
    </row>
    <row r="81" spans="2:12" ht="15" x14ac:dyDescent="0.15">
      <c r="B81" s="38">
        <v>42812</v>
      </c>
      <c r="C81">
        <f t="shared" si="8"/>
        <v>20.802182458953538</v>
      </c>
      <c r="D81">
        <f t="shared" si="8"/>
        <v>28.543476736593238</v>
      </c>
      <c r="E81">
        <f t="shared" si="8"/>
        <v>293.91043181146495</v>
      </c>
      <c r="F81">
        <f t="shared" si="8"/>
        <v>131.31571309973535</v>
      </c>
      <c r="G81">
        <f t="shared" si="8"/>
        <v>11.849177404290568</v>
      </c>
      <c r="H81">
        <f t="shared" si="8"/>
        <v>164.22926606198496</v>
      </c>
      <c r="I81">
        <f t="shared" si="8"/>
        <v>11.186523073105967</v>
      </c>
      <c r="J81">
        <f t="shared" si="8"/>
        <v>35.019129928005022</v>
      </c>
      <c r="K81">
        <f t="shared" si="8"/>
        <v>44.44718068502371</v>
      </c>
      <c r="L81">
        <f t="shared" si="9"/>
        <v>741.30308125915724</v>
      </c>
    </row>
    <row r="82" spans="2:12" ht="15" x14ac:dyDescent="0.15">
      <c r="B82" s="38">
        <v>42813</v>
      </c>
      <c r="C82">
        <f t="shared" si="8"/>
        <v>20.802182458953538</v>
      </c>
      <c r="D82">
        <f t="shared" si="8"/>
        <v>28.543476736593238</v>
      </c>
      <c r="E82">
        <f t="shared" si="8"/>
        <v>293.91043181146495</v>
      </c>
      <c r="F82">
        <f t="shared" si="8"/>
        <v>131.31571309973535</v>
      </c>
      <c r="G82">
        <f t="shared" si="8"/>
        <v>11.849177404290568</v>
      </c>
      <c r="H82">
        <f t="shared" si="8"/>
        <v>164.22926606198496</v>
      </c>
      <c r="I82">
        <f t="shared" si="8"/>
        <v>11.186523073105967</v>
      </c>
      <c r="J82">
        <f t="shared" si="8"/>
        <v>35.019129928005022</v>
      </c>
      <c r="K82">
        <f t="shared" si="8"/>
        <v>44.44718068502371</v>
      </c>
      <c r="L82">
        <f t="shared" si="9"/>
        <v>741.30308125915724</v>
      </c>
    </row>
    <row r="83" spans="2:12" ht="15" x14ac:dyDescent="0.15">
      <c r="B83" s="38">
        <v>42814</v>
      </c>
      <c r="C83">
        <f t="shared" si="8"/>
        <v>20.802182458953538</v>
      </c>
      <c r="D83">
        <f t="shared" si="8"/>
        <v>28.543476736593238</v>
      </c>
      <c r="E83">
        <f t="shared" si="8"/>
        <v>293.91043181146495</v>
      </c>
      <c r="F83">
        <f t="shared" si="8"/>
        <v>131.31571309973535</v>
      </c>
      <c r="G83">
        <f t="shared" si="8"/>
        <v>11.849177404290568</v>
      </c>
      <c r="H83">
        <f t="shared" si="8"/>
        <v>164.22926606198496</v>
      </c>
      <c r="I83">
        <f t="shared" si="8"/>
        <v>11.186523073105967</v>
      </c>
      <c r="J83">
        <f t="shared" si="8"/>
        <v>35.019129928005022</v>
      </c>
      <c r="K83">
        <f t="shared" si="8"/>
        <v>44.44718068502371</v>
      </c>
      <c r="L83">
        <f t="shared" si="9"/>
        <v>741.30308125915724</v>
      </c>
    </row>
    <row r="84" spans="2:12" ht="15" x14ac:dyDescent="0.15">
      <c r="B84" s="38">
        <v>42815</v>
      </c>
      <c r="C84">
        <f t="shared" si="8"/>
        <v>20.802182458953538</v>
      </c>
      <c r="D84">
        <f t="shared" si="8"/>
        <v>28.543476736593238</v>
      </c>
      <c r="E84">
        <f t="shared" si="8"/>
        <v>293.91043181146495</v>
      </c>
      <c r="F84">
        <f t="shared" si="8"/>
        <v>131.31571309973535</v>
      </c>
      <c r="G84">
        <f t="shared" si="8"/>
        <v>11.849177404290568</v>
      </c>
      <c r="H84">
        <f t="shared" si="8"/>
        <v>164.22926606198496</v>
      </c>
      <c r="I84">
        <f t="shared" si="8"/>
        <v>11.186523073105967</v>
      </c>
      <c r="J84">
        <f t="shared" si="8"/>
        <v>35.019129928005022</v>
      </c>
      <c r="K84">
        <f t="shared" si="8"/>
        <v>44.44718068502371</v>
      </c>
      <c r="L84">
        <f t="shared" si="9"/>
        <v>741.30308125915724</v>
      </c>
    </row>
    <row r="85" spans="2:12" ht="15" x14ac:dyDescent="0.15">
      <c r="B85" s="38">
        <v>42816</v>
      </c>
      <c r="C85">
        <f t="shared" si="8"/>
        <v>20.802182458953538</v>
      </c>
      <c r="D85">
        <f t="shared" si="8"/>
        <v>28.543476736593238</v>
      </c>
      <c r="E85">
        <f t="shared" si="8"/>
        <v>293.91043181146495</v>
      </c>
      <c r="F85">
        <f t="shared" si="8"/>
        <v>131.31571309973535</v>
      </c>
      <c r="G85">
        <f t="shared" si="8"/>
        <v>11.849177404290568</v>
      </c>
      <c r="H85">
        <f t="shared" si="8"/>
        <v>164.22926606198496</v>
      </c>
      <c r="I85">
        <f t="shared" si="8"/>
        <v>11.186523073105967</v>
      </c>
      <c r="J85">
        <f t="shared" si="8"/>
        <v>35.019129928005022</v>
      </c>
      <c r="K85">
        <f t="shared" si="8"/>
        <v>44.44718068502371</v>
      </c>
      <c r="L85">
        <f t="shared" si="9"/>
        <v>741.30308125915724</v>
      </c>
    </row>
    <row r="86" spans="2:12" ht="15" x14ac:dyDescent="0.15">
      <c r="B86" s="38">
        <v>42817</v>
      </c>
      <c r="C86">
        <f t="shared" si="8"/>
        <v>20.802182458953538</v>
      </c>
      <c r="D86">
        <f t="shared" si="8"/>
        <v>28.543476736593238</v>
      </c>
      <c r="E86">
        <f t="shared" si="8"/>
        <v>293.91043181146495</v>
      </c>
      <c r="F86">
        <f t="shared" si="8"/>
        <v>131.31571309973535</v>
      </c>
      <c r="G86">
        <f t="shared" si="8"/>
        <v>11.849177404290568</v>
      </c>
      <c r="H86">
        <f t="shared" si="8"/>
        <v>164.22926606198496</v>
      </c>
      <c r="I86">
        <f t="shared" si="8"/>
        <v>11.186523073105967</v>
      </c>
      <c r="J86">
        <f t="shared" si="8"/>
        <v>35.019129928005022</v>
      </c>
      <c r="K86">
        <f t="shared" si="8"/>
        <v>44.44718068502371</v>
      </c>
      <c r="L86">
        <f t="shared" si="9"/>
        <v>741.30308125915724</v>
      </c>
    </row>
    <row r="87" spans="2:12" ht="15" x14ac:dyDescent="0.15">
      <c r="B87" s="38">
        <v>42818</v>
      </c>
      <c r="C87">
        <f t="shared" si="8"/>
        <v>20.802182458953538</v>
      </c>
      <c r="D87">
        <f t="shared" si="8"/>
        <v>28.543476736593238</v>
      </c>
      <c r="E87">
        <f t="shared" si="8"/>
        <v>293.91043181146495</v>
      </c>
      <c r="F87">
        <f t="shared" si="8"/>
        <v>131.31571309973535</v>
      </c>
      <c r="G87">
        <f t="shared" si="8"/>
        <v>11.849177404290568</v>
      </c>
      <c r="H87">
        <f t="shared" si="8"/>
        <v>164.22926606198496</v>
      </c>
      <c r="I87">
        <f t="shared" si="8"/>
        <v>11.186523073105967</v>
      </c>
      <c r="J87">
        <f t="shared" si="8"/>
        <v>35.019129928005022</v>
      </c>
      <c r="K87">
        <f t="shared" si="8"/>
        <v>44.44718068502371</v>
      </c>
      <c r="L87">
        <f t="shared" si="9"/>
        <v>741.30308125915724</v>
      </c>
    </row>
    <row r="88" spans="2:12" ht="15" x14ac:dyDescent="0.15">
      <c r="B88" s="38">
        <v>42819</v>
      </c>
      <c r="C88">
        <f t="shared" si="8"/>
        <v>20.802182458953538</v>
      </c>
      <c r="D88">
        <f t="shared" si="8"/>
        <v>28.543476736593238</v>
      </c>
      <c r="E88">
        <f t="shared" si="8"/>
        <v>293.91043181146495</v>
      </c>
      <c r="F88">
        <f t="shared" si="8"/>
        <v>131.31571309973535</v>
      </c>
      <c r="G88">
        <f t="shared" si="8"/>
        <v>11.849177404290568</v>
      </c>
      <c r="H88">
        <f t="shared" si="8"/>
        <v>164.22926606198496</v>
      </c>
      <c r="I88">
        <f t="shared" si="8"/>
        <v>11.186523073105967</v>
      </c>
      <c r="J88">
        <f t="shared" si="8"/>
        <v>35.019129928005022</v>
      </c>
      <c r="K88">
        <f t="shared" si="8"/>
        <v>44.44718068502371</v>
      </c>
      <c r="L88">
        <f t="shared" si="9"/>
        <v>741.30308125915724</v>
      </c>
    </row>
    <row r="89" spans="2:12" ht="15" x14ac:dyDescent="0.15">
      <c r="B89" s="38">
        <v>42820</v>
      </c>
      <c r="C89">
        <f t="shared" si="8"/>
        <v>20.802182458953538</v>
      </c>
      <c r="D89">
        <f t="shared" si="8"/>
        <v>28.543476736593238</v>
      </c>
      <c r="E89">
        <f t="shared" si="8"/>
        <v>293.91043181146495</v>
      </c>
      <c r="F89">
        <f t="shared" si="8"/>
        <v>131.31571309973535</v>
      </c>
      <c r="G89">
        <f t="shared" si="8"/>
        <v>11.849177404290568</v>
      </c>
      <c r="H89">
        <f t="shared" si="8"/>
        <v>164.22926606198496</v>
      </c>
      <c r="I89">
        <f t="shared" si="8"/>
        <v>11.186523073105967</v>
      </c>
      <c r="J89">
        <f t="shared" si="8"/>
        <v>35.019129928005022</v>
      </c>
      <c r="K89">
        <f t="shared" si="8"/>
        <v>44.44718068502371</v>
      </c>
      <c r="L89">
        <f t="shared" si="9"/>
        <v>741.30308125915724</v>
      </c>
    </row>
    <row r="90" spans="2:12" ht="15" x14ac:dyDescent="0.15">
      <c r="B90" s="38">
        <v>42821</v>
      </c>
      <c r="C90">
        <f t="shared" si="8"/>
        <v>20.802182458953538</v>
      </c>
      <c r="D90">
        <f t="shared" si="8"/>
        <v>28.543476736593238</v>
      </c>
      <c r="E90">
        <f t="shared" si="8"/>
        <v>293.91043181146495</v>
      </c>
      <c r="F90">
        <f t="shared" si="8"/>
        <v>131.31571309973535</v>
      </c>
      <c r="G90">
        <f t="shared" si="8"/>
        <v>11.849177404290568</v>
      </c>
      <c r="H90">
        <f t="shared" si="8"/>
        <v>164.22926606198496</v>
      </c>
      <c r="I90">
        <f t="shared" si="8"/>
        <v>11.186523073105967</v>
      </c>
      <c r="J90">
        <f t="shared" si="8"/>
        <v>35.019129928005022</v>
      </c>
      <c r="K90">
        <f t="shared" si="8"/>
        <v>44.44718068502371</v>
      </c>
      <c r="L90">
        <f t="shared" si="9"/>
        <v>741.30308125915724</v>
      </c>
    </row>
    <row r="91" spans="2:12" ht="15" x14ac:dyDescent="0.15">
      <c r="B91" s="38">
        <v>42822</v>
      </c>
      <c r="C91">
        <f t="shared" si="8"/>
        <v>20.802182458953538</v>
      </c>
      <c r="D91">
        <f t="shared" si="8"/>
        <v>28.543476736593238</v>
      </c>
      <c r="E91">
        <f t="shared" si="8"/>
        <v>293.91043181146495</v>
      </c>
      <c r="F91">
        <f t="shared" si="8"/>
        <v>131.31571309973535</v>
      </c>
      <c r="G91">
        <f t="shared" si="8"/>
        <v>11.849177404290568</v>
      </c>
      <c r="H91">
        <f t="shared" si="8"/>
        <v>164.22926606198496</v>
      </c>
      <c r="I91">
        <f t="shared" si="8"/>
        <v>11.186523073105967</v>
      </c>
      <c r="J91">
        <f t="shared" si="8"/>
        <v>35.019129928005022</v>
      </c>
      <c r="K91">
        <f t="shared" si="8"/>
        <v>44.44718068502371</v>
      </c>
      <c r="L91">
        <f t="shared" si="9"/>
        <v>741.30308125915724</v>
      </c>
    </row>
    <row r="92" spans="2:12" ht="15" x14ac:dyDescent="0.15">
      <c r="B92" s="38">
        <v>42823</v>
      </c>
      <c r="C92">
        <f t="shared" si="8"/>
        <v>20.802182458953538</v>
      </c>
      <c r="D92">
        <f t="shared" si="8"/>
        <v>28.543476736593238</v>
      </c>
      <c r="E92">
        <f t="shared" si="8"/>
        <v>293.91043181146495</v>
      </c>
      <c r="F92">
        <f t="shared" si="8"/>
        <v>131.31571309973535</v>
      </c>
      <c r="G92">
        <f t="shared" si="8"/>
        <v>11.849177404290568</v>
      </c>
      <c r="H92">
        <f t="shared" si="8"/>
        <v>164.22926606198496</v>
      </c>
      <c r="I92">
        <f t="shared" si="8"/>
        <v>11.186523073105967</v>
      </c>
      <c r="J92">
        <f t="shared" si="8"/>
        <v>35.019129928005022</v>
      </c>
      <c r="K92">
        <f t="shared" si="8"/>
        <v>44.44718068502371</v>
      </c>
      <c r="L92">
        <f t="shared" si="9"/>
        <v>741.30308125915724</v>
      </c>
    </row>
    <row r="93" spans="2:12" ht="15" x14ac:dyDescent="0.15">
      <c r="B93" s="38">
        <v>42824</v>
      </c>
      <c r="C93">
        <f t="shared" si="8"/>
        <v>20.802182458953538</v>
      </c>
      <c r="D93">
        <f t="shared" si="8"/>
        <v>28.543476736593238</v>
      </c>
      <c r="E93">
        <f t="shared" si="8"/>
        <v>293.91043181146495</v>
      </c>
      <c r="F93">
        <f t="shared" si="8"/>
        <v>131.31571309973535</v>
      </c>
      <c r="G93">
        <f t="shared" si="8"/>
        <v>11.849177404290568</v>
      </c>
      <c r="H93">
        <f t="shared" si="8"/>
        <v>164.22926606198496</v>
      </c>
      <c r="I93">
        <f t="shared" si="8"/>
        <v>11.186523073105967</v>
      </c>
      <c r="J93">
        <f t="shared" si="8"/>
        <v>35.019129928005022</v>
      </c>
      <c r="K93">
        <f t="shared" si="8"/>
        <v>44.44718068502371</v>
      </c>
      <c r="L93">
        <f t="shared" si="9"/>
        <v>741.30308125915724</v>
      </c>
    </row>
    <row r="94" spans="2:12" ht="15" x14ac:dyDescent="0.15">
      <c r="B94" s="38">
        <v>42825</v>
      </c>
      <c r="C94">
        <f t="shared" si="8"/>
        <v>20.802182458953538</v>
      </c>
      <c r="D94">
        <f t="shared" si="8"/>
        <v>28.543476736593238</v>
      </c>
      <c r="E94">
        <f t="shared" si="8"/>
        <v>293.91043181146495</v>
      </c>
      <c r="F94">
        <f t="shared" si="8"/>
        <v>131.31571309973535</v>
      </c>
      <c r="G94">
        <f t="shared" si="8"/>
        <v>11.849177404290568</v>
      </c>
      <c r="H94">
        <f t="shared" si="8"/>
        <v>164.22926606198496</v>
      </c>
      <c r="I94">
        <f t="shared" si="8"/>
        <v>11.186523073105967</v>
      </c>
      <c r="J94">
        <f t="shared" si="8"/>
        <v>35.019129928005022</v>
      </c>
      <c r="K94">
        <f t="shared" si="8"/>
        <v>44.44718068502371</v>
      </c>
      <c r="L94">
        <f t="shared" si="9"/>
        <v>741.30308125915724</v>
      </c>
    </row>
    <row r="95" spans="2:12" ht="15" x14ac:dyDescent="0.15">
      <c r="B95" s="38">
        <v>42826</v>
      </c>
      <c r="C95">
        <f>C$3*$O$10/4</f>
        <v>18.585920134057794</v>
      </c>
      <c r="D95">
        <f t="shared" ref="D95:K110" si="10">D$3*$O$10/4</f>
        <v>25.502457735934399</v>
      </c>
      <c r="E95">
        <f t="shared" si="10"/>
        <v>262.59724540888988</v>
      </c>
      <c r="F95">
        <f t="shared" si="10"/>
        <v>117.32535087769364</v>
      </c>
      <c r="G95">
        <f t="shared" si="10"/>
        <v>10.586767293526826</v>
      </c>
      <c r="H95">
        <f t="shared" si="10"/>
        <v>146.73229737917271</v>
      </c>
      <c r="I95">
        <f t="shared" si="10"/>
        <v>9.994712084887718</v>
      </c>
      <c r="J95">
        <f t="shared" si="10"/>
        <v>31.288195519405914</v>
      </c>
      <c r="K95">
        <f t="shared" si="10"/>
        <v>39.711782743272977</v>
      </c>
      <c r="L95">
        <f t="shared" si="9"/>
        <v>662.32472917684186</v>
      </c>
    </row>
    <row r="96" spans="2:12" ht="15" x14ac:dyDescent="0.15">
      <c r="B96" s="38">
        <v>42827</v>
      </c>
      <c r="C96">
        <f t="shared" ref="C96:K124" si="11">C$3*$O$10/4</f>
        <v>18.585920134057794</v>
      </c>
      <c r="D96">
        <f t="shared" si="10"/>
        <v>25.502457735934399</v>
      </c>
      <c r="E96">
        <f t="shared" si="10"/>
        <v>262.59724540888988</v>
      </c>
      <c r="F96">
        <f t="shared" si="10"/>
        <v>117.32535087769364</v>
      </c>
      <c r="G96">
        <f t="shared" si="10"/>
        <v>10.586767293526826</v>
      </c>
      <c r="H96">
        <f t="shared" si="10"/>
        <v>146.73229737917271</v>
      </c>
      <c r="I96">
        <f t="shared" si="10"/>
        <v>9.994712084887718</v>
      </c>
      <c r="J96">
        <f t="shared" si="10"/>
        <v>31.288195519405914</v>
      </c>
      <c r="K96">
        <f t="shared" si="10"/>
        <v>39.711782743272977</v>
      </c>
      <c r="L96">
        <f t="shared" si="9"/>
        <v>662.32472917684186</v>
      </c>
    </row>
    <row r="97" spans="2:12" ht="15" x14ac:dyDescent="0.15">
      <c r="B97" s="38">
        <v>42828</v>
      </c>
      <c r="C97">
        <f t="shared" si="11"/>
        <v>18.585920134057794</v>
      </c>
      <c r="D97">
        <f t="shared" si="10"/>
        <v>25.502457735934399</v>
      </c>
      <c r="E97">
        <f t="shared" si="10"/>
        <v>262.59724540888988</v>
      </c>
      <c r="F97">
        <f t="shared" si="10"/>
        <v>117.32535087769364</v>
      </c>
      <c r="G97">
        <f t="shared" si="10"/>
        <v>10.586767293526826</v>
      </c>
      <c r="H97">
        <f t="shared" si="10"/>
        <v>146.73229737917271</v>
      </c>
      <c r="I97">
        <f t="shared" si="10"/>
        <v>9.994712084887718</v>
      </c>
      <c r="J97">
        <f t="shared" si="10"/>
        <v>31.288195519405914</v>
      </c>
      <c r="K97">
        <f t="shared" si="10"/>
        <v>39.711782743272977</v>
      </c>
      <c r="L97">
        <f t="shared" si="9"/>
        <v>662.32472917684186</v>
      </c>
    </row>
    <row r="98" spans="2:12" ht="15" x14ac:dyDescent="0.15">
      <c r="B98" s="38">
        <v>42829</v>
      </c>
      <c r="C98">
        <f t="shared" si="11"/>
        <v>18.585920134057794</v>
      </c>
      <c r="D98">
        <f t="shared" si="10"/>
        <v>25.502457735934399</v>
      </c>
      <c r="E98">
        <f t="shared" si="10"/>
        <v>262.59724540888988</v>
      </c>
      <c r="F98">
        <f t="shared" si="10"/>
        <v>117.32535087769364</v>
      </c>
      <c r="G98">
        <f t="shared" si="10"/>
        <v>10.586767293526826</v>
      </c>
      <c r="H98">
        <f t="shared" si="10"/>
        <v>146.73229737917271</v>
      </c>
      <c r="I98">
        <f t="shared" si="10"/>
        <v>9.994712084887718</v>
      </c>
      <c r="J98">
        <f t="shared" si="10"/>
        <v>31.288195519405914</v>
      </c>
      <c r="K98">
        <f t="shared" si="10"/>
        <v>39.711782743272977</v>
      </c>
      <c r="L98">
        <f t="shared" si="9"/>
        <v>662.32472917684186</v>
      </c>
    </row>
    <row r="99" spans="2:12" ht="15" x14ac:dyDescent="0.15">
      <c r="B99" s="38">
        <v>42830</v>
      </c>
      <c r="C99">
        <f t="shared" si="11"/>
        <v>18.585920134057794</v>
      </c>
      <c r="D99">
        <f t="shared" si="10"/>
        <v>25.502457735934399</v>
      </c>
      <c r="E99">
        <f t="shared" si="10"/>
        <v>262.59724540888988</v>
      </c>
      <c r="F99">
        <f t="shared" si="10"/>
        <v>117.32535087769364</v>
      </c>
      <c r="G99">
        <f t="shared" si="10"/>
        <v>10.586767293526826</v>
      </c>
      <c r="H99">
        <f t="shared" si="10"/>
        <v>146.73229737917271</v>
      </c>
      <c r="I99">
        <f t="shared" si="10"/>
        <v>9.994712084887718</v>
      </c>
      <c r="J99">
        <f t="shared" si="10"/>
        <v>31.288195519405914</v>
      </c>
      <c r="K99">
        <f t="shared" si="10"/>
        <v>39.711782743272977</v>
      </c>
      <c r="L99">
        <f t="shared" si="9"/>
        <v>662.32472917684186</v>
      </c>
    </row>
    <row r="100" spans="2:12" ht="15" x14ac:dyDescent="0.15">
      <c r="B100" s="38">
        <v>42831</v>
      </c>
      <c r="C100">
        <f t="shared" si="11"/>
        <v>18.585920134057794</v>
      </c>
      <c r="D100">
        <f t="shared" si="10"/>
        <v>25.502457735934399</v>
      </c>
      <c r="E100">
        <f t="shared" si="10"/>
        <v>262.59724540888988</v>
      </c>
      <c r="F100">
        <f t="shared" si="10"/>
        <v>117.32535087769364</v>
      </c>
      <c r="G100">
        <f t="shared" si="10"/>
        <v>10.586767293526826</v>
      </c>
      <c r="H100">
        <f t="shared" si="10"/>
        <v>146.73229737917271</v>
      </c>
      <c r="I100">
        <f t="shared" si="10"/>
        <v>9.994712084887718</v>
      </c>
      <c r="J100">
        <f t="shared" si="10"/>
        <v>31.288195519405914</v>
      </c>
      <c r="K100">
        <f t="shared" si="10"/>
        <v>39.711782743272977</v>
      </c>
      <c r="L100">
        <f t="shared" si="9"/>
        <v>662.32472917684186</v>
      </c>
    </row>
    <row r="101" spans="2:12" ht="15" x14ac:dyDescent="0.15">
      <c r="B101" s="38">
        <v>42832</v>
      </c>
      <c r="C101">
        <f t="shared" si="11"/>
        <v>18.585920134057794</v>
      </c>
      <c r="D101">
        <f t="shared" si="10"/>
        <v>25.502457735934399</v>
      </c>
      <c r="E101">
        <f t="shared" si="10"/>
        <v>262.59724540888988</v>
      </c>
      <c r="F101">
        <f t="shared" si="10"/>
        <v>117.32535087769364</v>
      </c>
      <c r="G101">
        <f t="shared" si="10"/>
        <v>10.586767293526826</v>
      </c>
      <c r="H101">
        <f t="shared" si="10"/>
        <v>146.73229737917271</v>
      </c>
      <c r="I101">
        <f t="shared" si="10"/>
        <v>9.994712084887718</v>
      </c>
      <c r="J101">
        <f t="shared" si="10"/>
        <v>31.288195519405914</v>
      </c>
      <c r="K101">
        <f t="shared" si="10"/>
        <v>39.711782743272977</v>
      </c>
      <c r="L101">
        <f t="shared" si="9"/>
        <v>662.32472917684186</v>
      </c>
    </row>
    <row r="102" spans="2:12" ht="15" x14ac:dyDescent="0.15">
      <c r="B102" s="38">
        <v>42833</v>
      </c>
      <c r="C102">
        <f t="shared" si="11"/>
        <v>18.585920134057794</v>
      </c>
      <c r="D102">
        <f t="shared" si="10"/>
        <v>25.502457735934399</v>
      </c>
      <c r="E102">
        <f t="shared" si="10"/>
        <v>262.59724540888988</v>
      </c>
      <c r="F102">
        <f t="shared" si="10"/>
        <v>117.32535087769364</v>
      </c>
      <c r="G102">
        <f t="shared" si="10"/>
        <v>10.586767293526826</v>
      </c>
      <c r="H102">
        <f t="shared" si="10"/>
        <v>146.73229737917271</v>
      </c>
      <c r="I102">
        <f t="shared" si="10"/>
        <v>9.994712084887718</v>
      </c>
      <c r="J102">
        <f t="shared" si="10"/>
        <v>31.288195519405914</v>
      </c>
      <c r="K102">
        <f t="shared" si="10"/>
        <v>39.711782743272977</v>
      </c>
      <c r="L102">
        <f t="shared" si="9"/>
        <v>662.32472917684186</v>
      </c>
    </row>
    <row r="103" spans="2:12" ht="15" x14ac:dyDescent="0.15">
      <c r="B103" s="38">
        <v>42834</v>
      </c>
      <c r="C103">
        <f t="shared" si="11"/>
        <v>18.585920134057794</v>
      </c>
      <c r="D103">
        <f t="shared" si="10"/>
        <v>25.502457735934399</v>
      </c>
      <c r="E103">
        <f t="shared" si="10"/>
        <v>262.59724540888988</v>
      </c>
      <c r="F103">
        <f t="shared" si="10"/>
        <v>117.32535087769364</v>
      </c>
      <c r="G103">
        <f t="shared" si="10"/>
        <v>10.586767293526826</v>
      </c>
      <c r="H103">
        <f t="shared" si="10"/>
        <v>146.73229737917271</v>
      </c>
      <c r="I103">
        <f t="shared" si="10"/>
        <v>9.994712084887718</v>
      </c>
      <c r="J103">
        <f t="shared" si="10"/>
        <v>31.288195519405914</v>
      </c>
      <c r="K103">
        <f t="shared" si="10"/>
        <v>39.711782743272977</v>
      </c>
      <c r="L103">
        <f t="shared" si="9"/>
        <v>662.32472917684186</v>
      </c>
    </row>
    <row r="104" spans="2:12" ht="15" x14ac:dyDescent="0.15">
      <c r="B104" s="38">
        <v>42835</v>
      </c>
      <c r="C104">
        <f t="shared" si="11"/>
        <v>18.585920134057794</v>
      </c>
      <c r="D104">
        <f t="shared" si="10"/>
        <v>25.502457735934399</v>
      </c>
      <c r="E104">
        <f t="shared" si="10"/>
        <v>262.59724540888988</v>
      </c>
      <c r="F104">
        <f t="shared" si="10"/>
        <v>117.32535087769364</v>
      </c>
      <c r="G104">
        <f t="shared" si="10"/>
        <v>10.586767293526826</v>
      </c>
      <c r="H104">
        <f t="shared" si="10"/>
        <v>146.73229737917271</v>
      </c>
      <c r="I104">
        <f t="shared" si="10"/>
        <v>9.994712084887718</v>
      </c>
      <c r="J104">
        <f t="shared" si="10"/>
        <v>31.288195519405914</v>
      </c>
      <c r="K104">
        <f t="shared" si="10"/>
        <v>39.711782743272977</v>
      </c>
      <c r="L104">
        <f t="shared" si="9"/>
        <v>662.32472917684186</v>
      </c>
    </row>
    <row r="105" spans="2:12" ht="15" x14ac:dyDescent="0.15">
      <c r="B105" s="38">
        <v>42836</v>
      </c>
      <c r="C105">
        <f t="shared" si="11"/>
        <v>18.585920134057794</v>
      </c>
      <c r="D105">
        <f t="shared" si="10"/>
        <v>25.502457735934399</v>
      </c>
      <c r="E105">
        <f t="shared" si="10"/>
        <v>262.59724540888988</v>
      </c>
      <c r="F105">
        <f t="shared" si="10"/>
        <v>117.32535087769364</v>
      </c>
      <c r="G105">
        <f t="shared" si="10"/>
        <v>10.586767293526826</v>
      </c>
      <c r="H105">
        <f t="shared" si="10"/>
        <v>146.73229737917271</v>
      </c>
      <c r="I105">
        <f t="shared" si="10"/>
        <v>9.994712084887718</v>
      </c>
      <c r="J105">
        <f t="shared" si="10"/>
        <v>31.288195519405914</v>
      </c>
      <c r="K105">
        <f t="shared" si="10"/>
        <v>39.711782743272977</v>
      </c>
      <c r="L105">
        <f t="shared" si="9"/>
        <v>662.32472917684186</v>
      </c>
    </row>
    <row r="106" spans="2:12" ht="15" x14ac:dyDescent="0.15">
      <c r="B106" s="38">
        <v>42837</v>
      </c>
      <c r="C106">
        <f t="shared" si="11"/>
        <v>18.585920134057794</v>
      </c>
      <c r="D106">
        <f t="shared" si="10"/>
        <v>25.502457735934399</v>
      </c>
      <c r="E106">
        <f t="shared" si="10"/>
        <v>262.59724540888988</v>
      </c>
      <c r="F106">
        <f t="shared" si="10"/>
        <v>117.32535087769364</v>
      </c>
      <c r="G106">
        <f t="shared" si="10"/>
        <v>10.586767293526826</v>
      </c>
      <c r="H106">
        <f t="shared" si="10"/>
        <v>146.73229737917271</v>
      </c>
      <c r="I106">
        <f t="shared" si="10"/>
        <v>9.994712084887718</v>
      </c>
      <c r="J106">
        <f t="shared" si="10"/>
        <v>31.288195519405914</v>
      </c>
      <c r="K106">
        <f t="shared" si="10"/>
        <v>39.711782743272977</v>
      </c>
      <c r="L106">
        <f t="shared" si="9"/>
        <v>662.32472917684186</v>
      </c>
    </row>
    <row r="107" spans="2:12" ht="15" x14ac:dyDescent="0.15">
      <c r="B107" s="38">
        <v>42838</v>
      </c>
      <c r="C107">
        <f t="shared" si="11"/>
        <v>18.585920134057794</v>
      </c>
      <c r="D107">
        <f t="shared" si="10"/>
        <v>25.502457735934399</v>
      </c>
      <c r="E107">
        <f t="shared" si="10"/>
        <v>262.59724540888988</v>
      </c>
      <c r="F107">
        <f t="shared" si="10"/>
        <v>117.32535087769364</v>
      </c>
      <c r="G107">
        <f t="shared" si="10"/>
        <v>10.586767293526826</v>
      </c>
      <c r="H107">
        <f t="shared" si="10"/>
        <v>146.73229737917271</v>
      </c>
      <c r="I107">
        <f t="shared" si="10"/>
        <v>9.994712084887718</v>
      </c>
      <c r="J107">
        <f t="shared" si="10"/>
        <v>31.288195519405914</v>
      </c>
      <c r="K107">
        <f t="shared" si="10"/>
        <v>39.711782743272977</v>
      </c>
      <c r="L107">
        <f t="shared" si="9"/>
        <v>662.32472917684186</v>
      </c>
    </row>
    <row r="108" spans="2:12" ht="15" x14ac:dyDescent="0.15">
      <c r="B108" s="38">
        <v>42839</v>
      </c>
      <c r="C108">
        <f t="shared" si="11"/>
        <v>18.585920134057794</v>
      </c>
      <c r="D108">
        <f t="shared" si="10"/>
        <v>25.502457735934399</v>
      </c>
      <c r="E108">
        <f t="shared" si="10"/>
        <v>262.59724540888988</v>
      </c>
      <c r="F108">
        <f t="shared" si="10"/>
        <v>117.32535087769364</v>
      </c>
      <c r="G108">
        <f t="shared" si="10"/>
        <v>10.586767293526826</v>
      </c>
      <c r="H108">
        <f t="shared" si="10"/>
        <v>146.73229737917271</v>
      </c>
      <c r="I108">
        <f t="shared" si="10"/>
        <v>9.994712084887718</v>
      </c>
      <c r="J108">
        <f t="shared" si="10"/>
        <v>31.288195519405914</v>
      </c>
      <c r="K108">
        <f t="shared" si="10"/>
        <v>39.711782743272977</v>
      </c>
      <c r="L108">
        <f t="shared" si="9"/>
        <v>662.32472917684186</v>
      </c>
    </row>
    <row r="109" spans="2:12" ht="15" x14ac:dyDescent="0.15">
      <c r="B109" s="38">
        <v>42840</v>
      </c>
      <c r="C109">
        <f t="shared" si="11"/>
        <v>18.585920134057794</v>
      </c>
      <c r="D109">
        <f t="shared" si="10"/>
        <v>25.502457735934399</v>
      </c>
      <c r="E109">
        <f t="shared" si="10"/>
        <v>262.59724540888988</v>
      </c>
      <c r="F109">
        <f t="shared" si="10"/>
        <v>117.32535087769364</v>
      </c>
      <c r="G109">
        <f t="shared" si="10"/>
        <v>10.586767293526826</v>
      </c>
      <c r="H109">
        <f t="shared" si="10"/>
        <v>146.73229737917271</v>
      </c>
      <c r="I109">
        <f t="shared" si="10"/>
        <v>9.994712084887718</v>
      </c>
      <c r="J109">
        <f t="shared" si="10"/>
        <v>31.288195519405914</v>
      </c>
      <c r="K109">
        <f t="shared" si="10"/>
        <v>39.711782743272977</v>
      </c>
      <c r="L109">
        <f t="shared" si="9"/>
        <v>662.32472917684186</v>
      </c>
    </row>
    <row r="110" spans="2:12" ht="15" x14ac:dyDescent="0.15">
      <c r="B110" s="38">
        <v>42841</v>
      </c>
      <c r="C110">
        <f t="shared" si="11"/>
        <v>18.585920134057794</v>
      </c>
      <c r="D110">
        <f t="shared" si="10"/>
        <v>25.502457735934399</v>
      </c>
      <c r="E110">
        <f t="shared" si="10"/>
        <v>262.59724540888988</v>
      </c>
      <c r="F110">
        <f t="shared" si="10"/>
        <v>117.32535087769364</v>
      </c>
      <c r="G110">
        <f t="shared" si="10"/>
        <v>10.586767293526826</v>
      </c>
      <c r="H110">
        <f t="shared" si="10"/>
        <v>146.73229737917271</v>
      </c>
      <c r="I110">
        <f t="shared" si="10"/>
        <v>9.994712084887718</v>
      </c>
      <c r="J110">
        <f t="shared" si="10"/>
        <v>31.288195519405914</v>
      </c>
      <c r="K110">
        <f t="shared" si="10"/>
        <v>39.711782743272977</v>
      </c>
      <c r="L110">
        <f t="shared" si="9"/>
        <v>662.32472917684186</v>
      </c>
    </row>
    <row r="111" spans="2:12" ht="15" x14ac:dyDescent="0.15">
      <c r="B111" s="38">
        <v>42842</v>
      </c>
      <c r="C111">
        <f t="shared" si="11"/>
        <v>18.585920134057794</v>
      </c>
      <c r="D111">
        <f t="shared" si="11"/>
        <v>25.502457735934399</v>
      </c>
      <c r="E111">
        <f t="shared" si="11"/>
        <v>262.59724540888988</v>
      </c>
      <c r="F111">
        <f t="shared" si="11"/>
        <v>117.32535087769364</v>
      </c>
      <c r="G111">
        <f t="shared" si="11"/>
        <v>10.586767293526826</v>
      </c>
      <c r="H111">
        <f t="shared" si="11"/>
        <v>146.73229737917271</v>
      </c>
      <c r="I111">
        <f t="shared" si="11"/>
        <v>9.994712084887718</v>
      </c>
      <c r="J111">
        <f t="shared" si="11"/>
        <v>31.288195519405914</v>
      </c>
      <c r="K111">
        <f t="shared" si="11"/>
        <v>39.711782743272977</v>
      </c>
      <c r="L111">
        <f t="shared" si="9"/>
        <v>662.32472917684186</v>
      </c>
    </row>
    <row r="112" spans="2:12" ht="15" x14ac:dyDescent="0.15">
      <c r="B112" s="38">
        <v>42843</v>
      </c>
      <c r="C112">
        <f t="shared" si="11"/>
        <v>18.585920134057794</v>
      </c>
      <c r="D112">
        <f t="shared" si="11"/>
        <v>25.502457735934399</v>
      </c>
      <c r="E112">
        <f t="shared" si="11"/>
        <v>262.59724540888988</v>
      </c>
      <c r="F112">
        <f t="shared" si="11"/>
        <v>117.32535087769364</v>
      </c>
      <c r="G112">
        <f t="shared" si="11"/>
        <v>10.586767293526826</v>
      </c>
      <c r="H112">
        <f t="shared" si="11"/>
        <v>146.73229737917271</v>
      </c>
      <c r="I112">
        <f t="shared" si="11"/>
        <v>9.994712084887718</v>
      </c>
      <c r="J112">
        <f t="shared" si="11"/>
        <v>31.288195519405914</v>
      </c>
      <c r="K112">
        <f t="shared" si="11"/>
        <v>39.711782743272977</v>
      </c>
      <c r="L112">
        <f t="shared" si="9"/>
        <v>662.32472917684186</v>
      </c>
    </row>
    <row r="113" spans="2:14" ht="15" x14ac:dyDescent="0.15">
      <c r="B113" s="38">
        <v>42844</v>
      </c>
      <c r="C113">
        <f t="shared" si="11"/>
        <v>18.585920134057794</v>
      </c>
      <c r="D113">
        <f t="shared" si="11"/>
        <v>25.502457735934399</v>
      </c>
      <c r="E113">
        <f t="shared" si="11"/>
        <v>262.59724540888988</v>
      </c>
      <c r="F113">
        <f t="shared" si="11"/>
        <v>117.32535087769364</v>
      </c>
      <c r="G113">
        <f t="shared" si="11"/>
        <v>10.586767293526826</v>
      </c>
      <c r="H113">
        <f t="shared" si="11"/>
        <v>146.73229737917271</v>
      </c>
      <c r="I113">
        <f t="shared" si="11"/>
        <v>9.994712084887718</v>
      </c>
      <c r="J113">
        <f t="shared" si="11"/>
        <v>31.288195519405914</v>
      </c>
      <c r="K113">
        <f t="shared" si="11"/>
        <v>39.711782743272977</v>
      </c>
      <c r="L113">
        <f t="shared" si="9"/>
        <v>662.32472917684186</v>
      </c>
    </row>
    <row r="114" spans="2:14" ht="15" x14ac:dyDescent="0.15">
      <c r="B114" s="38">
        <v>42845</v>
      </c>
      <c r="C114">
        <f t="shared" si="11"/>
        <v>18.585920134057794</v>
      </c>
      <c r="D114">
        <f t="shared" si="11"/>
        <v>25.502457735934399</v>
      </c>
      <c r="E114">
        <f t="shared" si="11"/>
        <v>262.59724540888988</v>
      </c>
      <c r="F114">
        <f t="shared" si="11"/>
        <v>117.32535087769364</v>
      </c>
      <c r="G114">
        <f t="shared" si="11"/>
        <v>10.586767293526826</v>
      </c>
      <c r="H114">
        <f t="shared" si="11"/>
        <v>146.73229737917271</v>
      </c>
      <c r="I114">
        <f t="shared" si="11"/>
        <v>9.994712084887718</v>
      </c>
      <c r="J114">
        <f t="shared" si="11"/>
        <v>31.288195519405914</v>
      </c>
      <c r="K114">
        <f t="shared" si="11"/>
        <v>39.711782743272977</v>
      </c>
      <c r="L114">
        <f t="shared" si="9"/>
        <v>662.32472917684186</v>
      </c>
    </row>
    <row r="115" spans="2:14" ht="15" x14ac:dyDescent="0.15">
      <c r="B115" s="38">
        <v>42846</v>
      </c>
      <c r="C115">
        <f t="shared" si="11"/>
        <v>18.585920134057794</v>
      </c>
      <c r="D115">
        <f t="shared" si="11"/>
        <v>25.502457735934399</v>
      </c>
      <c r="E115">
        <f t="shared" si="11"/>
        <v>262.59724540888988</v>
      </c>
      <c r="F115">
        <f t="shared" si="11"/>
        <v>117.32535087769364</v>
      </c>
      <c r="G115">
        <f t="shared" si="11"/>
        <v>10.586767293526826</v>
      </c>
      <c r="H115">
        <f t="shared" si="11"/>
        <v>146.73229737917271</v>
      </c>
      <c r="I115">
        <f t="shared" si="11"/>
        <v>9.994712084887718</v>
      </c>
      <c r="J115">
        <f t="shared" si="11"/>
        <v>31.288195519405914</v>
      </c>
      <c r="K115">
        <f t="shared" si="11"/>
        <v>39.711782743272977</v>
      </c>
      <c r="L115">
        <f t="shared" si="9"/>
        <v>662.32472917684186</v>
      </c>
    </row>
    <row r="116" spans="2:14" ht="15" x14ac:dyDescent="0.15">
      <c r="B116" s="38">
        <v>42847</v>
      </c>
      <c r="C116">
        <f t="shared" si="11"/>
        <v>18.585920134057794</v>
      </c>
      <c r="D116">
        <f t="shared" si="11"/>
        <v>25.502457735934399</v>
      </c>
      <c r="E116">
        <f t="shared" si="11"/>
        <v>262.59724540888988</v>
      </c>
      <c r="F116">
        <f t="shared" si="11"/>
        <v>117.32535087769364</v>
      </c>
      <c r="G116">
        <f t="shared" si="11"/>
        <v>10.586767293526826</v>
      </c>
      <c r="H116">
        <f t="shared" si="11"/>
        <v>146.73229737917271</v>
      </c>
      <c r="I116">
        <f t="shared" si="11"/>
        <v>9.994712084887718</v>
      </c>
      <c r="J116">
        <f t="shared" si="11"/>
        <v>31.288195519405914</v>
      </c>
      <c r="K116">
        <f t="shared" si="11"/>
        <v>39.711782743272977</v>
      </c>
      <c r="L116">
        <f t="shared" si="9"/>
        <v>662.32472917684186</v>
      </c>
    </row>
    <row r="117" spans="2:14" ht="15" x14ac:dyDescent="0.15">
      <c r="B117" s="38">
        <v>42848</v>
      </c>
      <c r="C117">
        <f t="shared" si="11"/>
        <v>18.585920134057794</v>
      </c>
      <c r="D117">
        <f t="shared" si="11"/>
        <v>25.502457735934399</v>
      </c>
      <c r="E117">
        <f t="shared" si="11"/>
        <v>262.59724540888988</v>
      </c>
      <c r="F117">
        <f t="shared" si="11"/>
        <v>117.32535087769364</v>
      </c>
      <c r="G117">
        <f t="shared" si="11"/>
        <v>10.586767293526826</v>
      </c>
      <c r="H117">
        <f t="shared" si="11"/>
        <v>146.73229737917271</v>
      </c>
      <c r="I117">
        <f t="shared" si="11"/>
        <v>9.994712084887718</v>
      </c>
      <c r="J117">
        <f t="shared" si="11"/>
        <v>31.288195519405914</v>
      </c>
      <c r="K117">
        <f t="shared" si="11"/>
        <v>39.711782743272977</v>
      </c>
      <c r="L117">
        <f t="shared" si="9"/>
        <v>662.32472917684186</v>
      </c>
    </row>
    <row r="118" spans="2:14" ht="15" x14ac:dyDescent="0.15">
      <c r="B118" s="38">
        <v>42849</v>
      </c>
      <c r="C118">
        <f t="shared" si="11"/>
        <v>18.585920134057794</v>
      </c>
      <c r="D118">
        <f t="shared" si="11"/>
        <v>25.502457735934399</v>
      </c>
      <c r="E118">
        <f t="shared" si="11"/>
        <v>262.59724540888988</v>
      </c>
      <c r="F118">
        <f t="shared" si="11"/>
        <v>117.32535087769364</v>
      </c>
      <c r="G118">
        <f t="shared" si="11"/>
        <v>10.586767293526826</v>
      </c>
      <c r="H118">
        <f t="shared" si="11"/>
        <v>146.73229737917271</v>
      </c>
      <c r="I118">
        <f t="shared" si="11"/>
        <v>9.994712084887718</v>
      </c>
      <c r="J118">
        <f t="shared" si="11"/>
        <v>31.288195519405914</v>
      </c>
      <c r="K118">
        <f t="shared" si="11"/>
        <v>39.711782743272977</v>
      </c>
      <c r="L118">
        <f t="shared" si="9"/>
        <v>662.32472917684186</v>
      </c>
    </row>
    <row r="119" spans="2:14" ht="15" x14ac:dyDescent="0.15">
      <c r="B119" s="38">
        <v>42850</v>
      </c>
      <c r="C119">
        <f t="shared" si="11"/>
        <v>18.585920134057794</v>
      </c>
      <c r="D119">
        <f t="shared" si="11"/>
        <v>25.502457735934399</v>
      </c>
      <c r="E119">
        <f t="shared" si="11"/>
        <v>262.59724540888988</v>
      </c>
      <c r="F119">
        <f t="shared" si="11"/>
        <v>117.32535087769364</v>
      </c>
      <c r="G119">
        <f t="shared" si="11"/>
        <v>10.586767293526826</v>
      </c>
      <c r="H119">
        <f t="shared" si="11"/>
        <v>146.73229737917271</v>
      </c>
      <c r="I119">
        <f t="shared" si="11"/>
        <v>9.994712084887718</v>
      </c>
      <c r="J119">
        <f t="shared" si="11"/>
        <v>31.288195519405914</v>
      </c>
      <c r="K119">
        <f t="shared" si="11"/>
        <v>39.711782743272977</v>
      </c>
      <c r="L119">
        <f t="shared" si="9"/>
        <v>662.32472917684186</v>
      </c>
    </row>
    <row r="120" spans="2:14" ht="15" x14ac:dyDescent="0.15">
      <c r="B120" s="38">
        <v>42851</v>
      </c>
      <c r="C120">
        <f t="shared" si="11"/>
        <v>18.585920134057794</v>
      </c>
      <c r="D120">
        <f t="shared" si="11"/>
        <v>25.502457735934399</v>
      </c>
      <c r="E120">
        <f t="shared" si="11"/>
        <v>262.59724540888988</v>
      </c>
      <c r="F120">
        <f t="shared" si="11"/>
        <v>117.32535087769364</v>
      </c>
      <c r="G120">
        <f t="shared" si="11"/>
        <v>10.586767293526826</v>
      </c>
      <c r="H120">
        <f t="shared" si="11"/>
        <v>146.73229737917271</v>
      </c>
      <c r="I120">
        <f t="shared" si="11"/>
        <v>9.994712084887718</v>
      </c>
      <c r="J120">
        <f t="shared" si="11"/>
        <v>31.288195519405914</v>
      </c>
      <c r="K120">
        <f t="shared" si="11"/>
        <v>39.711782743272977</v>
      </c>
      <c r="L120">
        <f t="shared" si="9"/>
        <v>662.32472917684186</v>
      </c>
    </row>
    <row r="121" spans="2:14" ht="15" x14ac:dyDescent="0.15">
      <c r="B121" s="38">
        <v>42852</v>
      </c>
      <c r="C121">
        <f t="shared" si="11"/>
        <v>18.585920134057794</v>
      </c>
      <c r="D121">
        <f t="shared" si="11"/>
        <v>25.502457735934399</v>
      </c>
      <c r="E121">
        <f t="shared" si="11"/>
        <v>262.59724540888988</v>
      </c>
      <c r="F121">
        <f t="shared" si="11"/>
        <v>117.32535087769364</v>
      </c>
      <c r="G121">
        <f t="shared" si="11"/>
        <v>10.586767293526826</v>
      </c>
      <c r="H121">
        <f t="shared" si="11"/>
        <v>146.73229737917271</v>
      </c>
      <c r="I121">
        <f t="shared" si="11"/>
        <v>9.994712084887718</v>
      </c>
      <c r="J121">
        <f t="shared" si="11"/>
        <v>31.288195519405914</v>
      </c>
      <c r="K121">
        <f t="shared" si="11"/>
        <v>39.711782743272977</v>
      </c>
      <c r="L121">
        <f t="shared" si="9"/>
        <v>662.32472917684186</v>
      </c>
    </row>
    <row r="122" spans="2:14" ht="15" x14ac:dyDescent="0.15">
      <c r="B122" s="38">
        <v>42853</v>
      </c>
      <c r="C122">
        <f t="shared" si="11"/>
        <v>18.585920134057794</v>
      </c>
      <c r="D122">
        <f t="shared" si="11"/>
        <v>25.502457735934399</v>
      </c>
      <c r="E122">
        <f t="shared" si="11"/>
        <v>262.59724540888988</v>
      </c>
      <c r="F122">
        <f t="shared" si="11"/>
        <v>117.32535087769364</v>
      </c>
      <c r="G122">
        <f t="shared" si="11"/>
        <v>10.586767293526826</v>
      </c>
      <c r="H122">
        <f t="shared" si="11"/>
        <v>146.73229737917271</v>
      </c>
      <c r="I122">
        <f t="shared" si="11"/>
        <v>9.994712084887718</v>
      </c>
      <c r="J122">
        <f t="shared" si="11"/>
        <v>31.288195519405914</v>
      </c>
      <c r="K122">
        <f t="shared" si="11"/>
        <v>39.711782743272977</v>
      </c>
      <c r="L122">
        <f t="shared" si="9"/>
        <v>662.32472917684186</v>
      </c>
    </row>
    <row r="123" spans="2:14" ht="15" x14ac:dyDescent="0.15">
      <c r="B123" s="38">
        <v>42854</v>
      </c>
      <c r="C123">
        <f t="shared" si="11"/>
        <v>18.585920134057794</v>
      </c>
      <c r="D123">
        <f t="shared" si="11"/>
        <v>25.502457735934399</v>
      </c>
      <c r="E123">
        <f t="shared" si="11"/>
        <v>262.59724540888988</v>
      </c>
      <c r="F123">
        <f t="shared" si="11"/>
        <v>117.32535087769364</v>
      </c>
      <c r="G123">
        <f t="shared" si="11"/>
        <v>10.586767293526826</v>
      </c>
      <c r="H123">
        <f t="shared" si="11"/>
        <v>146.73229737917271</v>
      </c>
      <c r="I123">
        <f t="shared" si="11"/>
        <v>9.994712084887718</v>
      </c>
      <c r="J123">
        <f t="shared" si="11"/>
        <v>31.288195519405914</v>
      </c>
      <c r="K123">
        <f t="shared" si="11"/>
        <v>39.711782743272977</v>
      </c>
      <c r="L123">
        <f t="shared" si="9"/>
        <v>662.32472917684186</v>
      </c>
    </row>
    <row r="124" spans="2:14" ht="15" x14ac:dyDescent="0.15">
      <c r="B124" s="38">
        <v>42855</v>
      </c>
      <c r="C124">
        <f t="shared" si="11"/>
        <v>18.585920134057794</v>
      </c>
      <c r="D124">
        <f t="shared" si="11"/>
        <v>25.502457735934399</v>
      </c>
      <c r="E124">
        <f t="shared" si="11"/>
        <v>262.59724540888988</v>
      </c>
      <c r="F124">
        <f t="shared" si="11"/>
        <v>117.32535087769364</v>
      </c>
      <c r="G124">
        <f t="shared" si="11"/>
        <v>10.586767293526826</v>
      </c>
      <c r="H124">
        <f t="shared" si="11"/>
        <v>146.73229737917271</v>
      </c>
      <c r="I124">
        <f t="shared" si="11"/>
        <v>9.994712084887718</v>
      </c>
      <c r="J124">
        <f t="shared" si="11"/>
        <v>31.288195519405914</v>
      </c>
      <c r="K124">
        <f t="shared" si="11"/>
        <v>39.711782743272977</v>
      </c>
      <c r="L124">
        <f t="shared" si="9"/>
        <v>662.32472917684186</v>
      </c>
    </row>
    <row r="125" spans="2:14" ht="15" x14ac:dyDescent="0.15">
      <c r="B125" s="38">
        <v>42856</v>
      </c>
      <c r="C125">
        <f>C$3*$O$11/4</f>
        <v>16.743195137153602</v>
      </c>
      <c r="D125">
        <f t="shared" ref="D125:K140" si="12">D$3*$O$11/4</f>
        <v>22.973983707554993</v>
      </c>
      <c r="E125">
        <f t="shared" si="12"/>
        <v>236.56170319505927</v>
      </c>
      <c r="F125">
        <f t="shared" si="12"/>
        <v>105.69297780853854</v>
      </c>
      <c r="G125">
        <f t="shared" si="12"/>
        <v>9.5371286107240696</v>
      </c>
      <c r="H125">
        <f t="shared" si="12"/>
        <v>132.18433471262119</v>
      </c>
      <c r="I125">
        <f t="shared" si="12"/>
        <v>9.0037734785211807</v>
      </c>
      <c r="J125">
        <f t="shared" si="12"/>
        <v>28.18608706441562</v>
      </c>
      <c r="K125">
        <f t="shared" si="12"/>
        <v>35.774506880424369</v>
      </c>
      <c r="L125">
        <f t="shared" si="9"/>
        <v>596.65769059501281</v>
      </c>
      <c r="N125">
        <f>E125*0.2*2</f>
        <v>94.624681278023715</v>
      </c>
    </row>
    <row r="126" spans="2:14" ht="15" x14ac:dyDescent="0.15">
      <c r="B126" s="38">
        <v>42857</v>
      </c>
      <c r="C126">
        <f t="shared" ref="C126:K155" si="13">C$3*$O$11/4</f>
        <v>16.743195137153602</v>
      </c>
      <c r="D126">
        <f t="shared" si="12"/>
        <v>22.973983707554993</v>
      </c>
      <c r="E126">
        <f t="shared" si="12"/>
        <v>236.56170319505927</v>
      </c>
      <c r="F126">
        <f t="shared" si="12"/>
        <v>105.69297780853854</v>
      </c>
      <c r="G126">
        <f t="shared" si="12"/>
        <v>9.5371286107240696</v>
      </c>
      <c r="H126">
        <f t="shared" si="12"/>
        <v>132.18433471262119</v>
      </c>
      <c r="I126">
        <f t="shared" si="12"/>
        <v>9.0037734785211807</v>
      </c>
      <c r="J126">
        <f t="shared" si="12"/>
        <v>28.18608706441562</v>
      </c>
      <c r="K126">
        <f t="shared" si="12"/>
        <v>35.774506880424369</v>
      </c>
      <c r="L126">
        <f t="shared" si="9"/>
        <v>596.65769059501281</v>
      </c>
    </row>
    <row r="127" spans="2:14" ht="15" x14ac:dyDescent="0.15">
      <c r="B127" s="38">
        <v>42858</v>
      </c>
      <c r="C127">
        <f t="shared" si="13"/>
        <v>16.743195137153602</v>
      </c>
      <c r="D127">
        <f t="shared" si="12"/>
        <v>22.973983707554993</v>
      </c>
      <c r="E127">
        <f t="shared" si="12"/>
        <v>236.56170319505927</v>
      </c>
      <c r="F127">
        <f t="shared" si="12"/>
        <v>105.69297780853854</v>
      </c>
      <c r="G127">
        <f t="shared" si="12"/>
        <v>9.5371286107240696</v>
      </c>
      <c r="H127">
        <f t="shared" si="12"/>
        <v>132.18433471262119</v>
      </c>
      <c r="I127">
        <f t="shared" si="12"/>
        <v>9.0037734785211807</v>
      </c>
      <c r="J127">
        <f t="shared" si="12"/>
        <v>28.18608706441562</v>
      </c>
      <c r="K127">
        <f t="shared" si="12"/>
        <v>35.774506880424369</v>
      </c>
      <c r="L127">
        <f t="shared" si="9"/>
        <v>596.65769059501281</v>
      </c>
    </row>
    <row r="128" spans="2:14" ht="15" x14ac:dyDescent="0.15">
      <c r="B128" s="38">
        <v>42859</v>
      </c>
      <c r="C128">
        <f t="shared" si="13"/>
        <v>16.743195137153602</v>
      </c>
      <c r="D128">
        <f t="shared" si="12"/>
        <v>22.973983707554993</v>
      </c>
      <c r="E128">
        <f t="shared" si="12"/>
        <v>236.56170319505927</v>
      </c>
      <c r="F128">
        <f t="shared" si="12"/>
        <v>105.69297780853854</v>
      </c>
      <c r="G128">
        <f t="shared" si="12"/>
        <v>9.5371286107240696</v>
      </c>
      <c r="H128">
        <f t="shared" si="12"/>
        <v>132.18433471262119</v>
      </c>
      <c r="I128">
        <f t="shared" si="12"/>
        <v>9.0037734785211807</v>
      </c>
      <c r="J128">
        <f t="shared" si="12"/>
        <v>28.18608706441562</v>
      </c>
      <c r="K128">
        <f t="shared" si="12"/>
        <v>35.774506880424369</v>
      </c>
      <c r="L128">
        <f t="shared" si="9"/>
        <v>596.65769059501281</v>
      </c>
    </row>
    <row r="129" spans="2:12" ht="15" x14ac:dyDescent="0.15">
      <c r="B129" s="38">
        <v>42860</v>
      </c>
      <c r="C129">
        <f t="shared" si="13"/>
        <v>16.743195137153602</v>
      </c>
      <c r="D129">
        <f t="shared" si="12"/>
        <v>22.973983707554993</v>
      </c>
      <c r="E129">
        <f t="shared" si="12"/>
        <v>236.56170319505927</v>
      </c>
      <c r="F129">
        <f t="shared" si="12"/>
        <v>105.69297780853854</v>
      </c>
      <c r="G129">
        <f t="shared" si="12"/>
        <v>9.5371286107240696</v>
      </c>
      <c r="H129">
        <f t="shared" si="12"/>
        <v>132.18433471262119</v>
      </c>
      <c r="I129">
        <f t="shared" si="12"/>
        <v>9.0037734785211807</v>
      </c>
      <c r="J129">
        <f t="shared" si="12"/>
        <v>28.18608706441562</v>
      </c>
      <c r="K129">
        <f t="shared" si="12"/>
        <v>35.774506880424369</v>
      </c>
      <c r="L129">
        <f t="shared" si="9"/>
        <v>596.65769059501281</v>
      </c>
    </row>
    <row r="130" spans="2:12" ht="15" x14ac:dyDescent="0.15">
      <c r="B130" s="38">
        <v>42861</v>
      </c>
      <c r="C130">
        <f t="shared" si="13"/>
        <v>16.743195137153602</v>
      </c>
      <c r="D130">
        <f t="shared" si="12"/>
        <v>22.973983707554993</v>
      </c>
      <c r="E130">
        <f t="shared" si="12"/>
        <v>236.56170319505927</v>
      </c>
      <c r="F130">
        <f t="shared" si="12"/>
        <v>105.69297780853854</v>
      </c>
      <c r="G130">
        <f t="shared" si="12"/>
        <v>9.5371286107240696</v>
      </c>
      <c r="H130">
        <f t="shared" si="12"/>
        <v>132.18433471262119</v>
      </c>
      <c r="I130">
        <f t="shared" si="12"/>
        <v>9.0037734785211807</v>
      </c>
      <c r="J130">
        <f t="shared" si="12"/>
        <v>28.18608706441562</v>
      </c>
      <c r="K130">
        <f t="shared" si="12"/>
        <v>35.774506880424369</v>
      </c>
      <c r="L130">
        <f t="shared" si="9"/>
        <v>596.65769059501281</v>
      </c>
    </row>
    <row r="131" spans="2:12" ht="15" x14ac:dyDescent="0.15">
      <c r="B131" s="38">
        <v>42862</v>
      </c>
      <c r="C131">
        <f t="shared" si="13"/>
        <v>16.743195137153602</v>
      </c>
      <c r="D131">
        <f t="shared" si="12"/>
        <v>22.973983707554993</v>
      </c>
      <c r="E131">
        <f t="shared" si="12"/>
        <v>236.56170319505927</v>
      </c>
      <c r="F131">
        <f t="shared" si="12"/>
        <v>105.69297780853854</v>
      </c>
      <c r="G131">
        <f t="shared" si="12"/>
        <v>9.5371286107240696</v>
      </c>
      <c r="H131">
        <f t="shared" si="12"/>
        <v>132.18433471262119</v>
      </c>
      <c r="I131">
        <f t="shared" si="12"/>
        <v>9.0037734785211807</v>
      </c>
      <c r="J131">
        <f t="shared" si="12"/>
        <v>28.18608706441562</v>
      </c>
      <c r="K131">
        <f t="shared" si="12"/>
        <v>35.774506880424369</v>
      </c>
      <c r="L131">
        <f t="shared" si="9"/>
        <v>596.65769059501281</v>
      </c>
    </row>
    <row r="132" spans="2:12" ht="15" x14ac:dyDescent="0.15">
      <c r="B132" s="38">
        <v>42863</v>
      </c>
      <c r="C132">
        <f t="shared" si="13"/>
        <v>16.743195137153602</v>
      </c>
      <c r="D132">
        <f t="shared" si="12"/>
        <v>22.973983707554993</v>
      </c>
      <c r="E132">
        <f t="shared" si="12"/>
        <v>236.56170319505927</v>
      </c>
      <c r="F132">
        <f t="shared" si="12"/>
        <v>105.69297780853854</v>
      </c>
      <c r="G132">
        <f t="shared" si="12"/>
        <v>9.5371286107240696</v>
      </c>
      <c r="H132">
        <f t="shared" si="12"/>
        <v>132.18433471262119</v>
      </c>
      <c r="I132">
        <f t="shared" si="12"/>
        <v>9.0037734785211807</v>
      </c>
      <c r="J132">
        <f t="shared" si="12"/>
        <v>28.18608706441562</v>
      </c>
      <c r="K132">
        <f t="shared" si="12"/>
        <v>35.774506880424369</v>
      </c>
      <c r="L132">
        <f t="shared" si="9"/>
        <v>596.65769059501281</v>
      </c>
    </row>
    <row r="133" spans="2:12" ht="15" x14ac:dyDescent="0.15">
      <c r="B133" s="38">
        <v>42864</v>
      </c>
      <c r="C133">
        <f t="shared" si="13"/>
        <v>16.743195137153602</v>
      </c>
      <c r="D133">
        <f t="shared" si="12"/>
        <v>22.973983707554993</v>
      </c>
      <c r="E133">
        <f t="shared" si="12"/>
        <v>236.56170319505927</v>
      </c>
      <c r="F133">
        <f t="shared" si="12"/>
        <v>105.69297780853854</v>
      </c>
      <c r="G133">
        <f t="shared" si="12"/>
        <v>9.5371286107240696</v>
      </c>
      <c r="H133">
        <f t="shared" si="12"/>
        <v>132.18433471262119</v>
      </c>
      <c r="I133">
        <f t="shared" si="12"/>
        <v>9.0037734785211807</v>
      </c>
      <c r="J133">
        <f t="shared" si="12"/>
        <v>28.18608706441562</v>
      </c>
      <c r="K133">
        <f t="shared" si="12"/>
        <v>35.774506880424369</v>
      </c>
      <c r="L133">
        <f t="shared" si="9"/>
        <v>596.65769059501281</v>
      </c>
    </row>
    <row r="134" spans="2:12" ht="15" x14ac:dyDescent="0.15">
      <c r="B134" s="38">
        <v>42865</v>
      </c>
      <c r="C134">
        <f t="shared" si="13"/>
        <v>16.743195137153602</v>
      </c>
      <c r="D134">
        <f t="shared" si="12"/>
        <v>22.973983707554993</v>
      </c>
      <c r="E134">
        <f t="shared" si="12"/>
        <v>236.56170319505927</v>
      </c>
      <c r="F134">
        <f t="shared" si="12"/>
        <v>105.69297780853854</v>
      </c>
      <c r="G134">
        <f t="shared" si="12"/>
        <v>9.5371286107240696</v>
      </c>
      <c r="H134">
        <f t="shared" si="12"/>
        <v>132.18433471262119</v>
      </c>
      <c r="I134">
        <f t="shared" si="12"/>
        <v>9.0037734785211807</v>
      </c>
      <c r="J134">
        <f t="shared" si="12"/>
        <v>28.18608706441562</v>
      </c>
      <c r="K134">
        <f t="shared" si="12"/>
        <v>35.774506880424369</v>
      </c>
      <c r="L134">
        <f t="shared" ref="L134:L197" si="14">SUM(C134:K134)</f>
        <v>596.65769059501281</v>
      </c>
    </row>
    <row r="135" spans="2:12" ht="15" x14ac:dyDescent="0.15">
      <c r="B135" s="38">
        <v>42866</v>
      </c>
      <c r="C135">
        <f t="shared" si="13"/>
        <v>16.743195137153602</v>
      </c>
      <c r="D135">
        <f t="shared" si="12"/>
        <v>22.973983707554993</v>
      </c>
      <c r="E135">
        <f t="shared" si="12"/>
        <v>236.56170319505927</v>
      </c>
      <c r="F135">
        <f t="shared" si="12"/>
        <v>105.69297780853854</v>
      </c>
      <c r="G135">
        <f t="shared" si="12"/>
        <v>9.5371286107240696</v>
      </c>
      <c r="H135">
        <f t="shared" si="12"/>
        <v>132.18433471262119</v>
      </c>
      <c r="I135">
        <f t="shared" si="12"/>
        <v>9.0037734785211807</v>
      </c>
      <c r="J135">
        <f t="shared" si="12"/>
        <v>28.18608706441562</v>
      </c>
      <c r="K135">
        <f t="shared" si="12"/>
        <v>35.774506880424369</v>
      </c>
      <c r="L135">
        <f t="shared" si="14"/>
        <v>596.65769059501281</v>
      </c>
    </row>
    <row r="136" spans="2:12" ht="15" x14ac:dyDescent="0.15">
      <c r="B136" s="38">
        <v>42867</v>
      </c>
      <c r="C136">
        <f t="shared" si="13"/>
        <v>16.743195137153602</v>
      </c>
      <c r="D136">
        <f t="shared" si="12"/>
        <v>22.973983707554993</v>
      </c>
      <c r="E136">
        <f t="shared" si="12"/>
        <v>236.56170319505927</v>
      </c>
      <c r="F136">
        <f t="shared" si="12"/>
        <v>105.69297780853854</v>
      </c>
      <c r="G136">
        <f t="shared" si="12"/>
        <v>9.5371286107240696</v>
      </c>
      <c r="H136">
        <f t="shared" si="12"/>
        <v>132.18433471262119</v>
      </c>
      <c r="I136">
        <f t="shared" si="12"/>
        <v>9.0037734785211807</v>
      </c>
      <c r="J136">
        <f t="shared" si="12"/>
        <v>28.18608706441562</v>
      </c>
      <c r="K136">
        <f t="shared" si="12"/>
        <v>35.774506880424369</v>
      </c>
      <c r="L136">
        <f t="shared" si="14"/>
        <v>596.65769059501281</v>
      </c>
    </row>
    <row r="137" spans="2:12" ht="15" x14ac:dyDescent="0.15">
      <c r="B137" s="38">
        <v>42868</v>
      </c>
      <c r="C137">
        <f t="shared" si="13"/>
        <v>16.743195137153602</v>
      </c>
      <c r="D137">
        <f t="shared" si="12"/>
        <v>22.973983707554993</v>
      </c>
      <c r="E137">
        <f t="shared" si="12"/>
        <v>236.56170319505927</v>
      </c>
      <c r="F137">
        <f t="shared" si="12"/>
        <v>105.69297780853854</v>
      </c>
      <c r="G137">
        <f t="shared" si="12"/>
        <v>9.5371286107240696</v>
      </c>
      <c r="H137">
        <f t="shared" si="12"/>
        <v>132.18433471262119</v>
      </c>
      <c r="I137">
        <f t="shared" si="12"/>
        <v>9.0037734785211807</v>
      </c>
      <c r="J137">
        <f t="shared" si="12"/>
        <v>28.18608706441562</v>
      </c>
      <c r="K137">
        <f t="shared" si="12"/>
        <v>35.774506880424369</v>
      </c>
      <c r="L137">
        <f t="shared" si="14"/>
        <v>596.65769059501281</v>
      </c>
    </row>
    <row r="138" spans="2:12" ht="15" x14ac:dyDescent="0.15">
      <c r="B138" s="38">
        <v>42869</v>
      </c>
      <c r="C138">
        <f t="shared" si="13"/>
        <v>16.743195137153602</v>
      </c>
      <c r="D138">
        <f t="shared" si="12"/>
        <v>22.973983707554993</v>
      </c>
      <c r="E138">
        <f t="shared" si="12"/>
        <v>236.56170319505927</v>
      </c>
      <c r="F138">
        <f t="shared" si="12"/>
        <v>105.69297780853854</v>
      </c>
      <c r="G138">
        <f t="shared" si="12"/>
        <v>9.5371286107240696</v>
      </c>
      <c r="H138">
        <f t="shared" si="12"/>
        <v>132.18433471262119</v>
      </c>
      <c r="I138">
        <f t="shared" si="12"/>
        <v>9.0037734785211807</v>
      </c>
      <c r="J138">
        <f t="shared" si="12"/>
        <v>28.18608706441562</v>
      </c>
      <c r="K138">
        <f t="shared" si="12"/>
        <v>35.774506880424369</v>
      </c>
      <c r="L138">
        <f t="shared" si="14"/>
        <v>596.65769059501281</v>
      </c>
    </row>
    <row r="139" spans="2:12" ht="15" x14ac:dyDescent="0.15">
      <c r="B139" s="38">
        <v>42870</v>
      </c>
      <c r="C139">
        <f t="shared" si="13"/>
        <v>16.743195137153602</v>
      </c>
      <c r="D139">
        <f t="shared" si="12"/>
        <v>22.973983707554993</v>
      </c>
      <c r="E139">
        <f t="shared" si="12"/>
        <v>236.56170319505927</v>
      </c>
      <c r="F139">
        <f t="shared" si="12"/>
        <v>105.69297780853854</v>
      </c>
      <c r="G139">
        <f t="shared" si="12"/>
        <v>9.5371286107240696</v>
      </c>
      <c r="H139">
        <f t="shared" si="12"/>
        <v>132.18433471262119</v>
      </c>
      <c r="I139">
        <f t="shared" si="12"/>
        <v>9.0037734785211807</v>
      </c>
      <c r="J139">
        <f t="shared" si="12"/>
        <v>28.18608706441562</v>
      </c>
      <c r="K139">
        <f t="shared" si="12"/>
        <v>35.774506880424369</v>
      </c>
      <c r="L139">
        <f t="shared" si="14"/>
        <v>596.65769059501281</v>
      </c>
    </row>
    <row r="140" spans="2:12" ht="15" x14ac:dyDescent="0.15">
      <c r="B140" s="38">
        <v>42871</v>
      </c>
      <c r="C140">
        <f t="shared" si="13"/>
        <v>16.743195137153602</v>
      </c>
      <c r="D140">
        <f t="shared" si="12"/>
        <v>22.973983707554993</v>
      </c>
      <c r="E140">
        <f t="shared" si="12"/>
        <v>236.56170319505927</v>
      </c>
      <c r="F140">
        <f t="shared" si="12"/>
        <v>105.69297780853854</v>
      </c>
      <c r="G140">
        <f t="shared" si="12"/>
        <v>9.5371286107240696</v>
      </c>
      <c r="H140">
        <f t="shared" si="12"/>
        <v>132.18433471262119</v>
      </c>
      <c r="I140">
        <f t="shared" si="12"/>
        <v>9.0037734785211807</v>
      </c>
      <c r="J140">
        <f t="shared" si="12"/>
        <v>28.18608706441562</v>
      </c>
      <c r="K140">
        <f t="shared" si="12"/>
        <v>35.774506880424369</v>
      </c>
      <c r="L140">
        <f t="shared" si="14"/>
        <v>596.65769059501281</v>
      </c>
    </row>
    <row r="141" spans="2:12" ht="15" x14ac:dyDescent="0.15">
      <c r="B141" s="38">
        <v>42872</v>
      </c>
      <c r="C141">
        <f t="shared" si="13"/>
        <v>16.743195137153602</v>
      </c>
      <c r="D141">
        <f t="shared" si="13"/>
        <v>22.973983707554993</v>
      </c>
      <c r="E141">
        <f t="shared" si="13"/>
        <v>236.56170319505927</v>
      </c>
      <c r="F141">
        <f t="shared" si="13"/>
        <v>105.69297780853854</v>
      </c>
      <c r="G141">
        <f t="shared" si="13"/>
        <v>9.5371286107240696</v>
      </c>
      <c r="H141">
        <f t="shared" si="13"/>
        <v>132.18433471262119</v>
      </c>
      <c r="I141">
        <f t="shared" si="13"/>
        <v>9.0037734785211807</v>
      </c>
      <c r="J141">
        <f t="shared" si="13"/>
        <v>28.18608706441562</v>
      </c>
      <c r="K141">
        <f t="shared" si="13"/>
        <v>35.774506880424369</v>
      </c>
      <c r="L141">
        <f t="shared" si="14"/>
        <v>596.65769059501281</v>
      </c>
    </row>
    <row r="142" spans="2:12" ht="15" x14ac:dyDescent="0.15">
      <c r="B142" s="38">
        <v>42873</v>
      </c>
      <c r="C142">
        <f t="shared" si="13"/>
        <v>16.743195137153602</v>
      </c>
      <c r="D142">
        <f t="shared" si="13"/>
        <v>22.973983707554993</v>
      </c>
      <c r="E142">
        <f t="shared" si="13"/>
        <v>236.56170319505927</v>
      </c>
      <c r="F142">
        <f t="shared" si="13"/>
        <v>105.69297780853854</v>
      </c>
      <c r="G142">
        <f t="shared" si="13"/>
        <v>9.5371286107240696</v>
      </c>
      <c r="H142">
        <f t="shared" si="13"/>
        <v>132.18433471262119</v>
      </c>
      <c r="I142">
        <f t="shared" si="13"/>
        <v>9.0037734785211807</v>
      </c>
      <c r="J142">
        <f t="shared" si="13"/>
        <v>28.18608706441562</v>
      </c>
      <c r="K142">
        <f t="shared" si="13"/>
        <v>35.774506880424369</v>
      </c>
      <c r="L142">
        <f t="shared" si="14"/>
        <v>596.65769059501281</v>
      </c>
    </row>
    <row r="143" spans="2:12" ht="15" x14ac:dyDescent="0.15">
      <c r="B143" s="38">
        <v>42874</v>
      </c>
      <c r="C143">
        <f t="shared" si="13"/>
        <v>16.743195137153602</v>
      </c>
      <c r="D143">
        <f t="shared" si="13"/>
        <v>22.973983707554993</v>
      </c>
      <c r="E143">
        <f t="shared" si="13"/>
        <v>236.56170319505927</v>
      </c>
      <c r="F143">
        <f t="shared" si="13"/>
        <v>105.69297780853854</v>
      </c>
      <c r="G143">
        <f t="shared" si="13"/>
        <v>9.5371286107240696</v>
      </c>
      <c r="H143">
        <f t="shared" si="13"/>
        <v>132.18433471262119</v>
      </c>
      <c r="I143">
        <f t="shared" si="13"/>
        <v>9.0037734785211807</v>
      </c>
      <c r="J143">
        <f t="shared" si="13"/>
        <v>28.18608706441562</v>
      </c>
      <c r="K143">
        <f t="shared" si="13"/>
        <v>35.774506880424369</v>
      </c>
      <c r="L143">
        <f t="shared" si="14"/>
        <v>596.65769059501281</v>
      </c>
    </row>
    <row r="144" spans="2:12" ht="15" x14ac:dyDescent="0.15">
      <c r="B144" s="38">
        <v>42875</v>
      </c>
      <c r="C144">
        <f t="shared" si="13"/>
        <v>16.743195137153602</v>
      </c>
      <c r="D144">
        <f t="shared" si="13"/>
        <v>22.973983707554993</v>
      </c>
      <c r="E144">
        <f t="shared" si="13"/>
        <v>236.56170319505927</v>
      </c>
      <c r="F144">
        <f t="shared" si="13"/>
        <v>105.69297780853854</v>
      </c>
      <c r="G144">
        <f t="shared" si="13"/>
        <v>9.5371286107240696</v>
      </c>
      <c r="H144">
        <f t="shared" si="13"/>
        <v>132.18433471262119</v>
      </c>
      <c r="I144">
        <f t="shared" si="13"/>
        <v>9.0037734785211807</v>
      </c>
      <c r="J144">
        <f t="shared" si="13"/>
        <v>28.18608706441562</v>
      </c>
      <c r="K144">
        <f t="shared" si="13"/>
        <v>35.774506880424369</v>
      </c>
      <c r="L144">
        <f t="shared" si="14"/>
        <v>596.65769059501281</v>
      </c>
    </row>
    <row r="145" spans="2:12" ht="15" x14ac:dyDescent="0.15">
      <c r="B145" s="38">
        <v>42876</v>
      </c>
      <c r="C145">
        <f t="shared" si="13"/>
        <v>16.743195137153602</v>
      </c>
      <c r="D145">
        <f t="shared" si="13"/>
        <v>22.973983707554993</v>
      </c>
      <c r="E145">
        <f t="shared" si="13"/>
        <v>236.56170319505927</v>
      </c>
      <c r="F145">
        <f t="shared" si="13"/>
        <v>105.69297780853854</v>
      </c>
      <c r="G145">
        <f t="shared" si="13"/>
        <v>9.5371286107240696</v>
      </c>
      <c r="H145">
        <f t="shared" si="13"/>
        <v>132.18433471262119</v>
      </c>
      <c r="I145">
        <f t="shared" si="13"/>
        <v>9.0037734785211807</v>
      </c>
      <c r="J145">
        <f t="shared" si="13"/>
        <v>28.18608706441562</v>
      </c>
      <c r="K145">
        <f t="shared" si="13"/>
        <v>35.774506880424369</v>
      </c>
      <c r="L145">
        <f t="shared" si="14"/>
        <v>596.65769059501281</v>
      </c>
    </row>
    <row r="146" spans="2:12" ht="15" x14ac:dyDescent="0.15">
      <c r="B146" s="38">
        <v>42877</v>
      </c>
      <c r="C146">
        <f t="shared" si="13"/>
        <v>16.743195137153602</v>
      </c>
      <c r="D146">
        <f t="shared" si="13"/>
        <v>22.973983707554993</v>
      </c>
      <c r="E146">
        <f t="shared" si="13"/>
        <v>236.56170319505927</v>
      </c>
      <c r="F146">
        <f t="shared" si="13"/>
        <v>105.69297780853854</v>
      </c>
      <c r="G146">
        <f t="shared" si="13"/>
        <v>9.5371286107240696</v>
      </c>
      <c r="H146">
        <f t="shared" si="13"/>
        <v>132.18433471262119</v>
      </c>
      <c r="I146">
        <f t="shared" si="13"/>
        <v>9.0037734785211807</v>
      </c>
      <c r="J146">
        <f t="shared" si="13"/>
        <v>28.18608706441562</v>
      </c>
      <c r="K146">
        <f t="shared" si="13"/>
        <v>35.774506880424369</v>
      </c>
      <c r="L146">
        <f t="shared" si="14"/>
        <v>596.65769059501281</v>
      </c>
    </row>
    <row r="147" spans="2:12" ht="15" x14ac:dyDescent="0.15">
      <c r="B147" s="38">
        <v>42878</v>
      </c>
      <c r="C147">
        <f t="shared" si="13"/>
        <v>16.743195137153602</v>
      </c>
      <c r="D147">
        <f t="shared" si="13"/>
        <v>22.973983707554993</v>
      </c>
      <c r="E147">
        <f t="shared" si="13"/>
        <v>236.56170319505927</v>
      </c>
      <c r="F147">
        <f t="shared" si="13"/>
        <v>105.69297780853854</v>
      </c>
      <c r="G147">
        <f t="shared" si="13"/>
        <v>9.5371286107240696</v>
      </c>
      <c r="H147">
        <f t="shared" si="13"/>
        <v>132.18433471262119</v>
      </c>
      <c r="I147">
        <f t="shared" si="13"/>
        <v>9.0037734785211807</v>
      </c>
      <c r="J147">
        <f t="shared" si="13"/>
        <v>28.18608706441562</v>
      </c>
      <c r="K147">
        <f t="shared" si="13"/>
        <v>35.774506880424369</v>
      </c>
      <c r="L147">
        <f t="shared" si="14"/>
        <v>596.65769059501281</v>
      </c>
    </row>
    <row r="148" spans="2:12" ht="15" x14ac:dyDescent="0.15">
      <c r="B148" s="38">
        <v>42879</v>
      </c>
      <c r="C148">
        <f t="shared" si="13"/>
        <v>16.743195137153602</v>
      </c>
      <c r="D148">
        <f t="shared" si="13"/>
        <v>22.973983707554993</v>
      </c>
      <c r="E148">
        <f t="shared" si="13"/>
        <v>236.56170319505927</v>
      </c>
      <c r="F148">
        <f t="shared" si="13"/>
        <v>105.69297780853854</v>
      </c>
      <c r="G148">
        <f t="shared" si="13"/>
        <v>9.5371286107240696</v>
      </c>
      <c r="H148">
        <f t="shared" si="13"/>
        <v>132.18433471262119</v>
      </c>
      <c r="I148">
        <f t="shared" si="13"/>
        <v>9.0037734785211807</v>
      </c>
      <c r="J148">
        <f t="shared" si="13"/>
        <v>28.18608706441562</v>
      </c>
      <c r="K148">
        <f t="shared" si="13"/>
        <v>35.774506880424369</v>
      </c>
      <c r="L148">
        <f t="shared" si="14"/>
        <v>596.65769059501281</v>
      </c>
    </row>
    <row r="149" spans="2:12" ht="15" x14ac:dyDescent="0.15">
      <c r="B149" s="38">
        <v>42880</v>
      </c>
      <c r="C149">
        <f t="shared" si="13"/>
        <v>16.743195137153602</v>
      </c>
      <c r="D149">
        <f t="shared" si="13"/>
        <v>22.973983707554993</v>
      </c>
      <c r="E149">
        <f t="shared" si="13"/>
        <v>236.56170319505927</v>
      </c>
      <c r="F149">
        <f t="shared" si="13"/>
        <v>105.69297780853854</v>
      </c>
      <c r="G149">
        <f t="shared" si="13"/>
        <v>9.5371286107240696</v>
      </c>
      <c r="H149">
        <f t="shared" si="13"/>
        <v>132.18433471262119</v>
      </c>
      <c r="I149">
        <f t="shared" si="13"/>
        <v>9.0037734785211807</v>
      </c>
      <c r="J149">
        <f t="shared" si="13"/>
        <v>28.18608706441562</v>
      </c>
      <c r="K149">
        <f t="shared" si="13"/>
        <v>35.774506880424369</v>
      </c>
      <c r="L149">
        <f t="shared" si="14"/>
        <v>596.65769059501281</v>
      </c>
    </row>
    <row r="150" spans="2:12" ht="15" x14ac:dyDescent="0.15">
      <c r="B150" s="38">
        <v>42881</v>
      </c>
      <c r="C150">
        <f t="shared" si="13"/>
        <v>16.743195137153602</v>
      </c>
      <c r="D150">
        <f t="shared" si="13"/>
        <v>22.973983707554993</v>
      </c>
      <c r="E150">
        <f t="shared" si="13"/>
        <v>236.56170319505927</v>
      </c>
      <c r="F150">
        <f t="shared" si="13"/>
        <v>105.69297780853854</v>
      </c>
      <c r="G150">
        <f t="shared" si="13"/>
        <v>9.5371286107240696</v>
      </c>
      <c r="H150">
        <f t="shared" si="13"/>
        <v>132.18433471262119</v>
      </c>
      <c r="I150">
        <f t="shared" si="13"/>
        <v>9.0037734785211807</v>
      </c>
      <c r="J150">
        <f t="shared" si="13"/>
        <v>28.18608706441562</v>
      </c>
      <c r="K150">
        <f t="shared" si="13"/>
        <v>35.774506880424369</v>
      </c>
      <c r="L150">
        <f t="shared" si="14"/>
        <v>596.65769059501281</v>
      </c>
    </row>
    <row r="151" spans="2:12" ht="15" x14ac:dyDescent="0.15">
      <c r="B151" s="38">
        <v>42882</v>
      </c>
      <c r="C151">
        <f t="shared" si="13"/>
        <v>16.743195137153602</v>
      </c>
      <c r="D151">
        <f t="shared" si="13"/>
        <v>22.973983707554993</v>
      </c>
      <c r="E151">
        <f t="shared" si="13"/>
        <v>236.56170319505927</v>
      </c>
      <c r="F151">
        <f t="shared" si="13"/>
        <v>105.69297780853854</v>
      </c>
      <c r="G151">
        <f t="shared" si="13"/>
        <v>9.5371286107240696</v>
      </c>
      <c r="H151">
        <f t="shared" si="13"/>
        <v>132.18433471262119</v>
      </c>
      <c r="I151">
        <f t="shared" si="13"/>
        <v>9.0037734785211807</v>
      </c>
      <c r="J151">
        <f t="shared" si="13"/>
        <v>28.18608706441562</v>
      </c>
      <c r="K151">
        <f t="shared" si="13"/>
        <v>35.774506880424369</v>
      </c>
      <c r="L151">
        <f t="shared" si="14"/>
        <v>596.65769059501281</v>
      </c>
    </row>
    <row r="152" spans="2:12" ht="15" x14ac:dyDescent="0.15">
      <c r="B152" s="38">
        <v>42883</v>
      </c>
      <c r="C152">
        <f t="shared" si="13"/>
        <v>16.743195137153602</v>
      </c>
      <c r="D152">
        <f t="shared" si="13"/>
        <v>22.973983707554993</v>
      </c>
      <c r="E152">
        <f t="shared" si="13"/>
        <v>236.56170319505927</v>
      </c>
      <c r="F152">
        <f t="shared" si="13"/>
        <v>105.69297780853854</v>
      </c>
      <c r="G152">
        <f t="shared" si="13"/>
        <v>9.5371286107240696</v>
      </c>
      <c r="H152">
        <f t="shared" si="13"/>
        <v>132.18433471262119</v>
      </c>
      <c r="I152">
        <f t="shared" si="13"/>
        <v>9.0037734785211807</v>
      </c>
      <c r="J152">
        <f t="shared" si="13"/>
        <v>28.18608706441562</v>
      </c>
      <c r="K152">
        <f t="shared" si="13"/>
        <v>35.774506880424369</v>
      </c>
      <c r="L152">
        <f t="shared" si="14"/>
        <v>596.65769059501281</v>
      </c>
    </row>
    <row r="153" spans="2:12" ht="15" x14ac:dyDescent="0.15">
      <c r="B153" s="38">
        <v>42884</v>
      </c>
      <c r="C153">
        <f t="shared" si="13"/>
        <v>16.743195137153602</v>
      </c>
      <c r="D153">
        <f t="shared" si="13"/>
        <v>22.973983707554993</v>
      </c>
      <c r="E153">
        <f t="shared" si="13"/>
        <v>236.56170319505927</v>
      </c>
      <c r="F153">
        <f t="shared" si="13"/>
        <v>105.69297780853854</v>
      </c>
      <c r="G153">
        <f t="shared" si="13"/>
        <v>9.5371286107240696</v>
      </c>
      <c r="H153">
        <f t="shared" si="13"/>
        <v>132.18433471262119</v>
      </c>
      <c r="I153">
        <f t="shared" si="13"/>
        <v>9.0037734785211807</v>
      </c>
      <c r="J153">
        <f t="shared" si="13"/>
        <v>28.18608706441562</v>
      </c>
      <c r="K153">
        <f t="shared" si="13"/>
        <v>35.774506880424369</v>
      </c>
      <c r="L153">
        <f t="shared" si="14"/>
        <v>596.65769059501281</v>
      </c>
    </row>
    <row r="154" spans="2:12" ht="15" x14ac:dyDescent="0.15">
      <c r="B154" s="38">
        <v>42885</v>
      </c>
      <c r="C154">
        <f t="shared" si="13"/>
        <v>16.743195137153602</v>
      </c>
      <c r="D154">
        <f t="shared" si="13"/>
        <v>22.973983707554993</v>
      </c>
      <c r="E154">
        <f t="shared" si="13"/>
        <v>236.56170319505927</v>
      </c>
      <c r="F154">
        <f t="shared" si="13"/>
        <v>105.69297780853854</v>
      </c>
      <c r="G154">
        <f t="shared" si="13"/>
        <v>9.5371286107240696</v>
      </c>
      <c r="H154">
        <f t="shared" si="13"/>
        <v>132.18433471262119</v>
      </c>
      <c r="I154">
        <f t="shared" si="13"/>
        <v>9.0037734785211807</v>
      </c>
      <c r="J154">
        <f t="shared" si="13"/>
        <v>28.18608706441562</v>
      </c>
      <c r="K154">
        <f t="shared" si="13"/>
        <v>35.774506880424369</v>
      </c>
      <c r="L154">
        <f t="shared" si="14"/>
        <v>596.65769059501281</v>
      </c>
    </row>
    <row r="155" spans="2:12" ht="15" x14ac:dyDescent="0.15">
      <c r="B155" s="38">
        <v>42886</v>
      </c>
      <c r="C155">
        <f t="shared" si="13"/>
        <v>16.743195137153602</v>
      </c>
      <c r="D155">
        <f t="shared" si="13"/>
        <v>22.973983707554993</v>
      </c>
      <c r="E155">
        <f t="shared" si="13"/>
        <v>236.56170319505927</v>
      </c>
      <c r="F155">
        <f t="shared" si="13"/>
        <v>105.69297780853854</v>
      </c>
      <c r="G155">
        <f t="shared" si="13"/>
        <v>9.5371286107240696</v>
      </c>
      <c r="H155">
        <f t="shared" si="13"/>
        <v>132.18433471262119</v>
      </c>
      <c r="I155">
        <f t="shared" si="13"/>
        <v>9.0037734785211807</v>
      </c>
      <c r="J155">
        <f t="shared" si="13"/>
        <v>28.18608706441562</v>
      </c>
      <c r="K155">
        <f t="shared" si="13"/>
        <v>35.774506880424369</v>
      </c>
      <c r="L155">
        <f t="shared" si="14"/>
        <v>596.65769059501281</v>
      </c>
    </row>
    <row r="156" spans="2:12" ht="15" x14ac:dyDescent="0.15">
      <c r="B156" s="38">
        <v>42887</v>
      </c>
      <c r="C156">
        <f>C$3*$O$12/4</f>
        <v>15.839221751215939</v>
      </c>
      <c r="D156">
        <f t="shared" ref="D156:K171" si="15">D$3*$O$12/4</f>
        <v>21.733606965214417</v>
      </c>
      <c r="E156">
        <f t="shared" si="15"/>
        <v>223.78961984605206</v>
      </c>
      <c r="F156">
        <f t="shared" si="15"/>
        <v>99.98656166533749</v>
      </c>
      <c r="G156">
        <f t="shared" si="15"/>
        <v>9.0222143203668921</v>
      </c>
      <c r="H156">
        <f t="shared" si="15"/>
        <v>125.04763710865362</v>
      </c>
      <c r="I156">
        <f t="shared" si="15"/>
        <v>8.5176552955267368</v>
      </c>
      <c r="J156">
        <f t="shared" si="15"/>
        <v>26.664306284150214</v>
      </c>
      <c r="K156">
        <f t="shared" si="15"/>
        <v>33.843023561378182</v>
      </c>
      <c r="L156">
        <f t="shared" si="14"/>
        <v>564.44384679789573</v>
      </c>
    </row>
    <row r="157" spans="2:12" ht="15" x14ac:dyDescent="0.15">
      <c r="B157" s="38">
        <v>42888</v>
      </c>
      <c r="C157">
        <f t="shared" ref="C157:K185" si="16">C$3*$O$12/4</f>
        <v>15.839221751215939</v>
      </c>
      <c r="D157">
        <f t="shared" si="15"/>
        <v>21.733606965214417</v>
      </c>
      <c r="E157">
        <f t="shared" si="15"/>
        <v>223.78961984605206</v>
      </c>
      <c r="F157">
        <f t="shared" si="15"/>
        <v>99.98656166533749</v>
      </c>
      <c r="G157">
        <f t="shared" si="15"/>
        <v>9.0222143203668921</v>
      </c>
      <c r="H157">
        <f t="shared" si="15"/>
        <v>125.04763710865362</v>
      </c>
      <c r="I157">
        <f t="shared" si="15"/>
        <v>8.5176552955267368</v>
      </c>
      <c r="J157">
        <f t="shared" si="15"/>
        <v>26.664306284150214</v>
      </c>
      <c r="K157">
        <f t="shared" si="15"/>
        <v>33.843023561378182</v>
      </c>
      <c r="L157">
        <f t="shared" si="14"/>
        <v>564.44384679789573</v>
      </c>
    </row>
    <row r="158" spans="2:12" ht="15" x14ac:dyDescent="0.15">
      <c r="B158" s="38">
        <v>42889</v>
      </c>
      <c r="C158">
        <f t="shared" si="16"/>
        <v>15.839221751215939</v>
      </c>
      <c r="D158">
        <f t="shared" si="15"/>
        <v>21.733606965214417</v>
      </c>
      <c r="E158">
        <f t="shared" si="15"/>
        <v>223.78961984605206</v>
      </c>
      <c r="F158">
        <f t="shared" si="15"/>
        <v>99.98656166533749</v>
      </c>
      <c r="G158">
        <f t="shared" si="15"/>
        <v>9.0222143203668921</v>
      </c>
      <c r="H158">
        <f t="shared" si="15"/>
        <v>125.04763710865362</v>
      </c>
      <c r="I158">
        <f t="shared" si="15"/>
        <v>8.5176552955267368</v>
      </c>
      <c r="J158">
        <f t="shared" si="15"/>
        <v>26.664306284150214</v>
      </c>
      <c r="K158">
        <f t="shared" si="15"/>
        <v>33.843023561378182</v>
      </c>
      <c r="L158">
        <f t="shared" si="14"/>
        <v>564.44384679789573</v>
      </c>
    </row>
    <row r="159" spans="2:12" ht="15" x14ac:dyDescent="0.15">
      <c r="B159" s="38">
        <v>42890</v>
      </c>
      <c r="C159">
        <f t="shared" si="16"/>
        <v>15.839221751215939</v>
      </c>
      <c r="D159">
        <f t="shared" si="15"/>
        <v>21.733606965214417</v>
      </c>
      <c r="E159">
        <f t="shared" si="15"/>
        <v>223.78961984605206</v>
      </c>
      <c r="F159">
        <f t="shared" si="15"/>
        <v>99.98656166533749</v>
      </c>
      <c r="G159">
        <f t="shared" si="15"/>
        <v>9.0222143203668921</v>
      </c>
      <c r="H159">
        <f t="shared" si="15"/>
        <v>125.04763710865362</v>
      </c>
      <c r="I159">
        <f t="shared" si="15"/>
        <v>8.5176552955267368</v>
      </c>
      <c r="J159">
        <f t="shared" si="15"/>
        <v>26.664306284150214</v>
      </c>
      <c r="K159">
        <f t="shared" si="15"/>
        <v>33.843023561378182</v>
      </c>
      <c r="L159">
        <f t="shared" si="14"/>
        <v>564.44384679789573</v>
      </c>
    </row>
    <row r="160" spans="2:12" ht="15" x14ac:dyDescent="0.15">
      <c r="B160" s="38">
        <v>42891</v>
      </c>
      <c r="C160">
        <f t="shared" si="16"/>
        <v>15.839221751215939</v>
      </c>
      <c r="D160">
        <f t="shared" si="15"/>
        <v>21.733606965214417</v>
      </c>
      <c r="E160">
        <f t="shared" si="15"/>
        <v>223.78961984605206</v>
      </c>
      <c r="F160">
        <f t="shared" si="15"/>
        <v>99.98656166533749</v>
      </c>
      <c r="G160">
        <f t="shared" si="15"/>
        <v>9.0222143203668921</v>
      </c>
      <c r="H160">
        <f t="shared" si="15"/>
        <v>125.04763710865362</v>
      </c>
      <c r="I160">
        <f t="shared" si="15"/>
        <v>8.5176552955267368</v>
      </c>
      <c r="J160">
        <f t="shared" si="15"/>
        <v>26.664306284150214</v>
      </c>
      <c r="K160">
        <f t="shared" si="15"/>
        <v>33.843023561378182</v>
      </c>
      <c r="L160">
        <f t="shared" si="14"/>
        <v>564.44384679789573</v>
      </c>
    </row>
    <row r="161" spans="2:12" ht="15" x14ac:dyDescent="0.15">
      <c r="B161" s="38">
        <v>42892</v>
      </c>
      <c r="C161">
        <f t="shared" si="16"/>
        <v>15.839221751215939</v>
      </c>
      <c r="D161">
        <f t="shared" si="15"/>
        <v>21.733606965214417</v>
      </c>
      <c r="E161">
        <f t="shared" si="15"/>
        <v>223.78961984605206</v>
      </c>
      <c r="F161">
        <f t="shared" si="15"/>
        <v>99.98656166533749</v>
      </c>
      <c r="G161">
        <f t="shared" si="15"/>
        <v>9.0222143203668921</v>
      </c>
      <c r="H161">
        <f t="shared" si="15"/>
        <v>125.04763710865362</v>
      </c>
      <c r="I161">
        <f t="shared" si="15"/>
        <v>8.5176552955267368</v>
      </c>
      <c r="J161">
        <f t="shared" si="15"/>
        <v>26.664306284150214</v>
      </c>
      <c r="K161">
        <f t="shared" si="15"/>
        <v>33.843023561378182</v>
      </c>
      <c r="L161">
        <f t="shared" si="14"/>
        <v>564.44384679789573</v>
      </c>
    </row>
    <row r="162" spans="2:12" ht="15" x14ac:dyDescent="0.15">
      <c r="B162" s="38">
        <v>42893</v>
      </c>
      <c r="C162">
        <f t="shared" si="16"/>
        <v>15.839221751215939</v>
      </c>
      <c r="D162">
        <f t="shared" si="15"/>
        <v>21.733606965214417</v>
      </c>
      <c r="E162">
        <f t="shared" si="15"/>
        <v>223.78961984605206</v>
      </c>
      <c r="F162">
        <f t="shared" si="15"/>
        <v>99.98656166533749</v>
      </c>
      <c r="G162">
        <f t="shared" si="15"/>
        <v>9.0222143203668921</v>
      </c>
      <c r="H162">
        <f t="shared" si="15"/>
        <v>125.04763710865362</v>
      </c>
      <c r="I162">
        <f t="shared" si="15"/>
        <v>8.5176552955267368</v>
      </c>
      <c r="J162">
        <f t="shared" si="15"/>
        <v>26.664306284150214</v>
      </c>
      <c r="K162">
        <f t="shared" si="15"/>
        <v>33.843023561378182</v>
      </c>
      <c r="L162">
        <f t="shared" si="14"/>
        <v>564.44384679789573</v>
      </c>
    </row>
    <row r="163" spans="2:12" ht="15" x14ac:dyDescent="0.15">
      <c r="B163" s="38">
        <v>42894</v>
      </c>
      <c r="C163">
        <f t="shared" si="16"/>
        <v>15.839221751215939</v>
      </c>
      <c r="D163">
        <f t="shared" si="15"/>
        <v>21.733606965214417</v>
      </c>
      <c r="E163">
        <f t="shared" si="15"/>
        <v>223.78961984605206</v>
      </c>
      <c r="F163">
        <f t="shared" si="15"/>
        <v>99.98656166533749</v>
      </c>
      <c r="G163">
        <f t="shared" si="15"/>
        <v>9.0222143203668921</v>
      </c>
      <c r="H163">
        <f t="shared" si="15"/>
        <v>125.04763710865362</v>
      </c>
      <c r="I163">
        <f t="shared" si="15"/>
        <v>8.5176552955267368</v>
      </c>
      <c r="J163">
        <f t="shared" si="15"/>
        <v>26.664306284150214</v>
      </c>
      <c r="K163">
        <f t="shared" si="15"/>
        <v>33.843023561378182</v>
      </c>
      <c r="L163">
        <f t="shared" si="14"/>
        <v>564.44384679789573</v>
      </c>
    </row>
    <row r="164" spans="2:12" ht="15" x14ac:dyDescent="0.15">
      <c r="B164" s="38">
        <v>42895</v>
      </c>
      <c r="C164">
        <f t="shared" si="16"/>
        <v>15.839221751215939</v>
      </c>
      <c r="D164">
        <f t="shared" si="15"/>
        <v>21.733606965214417</v>
      </c>
      <c r="E164">
        <f t="shared" si="15"/>
        <v>223.78961984605206</v>
      </c>
      <c r="F164">
        <f t="shared" si="15"/>
        <v>99.98656166533749</v>
      </c>
      <c r="G164">
        <f t="shared" si="15"/>
        <v>9.0222143203668921</v>
      </c>
      <c r="H164">
        <f t="shared" si="15"/>
        <v>125.04763710865362</v>
      </c>
      <c r="I164">
        <f t="shared" si="15"/>
        <v>8.5176552955267368</v>
      </c>
      <c r="J164">
        <f t="shared" si="15"/>
        <v>26.664306284150214</v>
      </c>
      <c r="K164">
        <f t="shared" si="15"/>
        <v>33.843023561378182</v>
      </c>
      <c r="L164">
        <f t="shared" si="14"/>
        <v>564.44384679789573</v>
      </c>
    </row>
    <row r="165" spans="2:12" ht="15" x14ac:dyDescent="0.15">
      <c r="B165" s="38">
        <v>42896</v>
      </c>
      <c r="C165">
        <f t="shared" si="16"/>
        <v>15.839221751215939</v>
      </c>
      <c r="D165">
        <f t="shared" si="15"/>
        <v>21.733606965214417</v>
      </c>
      <c r="E165">
        <f t="shared" si="15"/>
        <v>223.78961984605206</v>
      </c>
      <c r="F165">
        <f t="shared" si="15"/>
        <v>99.98656166533749</v>
      </c>
      <c r="G165">
        <f t="shared" si="15"/>
        <v>9.0222143203668921</v>
      </c>
      <c r="H165">
        <f t="shared" si="15"/>
        <v>125.04763710865362</v>
      </c>
      <c r="I165">
        <f t="shared" si="15"/>
        <v>8.5176552955267368</v>
      </c>
      <c r="J165">
        <f t="shared" si="15"/>
        <v>26.664306284150214</v>
      </c>
      <c r="K165">
        <f t="shared" si="15"/>
        <v>33.843023561378182</v>
      </c>
      <c r="L165">
        <f t="shared" si="14"/>
        <v>564.44384679789573</v>
      </c>
    </row>
    <row r="166" spans="2:12" ht="15" x14ac:dyDescent="0.15">
      <c r="B166" s="38">
        <v>42897</v>
      </c>
      <c r="C166">
        <f t="shared" si="16"/>
        <v>15.839221751215939</v>
      </c>
      <c r="D166">
        <f t="shared" si="15"/>
        <v>21.733606965214417</v>
      </c>
      <c r="E166">
        <f t="shared" si="15"/>
        <v>223.78961984605206</v>
      </c>
      <c r="F166">
        <f t="shared" si="15"/>
        <v>99.98656166533749</v>
      </c>
      <c r="G166">
        <f t="shared" si="15"/>
        <v>9.0222143203668921</v>
      </c>
      <c r="H166">
        <f t="shared" si="15"/>
        <v>125.04763710865362</v>
      </c>
      <c r="I166">
        <f t="shared" si="15"/>
        <v>8.5176552955267368</v>
      </c>
      <c r="J166">
        <f t="shared" si="15"/>
        <v>26.664306284150214</v>
      </c>
      <c r="K166">
        <f t="shared" si="15"/>
        <v>33.843023561378182</v>
      </c>
      <c r="L166">
        <f t="shared" si="14"/>
        <v>564.44384679789573</v>
      </c>
    </row>
    <row r="167" spans="2:12" ht="15" x14ac:dyDescent="0.15">
      <c r="B167" s="38">
        <v>42898</v>
      </c>
      <c r="C167">
        <f t="shared" si="16"/>
        <v>15.839221751215939</v>
      </c>
      <c r="D167">
        <f t="shared" si="15"/>
        <v>21.733606965214417</v>
      </c>
      <c r="E167">
        <f t="shared" si="15"/>
        <v>223.78961984605206</v>
      </c>
      <c r="F167">
        <f t="shared" si="15"/>
        <v>99.98656166533749</v>
      </c>
      <c r="G167">
        <f t="shared" si="15"/>
        <v>9.0222143203668921</v>
      </c>
      <c r="H167">
        <f t="shared" si="15"/>
        <v>125.04763710865362</v>
      </c>
      <c r="I167">
        <f t="shared" si="15"/>
        <v>8.5176552955267368</v>
      </c>
      <c r="J167">
        <f t="shared" si="15"/>
        <v>26.664306284150214</v>
      </c>
      <c r="K167">
        <f t="shared" si="15"/>
        <v>33.843023561378182</v>
      </c>
      <c r="L167">
        <f t="shared" si="14"/>
        <v>564.44384679789573</v>
      </c>
    </row>
    <row r="168" spans="2:12" ht="15" x14ac:dyDescent="0.15">
      <c r="B168" s="38">
        <v>42899</v>
      </c>
      <c r="C168">
        <f t="shared" si="16"/>
        <v>15.839221751215939</v>
      </c>
      <c r="D168">
        <f t="shared" si="15"/>
        <v>21.733606965214417</v>
      </c>
      <c r="E168">
        <f t="shared" si="15"/>
        <v>223.78961984605206</v>
      </c>
      <c r="F168">
        <f t="shared" si="15"/>
        <v>99.98656166533749</v>
      </c>
      <c r="G168">
        <f t="shared" si="15"/>
        <v>9.0222143203668921</v>
      </c>
      <c r="H168">
        <f t="shared" si="15"/>
        <v>125.04763710865362</v>
      </c>
      <c r="I168">
        <f t="shared" si="15"/>
        <v>8.5176552955267368</v>
      </c>
      <c r="J168">
        <f t="shared" si="15"/>
        <v>26.664306284150214</v>
      </c>
      <c r="K168">
        <f t="shared" si="15"/>
        <v>33.843023561378182</v>
      </c>
      <c r="L168">
        <f t="shared" si="14"/>
        <v>564.44384679789573</v>
      </c>
    </row>
    <row r="169" spans="2:12" ht="15" x14ac:dyDescent="0.15">
      <c r="B169" s="38">
        <v>42900</v>
      </c>
      <c r="C169">
        <f t="shared" si="16"/>
        <v>15.839221751215939</v>
      </c>
      <c r="D169">
        <f t="shared" si="15"/>
        <v>21.733606965214417</v>
      </c>
      <c r="E169">
        <f t="shared" si="15"/>
        <v>223.78961984605206</v>
      </c>
      <c r="F169">
        <f t="shared" si="15"/>
        <v>99.98656166533749</v>
      </c>
      <c r="G169">
        <f t="shared" si="15"/>
        <v>9.0222143203668921</v>
      </c>
      <c r="H169">
        <f t="shared" si="15"/>
        <v>125.04763710865362</v>
      </c>
      <c r="I169">
        <f t="shared" si="15"/>
        <v>8.5176552955267368</v>
      </c>
      <c r="J169">
        <f t="shared" si="15"/>
        <v>26.664306284150214</v>
      </c>
      <c r="K169">
        <f t="shared" si="15"/>
        <v>33.843023561378182</v>
      </c>
      <c r="L169">
        <f t="shared" si="14"/>
        <v>564.44384679789573</v>
      </c>
    </row>
    <row r="170" spans="2:12" ht="15" x14ac:dyDescent="0.15">
      <c r="B170" s="38">
        <v>42901</v>
      </c>
      <c r="C170">
        <f t="shared" si="16"/>
        <v>15.839221751215939</v>
      </c>
      <c r="D170">
        <f t="shared" si="15"/>
        <v>21.733606965214417</v>
      </c>
      <c r="E170">
        <f t="shared" si="15"/>
        <v>223.78961984605206</v>
      </c>
      <c r="F170">
        <f t="shared" si="15"/>
        <v>99.98656166533749</v>
      </c>
      <c r="G170">
        <f t="shared" si="15"/>
        <v>9.0222143203668921</v>
      </c>
      <c r="H170">
        <f t="shared" si="15"/>
        <v>125.04763710865362</v>
      </c>
      <c r="I170">
        <f t="shared" si="15"/>
        <v>8.5176552955267368</v>
      </c>
      <c r="J170">
        <f t="shared" si="15"/>
        <v>26.664306284150214</v>
      </c>
      <c r="K170">
        <f t="shared" si="15"/>
        <v>33.843023561378182</v>
      </c>
      <c r="L170">
        <f t="shared" si="14"/>
        <v>564.44384679789573</v>
      </c>
    </row>
    <row r="171" spans="2:12" ht="15" x14ac:dyDescent="0.15">
      <c r="B171" s="38">
        <v>42902</v>
      </c>
      <c r="C171">
        <f t="shared" si="16"/>
        <v>15.839221751215939</v>
      </c>
      <c r="D171">
        <f t="shared" si="15"/>
        <v>21.733606965214417</v>
      </c>
      <c r="E171">
        <f t="shared" si="15"/>
        <v>223.78961984605206</v>
      </c>
      <c r="F171">
        <f t="shared" si="15"/>
        <v>99.98656166533749</v>
      </c>
      <c r="G171">
        <f t="shared" si="15"/>
        <v>9.0222143203668921</v>
      </c>
      <c r="H171">
        <f t="shared" si="15"/>
        <v>125.04763710865362</v>
      </c>
      <c r="I171">
        <f t="shared" si="15"/>
        <v>8.5176552955267368</v>
      </c>
      <c r="J171">
        <f t="shared" si="15"/>
        <v>26.664306284150214</v>
      </c>
      <c r="K171">
        <f t="shared" si="15"/>
        <v>33.843023561378182</v>
      </c>
      <c r="L171">
        <f t="shared" si="14"/>
        <v>564.44384679789573</v>
      </c>
    </row>
    <row r="172" spans="2:12" ht="15" x14ac:dyDescent="0.15">
      <c r="B172" s="38">
        <v>42903</v>
      </c>
      <c r="C172">
        <f t="shared" si="16"/>
        <v>15.839221751215939</v>
      </c>
      <c r="D172">
        <f t="shared" si="16"/>
        <v>21.733606965214417</v>
      </c>
      <c r="E172">
        <f t="shared" si="16"/>
        <v>223.78961984605206</v>
      </c>
      <c r="F172">
        <f t="shared" si="16"/>
        <v>99.98656166533749</v>
      </c>
      <c r="G172">
        <f t="shared" si="16"/>
        <v>9.0222143203668921</v>
      </c>
      <c r="H172">
        <f t="shared" si="16"/>
        <v>125.04763710865362</v>
      </c>
      <c r="I172">
        <f t="shared" si="16"/>
        <v>8.5176552955267368</v>
      </c>
      <c r="J172">
        <f t="shared" si="16"/>
        <v>26.664306284150214</v>
      </c>
      <c r="K172">
        <f t="shared" si="16"/>
        <v>33.843023561378182</v>
      </c>
      <c r="L172">
        <f t="shared" si="14"/>
        <v>564.44384679789573</v>
      </c>
    </row>
    <row r="173" spans="2:12" ht="15" x14ac:dyDescent="0.15">
      <c r="B173" s="38">
        <v>42904</v>
      </c>
      <c r="C173">
        <f t="shared" si="16"/>
        <v>15.839221751215939</v>
      </c>
      <c r="D173">
        <f t="shared" si="16"/>
        <v>21.733606965214417</v>
      </c>
      <c r="E173">
        <f t="shared" si="16"/>
        <v>223.78961984605206</v>
      </c>
      <c r="F173">
        <f t="shared" si="16"/>
        <v>99.98656166533749</v>
      </c>
      <c r="G173">
        <f t="shared" si="16"/>
        <v>9.0222143203668921</v>
      </c>
      <c r="H173">
        <f t="shared" si="16"/>
        <v>125.04763710865362</v>
      </c>
      <c r="I173">
        <f t="shared" si="16"/>
        <v>8.5176552955267368</v>
      </c>
      <c r="J173">
        <f t="shared" si="16"/>
        <v>26.664306284150214</v>
      </c>
      <c r="K173">
        <f t="shared" si="16"/>
        <v>33.843023561378182</v>
      </c>
      <c r="L173">
        <f t="shared" si="14"/>
        <v>564.44384679789573</v>
      </c>
    </row>
    <row r="174" spans="2:12" ht="15" x14ac:dyDescent="0.15">
      <c r="B174" s="38">
        <v>42905</v>
      </c>
      <c r="C174">
        <f t="shared" si="16"/>
        <v>15.839221751215939</v>
      </c>
      <c r="D174">
        <f t="shared" si="16"/>
        <v>21.733606965214417</v>
      </c>
      <c r="E174">
        <f t="shared" si="16"/>
        <v>223.78961984605206</v>
      </c>
      <c r="F174">
        <f t="shared" si="16"/>
        <v>99.98656166533749</v>
      </c>
      <c r="G174">
        <f t="shared" si="16"/>
        <v>9.0222143203668921</v>
      </c>
      <c r="H174">
        <f t="shared" si="16"/>
        <v>125.04763710865362</v>
      </c>
      <c r="I174">
        <f t="shared" si="16"/>
        <v>8.5176552955267368</v>
      </c>
      <c r="J174">
        <f t="shared" si="16"/>
        <v>26.664306284150214</v>
      </c>
      <c r="K174">
        <f t="shared" si="16"/>
        <v>33.843023561378182</v>
      </c>
      <c r="L174">
        <f t="shared" si="14"/>
        <v>564.44384679789573</v>
      </c>
    </row>
    <row r="175" spans="2:12" ht="15" x14ac:dyDescent="0.15">
      <c r="B175" s="38">
        <v>42906</v>
      </c>
      <c r="C175">
        <f t="shared" si="16"/>
        <v>15.839221751215939</v>
      </c>
      <c r="D175">
        <f t="shared" si="16"/>
        <v>21.733606965214417</v>
      </c>
      <c r="E175">
        <f t="shared" si="16"/>
        <v>223.78961984605206</v>
      </c>
      <c r="F175">
        <f t="shared" si="16"/>
        <v>99.98656166533749</v>
      </c>
      <c r="G175">
        <f t="shared" si="16"/>
        <v>9.0222143203668921</v>
      </c>
      <c r="H175">
        <f t="shared" si="16"/>
        <v>125.04763710865362</v>
      </c>
      <c r="I175">
        <f t="shared" si="16"/>
        <v>8.5176552955267368</v>
      </c>
      <c r="J175">
        <f t="shared" si="16"/>
        <v>26.664306284150214</v>
      </c>
      <c r="K175">
        <f t="shared" si="16"/>
        <v>33.843023561378182</v>
      </c>
      <c r="L175">
        <f t="shared" si="14"/>
        <v>564.44384679789573</v>
      </c>
    </row>
    <row r="176" spans="2:12" ht="15" x14ac:dyDescent="0.15">
      <c r="B176" s="38">
        <v>42907</v>
      </c>
      <c r="C176">
        <f t="shared" si="16"/>
        <v>15.839221751215939</v>
      </c>
      <c r="D176">
        <f t="shared" si="16"/>
        <v>21.733606965214417</v>
      </c>
      <c r="E176">
        <f t="shared" si="16"/>
        <v>223.78961984605206</v>
      </c>
      <c r="F176">
        <f t="shared" si="16"/>
        <v>99.98656166533749</v>
      </c>
      <c r="G176">
        <f t="shared" si="16"/>
        <v>9.0222143203668921</v>
      </c>
      <c r="H176">
        <f t="shared" si="16"/>
        <v>125.04763710865362</v>
      </c>
      <c r="I176">
        <f t="shared" si="16"/>
        <v>8.5176552955267368</v>
      </c>
      <c r="J176">
        <f t="shared" si="16"/>
        <v>26.664306284150214</v>
      </c>
      <c r="K176">
        <f t="shared" si="16"/>
        <v>33.843023561378182</v>
      </c>
      <c r="L176">
        <f t="shared" si="14"/>
        <v>564.44384679789573</v>
      </c>
    </row>
    <row r="177" spans="2:12" ht="15" x14ac:dyDescent="0.15">
      <c r="B177" s="38">
        <v>42908</v>
      </c>
      <c r="C177">
        <f t="shared" si="16"/>
        <v>15.839221751215939</v>
      </c>
      <c r="D177">
        <f t="shared" si="16"/>
        <v>21.733606965214417</v>
      </c>
      <c r="E177">
        <f t="shared" si="16"/>
        <v>223.78961984605206</v>
      </c>
      <c r="F177">
        <f t="shared" si="16"/>
        <v>99.98656166533749</v>
      </c>
      <c r="G177">
        <f t="shared" si="16"/>
        <v>9.0222143203668921</v>
      </c>
      <c r="H177">
        <f t="shared" si="16"/>
        <v>125.04763710865362</v>
      </c>
      <c r="I177">
        <f t="shared" si="16"/>
        <v>8.5176552955267368</v>
      </c>
      <c r="J177">
        <f t="shared" si="16"/>
        <v>26.664306284150214</v>
      </c>
      <c r="K177">
        <f t="shared" si="16"/>
        <v>33.843023561378182</v>
      </c>
      <c r="L177">
        <f t="shared" si="14"/>
        <v>564.44384679789573</v>
      </c>
    </row>
    <row r="178" spans="2:12" ht="15" x14ac:dyDescent="0.15">
      <c r="B178" s="38">
        <v>42909</v>
      </c>
      <c r="C178">
        <f t="shared" si="16"/>
        <v>15.839221751215939</v>
      </c>
      <c r="D178">
        <f t="shared" si="16"/>
        <v>21.733606965214417</v>
      </c>
      <c r="E178">
        <f t="shared" si="16"/>
        <v>223.78961984605206</v>
      </c>
      <c r="F178">
        <f t="shared" si="16"/>
        <v>99.98656166533749</v>
      </c>
      <c r="G178">
        <f t="shared" si="16"/>
        <v>9.0222143203668921</v>
      </c>
      <c r="H178">
        <f t="shared" si="16"/>
        <v>125.04763710865362</v>
      </c>
      <c r="I178">
        <f t="shared" si="16"/>
        <v>8.5176552955267368</v>
      </c>
      <c r="J178">
        <f t="shared" si="16"/>
        <v>26.664306284150214</v>
      </c>
      <c r="K178">
        <f t="shared" si="16"/>
        <v>33.843023561378182</v>
      </c>
      <c r="L178">
        <f t="shared" si="14"/>
        <v>564.44384679789573</v>
      </c>
    </row>
    <row r="179" spans="2:12" ht="15" x14ac:dyDescent="0.15">
      <c r="B179" s="38">
        <v>42910</v>
      </c>
      <c r="C179">
        <f t="shared" si="16"/>
        <v>15.839221751215939</v>
      </c>
      <c r="D179">
        <f t="shared" si="16"/>
        <v>21.733606965214417</v>
      </c>
      <c r="E179">
        <f t="shared" si="16"/>
        <v>223.78961984605206</v>
      </c>
      <c r="F179">
        <f t="shared" si="16"/>
        <v>99.98656166533749</v>
      </c>
      <c r="G179">
        <f t="shared" si="16"/>
        <v>9.0222143203668921</v>
      </c>
      <c r="H179">
        <f t="shared" si="16"/>
        <v>125.04763710865362</v>
      </c>
      <c r="I179">
        <f t="shared" si="16"/>
        <v>8.5176552955267368</v>
      </c>
      <c r="J179">
        <f t="shared" si="16"/>
        <v>26.664306284150214</v>
      </c>
      <c r="K179">
        <f t="shared" si="16"/>
        <v>33.843023561378182</v>
      </c>
      <c r="L179">
        <f t="shared" si="14"/>
        <v>564.44384679789573</v>
      </c>
    </row>
    <row r="180" spans="2:12" ht="15" x14ac:dyDescent="0.15">
      <c r="B180" s="38">
        <v>42911</v>
      </c>
      <c r="C180">
        <f t="shared" si="16"/>
        <v>15.839221751215939</v>
      </c>
      <c r="D180">
        <f t="shared" si="16"/>
        <v>21.733606965214417</v>
      </c>
      <c r="E180">
        <f t="shared" si="16"/>
        <v>223.78961984605206</v>
      </c>
      <c r="F180">
        <f t="shared" si="16"/>
        <v>99.98656166533749</v>
      </c>
      <c r="G180">
        <f t="shared" si="16"/>
        <v>9.0222143203668921</v>
      </c>
      <c r="H180">
        <f t="shared" si="16"/>
        <v>125.04763710865362</v>
      </c>
      <c r="I180">
        <f t="shared" si="16"/>
        <v>8.5176552955267368</v>
      </c>
      <c r="J180">
        <f t="shared" si="16"/>
        <v>26.664306284150214</v>
      </c>
      <c r="K180">
        <f t="shared" si="16"/>
        <v>33.843023561378182</v>
      </c>
      <c r="L180">
        <f t="shared" si="14"/>
        <v>564.44384679789573</v>
      </c>
    </row>
    <row r="181" spans="2:12" ht="15" x14ac:dyDescent="0.15">
      <c r="B181" s="38">
        <v>42912</v>
      </c>
      <c r="C181">
        <f t="shared" si="16"/>
        <v>15.839221751215939</v>
      </c>
      <c r="D181">
        <f t="shared" si="16"/>
        <v>21.733606965214417</v>
      </c>
      <c r="E181">
        <f t="shared" si="16"/>
        <v>223.78961984605206</v>
      </c>
      <c r="F181">
        <f t="shared" si="16"/>
        <v>99.98656166533749</v>
      </c>
      <c r="G181">
        <f t="shared" si="16"/>
        <v>9.0222143203668921</v>
      </c>
      <c r="H181">
        <f t="shared" si="16"/>
        <v>125.04763710865362</v>
      </c>
      <c r="I181">
        <f t="shared" si="16"/>
        <v>8.5176552955267368</v>
      </c>
      <c r="J181">
        <f t="shared" si="16"/>
        <v>26.664306284150214</v>
      </c>
      <c r="K181">
        <f t="shared" si="16"/>
        <v>33.843023561378182</v>
      </c>
      <c r="L181">
        <f t="shared" si="14"/>
        <v>564.44384679789573</v>
      </c>
    </row>
    <row r="182" spans="2:12" ht="15" x14ac:dyDescent="0.15">
      <c r="B182" s="38">
        <v>42913</v>
      </c>
      <c r="C182">
        <f t="shared" si="16"/>
        <v>15.839221751215939</v>
      </c>
      <c r="D182">
        <f t="shared" si="16"/>
        <v>21.733606965214417</v>
      </c>
      <c r="E182">
        <f t="shared" si="16"/>
        <v>223.78961984605206</v>
      </c>
      <c r="F182">
        <f t="shared" si="16"/>
        <v>99.98656166533749</v>
      </c>
      <c r="G182">
        <f t="shared" si="16"/>
        <v>9.0222143203668921</v>
      </c>
      <c r="H182">
        <f t="shared" si="16"/>
        <v>125.04763710865362</v>
      </c>
      <c r="I182">
        <f t="shared" si="16"/>
        <v>8.5176552955267368</v>
      </c>
      <c r="J182">
        <f t="shared" si="16"/>
        <v>26.664306284150214</v>
      </c>
      <c r="K182">
        <f t="shared" si="16"/>
        <v>33.843023561378182</v>
      </c>
      <c r="L182">
        <f t="shared" si="14"/>
        <v>564.44384679789573</v>
      </c>
    </row>
    <row r="183" spans="2:12" ht="15" x14ac:dyDescent="0.15">
      <c r="B183" s="38">
        <v>42914</v>
      </c>
      <c r="C183">
        <f t="shared" si="16"/>
        <v>15.839221751215939</v>
      </c>
      <c r="D183">
        <f t="shared" si="16"/>
        <v>21.733606965214417</v>
      </c>
      <c r="E183">
        <f t="shared" si="16"/>
        <v>223.78961984605206</v>
      </c>
      <c r="F183">
        <f t="shared" si="16"/>
        <v>99.98656166533749</v>
      </c>
      <c r="G183">
        <f t="shared" si="16"/>
        <v>9.0222143203668921</v>
      </c>
      <c r="H183">
        <f t="shared" si="16"/>
        <v>125.04763710865362</v>
      </c>
      <c r="I183">
        <f t="shared" si="16"/>
        <v>8.5176552955267368</v>
      </c>
      <c r="J183">
        <f t="shared" si="16"/>
        <v>26.664306284150214</v>
      </c>
      <c r="K183">
        <f t="shared" si="16"/>
        <v>33.843023561378182</v>
      </c>
      <c r="L183">
        <f t="shared" si="14"/>
        <v>564.44384679789573</v>
      </c>
    </row>
    <row r="184" spans="2:12" ht="15" x14ac:dyDescent="0.15">
      <c r="B184" s="38">
        <v>42915</v>
      </c>
      <c r="C184">
        <f t="shared" si="16"/>
        <v>15.839221751215939</v>
      </c>
      <c r="D184">
        <f t="shared" si="16"/>
        <v>21.733606965214417</v>
      </c>
      <c r="E184">
        <f t="shared" si="16"/>
        <v>223.78961984605206</v>
      </c>
      <c r="F184">
        <f t="shared" si="16"/>
        <v>99.98656166533749</v>
      </c>
      <c r="G184">
        <f t="shared" si="16"/>
        <v>9.0222143203668921</v>
      </c>
      <c r="H184">
        <f t="shared" si="16"/>
        <v>125.04763710865362</v>
      </c>
      <c r="I184">
        <f t="shared" si="16"/>
        <v>8.5176552955267368</v>
      </c>
      <c r="J184">
        <f t="shared" si="16"/>
        <v>26.664306284150214</v>
      </c>
      <c r="K184">
        <f t="shared" si="16"/>
        <v>33.843023561378182</v>
      </c>
      <c r="L184">
        <f t="shared" si="14"/>
        <v>564.44384679789573</v>
      </c>
    </row>
    <row r="185" spans="2:12" ht="15" x14ac:dyDescent="0.15">
      <c r="B185" s="38">
        <v>42916</v>
      </c>
      <c r="C185">
        <f t="shared" si="16"/>
        <v>15.839221751215939</v>
      </c>
      <c r="D185">
        <f t="shared" si="16"/>
        <v>21.733606965214417</v>
      </c>
      <c r="E185">
        <f t="shared" si="16"/>
        <v>223.78961984605206</v>
      </c>
      <c r="F185">
        <f t="shared" si="16"/>
        <v>99.98656166533749</v>
      </c>
      <c r="G185">
        <f t="shared" si="16"/>
        <v>9.0222143203668921</v>
      </c>
      <c r="H185">
        <f t="shared" si="16"/>
        <v>125.04763710865362</v>
      </c>
      <c r="I185">
        <f t="shared" si="16"/>
        <v>8.5176552955267368</v>
      </c>
      <c r="J185">
        <f t="shared" si="16"/>
        <v>26.664306284150214</v>
      </c>
      <c r="K185">
        <f t="shared" si="16"/>
        <v>33.843023561378182</v>
      </c>
      <c r="L185">
        <f t="shared" si="14"/>
        <v>564.44384679789573</v>
      </c>
    </row>
    <row r="186" spans="2:12" ht="15" x14ac:dyDescent="0.15">
      <c r="B186" s="38">
        <v>42917</v>
      </c>
      <c r="C186">
        <f>C$3*$O$13/4</f>
        <v>16.557924031525928</v>
      </c>
      <c r="D186">
        <f t="shared" ref="D186:K201" si="17">D$3*$O$13/4</f>
        <v>22.719766079001783</v>
      </c>
      <c r="E186">
        <f t="shared" si="17"/>
        <v>233.94403984340553</v>
      </c>
      <c r="F186">
        <f t="shared" si="17"/>
        <v>104.52343670869098</v>
      </c>
      <c r="G186">
        <f t="shared" si="17"/>
        <v>9.4315959242954666</v>
      </c>
      <c r="H186">
        <f t="shared" si="17"/>
        <v>130.72165464240436</v>
      </c>
      <c r="I186">
        <f t="shared" si="17"/>
        <v>8.9041426103671633</v>
      </c>
      <c r="J186">
        <f t="shared" si="17"/>
        <v>27.87419513035136</v>
      </c>
      <c r="K186">
        <f t="shared" si="17"/>
        <v>35.37864561328108</v>
      </c>
      <c r="L186">
        <f t="shared" si="14"/>
        <v>590.05540058332372</v>
      </c>
    </row>
    <row r="187" spans="2:12" ht="15" x14ac:dyDescent="0.15">
      <c r="B187" s="38">
        <v>42918</v>
      </c>
      <c r="C187">
        <f t="shared" ref="C187:K216" si="18">C$3*$O$13/4</f>
        <v>16.557924031525928</v>
      </c>
      <c r="D187">
        <f t="shared" si="17"/>
        <v>22.719766079001783</v>
      </c>
      <c r="E187">
        <f t="shared" si="17"/>
        <v>233.94403984340553</v>
      </c>
      <c r="F187">
        <f t="shared" si="17"/>
        <v>104.52343670869098</v>
      </c>
      <c r="G187">
        <f t="shared" si="17"/>
        <v>9.4315959242954666</v>
      </c>
      <c r="H187">
        <f t="shared" si="17"/>
        <v>130.72165464240436</v>
      </c>
      <c r="I187">
        <f t="shared" si="17"/>
        <v>8.9041426103671633</v>
      </c>
      <c r="J187">
        <f t="shared" si="17"/>
        <v>27.87419513035136</v>
      </c>
      <c r="K187">
        <f t="shared" si="17"/>
        <v>35.37864561328108</v>
      </c>
      <c r="L187">
        <f t="shared" si="14"/>
        <v>590.05540058332372</v>
      </c>
    </row>
    <row r="188" spans="2:12" ht="15" x14ac:dyDescent="0.15">
      <c r="B188" s="38">
        <v>42919</v>
      </c>
      <c r="C188">
        <f t="shared" si="18"/>
        <v>16.557924031525928</v>
      </c>
      <c r="D188">
        <f t="shared" si="17"/>
        <v>22.719766079001783</v>
      </c>
      <c r="E188">
        <f t="shared" si="17"/>
        <v>233.94403984340553</v>
      </c>
      <c r="F188">
        <f t="shared" si="17"/>
        <v>104.52343670869098</v>
      </c>
      <c r="G188">
        <f t="shared" si="17"/>
        <v>9.4315959242954666</v>
      </c>
      <c r="H188">
        <f t="shared" si="17"/>
        <v>130.72165464240436</v>
      </c>
      <c r="I188">
        <f t="shared" si="17"/>
        <v>8.9041426103671633</v>
      </c>
      <c r="J188">
        <f t="shared" si="17"/>
        <v>27.87419513035136</v>
      </c>
      <c r="K188">
        <f t="shared" si="17"/>
        <v>35.37864561328108</v>
      </c>
      <c r="L188">
        <f t="shared" si="14"/>
        <v>590.05540058332372</v>
      </c>
    </row>
    <row r="189" spans="2:12" ht="15" x14ac:dyDescent="0.15">
      <c r="B189" s="38">
        <v>42920</v>
      </c>
      <c r="C189">
        <f t="shared" si="18"/>
        <v>16.557924031525928</v>
      </c>
      <c r="D189">
        <f t="shared" si="17"/>
        <v>22.719766079001783</v>
      </c>
      <c r="E189">
        <f t="shared" si="17"/>
        <v>233.94403984340553</v>
      </c>
      <c r="F189">
        <f t="shared" si="17"/>
        <v>104.52343670869098</v>
      </c>
      <c r="G189">
        <f t="shared" si="17"/>
        <v>9.4315959242954666</v>
      </c>
      <c r="H189">
        <f t="shared" si="17"/>
        <v>130.72165464240436</v>
      </c>
      <c r="I189">
        <f t="shared" si="17"/>
        <v>8.9041426103671633</v>
      </c>
      <c r="J189">
        <f t="shared" si="17"/>
        <v>27.87419513035136</v>
      </c>
      <c r="K189">
        <f t="shared" si="17"/>
        <v>35.37864561328108</v>
      </c>
      <c r="L189">
        <f t="shared" si="14"/>
        <v>590.05540058332372</v>
      </c>
    </row>
    <row r="190" spans="2:12" ht="15" x14ac:dyDescent="0.15">
      <c r="B190" s="38">
        <v>42921</v>
      </c>
      <c r="C190">
        <f t="shared" si="18"/>
        <v>16.557924031525928</v>
      </c>
      <c r="D190">
        <f t="shared" si="17"/>
        <v>22.719766079001783</v>
      </c>
      <c r="E190">
        <f t="shared" si="17"/>
        <v>233.94403984340553</v>
      </c>
      <c r="F190">
        <f t="shared" si="17"/>
        <v>104.52343670869098</v>
      </c>
      <c r="G190">
        <f t="shared" si="17"/>
        <v>9.4315959242954666</v>
      </c>
      <c r="H190">
        <f t="shared" si="17"/>
        <v>130.72165464240436</v>
      </c>
      <c r="I190">
        <f t="shared" si="17"/>
        <v>8.9041426103671633</v>
      </c>
      <c r="J190">
        <f t="shared" si="17"/>
        <v>27.87419513035136</v>
      </c>
      <c r="K190">
        <f t="shared" si="17"/>
        <v>35.37864561328108</v>
      </c>
      <c r="L190">
        <f t="shared" si="14"/>
        <v>590.05540058332372</v>
      </c>
    </row>
    <row r="191" spans="2:12" ht="15" x14ac:dyDescent="0.15">
      <c r="B191" s="38">
        <v>42922</v>
      </c>
      <c r="C191">
        <f t="shared" si="18"/>
        <v>16.557924031525928</v>
      </c>
      <c r="D191">
        <f t="shared" si="17"/>
        <v>22.719766079001783</v>
      </c>
      <c r="E191">
        <f t="shared" si="17"/>
        <v>233.94403984340553</v>
      </c>
      <c r="F191">
        <f t="shared" si="17"/>
        <v>104.52343670869098</v>
      </c>
      <c r="G191">
        <f t="shared" si="17"/>
        <v>9.4315959242954666</v>
      </c>
      <c r="H191">
        <f t="shared" si="17"/>
        <v>130.72165464240436</v>
      </c>
      <c r="I191">
        <f t="shared" si="17"/>
        <v>8.9041426103671633</v>
      </c>
      <c r="J191">
        <f t="shared" si="17"/>
        <v>27.87419513035136</v>
      </c>
      <c r="K191">
        <f t="shared" si="17"/>
        <v>35.37864561328108</v>
      </c>
      <c r="L191">
        <f t="shared" si="14"/>
        <v>590.05540058332372</v>
      </c>
    </row>
    <row r="192" spans="2:12" ht="15" x14ac:dyDescent="0.15">
      <c r="B192" s="38">
        <v>42923</v>
      </c>
      <c r="C192">
        <f t="shared" si="18"/>
        <v>16.557924031525928</v>
      </c>
      <c r="D192">
        <f t="shared" si="17"/>
        <v>22.719766079001783</v>
      </c>
      <c r="E192">
        <f t="shared" si="17"/>
        <v>233.94403984340553</v>
      </c>
      <c r="F192">
        <f t="shared" si="17"/>
        <v>104.52343670869098</v>
      </c>
      <c r="G192">
        <f t="shared" si="17"/>
        <v>9.4315959242954666</v>
      </c>
      <c r="H192">
        <f t="shared" si="17"/>
        <v>130.72165464240436</v>
      </c>
      <c r="I192">
        <f t="shared" si="17"/>
        <v>8.9041426103671633</v>
      </c>
      <c r="J192">
        <f t="shared" si="17"/>
        <v>27.87419513035136</v>
      </c>
      <c r="K192">
        <f t="shared" si="17"/>
        <v>35.37864561328108</v>
      </c>
      <c r="L192">
        <f t="shared" si="14"/>
        <v>590.05540058332372</v>
      </c>
    </row>
    <row r="193" spans="2:12" ht="15" x14ac:dyDescent="0.15">
      <c r="B193" s="38">
        <v>42924</v>
      </c>
      <c r="C193">
        <f t="shared" si="18"/>
        <v>16.557924031525928</v>
      </c>
      <c r="D193">
        <f t="shared" si="17"/>
        <v>22.719766079001783</v>
      </c>
      <c r="E193">
        <f t="shared" si="17"/>
        <v>233.94403984340553</v>
      </c>
      <c r="F193">
        <f t="shared" si="17"/>
        <v>104.52343670869098</v>
      </c>
      <c r="G193">
        <f t="shared" si="17"/>
        <v>9.4315959242954666</v>
      </c>
      <c r="H193">
        <f t="shared" si="17"/>
        <v>130.72165464240436</v>
      </c>
      <c r="I193">
        <f t="shared" si="17"/>
        <v>8.9041426103671633</v>
      </c>
      <c r="J193">
        <f t="shared" si="17"/>
        <v>27.87419513035136</v>
      </c>
      <c r="K193">
        <f t="shared" si="17"/>
        <v>35.37864561328108</v>
      </c>
      <c r="L193">
        <f t="shared" si="14"/>
        <v>590.05540058332372</v>
      </c>
    </row>
    <row r="194" spans="2:12" ht="15" x14ac:dyDescent="0.15">
      <c r="B194" s="38">
        <v>42925</v>
      </c>
      <c r="C194">
        <f t="shared" si="18"/>
        <v>16.557924031525928</v>
      </c>
      <c r="D194">
        <f t="shared" si="17"/>
        <v>22.719766079001783</v>
      </c>
      <c r="E194">
        <f t="shared" si="17"/>
        <v>233.94403984340553</v>
      </c>
      <c r="F194">
        <f t="shared" si="17"/>
        <v>104.52343670869098</v>
      </c>
      <c r="G194">
        <f t="shared" si="17"/>
        <v>9.4315959242954666</v>
      </c>
      <c r="H194">
        <f t="shared" si="17"/>
        <v>130.72165464240436</v>
      </c>
      <c r="I194">
        <f t="shared" si="17"/>
        <v>8.9041426103671633</v>
      </c>
      <c r="J194">
        <f t="shared" si="17"/>
        <v>27.87419513035136</v>
      </c>
      <c r="K194">
        <f t="shared" si="17"/>
        <v>35.37864561328108</v>
      </c>
      <c r="L194">
        <f t="shared" si="14"/>
        <v>590.05540058332372</v>
      </c>
    </row>
    <row r="195" spans="2:12" ht="15" x14ac:dyDescent="0.15">
      <c r="B195" s="38">
        <v>42926</v>
      </c>
      <c r="C195">
        <f t="shared" si="18"/>
        <v>16.557924031525928</v>
      </c>
      <c r="D195">
        <f t="shared" si="17"/>
        <v>22.719766079001783</v>
      </c>
      <c r="E195">
        <f t="shared" si="17"/>
        <v>233.94403984340553</v>
      </c>
      <c r="F195">
        <f t="shared" si="17"/>
        <v>104.52343670869098</v>
      </c>
      <c r="G195">
        <f t="shared" si="17"/>
        <v>9.4315959242954666</v>
      </c>
      <c r="H195">
        <f t="shared" si="17"/>
        <v>130.72165464240436</v>
      </c>
      <c r="I195">
        <f t="shared" si="17"/>
        <v>8.9041426103671633</v>
      </c>
      <c r="J195">
        <f t="shared" si="17"/>
        <v>27.87419513035136</v>
      </c>
      <c r="K195">
        <f t="shared" si="17"/>
        <v>35.37864561328108</v>
      </c>
      <c r="L195">
        <f t="shared" si="14"/>
        <v>590.05540058332372</v>
      </c>
    </row>
    <row r="196" spans="2:12" ht="15" x14ac:dyDescent="0.15">
      <c r="B196" s="38">
        <v>42927</v>
      </c>
      <c r="C196">
        <f t="shared" si="18"/>
        <v>16.557924031525928</v>
      </c>
      <c r="D196">
        <f t="shared" si="17"/>
        <v>22.719766079001783</v>
      </c>
      <c r="E196">
        <f t="shared" si="17"/>
        <v>233.94403984340553</v>
      </c>
      <c r="F196">
        <f t="shared" si="17"/>
        <v>104.52343670869098</v>
      </c>
      <c r="G196">
        <f t="shared" si="17"/>
        <v>9.4315959242954666</v>
      </c>
      <c r="H196">
        <f t="shared" si="17"/>
        <v>130.72165464240436</v>
      </c>
      <c r="I196">
        <f t="shared" si="17"/>
        <v>8.9041426103671633</v>
      </c>
      <c r="J196">
        <f t="shared" si="17"/>
        <v>27.87419513035136</v>
      </c>
      <c r="K196">
        <f t="shared" si="17"/>
        <v>35.37864561328108</v>
      </c>
      <c r="L196">
        <f t="shared" si="14"/>
        <v>590.05540058332372</v>
      </c>
    </row>
    <row r="197" spans="2:12" ht="15" x14ac:dyDescent="0.15">
      <c r="B197" s="38">
        <v>42928</v>
      </c>
      <c r="C197">
        <f t="shared" si="18"/>
        <v>16.557924031525928</v>
      </c>
      <c r="D197">
        <f t="shared" si="17"/>
        <v>22.719766079001783</v>
      </c>
      <c r="E197">
        <f t="shared" si="17"/>
        <v>233.94403984340553</v>
      </c>
      <c r="F197">
        <f t="shared" si="17"/>
        <v>104.52343670869098</v>
      </c>
      <c r="G197">
        <f t="shared" si="17"/>
        <v>9.4315959242954666</v>
      </c>
      <c r="H197">
        <f t="shared" si="17"/>
        <v>130.72165464240436</v>
      </c>
      <c r="I197">
        <f t="shared" si="17"/>
        <v>8.9041426103671633</v>
      </c>
      <c r="J197">
        <f t="shared" si="17"/>
        <v>27.87419513035136</v>
      </c>
      <c r="K197">
        <f t="shared" si="17"/>
        <v>35.37864561328108</v>
      </c>
      <c r="L197">
        <f t="shared" si="14"/>
        <v>590.05540058332372</v>
      </c>
    </row>
    <row r="198" spans="2:12" ht="15" x14ac:dyDescent="0.15">
      <c r="B198" s="38">
        <v>42929</v>
      </c>
      <c r="C198">
        <f t="shared" si="18"/>
        <v>16.557924031525928</v>
      </c>
      <c r="D198">
        <f t="shared" si="17"/>
        <v>22.719766079001783</v>
      </c>
      <c r="E198">
        <f t="shared" si="17"/>
        <v>233.94403984340553</v>
      </c>
      <c r="F198">
        <f t="shared" si="17"/>
        <v>104.52343670869098</v>
      </c>
      <c r="G198">
        <f t="shared" si="17"/>
        <v>9.4315959242954666</v>
      </c>
      <c r="H198">
        <f t="shared" si="17"/>
        <v>130.72165464240436</v>
      </c>
      <c r="I198">
        <f t="shared" si="17"/>
        <v>8.9041426103671633</v>
      </c>
      <c r="J198">
        <f t="shared" si="17"/>
        <v>27.87419513035136</v>
      </c>
      <c r="K198">
        <f t="shared" si="17"/>
        <v>35.37864561328108</v>
      </c>
      <c r="L198">
        <f t="shared" ref="L198:L261" si="19">SUM(C198:K198)</f>
        <v>590.05540058332372</v>
      </c>
    </row>
    <row r="199" spans="2:12" ht="15" x14ac:dyDescent="0.15">
      <c r="B199" s="38">
        <v>42930</v>
      </c>
      <c r="C199">
        <f t="shared" si="18"/>
        <v>16.557924031525928</v>
      </c>
      <c r="D199">
        <f t="shared" si="17"/>
        <v>22.719766079001783</v>
      </c>
      <c r="E199">
        <f t="shared" si="17"/>
        <v>233.94403984340553</v>
      </c>
      <c r="F199">
        <f t="shared" si="17"/>
        <v>104.52343670869098</v>
      </c>
      <c r="G199">
        <f t="shared" si="17"/>
        <v>9.4315959242954666</v>
      </c>
      <c r="H199">
        <f t="shared" si="17"/>
        <v>130.72165464240436</v>
      </c>
      <c r="I199">
        <f t="shared" si="17"/>
        <v>8.9041426103671633</v>
      </c>
      <c r="J199">
        <f t="shared" si="17"/>
        <v>27.87419513035136</v>
      </c>
      <c r="K199">
        <f t="shared" si="17"/>
        <v>35.37864561328108</v>
      </c>
      <c r="L199">
        <f t="shared" si="19"/>
        <v>590.05540058332372</v>
      </c>
    </row>
    <row r="200" spans="2:12" ht="15" x14ac:dyDescent="0.15">
      <c r="B200" s="38">
        <v>42931</v>
      </c>
      <c r="C200">
        <f t="shared" si="18"/>
        <v>16.557924031525928</v>
      </c>
      <c r="D200">
        <f t="shared" si="17"/>
        <v>22.719766079001783</v>
      </c>
      <c r="E200">
        <f t="shared" si="17"/>
        <v>233.94403984340553</v>
      </c>
      <c r="F200">
        <f t="shared" si="17"/>
        <v>104.52343670869098</v>
      </c>
      <c r="G200">
        <f t="shared" si="17"/>
        <v>9.4315959242954666</v>
      </c>
      <c r="H200">
        <f t="shared" si="17"/>
        <v>130.72165464240436</v>
      </c>
      <c r="I200">
        <f t="shared" si="17"/>
        <v>8.9041426103671633</v>
      </c>
      <c r="J200">
        <f t="shared" si="17"/>
        <v>27.87419513035136</v>
      </c>
      <c r="K200">
        <f t="shared" si="17"/>
        <v>35.37864561328108</v>
      </c>
      <c r="L200">
        <f t="shared" si="19"/>
        <v>590.05540058332372</v>
      </c>
    </row>
    <row r="201" spans="2:12" ht="15" x14ac:dyDescent="0.15">
      <c r="B201" s="38">
        <v>42932</v>
      </c>
      <c r="C201">
        <f t="shared" si="18"/>
        <v>16.557924031525928</v>
      </c>
      <c r="D201">
        <f t="shared" si="17"/>
        <v>22.719766079001783</v>
      </c>
      <c r="E201">
        <f t="shared" si="17"/>
        <v>233.94403984340553</v>
      </c>
      <c r="F201">
        <f t="shared" si="17"/>
        <v>104.52343670869098</v>
      </c>
      <c r="G201">
        <f t="shared" si="17"/>
        <v>9.4315959242954666</v>
      </c>
      <c r="H201">
        <f t="shared" si="17"/>
        <v>130.72165464240436</v>
      </c>
      <c r="I201">
        <f t="shared" si="17"/>
        <v>8.9041426103671633</v>
      </c>
      <c r="J201">
        <f t="shared" si="17"/>
        <v>27.87419513035136</v>
      </c>
      <c r="K201">
        <f t="shared" si="17"/>
        <v>35.37864561328108</v>
      </c>
      <c r="L201">
        <f t="shared" si="19"/>
        <v>590.05540058332372</v>
      </c>
    </row>
    <row r="202" spans="2:12" ht="15" x14ac:dyDescent="0.15">
      <c r="B202" s="38">
        <v>42933</v>
      </c>
      <c r="C202">
        <f t="shared" si="18"/>
        <v>16.557924031525928</v>
      </c>
      <c r="D202">
        <f t="shared" si="18"/>
        <v>22.719766079001783</v>
      </c>
      <c r="E202">
        <f t="shared" si="18"/>
        <v>233.94403984340553</v>
      </c>
      <c r="F202">
        <f t="shared" si="18"/>
        <v>104.52343670869098</v>
      </c>
      <c r="G202">
        <f t="shared" si="18"/>
        <v>9.4315959242954666</v>
      </c>
      <c r="H202">
        <f t="shared" si="18"/>
        <v>130.72165464240436</v>
      </c>
      <c r="I202">
        <f t="shared" si="18"/>
        <v>8.9041426103671633</v>
      </c>
      <c r="J202">
        <f t="shared" si="18"/>
        <v>27.87419513035136</v>
      </c>
      <c r="K202">
        <f t="shared" si="18"/>
        <v>35.37864561328108</v>
      </c>
      <c r="L202">
        <f t="shared" si="19"/>
        <v>590.05540058332372</v>
      </c>
    </row>
    <row r="203" spans="2:12" ht="15" x14ac:dyDescent="0.15">
      <c r="B203" s="38">
        <v>42934</v>
      </c>
      <c r="C203">
        <f t="shared" si="18"/>
        <v>16.557924031525928</v>
      </c>
      <c r="D203">
        <f t="shared" si="18"/>
        <v>22.719766079001783</v>
      </c>
      <c r="E203">
        <f t="shared" si="18"/>
        <v>233.94403984340553</v>
      </c>
      <c r="F203">
        <f t="shared" si="18"/>
        <v>104.52343670869098</v>
      </c>
      <c r="G203">
        <f t="shared" si="18"/>
        <v>9.4315959242954666</v>
      </c>
      <c r="H203">
        <f t="shared" si="18"/>
        <v>130.72165464240436</v>
      </c>
      <c r="I203">
        <f t="shared" si="18"/>
        <v>8.9041426103671633</v>
      </c>
      <c r="J203">
        <f t="shared" si="18"/>
        <v>27.87419513035136</v>
      </c>
      <c r="K203">
        <f t="shared" si="18"/>
        <v>35.37864561328108</v>
      </c>
      <c r="L203">
        <f t="shared" si="19"/>
        <v>590.05540058332372</v>
      </c>
    </row>
    <row r="204" spans="2:12" ht="15" x14ac:dyDescent="0.15">
      <c r="B204" s="38">
        <v>42935</v>
      </c>
      <c r="C204">
        <f t="shared" si="18"/>
        <v>16.557924031525928</v>
      </c>
      <c r="D204">
        <f t="shared" si="18"/>
        <v>22.719766079001783</v>
      </c>
      <c r="E204">
        <f t="shared" si="18"/>
        <v>233.94403984340553</v>
      </c>
      <c r="F204">
        <f t="shared" si="18"/>
        <v>104.52343670869098</v>
      </c>
      <c r="G204">
        <f t="shared" si="18"/>
        <v>9.4315959242954666</v>
      </c>
      <c r="H204">
        <f t="shared" si="18"/>
        <v>130.72165464240436</v>
      </c>
      <c r="I204">
        <f t="shared" si="18"/>
        <v>8.9041426103671633</v>
      </c>
      <c r="J204">
        <f t="shared" si="18"/>
        <v>27.87419513035136</v>
      </c>
      <c r="K204">
        <f t="shared" si="18"/>
        <v>35.37864561328108</v>
      </c>
      <c r="L204">
        <f t="shared" si="19"/>
        <v>590.05540058332372</v>
      </c>
    </row>
    <row r="205" spans="2:12" ht="15" x14ac:dyDescent="0.15">
      <c r="B205" s="38">
        <v>42936</v>
      </c>
      <c r="C205">
        <f t="shared" si="18"/>
        <v>16.557924031525928</v>
      </c>
      <c r="D205">
        <f t="shared" si="18"/>
        <v>22.719766079001783</v>
      </c>
      <c r="E205">
        <f t="shared" si="18"/>
        <v>233.94403984340553</v>
      </c>
      <c r="F205">
        <f t="shared" si="18"/>
        <v>104.52343670869098</v>
      </c>
      <c r="G205">
        <f t="shared" si="18"/>
        <v>9.4315959242954666</v>
      </c>
      <c r="H205">
        <f t="shared" si="18"/>
        <v>130.72165464240436</v>
      </c>
      <c r="I205">
        <f t="shared" si="18"/>
        <v>8.9041426103671633</v>
      </c>
      <c r="J205">
        <f t="shared" si="18"/>
        <v>27.87419513035136</v>
      </c>
      <c r="K205">
        <f t="shared" si="18"/>
        <v>35.37864561328108</v>
      </c>
      <c r="L205">
        <f t="shared" si="19"/>
        <v>590.05540058332372</v>
      </c>
    </row>
    <row r="206" spans="2:12" ht="15" x14ac:dyDescent="0.15">
      <c r="B206" s="38">
        <v>42937</v>
      </c>
      <c r="C206">
        <f t="shared" si="18"/>
        <v>16.557924031525928</v>
      </c>
      <c r="D206">
        <f t="shared" si="18"/>
        <v>22.719766079001783</v>
      </c>
      <c r="E206">
        <f t="shared" si="18"/>
        <v>233.94403984340553</v>
      </c>
      <c r="F206">
        <f t="shared" si="18"/>
        <v>104.52343670869098</v>
      </c>
      <c r="G206">
        <f t="shared" si="18"/>
        <v>9.4315959242954666</v>
      </c>
      <c r="H206">
        <f t="shared" si="18"/>
        <v>130.72165464240436</v>
      </c>
      <c r="I206">
        <f t="shared" si="18"/>
        <v>8.9041426103671633</v>
      </c>
      <c r="J206">
        <f t="shared" si="18"/>
        <v>27.87419513035136</v>
      </c>
      <c r="K206">
        <f t="shared" si="18"/>
        <v>35.37864561328108</v>
      </c>
      <c r="L206">
        <f t="shared" si="19"/>
        <v>590.05540058332372</v>
      </c>
    </row>
    <row r="207" spans="2:12" ht="15" x14ac:dyDescent="0.15">
      <c r="B207" s="38">
        <v>42938</v>
      </c>
      <c r="C207">
        <f t="shared" si="18"/>
        <v>16.557924031525928</v>
      </c>
      <c r="D207">
        <f t="shared" si="18"/>
        <v>22.719766079001783</v>
      </c>
      <c r="E207">
        <f t="shared" si="18"/>
        <v>233.94403984340553</v>
      </c>
      <c r="F207">
        <f t="shared" si="18"/>
        <v>104.52343670869098</v>
      </c>
      <c r="G207">
        <f t="shared" si="18"/>
        <v>9.4315959242954666</v>
      </c>
      <c r="H207">
        <f t="shared" si="18"/>
        <v>130.72165464240436</v>
      </c>
      <c r="I207">
        <f t="shared" si="18"/>
        <v>8.9041426103671633</v>
      </c>
      <c r="J207">
        <f t="shared" si="18"/>
        <v>27.87419513035136</v>
      </c>
      <c r="K207">
        <f t="shared" si="18"/>
        <v>35.37864561328108</v>
      </c>
      <c r="L207">
        <f t="shared" si="19"/>
        <v>590.05540058332372</v>
      </c>
    </row>
    <row r="208" spans="2:12" ht="15" x14ac:dyDescent="0.15">
      <c r="B208" s="38">
        <v>42939</v>
      </c>
      <c r="C208">
        <f t="shared" si="18"/>
        <v>16.557924031525928</v>
      </c>
      <c r="D208">
        <f t="shared" si="18"/>
        <v>22.719766079001783</v>
      </c>
      <c r="E208">
        <f t="shared" si="18"/>
        <v>233.94403984340553</v>
      </c>
      <c r="F208">
        <f t="shared" si="18"/>
        <v>104.52343670869098</v>
      </c>
      <c r="G208">
        <f t="shared" si="18"/>
        <v>9.4315959242954666</v>
      </c>
      <c r="H208">
        <f t="shared" si="18"/>
        <v>130.72165464240436</v>
      </c>
      <c r="I208">
        <f t="shared" si="18"/>
        <v>8.9041426103671633</v>
      </c>
      <c r="J208">
        <f t="shared" si="18"/>
        <v>27.87419513035136</v>
      </c>
      <c r="K208">
        <f t="shared" si="18"/>
        <v>35.37864561328108</v>
      </c>
      <c r="L208">
        <f t="shared" si="19"/>
        <v>590.05540058332372</v>
      </c>
    </row>
    <row r="209" spans="2:12" ht="15" x14ac:dyDescent="0.15">
      <c r="B209" s="38">
        <v>42940</v>
      </c>
      <c r="C209">
        <f t="shared" si="18"/>
        <v>16.557924031525928</v>
      </c>
      <c r="D209">
        <f t="shared" si="18"/>
        <v>22.719766079001783</v>
      </c>
      <c r="E209">
        <f t="shared" si="18"/>
        <v>233.94403984340553</v>
      </c>
      <c r="F209">
        <f t="shared" si="18"/>
        <v>104.52343670869098</v>
      </c>
      <c r="G209">
        <f t="shared" si="18"/>
        <v>9.4315959242954666</v>
      </c>
      <c r="H209">
        <f t="shared" si="18"/>
        <v>130.72165464240436</v>
      </c>
      <c r="I209">
        <f t="shared" si="18"/>
        <v>8.9041426103671633</v>
      </c>
      <c r="J209">
        <f t="shared" si="18"/>
        <v>27.87419513035136</v>
      </c>
      <c r="K209">
        <f t="shared" si="18"/>
        <v>35.37864561328108</v>
      </c>
      <c r="L209">
        <f t="shared" si="19"/>
        <v>590.05540058332372</v>
      </c>
    </row>
    <row r="210" spans="2:12" ht="15" x14ac:dyDescent="0.15">
      <c r="B210" s="38">
        <v>42941</v>
      </c>
      <c r="C210">
        <f t="shared" si="18"/>
        <v>16.557924031525928</v>
      </c>
      <c r="D210">
        <f t="shared" si="18"/>
        <v>22.719766079001783</v>
      </c>
      <c r="E210">
        <f t="shared" si="18"/>
        <v>233.94403984340553</v>
      </c>
      <c r="F210">
        <f t="shared" si="18"/>
        <v>104.52343670869098</v>
      </c>
      <c r="G210">
        <f t="shared" si="18"/>
        <v>9.4315959242954666</v>
      </c>
      <c r="H210">
        <f t="shared" si="18"/>
        <v>130.72165464240436</v>
      </c>
      <c r="I210">
        <f t="shared" si="18"/>
        <v>8.9041426103671633</v>
      </c>
      <c r="J210">
        <f t="shared" si="18"/>
        <v>27.87419513035136</v>
      </c>
      <c r="K210">
        <f t="shared" si="18"/>
        <v>35.37864561328108</v>
      </c>
      <c r="L210">
        <f t="shared" si="19"/>
        <v>590.05540058332372</v>
      </c>
    </row>
    <row r="211" spans="2:12" ht="15" x14ac:dyDescent="0.15">
      <c r="B211" s="38">
        <v>42942</v>
      </c>
      <c r="C211">
        <f t="shared" si="18"/>
        <v>16.557924031525928</v>
      </c>
      <c r="D211">
        <f t="shared" si="18"/>
        <v>22.719766079001783</v>
      </c>
      <c r="E211">
        <f t="shared" si="18"/>
        <v>233.94403984340553</v>
      </c>
      <c r="F211">
        <f t="shared" si="18"/>
        <v>104.52343670869098</v>
      </c>
      <c r="G211">
        <f t="shared" si="18"/>
        <v>9.4315959242954666</v>
      </c>
      <c r="H211">
        <f t="shared" si="18"/>
        <v>130.72165464240436</v>
      </c>
      <c r="I211">
        <f t="shared" si="18"/>
        <v>8.9041426103671633</v>
      </c>
      <c r="J211">
        <f t="shared" si="18"/>
        <v>27.87419513035136</v>
      </c>
      <c r="K211">
        <f t="shared" si="18"/>
        <v>35.37864561328108</v>
      </c>
      <c r="L211">
        <f t="shared" si="19"/>
        <v>590.05540058332372</v>
      </c>
    </row>
    <row r="212" spans="2:12" ht="15" x14ac:dyDescent="0.15">
      <c r="B212" s="38">
        <v>42943</v>
      </c>
      <c r="C212">
        <f t="shared" si="18"/>
        <v>16.557924031525928</v>
      </c>
      <c r="D212">
        <f t="shared" si="18"/>
        <v>22.719766079001783</v>
      </c>
      <c r="E212">
        <f t="shared" si="18"/>
        <v>233.94403984340553</v>
      </c>
      <c r="F212">
        <f t="shared" si="18"/>
        <v>104.52343670869098</v>
      </c>
      <c r="G212">
        <f t="shared" si="18"/>
        <v>9.4315959242954666</v>
      </c>
      <c r="H212">
        <f t="shared" si="18"/>
        <v>130.72165464240436</v>
      </c>
      <c r="I212">
        <f t="shared" si="18"/>
        <v>8.9041426103671633</v>
      </c>
      <c r="J212">
        <f t="shared" si="18"/>
        <v>27.87419513035136</v>
      </c>
      <c r="K212">
        <f t="shared" si="18"/>
        <v>35.37864561328108</v>
      </c>
      <c r="L212">
        <f t="shared" si="19"/>
        <v>590.05540058332372</v>
      </c>
    </row>
    <row r="213" spans="2:12" ht="15" x14ac:dyDescent="0.15">
      <c r="B213" s="38">
        <v>42944</v>
      </c>
      <c r="C213">
        <f t="shared" si="18"/>
        <v>16.557924031525928</v>
      </c>
      <c r="D213">
        <f t="shared" si="18"/>
        <v>22.719766079001783</v>
      </c>
      <c r="E213">
        <f t="shared" si="18"/>
        <v>233.94403984340553</v>
      </c>
      <c r="F213">
        <f t="shared" si="18"/>
        <v>104.52343670869098</v>
      </c>
      <c r="G213">
        <f t="shared" si="18"/>
        <v>9.4315959242954666</v>
      </c>
      <c r="H213">
        <f t="shared" si="18"/>
        <v>130.72165464240436</v>
      </c>
      <c r="I213">
        <f t="shared" si="18"/>
        <v>8.9041426103671633</v>
      </c>
      <c r="J213">
        <f t="shared" si="18"/>
        <v>27.87419513035136</v>
      </c>
      <c r="K213">
        <f t="shared" si="18"/>
        <v>35.37864561328108</v>
      </c>
      <c r="L213">
        <f t="shared" si="19"/>
        <v>590.05540058332372</v>
      </c>
    </row>
    <row r="214" spans="2:12" ht="15" x14ac:dyDescent="0.15">
      <c r="B214" s="38">
        <v>42945</v>
      </c>
      <c r="C214">
        <f t="shared" si="18"/>
        <v>16.557924031525928</v>
      </c>
      <c r="D214">
        <f t="shared" si="18"/>
        <v>22.719766079001783</v>
      </c>
      <c r="E214">
        <f t="shared" si="18"/>
        <v>233.94403984340553</v>
      </c>
      <c r="F214">
        <f t="shared" si="18"/>
        <v>104.52343670869098</v>
      </c>
      <c r="G214">
        <f t="shared" si="18"/>
        <v>9.4315959242954666</v>
      </c>
      <c r="H214">
        <f t="shared" si="18"/>
        <v>130.72165464240436</v>
      </c>
      <c r="I214">
        <f t="shared" si="18"/>
        <v>8.9041426103671633</v>
      </c>
      <c r="J214">
        <f t="shared" si="18"/>
        <v>27.87419513035136</v>
      </c>
      <c r="K214">
        <f t="shared" si="18"/>
        <v>35.37864561328108</v>
      </c>
      <c r="L214">
        <f t="shared" si="19"/>
        <v>590.05540058332372</v>
      </c>
    </row>
    <row r="215" spans="2:12" ht="15" x14ac:dyDescent="0.15">
      <c r="B215" s="38">
        <v>42946</v>
      </c>
      <c r="C215">
        <f t="shared" si="18"/>
        <v>16.557924031525928</v>
      </c>
      <c r="D215">
        <f t="shared" si="18"/>
        <v>22.719766079001783</v>
      </c>
      <c r="E215">
        <f t="shared" si="18"/>
        <v>233.94403984340553</v>
      </c>
      <c r="F215">
        <f t="shared" si="18"/>
        <v>104.52343670869098</v>
      </c>
      <c r="G215">
        <f t="shared" si="18"/>
        <v>9.4315959242954666</v>
      </c>
      <c r="H215">
        <f t="shared" si="18"/>
        <v>130.72165464240436</v>
      </c>
      <c r="I215">
        <f t="shared" si="18"/>
        <v>8.9041426103671633</v>
      </c>
      <c r="J215">
        <f t="shared" si="18"/>
        <v>27.87419513035136</v>
      </c>
      <c r="K215">
        <f t="shared" si="18"/>
        <v>35.37864561328108</v>
      </c>
      <c r="L215">
        <f t="shared" si="19"/>
        <v>590.05540058332372</v>
      </c>
    </row>
    <row r="216" spans="2:12" ht="15" x14ac:dyDescent="0.15">
      <c r="B216" s="38">
        <v>42947</v>
      </c>
      <c r="C216">
        <f t="shared" si="18"/>
        <v>16.557924031525928</v>
      </c>
      <c r="D216">
        <f t="shared" si="18"/>
        <v>22.719766079001783</v>
      </c>
      <c r="E216">
        <f t="shared" si="18"/>
        <v>233.94403984340553</v>
      </c>
      <c r="F216">
        <f t="shared" si="18"/>
        <v>104.52343670869098</v>
      </c>
      <c r="G216">
        <f t="shared" si="18"/>
        <v>9.4315959242954666</v>
      </c>
      <c r="H216">
        <f t="shared" si="18"/>
        <v>130.72165464240436</v>
      </c>
      <c r="I216">
        <f t="shared" si="18"/>
        <v>8.9041426103671633</v>
      </c>
      <c r="J216">
        <f t="shared" si="18"/>
        <v>27.87419513035136</v>
      </c>
      <c r="K216">
        <f t="shared" si="18"/>
        <v>35.37864561328108</v>
      </c>
      <c r="L216">
        <f t="shared" si="19"/>
        <v>590.05540058332372</v>
      </c>
    </row>
    <row r="217" spans="2:12" ht="15" x14ac:dyDescent="0.15">
      <c r="B217" s="38">
        <v>42948</v>
      </c>
      <c r="C217">
        <f>C$3*$O$14/4</f>
        <v>16.506658642936671</v>
      </c>
      <c r="D217">
        <f t="shared" ref="D217:K232" si="20">D$3*$O$14/4</f>
        <v>22.649422862395678</v>
      </c>
      <c r="E217">
        <f t="shared" si="20"/>
        <v>233.21972005018279</v>
      </c>
      <c r="F217">
        <f t="shared" si="20"/>
        <v>104.19981917128996</v>
      </c>
      <c r="G217">
        <f t="shared" si="20"/>
        <v>9.402394532312071</v>
      </c>
      <c r="H217">
        <f t="shared" si="20"/>
        <v>130.31692416957975</v>
      </c>
      <c r="I217">
        <f t="shared" si="20"/>
        <v>8.8765742793308853</v>
      </c>
      <c r="J217">
        <f t="shared" si="20"/>
        <v>27.787893161442124</v>
      </c>
      <c r="K217">
        <f t="shared" si="20"/>
        <v>35.269108933944146</v>
      </c>
      <c r="L217">
        <f t="shared" si="19"/>
        <v>588.22851580341398</v>
      </c>
    </row>
    <row r="218" spans="2:12" ht="15" x14ac:dyDescent="0.15">
      <c r="B218" s="38">
        <v>42949</v>
      </c>
      <c r="C218">
        <f t="shared" ref="C218:K247" si="21">C$3*$O$14/4</f>
        <v>16.506658642936671</v>
      </c>
      <c r="D218">
        <f t="shared" si="20"/>
        <v>22.649422862395678</v>
      </c>
      <c r="E218">
        <f t="shared" si="20"/>
        <v>233.21972005018279</v>
      </c>
      <c r="F218">
        <f t="shared" si="20"/>
        <v>104.19981917128996</v>
      </c>
      <c r="G218">
        <f t="shared" si="20"/>
        <v>9.402394532312071</v>
      </c>
      <c r="H218">
        <f t="shared" si="20"/>
        <v>130.31692416957975</v>
      </c>
      <c r="I218">
        <f t="shared" si="20"/>
        <v>8.8765742793308853</v>
      </c>
      <c r="J218">
        <f t="shared" si="20"/>
        <v>27.787893161442124</v>
      </c>
      <c r="K218">
        <f t="shared" si="20"/>
        <v>35.269108933944146</v>
      </c>
      <c r="L218">
        <f t="shared" si="19"/>
        <v>588.22851580341398</v>
      </c>
    </row>
    <row r="219" spans="2:12" ht="15" x14ac:dyDescent="0.15">
      <c r="B219" s="38">
        <v>42950</v>
      </c>
      <c r="C219">
        <f t="shared" si="21"/>
        <v>16.506658642936671</v>
      </c>
      <c r="D219">
        <f t="shared" si="20"/>
        <v>22.649422862395678</v>
      </c>
      <c r="E219">
        <f t="shared" si="20"/>
        <v>233.21972005018279</v>
      </c>
      <c r="F219">
        <f t="shared" si="20"/>
        <v>104.19981917128996</v>
      </c>
      <c r="G219">
        <f t="shared" si="20"/>
        <v>9.402394532312071</v>
      </c>
      <c r="H219">
        <f t="shared" si="20"/>
        <v>130.31692416957975</v>
      </c>
      <c r="I219">
        <f t="shared" si="20"/>
        <v>8.8765742793308853</v>
      </c>
      <c r="J219">
        <f t="shared" si="20"/>
        <v>27.787893161442124</v>
      </c>
      <c r="K219">
        <f t="shared" si="20"/>
        <v>35.269108933944146</v>
      </c>
      <c r="L219">
        <f t="shared" si="19"/>
        <v>588.22851580341398</v>
      </c>
    </row>
    <row r="220" spans="2:12" ht="15" x14ac:dyDescent="0.15">
      <c r="B220" s="38">
        <v>42951</v>
      </c>
      <c r="C220">
        <f t="shared" si="21"/>
        <v>16.506658642936671</v>
      </c>
      <c r="D220">
        <f t="shared" si="20"/>
        <v>22.649422862395678</v>
      </c>
      <c r="E220">
        <f t="shared" si="20"/>
        <v>233.21972005018279</v>
      </c>
      <c r="F220">
        <f t="shared" si="20"/>
        <v>104.19981917128996</v>
      </c>
      <c r="G220">
        <f t="shared" si="20"/>
        <v>9.402394532312071</v>
      </c>
      <c r="H220">
        <f t="shared" si="20"/>
        <v>130.31692416957975</v>
      </c>
      <c r="I220">
        <f t="shared" si="20"/>
        <v>8.8765742793308853</v>
      </c>
      <c r="J220">
        <f t="shared" si="20"/>
        <v>27.787893161442124</v>
      </c>
      <c r="K220">
        <f t="shared" si="20"/>
        <v>35.269108933944146</v>
      </c>
      <c r="L220">
        <f t="shared" si="19"/>
        <v>588.22851580341398</v>
      </c>
    </row>
    <row r="221" spans="2:12" ht="15" x14ac:dyDescent="0.15">
      <c r="B221" s="38">
        <v>42952</v>
      </c>
      <c r="C221">
        <f t="shared" si="21"/>
        <v>16.506658642936671</v>
      </c>
      <c r="D221">
        <f t="shared" si="20"/>
        <v>22.649422862395678</v>
      </c>
      <c r="E221">
        <f t="shared" si="20"/>
        <v>233.21972005018279</v>
      </c>
      <c r="F221">
        <f t="shared" si="20"/>
        <v>104.19981917128996</v>
      </c>
      <c r="G221">
        <f t="shared" si="20"/>
        <v>9.402394532312071</v>
      </c>
      <c r="H221">
        <f t="shared" si="20"/>
        <v>130.31692416957975</v>
      </c>
      <c r="I221">
        <f t="shared" si="20"/>
        <v>8.8765742793308853</v>
      </c>
      <c r="J221">
        <f t="shared" si="20"/>
        <v>27.787893161442124</v>
      </c>
      <c r="K221">
        <f t="shared" si="20"/>
        <v>35.269108933944146</v>
      </c>
      <c r="L221">
        <f t="shared" si="19"/>
        <v>588.22851580341398</v>
      </c>
    </row>
    <row r="222" spans="2:12" ht="15" x14ac:dyDescent="0.15">
      <c r="B222" s="38">
        <v>42953</v>
      </c>
      <c r="C222">
        <f t="shared" si="21"/>
        <v>16.506658642936671</v>
      </c>
      <c r="D222">
        <f t="shared" si="20"/>
        <v>22.649422862395678</v>
      </c>
      <c r="E222">
        <f t="shared" si="20"/>
        <v>233.21972005018279</v>
      </c>
      <c r="F222">
        <f t="shared" si="20"/>
        <v>104.19981917128996</v>
      </c>
      <c r="G222">
        <f t="shared" si="20"/>
        <v>9.402394532312071</v>
      </c>
      <c r="H222">
        <f t="shared" si="20"/>
        <v>130.31692416957975</v>
      </c>
      <c r="I222">
        <f t="shared" si="20"/>
        <v>8.8765742793308853</v>
      </c>
      <c r="J222">
        <f t="shared" si="20"/>
        <v>27.787893161442124</v>
      </c>
      <c r="K222">
        <f t="shared" si="20"/>
        <v>35.269108933944146</v>
      </c>
      <c r="L222">
        <f t="shared" si="19"/>
        <v>588.22851580341398</v>
      </c>
    </row>
    <row r="223" spans="2:12" ht="15" x14ac:dyDescent="0.15">
      <c r="B223" s="38">
        <v>42954</v>
      </c>
      <c r="C223">
        <f t="shared" si="21"/>
        <v>16.506658642936671</v>
      </c>
      <c r="D223">
        <f t="shared" si="20"/>
        <v>22.649422862395678</v>
      </c>
      <c r="E223">
        <f t="shared" si="20"/>
        <v>233.21972005018279</v>
      </c>
      <c r="F223">
        <f t="shared" si="20"/>
        <v>104.19981917128996</v>
      </c>
      <c r="G223">
        <f t="shared" si="20"/>
        <v>9.402394532312071</v>
      </c>
      <c r="H223">
        <f t="shared" si="20"/>
        <v>130.31692416957975</v>
      </c>
      <c r="I223">
        <f t="shared" si="20"/>
        <v>8.8765742793308853</v>
      </c>
      <c r="J223">
        <f t="shared" si="20"/>
        <v>27.787893161442124</v>
      </c>
      <c r="K223">
        <f t="shared" si="20"/>
        <v>35.269108933944146</v>
      </c>
      <c r="L223">
        <f t="shared" si="19"/>
        <v>588.22851580341398</v>
      </c>
    </row>
    <row r="224" spans="2:12" ht="15" x14ac:dyDescent="0.15">
      <c r="B224" s="38">
        <v>42955</v>
      </c>
      <c r="C224">
        <f t="shared" si="21"/>
        <v>16.506658642936671</v>
      </c>
      <c r="D224">
        <f t="shared" si="20"/>
        <v>22.649422862395678</v>
      </c>
      <c r="E224">
        <f t="shared" si="20"/>
        <v>233.21972005018279</v>
      </c>
      <c r="F224">
        <f t="shared" si="20"/>
        <v>104.19981917128996</v>
      </c>
      <c r="G224">
        <f t="shared" si="20"/>
        <v>9.402394532312071</v>
      </c>
      <c r="H224">
        <f t="shared" si="20"/>
        <v>130.31692416957975</v>
      </c>
      <c r="I224">
        <f t="shared" si="20"/>
        <v>8.8765742793308853</v>
      </c>
      <c r="J224">
        <f t="shared" si="20"/>
        <v>27.787893161442124</v>
      </c>
      <c r="K224">
        <f t="shared" si="20"/>
        <v>35.269108933944146</v>
      </c>
      <c r="L224">
        <f t="shared" si="19"/>
        <v>588.22851580341398</v>
      </c>
    </row>
    <row r="225" spans="2:12" ht="15" x14ac:dyDescent="0.15">
      <c r="B225" s="38">
        <v>42956</v>
      </c>
      <c r="C225">
        <f t="shared" si="21"/>
        <v>16.506658642936671</v>
      </c>
      <c r="D225">
        <f t="shared" si="20"/>
        <v>22.649422862395678</v>
      </c>
      <c r="E225">
        <f t="shared" si="20"/>
        <v>233.21972005018279</v>
      </c>
      <c r="F225">
        <f t="shared" si="20"/>
        <v>104.19981917128996</v>
      </c>
      <c r="G225">
        <f t="shared" si="20"/>
        <v>9.402394532312071</v>
      </c>
      <c r="H225">
        <f t="shared" si="20"/>
        <v>130.31692416957975</v>
      </c>
      <c r="I225">
        <f t="shared" si="20"/>
        <v>8.8765742793308853</v>
      </c>
      <c r="J225">
        <f t="shared" si="20"/>
        <v>27.787893161442124</v>
      </c>
      <c r="K225">
        <f t="shared" si="20"/>
        <v>35.269108933944146</v>
      </c>
      <c r="L225">
        <f t="shared" si="19"/>
        <v>588.22851580341398</v>
      </c>
    </row>
    <row r="226" spans="2:12" ht="15" x14ac:dyDescent="0.15">
      <c r="B226" s="38">
        <v>42957</v>
      </c>
      <c r="C226">
        <f t="shared" si="21"/>
        <v>16.506658642936671</v>
      </c>
      <c r="D226">
        <f t="shared" si="20"/>
        <v>22.649422862395678</v>
      </c>
      <c r="E226">
        <f t="shared" si="20"/>
        <v>233.21972005018279</v>
      </c>
      <c r="F226">
        <f t="shared" si="20"/>
        <v>104.19981917128996</v>
      </c>
      <c r="G226">
        <f t="shared" si="20"/>
        <v>9.402394532312071</v>
      </c>
      <c r="H226">
        <f t="shared" si="20"/>
        <v>130.31692416957975</v>
      </c>
      <c r="I226">
        <f t="shared" si="20"/>
        <v>8.8765742793308853</v>
      </c>
      <c r="J226">
        <f t="shared" si="20"/>
        <v>27.787893161442124</v>
      </c>
      <c r="K226">
        <f t="shared" si="20"/>
        <v>35.269108933944146</v>
      </c>
      <c r="L226">
        <f t="shared" si="19"/>
        <v>588.22851580341398</v>
      </c>
    </row>
    <row r="227" spans="2:12" ht="15" x14ac:dyDescent="0.15">
      <c r="B227" s="38">
        <v>42958</v>
      </c>
      <c r="C227">
        <f t="shared" si="21"/>
        <v>16.506658642936671</v>
      </c>
      <c r="D227">
        <f t="shared" si="20"/>
        <v>22.649422862395678</v>
      </c>
      <c r="E227">
        <f t="shared" si="20"/>
        <v>233.21972005018279</v>
      </c>
      <c r="F227">
        <f t="shared" si="20"/>
        <v>104.19981917128996</v>
      </c>
      <c r="G227">
        <f t="shared" si="20"/>
        <v>9.402394532312071</v>
      </c>
      <c r="H227">
        <f t="shared" si="20"/>
        <v>130.31692416957975</v>
      </c>
      <c r="I227">
        <f t="shared" si="20"/>
        <v>8.8765742793308853</v>
      </c>
      <c r="J227">
        <f t="shared" si="20"/>
        <v>27.787893161442124</v>
      </c>
      <c r="K227">
        <f t="shared" si="20"/>
        <v>35.269108933944146</v>
      </c>
      <c r="L227">
        <f t="shared" si="19"/>
        <v>588.22851580341398</v>
      </c>
    </row>
    <row r="228" spans="2:12" ht="15" x14ac:dyDescent="0.15">
      <c r="B228" s="38">
        <v>42959</v>
      </c>
      <c r="C228">
        <f t="shared" si="21"/>
        <v>16.506658642936671</v>
      </c>
      <c r="D228">
        <f t="shared" si="20"/>
        <v>22.649422862395678</v>
      </c>
      <c r="E228">
        <f t="shared" si="20"/>
        <v>233.21972005018279</v>
      </c>
      <c r="F228">
        <f t="shared" si="20"/>
        <v>104.19981917128996</v>
      </c>
      <c r="G228">
        <f t="shared" si="20"/>
        <v>9.402394532312071</v>
      </c>
      <c r="H228">
        <f t="shared" si="20"/>
        <v>130.31692416957975</v>
      </c>
      <c r="I228">
        <f t="shared" si="20"/>
        <v>8.8765742793308853</v>
      </c>
      <c r="J228">
        <f t="shared" si="20"/>
        <v>27.787893161442124</v>
      </c>
      <c r="K228">
        <f t="shared" si="20"/>
        <v>35.269108933944146</v>
      </c>
      <c r="L228">
        <f t="shared" si="19"/>
        <v>588.22851580341398</v>
      </c>
    </row>
    <row r="229" spans="2:12" ht="15" x14ac:dyDescent="0.15">
      <c r="B229" s="38">
        <v>42960</v>
      </c>
      <c r="C229">
        <f t="shared" si="21"/>
        <v>16.506658642936671</v>
      </c>
      <c r="D229">
        <f t="shared" si="20"/>
        <v>22.649422862395678</v>
      </c>
      <c r="E229">
        <f t="shared" si="20"/>
        <v>233.21972005018279</v>
      </c>
      <c r="F229">
        <f t="shared" si="20"/>
        <v>104.19981917128996</v>
      </c>
      <c r="G229">
        <f t="shared" si="20"/>
        <v>9.402394532312071</v>
      </c>
      <c r="H229">
        <f t="shared" si="20"/>
        <v>130.31692416957975</v>
      </c>
      <c r="I229">
        <f t="shared" si="20"/>
        <v>8.8765742793308853</v>
      </c>
      <c r="J229">
        <f t="shared" si="20"/>
        <v>27.787893161442124</v>
      </c>
      <c r="K229">
        <f t="shared" si="20"/>
        <v>35.269108933944146</v>
      </c>
      <c r="L229">
        <f t="shared" si="19"/>
        <v>588.22851580341398</v>
      </c>
    </row>
    <row r="230" spans="2:12" ht="15" x14ac:dyDescent="0.15">
      <c r="B230" s="38">
        <v>42961</v>
      </c>
      <c r="C230">
        <f t="shared" si="21"/>
        <v>16.506658642936671</v>
      </c>
      <c r="D230">
        <f t="shared" si="20"/>
        <v>22.649422862395678</v>
      </c>
      <c r="E230">
        <f t="shared" si="20"/>
        <v>233.21972005018279</v>
      </c>
      <c r="F230">
        <f t="shared" si="20"/>
        <v>104.19981917128996</v>
      </c>
      <c r="G230">
        <f t="shared" si="20"/>
        <v>9.402394532312071</v>
      </c>
      <c r="H230">
        <f t="shared" si="20"/>
        <v>130.31692416957975</v>
      </c>
      <c r="I230">
        <f t="shared" si="20"/>
        <v>8.8765742793308853</v>
      </c>
      <c r="J230">
        <f t="shared" si="20"/>
        <v>27.787893161442124</v>
      </c>
      <c r="K230">
        <f t="shared" si="20"/>
        <v>35.269108933944146</v>
      </c>
      <c r="L230">
        <f t="shared" si="19"/>
        <v>588.22851580341398</v>
      </c>
    </row>
    <row r="231" spans="2:12" ht="15" x14ac:dyDescent="0.15">
      <c r="B231" s="38">
        <v>42962</v>
      </c>
      <c r="C231">
        <f t="shared" si="21"/>
        <v>16.506658642936671</v>
      </c>
      <c r="D231">
        <f t="shared" si="20"/>
        <v>22.649422862395678</v>
      </c>
      <c r="E231">
        <f t="shared" si="20"/>
        <v>233.21972005018279</v>
      </c>
      <c r="F231">
        <f t="shared" si="20"/>
        <v>104.19981917128996</v>
      </c>
      <c r="G231">
        <f t="shared" si="20"/>
        <v>9.402394532312071</v>
      </c>
      <c r="H231">
        <f t="shared" si="20"/>
        <v>130.31692416957975</v>
      </c>
      <c r="I231">
        <f t="shared" si="20"/>
        <v>8.8765742793308853</v>
      </c>
      <c r="J231">
        <f t="shared" si="20"/>
        <v>27.787893161442124</v>
      </c>
      <c r="K231">
        <f t="shared" si="20"/>
        <v>35.269108933944146</v>
      </c>
      <c r="L231">
        <f t="shared" si="19"/>
        <v>588.22851580341398</v>
      </c>
    </row>
    <row r="232" spans="2:12" ht="15" x14ac:dyDescent="0.15">
      <c r="B232" s="38">
        <v>42963</v>
      </c>
      <c r="C232">
        <f t="shared" si="21"/>
        <v>16.506658642936671</v>
      </c>
      <c r="D232">
        <f t="shared" si="20"/>
        <v>22.649422862395678</v>
      </c>
      <c r="E232">
        <f t="shared" si="20"/>
        <v>233.21972005018279</v>
      </c>
      <c r="F232">
        <f t="shared" si="20"/>
        <v>104.19981917128996</v>
      </c>
      <c r="G232">
        <f t="shared" si="20"/>
        <v>9.402394532312071</v>
      </c>
      <c r="H232">
        <f t="shared" si="20"/>
        <v>130.31692416957975</v>
      </c>
      <c r="I232">
        <f t="shared" si="20"/>
        <v>8.8765742793308853</v>
      </c>
      <c r="J232">
        <f t="shared" si="20"/>
        <v>27.787893161442124</v>
      </c>
      <c r="K232">
        <f t="shared" si="20"/>
        <v>35.269108933944146</v>
      </c>
      <c r="L232">
        <f t="shared" si="19"/>
        <v>588.22851580341398</v>
      </c>
    </row>
    <row r="233" spans="2:12" ht="15" x14ac:dyDescent="0.15">
      <c r="B233" s="38">
        <v>42964</v>
      </c>
      <c r="C233">
        <f t="shared" si="21"/>
        <v>16.506658642936671</v>
      </c>
      <c r="D233">
        <f t="shared" si="21"/>
        <v>22.649422862395678</v>
      </c>
      <c r="E233">
        <f t="shared" si="21"/>
        <v>233.21972005018279</v>
      </c>
      <c r="F233">
        <f t="shared" si="21"/>
        <v>104.19981917128996</v>
      </c>
      <c r="G233">
        <f t="shared" si="21"/>
        <v>9.402394532312071</v>
      </c>
      <c r="H233">
        <f t="shared" si="21"/>
        <v>130.31692416957975</v>
      </c>
      <c r="I233">
        <f t="shared" si="21"/>
        <v>8.8765742793308853</v>
      </c>
      <c r="J233">
        <f t="shared" si="21"/>
        <v>27.787893161442124</v>
      </c>
      <c r="K233">
        <f t="shared" si="21"/>
        <v>35.269108933944146</v>
      </c>
      <c r="L233">
        <f t="shared" si="19"/>
        <v>588.22851580341398</v>
      </c>
    </row>
    <row r="234" spans="2:12" ht="15" x14ac:dyDescent="0.15">
      <c r="B234" s="38">
        <v>42965</v>
      </c>
      <c r="C234">
        <f t="shared" si="21"/>
        <v>16.506658642936671</v>
      </c>
      <c r="D234">
        <f t="shared" si="21"/>
        <v>22.649422862395678</v>
      </c>
      <c r="E234">
        <f t="shared" si="21"/>
        <v>233.21972005018279</v>
      </c>
      <c r="F234">
        <f t="shared" si="21"/>
        <v>104.19981917128996</v>
      </c>
      <c r="G234">
        <f t="shared" si="21"/>
        <v>9.402394532312071</v>
      </c>
      <c r="H234">
        <f t="shared" si="21"/>
        <v>130.31692416957975</v>
      </c>
      <c r="I234">
        <f t="shared" si="21"/>
        <v>8.8765742793308853</v>
      </c>
      <c r="J234">
        <f t="shared" si="21"/>
        <v>27.787893161442124</v>
      </c>
      <c r="K234">
        <f t="shared" si="21"/>
        <v>35.269108933944146</v>
      </c>
      <c r="L234">
        <f t="shared" si="19"/>
        <v>588.22851580341398</v>
      </c>
    </row>
    <row r="235" spans="2:12" ht="15" x14ac:dyDescent="0.15">
      <c r="B235" s="38">
        <v>42966</v>
      </c>
      <c r="C235">
        <f t="shared" si="21"/>
        <v>16.506658642936671</v>
      </c>
      <c r="D235">
        <f t="shared" si="21"/>
        <v>22.649422862395678</v>
      </c>
      <c r="E235">
        <f t="shared" si="21"/>
        <v>233.21972005018279</v>
      </c>
      <c r="F235">
        <f t="shared" si="21"/>
        <v>104.19981917128996</v>
      </c>
      <c r="G235">
        <f t="shared" si="21"/>
        <v>9.402394532312071</v>
      </c>
      <c r="H235">
        <f t="shared" si="21"/>
        <v>130.31692416957975</v>
      </c>
      <c r="I235">
        <f t="shared" si="21"/>
        <v>8.8765742793308853</v>
      </c>
      <c r="J235">
        <f t="shared" si="21"/>
        <v>27.787893161442124</v>
      </c>
      <c r="K235">
        <f t="shared" si="21"/>
        <v>35.269108933944146</v>
      </c>
      <c r="L235">
        <f t="shared" si="19"/>
        <v>588.22851580341398</v>
      </c>
    </row>
    <row r="236" spans="2:12" ht="15" x14ac:dyDescent="0.15">
      <c r="B236" s="38">
        <v>42967</v>
      </c>
      <c r="C236">
        <f t="shared" si="21"/>
        <v>16.506658642936671</v>
      </c>
      <c r="D236">
        <f t="shared" si="21"/>
        <v>22.649422862395678</v>
      </c>
      <c r="E236">
        <f t="shared" si="21"/>
        <v>233.21972005018279</v>
      </c>
      <c r="F236">
        <f t="shared" si="21"/>
        <v>104.19981917128996</v>
      </c>
      <c r="G236">
        <f t="shared" si="21"/>
        <v>9.402394532312071</v>
      </c>
      <c r="H236">
        <f t="shared" si="21"/>
        <v>130.31692416957975</v>
      </c>
      <c r="I236">
        <f t="shared" si="21"/>
        <v>8.8765742793308853</v>
      </c>
      <c r="J236">
        <f t="shared" si="21"/>
        <v>27.787893161442124</v>
      </c>
      <c r="K236">
        <f t="shared" si="21"/>
        <v>35.269108933944146</v>
      </c>
      <c r="L236">
        <f t="shared" si="19"/>
        <v>588.22851580341398</v>
      </c>
    </row>
    <row r="237" spans="2:12" ht="15" x14ac:dyDescent="0.15">
      <c r="B237" s="38">
        <v>42968</v>
      </c>
      <c r="C237">
        <f t="shared" si="21"/>
        <v>16.506658642936671</v>
      </c>
      <c r="D237">
        <f t="shared" si="21"/>
        <v>22.649422862395678</v>
      </c>
      <c r="E237">
        <f t="shared" si="21"/>
        <v>233.21972005018279</v>
      </c>
      <c r="F237">
        <f t="shared" si="21"/>
        <v>104.19981917128996</v>
      </c>
      <c r="G237">
        <f t="shared" si="21"/>
        <v>9.402394532312071</v>
      </c>
      <c r="H237">
        <f t="shared" si="21"/>
        <v>130.31692416957975</v>
      </c>
      <c r="I237">
        <f t="shared" si="21"/>
        <v>8.8765742793308853</v>
      </c>
      <c r="J237">
        <f t="shared" si="21"/>
        <v>27.787893161442124</v>
      </c>
      <c r="K237">
        <f t="shared" si="21"/>
        <v>35.269108933944146</v>
      </c>
      <c r="L237">
        <f t="shared" si="19"/>
        <v>588.22851580341398</v>
      </c>
    </row>
    <row r="238" spans="2:12" ht="15" x14ac:dyDescent="0.15">
      <c r="B238" s="38">
        <v>42969</v>
      </c>
      <c r="C238">
        <f t="shared" si="21"/>
        <v>16.506658642936671</v>
      </c>
      <c r="D238">
        <f t="shared" si="21"/>
        <v>22.649422862395678</v>
      </c>
      <c r="E238">
        <f t="shared" si="21"/>
        <v>233.21972005018279</v>
      </c>
      <c r="F238">
        <f t="shared" si="21"/>
        <v>104.19981917128996</v>
      </c>
      <c r="G238">
        <f t="shared" si="21"/>
        <v>9.402394532312071</v>
      </c>
      <c r="H238">
        <f t="shared" si="21"/>
        <v>130.31692416957975</v>
      </c>
      <c r="I238">
        <f t="shared" si="21"/>
        <v>8.8765742793308853</v>
      </c>
      <c r="J238">
        <f t="shared" si="21"/>
        <v>27.787893161442124</v>
      </c>
      <c r="K238">
        <f t="shared" si="21"/>
        <v>35.269108933944146</v>
      </c>
      <c r="L238">
        <f t="shared" si="19"/>
        <v>588.22851580341398</v>
      </c>
    </row>
    <row r="239" spans="2:12" ht="15" x14ac:dyDescent="0.15">
      <c r="B239" s="38">
        <v>42970</v>
      </c>
      <c r="C239">
        <f t="shared" si="21"/>
        <v>16.506658642936671</v>
      </c>
      <c r="D239">
        <f t="shared" si="21"/>
        <v>22.649422862395678</v>
      </c>
      <c r="E239">
        <f t="shared" si="21"/>
        <v>233.21972005018279</v>
      </c>
      <c r="F239">
        <f t="shared" si="21"/>
        <v>104.19981917128996</v>
      </c>
      <c r="G239">
        <f t="shared" si="21"/>
        <v>9.402394532312071</v>
      </c>
      <c r="H239">
        <f t="shared" si="21"/>
        <v>130.31692416957975</v>
      </c>
      <c r="I239">
        <f t="shared" si="21"/>
        <v>8.8765742793308853</v>
      </c>
      <c r="J239">
        <f t="shared" si="21"/>
        <v>27.787893161442124</v>
      </c>
      <c r="K239">
        <f t="shared" si="21"/>
        <v>35.269108933944146</v>
      </c>
      <c r="L239">
        <f t="shared" si="19"/>
        <v>588.22851580341398</v>
      </c>
    </row>
    <row r="240" spans="2:12" ht="15" x14ac:dyDescent="0.15">
      <c r="B240" s="38">
        <v>42971</v>
      </c>
      <c r="C240">
        <f t="shared" si="21"/>
        <v>16.506658642936671</v>
      </c>
      <c r="D240">
        <f t="shared" si="21"/>
        <v>22.649422862395678</v>
      </c>
      <c r="E240">
        <f t="shared" si="21"/>
        <v>233.21972005018279</v>
      </c>
      <c r="F240">
        <f t="shared" si="21"/>
        <v>104.19981917128996</v>
      </c>
      <c r="G240">
        <f t="shared" si="21"/>
        <v>9.402394532312071</v>
      </c>
      <c r="H240">
        <f t="shared" si="21"/>
        <v>130.31692416957975</v>
      </c>
      <c r="I240">
        <f t="shared" si="21"/>
        <v>8.8765742793308853</v>
      </c>
      <c r="J240">
        <f t="shared" si="21"/>
        <v>27.787893161442124</v>
      </c>
      <c r="K240">
        <f t="shared" si="21"/>
        <v>35.269108933944146</v>
      </c>
      <c r="L240">
        <f t="shared" si="19"/>
        <v>588.22851580341398</v>
      </c>
    </row>
    <row r="241" spans="2:12" ht="15" x14ac:dyDescent="0.15">
      <c r="B241" s="38">
        <v>42972</v>
      </c>
      <c r="C241">
        <f t="shared" si="21"/>
        <v>16.506658642936671</v>
      </c>
      <c r="D241">
        <f t="shared" si="21"/>
        <v>22.649422862395678</v>
      </c>
      <c r="E241">
        <f t="shared" si="21"/>
        <v>233.21972005018279</v>
      </c>
      <c r="F241">
        <f t="shared" si="21"/>
        <v>104.19981917128996</v>
      </c>
      <c r="G241">
        <f t="shared" si="21"/>
        <v>9.402394532312071</v>
      </c>
      <c r="H241">
        <f t="shared" si="21"/>
        <v>130.31692416957975</v>
      </c>
      <c r="I241">
        <f t="shared" si="21"/>
        <v>8.8765742793308853</v>
      </c>
      <c r="J241">
        <f t="shared" si="21"/>
        <v>27.787893161442124</v>
      </c>
      <c r="K241">
        <f t="shared" si="21"/>
        <v>35.269108933944146</v>
      </c>
      <c r="L241">
        <f t="shared" si="19"/>
        <v>588.22851580341398</v>
      </c>
    </row>
    <row r="242" spans="2:12" ht="15" x14ac:dyDescent="0.15">
      <c r="B242" s="38">
        <v>42973</v>
      </c>
      <c r="C242">
        <f t="shared" si="21"/>
        <v>16.506658642936671</v>
      </c>
      <c r="D242">
        <f t="shared" si="21"/>
        <v>22.649422862395678</v>
      </c>
      <c r="E242">
        <f t="shared" si="21"/>
        <v>233.21972005018279</v>
      </c>
      <c r="F242">
        <f t="shared" si="21"/>
        <v>104.19981917128996</v>
      </c>
      <c r="G242">
        <f t="shared" si="21"/>
        <v>9.402394532312071</v>
      </c>
      <c r="H242">
        <f t="shared" si="21"/>
        <v>130.31692416957975</v>
      </c>
      <c r="I242">
        <f t="shared" si="21"/>
        <v>8.8765742793308853</v>
      </c>
      <c r="J242">
        <f t="shared" si="21"/>
        <v>27.787893161442124</v>
      </c>
      <c r="K242">
        <f t="shared" si="21"/>
        <v>35.269108933944146</v>
      </c>
      <c r="L242">
        <f t="shared" si="19"/>
        <v>588.22851580341398</v>
      </c>
    </row>
    <row r="243" spans="2:12" ht="15" x14ac:dyDescent="0.15">
      <c r="B243" s="38">
        <v>42974</v>
      </c>
      <c r="C243">
        <f t="shared" si="21"/>
        <v>16.506658642936671</v>
      </c>
      <c r="D243">
        <f t="shared" si="21"/>
        <v>22.649422862395678</v>
      </c>
      <c r="E243">
        <f t="shared" si="21"/>
        <v>233.21972005018279</v>
      </c>
      <c r="F243">
        <f t="shared" si="21"/>
        <v>104.19981917128996</v>
      </c>
      <c r="G243">
        <f t="shared" si="21"/>
        <v>9.402394532312071</v>
      </c>
      <c r="H243">
        <f t="shared" si="21"/>
        <v>130.31692416957975</v>
      </c>
      <c r="I243">
        <f t="shared" si="21"/>
        <v>8.8765742793308853</v>
      </c>
      <c r="J243">
        <f t="shared" si="21"/>
        <v>27.787893161442124</v>
      </c>
      <c r="K243">
        <f t="shared" si="21"/>
        <v>35.269108933944146</v>
      </c>
      <c r="L243">
        <f t="shared" si="19"/>
        <v>588.22851580341398</v>
      </c>
    </row>
    <row r="244" spans="2:12" ht="15" x14ac:dyDescent="0.15">
      <c r="B244" s="38">
        <v>42975</v>
      </c>
      <c r="C244">
        <f t="shared" si="21"/>
        <v>16.506658642936671</v>
      </c>
      <c r="D244">
        <f t="shared" si="21"/>
        <v>22.649422862395678</v>
      </c>
      <c r="E244">
        <f t="shared" si="21"/>
        <v>233.21972005018279</v>
      </c>
      <c r="F244">
        <f t="shared" si="21"/>
        <v>104.19981917128996</v>
      </c>
      <c r="G244">
        <f t="shared" si="21"/>
        <v>9.402394532312071</v>
      </c>
      <c r="H244">
        <f t="shared" si="21"/>
        <v>130.31692416957975</v>
      </c>
      <c r="I244">
        <f t="shared" si="21"/>
        <v>8.8765742793308853</v>
      </c>
      <c r="J244">
        <f t="shared" si="21"/>
        <v>27.787893161442124</v>
      </c>
      <c r="K244">
        <f t="shared" si="21"/>
        <v>35.269108933944146</v>
      </c>
      <c r="L244">
        <f t="shared" si="19"/>
        <v>588.22851580341398</v>
      </c>
    </row>
    <row r="245" spans="2:12" ht="15" x14ac:dyDescent="0.15">
      <c r="B245" s="38">
        <v>42976</v>
      </c>
      <c r="C245">
        <f t="shared" si="21"/>
        <v>16.506658642936671</v>
      </c>
      <c r="D245">
        <f t="shared" si="21"/>
        <v>22.649422862395678</v>
      </c>
      <c r="E245">
        <f t="shared" si="21"/>
        <v>233.21972005018279</v>
      </c>
      <c r="F245">
        <f t="shared" si="21"/>
        <v>104.19981917128996</v>
      </c>
      <c r="G245">
        <f t="shared" si="21"/>
        <v>9.402394532312071</v>
      </c>
      <c r="H245">
        <f t="shared" si="21"/>
        <v>130.31692416957975</v>
      </c>
      <c r="I245">
        <f t="shared" si="21"/>
        <v>8.8765742793308853</v>
      </c>
      <c r="J245">
        <f t="shared" si="21"/>
        <v>27.787893161442124</v>
      </c>
      <c r="K245">
        <f t="shared" si="21"/>
        <v>35.269108933944146</v>
      </c>
      <c r="L245">
        <f t="shared" si="19"/>
        <v>588.22851580341398</v>
      </c>
    </row>
    <row r="246" spans="2:12" ht="15" x14ac:dyDescent="0.15">
      <c r="B246" s="38">
        <v>42977</v>
      </c>
      <c r="C246">
        <f t="shared" si="21"/>
        <v>16.506658642936671</v>
      </c>
      <c r="D246">
        <f t="shared" si="21"/>
        <v>22.649422862395678</v>
      </c>
      <c r="E246">
        <f t="shared" si="21"/>
        <v>233.21972005018279</v>
      </c>
      <c r="F246">
        <f t="shared" si="21"/>
        <v>104.19981917128996</v>
      </c>
      <c r="G246">
        <f t="shared" si="21"/>
        <v>9.402394532312071</v>
      </c>
      <c r="H246">
        <f t="shared" si="21"/>
        <v>130.31692416957975</v>
      </c>
      <c r="I246">
        <f t="shared" si="21"/>
        <v>8.8765742793308853</v>
      </c>
      <c r="J246">
        <f t="shared" si="21"/>
        <v>27.787893161442124</v>
      </c>
      <c r="K246">
        <f t="shared" si="21"/>
        <v>35.269108933944146</v>
      </c>
      <c r="L246">
        <f t="shared" si="19"/>
        <v>588.22851580341398</v>
      </c>
    </row>
    <row r="247" spans="2:12" ht="15" x14ac:dyDescent="0.15">
      <c r="B247" s="38">
        <v>42978</v>
      </c>
      <c r="C247">
        <f t="shared" si="21"/>
        <v>16.506658642936671</v>
      </c>
      <c r="D247">
        <f t="shared" si="21"/>
        <v>22.649422862395678</v>
      </c>
      <c r="E247">
        <f t="shared" si="21"/>
        <v>233.21972005018279</v>
      </c>
      <c r="F247">
        <f t="shared" si="21"/>
        <v>104.19981917128996</v>
      </c>
      <c r="G247">
        <f t="shared" si="21"/>
        <v>9.402394532312071</v>
      </c>
      <c r="H247">
        <f t="shared" si="21"/>
        <v>130.31692416957975</v>
      </c>
      <c r="I247">
        <f t="shared" si="21"/>
        <v>8.8765742793308853</v>
      </c>
      <c r="J247">
        <f t="shared" si="21"/>
        <v>27.787893161442124</v>
      </c>
      <c r="K247">
        <f t="shared" si="21"/>
        <v>35.269108933944146</v>
      </c>
      <c r="L247">
        <f t="shared" si="19"/>
        <v>588.22851580341398</v>
      </c>
    </row>
    <row r="248" spans="2:12" ht="15" x14ac:dyDescent="0.15">
      <c r="B248" s="38">
        <v>42979</v>
      </c>
      <c r="C248">
        <f>C$3*$O$15/4</f>
        <v>16.197844458619016</v>
      </c>
      <c r="D248">
        <f t="shared" ref="D248:K263" si="22">D$3*$O$15/4</f>
        <v>22.225687011438989</v>
      </c>
      <c r="E248">
        <f t="shared" si="22"/>
        <v>228.85653794458401</v>
      </c>
      <c r="F248">
        <f t="shared" si="22"/>
        <v>102.25040088746313</v>
      </c>
      <c r="G248">
        <f t="shared" si="22"/>
        <v>9.2264901981316836</v>
      </c>
      <c r="H248">
        <f t="shared" si="22"/>
        <v>127.87889503777633</v>
      </c>
      <c r="I248">
        <f t="shared" si="22"/>
        <v>8.710507233001092</v>
      </c>
      <c r="J248">
        <f t="shared" si="22"/>
        <v>27.268024437784423</v>
      </c>
      <c r="K248">
        <f t="shared" si="22"/>
        <v>34.60927817457317</v>
      </c>
      <c r="L248">
        <f t="shared" si="19"/>
        <v>577.22366538337189</v>
      </c>
    </row>
    <row r="249" spans="2:12" ht="15" x14ac:dyDescent="0.15">
      <c r="B249" s="38">
        <v>42980</v>
      </c>
      <c r="C249">
        <f t="shared" ref="C249:K277" si="23">C$3*$O$15/4</f>
        <v>16.197844458619016</v>
      </c>
      <c r="D249">
        <f t="shared" si="22"/>
        <v>22.225687011438989</v>
      </c>
      <c r="E249">
        <f t="shared" si="22"/>
        <v>228.85653794458401</v>
      </c>
      <c r="F249">
        <f t="shared" si="22"/>
        <v>102.25040088746313</v>
      </c>
      <c r="G249">
        <f t="shared" si="22"/>
        <v>9.2264901981316836</v>
      </c>
      <c r="H249">
        <f t="shared" si="22"/>
        <v>127.87889503777633</v>
      </c>
      <c r="I249">
        <f t="shared" si="22"/>
        <v>8.710507233001092</v>
      </c>
      <c r="J249">
        <f t="shared" si="22"/>
        <v>27.268024437784423</v>
      </c>
      <c r="K249">
        <f t="shared" si="22"/>
        <v>34.60927817457317</v>
      </c>
      <c r="L249">
        <f t="shared" si="19"/>
        <v>577.22366538337189</v>
      </c>
    </row>
    <row r="250" spans="2:12" ht="15" x14ac:dyDescent="0.15">
      <c r="B250" s="38">
        <v>42981</v>
      </c>
      <c r="C250">
        <f t="shared" si="23"/>
        <v>16.197844458619016</v>
      </c>
      <c r="D250">
        <f t="shared" si="22"/>
        <v>22.225687011438989</v>
      </c>
      <c r="E250">
        <f t="shared" si="22"/>
        <v>228.85653794458401</v>
      </c>
      <c r="F250">
        <f t="shared" si="22"/>
        <v>102.25040088746313</v>
      </c>
      <c r="G250">
        <f t="shared" si="22"/>
        <v>9.2264901981316836</v>
      </c>
      <c r="H250">
        <f t="shared" si="22"/>
        <v>127.87889503777633</v>
      </c>
      <c r="I250">
        <f t="shared" si="22"/>
        <v>8.710507233001092</v>
      </c>
      <c r="J250">
        <f t="shared" si="22"/>
        <v>27.268024437784423</v>
      </c>
      <c r="K250">
        <f t="shared" si="22"/>
        <v>34.60927817457317</v>
      </c>
      <c r="L250">
        <f t="shared" si="19"/>
        <v>577.22366538337189</v>
      </c>
    </row>
    <row r="251" spans="2:12" ht="15" x14ac:dyDescent="0.15">
      <c r="B251" s="38">
        <v>42982</v>
      </c>
      <c r="C251">
        <f t="shared" si="23"/>
        <v>16.197844458619016</v>
      </c>
      <c r="D251">
        <f t="shared" si="22"/>
        <v>22.225687011438989</v>
      </c>
      <c r="E251">
        <f t="shared" si="22"/>
        <v>228.85653794458401</v>
      </c>
      <c r="F251">
        <f t="shared" si="22"/>
        <v>102.25040088746313</v>
      </c>
      <c r="G251">
        <f t="shared" si="22"/>
        <v>9.2264901981316836</v>
      </c>
      <c r="H251">
        <f t="shared" si="22"/>
        <v>127.87889503777633</v>
      </c>
      <c r="I251">
        <f t="shared" si="22"/>
        <v>8.710507233001092</v>
      </c>
      <c r="J251">
        <f t="shared" si="22"/>
        <v>27.268024437784423</v>
      </c>
      <c r="K251">
        <f t="shared" si="22"/>
        <v>34.60927817457317</v>
      </c>
      <c r="L251">
        <f t="shared" si="19"/>
        <v>577.22366538337189</v>
      </c>
    </row>
    <row r="252" spans="2:12" ht="15" x14ac:dyDescent="0.15">
      <c r="B252" s="38">
        <v>42983</v>
      </c>
      <c r="C252">
        <f t="shared" si="23"/>
        <v>16.197844458619016</v>
      </c>
      <c r="D252">
        <f t="shared" si="22"/>
        <v>22.225687011438989</v>
      </c>
      <c r="E252">
        <f t="shared" si="22"/>
        <v>228.85653794458401</v>
      </c>
      <c r="F252">
        <f t="shared" si="22"/>
        <v>102.25040088746313</v>
      </c>
      <c r="G252">
        <f t="shared" si="22"/>
        <v>9.2264901981316836</v>
      </c>
      <c r="H252">
        <f t="shared" si="22"/>
        <v>127.87889503777633</v>
      </c>
      <c r="I252">
        <f t="shared" si="22"/>
        <v>8.710507233001092</v>
      </c>
      <c r="J252">
        <f t="shared" si="22"/>
        <v>27.268024437784423</v>
      </c>
      <c r="K252">
        <f t="shared" si="22"/>
        <v>34.60927817457317</v>
      </c>
      <c r="L252">
        <f t="shared" si="19"/>
        <v>577.22366538337189</v>
      </c>
    </row>
    <row r="253" spans="2:12" ht="15" x14ac:dyDescent="0.15">
      <c r="B253" s="38">
        <v>42984</v>
      </c>
      <c r="C253">
        <f t="shared" si="23"/>
        <v>16.197844458619016</v>
      </c>
      <c r="D253">
        <f t="shared" si="22"/>
        <v>22.225687011438989</v>
      </c>
      <c r="E253">
        <f t="shared" si="22"/>
        <v>228.85653794458401</v>
      </c>
      <c r="F253">
        <f t="shared" si="22"/>
        <v>102.25040088746313</v>
      </c>
      <c r="G253">
        <f t="shared" si="22"/>
        <v>9.2264901981316836</v>
      </c>
      <c r="H253">
        <f t="shared" si="22"/>
        <v>127.87889503777633</v>
      </c>
      <c r="I253">
        <f t="shared" si="22"/>
        <v>8.710507233001092</v>
      </c>
      <c r="J253">
        <f t="shared" si="22"/>
        <v>27.268024437784423</v>
      </c>
      <c r="K253">
        <f t="shared" si="22"/>
        <v>34.60927817457317</v>
      </c>
      <c r="L253">
        <f t="shared" si="19"/>
        <v>577.22366538337189</v>
      </c>
    </row>
    <row r="254" spans="2:12" ht="15" x14ac:dyDescent="0.15">
      <c r="B254" s="38">
        <v>42985</v>
      </c>
      <c r="C254">
        <f t="shared" si="23"/>
        <v>16.197844458619016</v>
      </c>
      <c r="D254">
        <f t="shared" si="22"/>
        <v>22.225687011438989</v>
      </c>
      <c r="E254">
        <f t="shared" si="22"/>
        <v>228.85653794458401</v>
      </c>
      <c r="F254">
        <f t="shared" si="22"/>
        <v>102.25040088746313</v>
      </c>
      <c r="G254">
        <f t="shared" si="22"/>
        <v>9.2264901981316836</v>
      </c>
      <c r="H254">
        <f t="shared" si="22"/>
        <v>127.87889503777633</v>
      </c>
      <c r="I254">
        <f t="shared" si="22"/>
        <v>8.710507233001092</v>
      </c>
      <c r="J254">
        <f t="shared" si="22"/>
        <v>27.268024437784423</v>
      </c>
      <c r="K254">
        <f t="shared" si="22"/>
        <v>34.60927817457317</v>
      </c>
      <c r="L254">
        <f t="shared" si="19"/>
        <v>577.22366538337189</v>
      </c>
    </row>
    <row r="255" spans="2:12" ht="15" x14ac:dyDescent="0.15">
      <c r="B255" s="38">
        <v>42986</v>
      </c>
      <c r="C255">
        <f t="shared" si="23"/>
        <v>16.197844458619016</v>
      </c>
      <c r="D255">
        <f t="shared" si="22"/>
        <v>22.225687011438989</v>
      </c>
      <c r="E255">
        <f t="shared" si="22"/>
        <v>228.85653794458401</v>
      </c>
      <c r="F255">
        <f t="shared" si="22"/>
        <v>102.25040088746313</v>
      </c>
      <c r="G255">
        <f t="shared" si="22"/>
        <v>9.2264901981316836</v>
      </c>
      <c r="H255">
        <f t="shared" si="22"/>
        <v>127.87889503777633</v>
      </c>
      <c r="I255">
        <f t="shared" si="22"/>
        <v>8.710507233001092</v>
      </c>
      <c r="J255">
        <f t="shared" si="22"/>
        <v>27.268024437784423</v>
      </c>
      <c r="K255">
        <f t="shared" si="22"/>
        <v>34.60927817457317</v>
      </c>
      <c r="L255">
        <f t="shared" si="19"/>
        <v>577.22366538337189</v>
      </c>
    </row>
    <row r="256" spans="2:12" ht="15" x14ac:dyDescent="0.15">
      <c r="B256" s="38">
        <v>42987</v>
      </c>
      <c r="C256">
        <f t="shared" si="23"/>
        <v>16.197844458619016</v>
      </c>
      <c r="D256">
        <f t="shared" si="22"/>
        <v>22.225687011438989</v>
      </c>
      <c r="E256">
        <f t="shared" si="22"/>
        <v>228.85653794458401</v>
      </c>
      <c r="F256">
        <f t="shared" si="22"/>
        <v>102.25040088746313</v>
      </c>
      <c r="G256">
        <f t="shared" si="22"/>
        <v>9.2264901981316836</v>
      </c>
      <c r="H256">
        <f t="shared" si="22"/>
        <v>127.87889503777633</v>
      </c>
      <c r="I256">
        <f t="shared" si="22"/>
        <v>8.710507233001092</v>
      </c>
      <c r="J256">
        <f t="shared" si="22"/>
        <v>27.268024437784423</v>
      </c>
      <c r="K256">
        <f t="shared" si="22"/>
        <v>34.60927817457317</v>
      </c>
      <c r="L256">
        <f t="shared" si="19"/>
        <v>577.22366538337189</v>
      </c>
    </row>
    <row r="257" spans="2:12" ht="15" x14ac:dyDescent="0.15">
      <c r="B257" s="38">
        <v>42988</v>
      </c>
      <c r="C257">
        <f t="shared" si="23"/>
        <v>16.197844458619016</v>
      </c>
      <c r="D257">
        <f t="shared" si="22"/>
        <v>22.225687011438989</v>
      </c>
      <c r="E257">
        <f t="shared" si="22"/>
        <v>228.85653794458401</v>
      </c>
      <c r="F257">
        <f t="shared" si="22"/>
        <v>102.25040088746313</v>
      </c>
      <c r="G257">
        <f t="shared" si="22"/>
        <v>9.2264901981316836</v>
      </c>
      <c r="H257">
        <f t="shared" si="22"/>
        <v>127.87889503777633</v>
      </c>
      <c r="I257">
        <f t="shared" si="22"/>
        <v>8.710507233001092</v>
      </c>
      <c r="J257">
        <f t="shared" si="22"/>
        <v>27.268024437784423</v>
      </c>
      <c r="K257">
        <f t="shared" si="22"/>
        <v>34.60927817457317</v>
      </c>
      <c r="L257">
        <f t="shared" si="19"/>
        <v>577.22366538337189</v>
      </c>
    </row>
    <row r="258" spans="2:12" ht="15" x14ac:dyDescent="0.15">
      <c r="B258" s="38">
        <v>42989</v>
      </c>
      <c r="C258">
        <f t="shared" si="23"/>
        <v>16.197844458619016</v>
      </c>
      <c r="D258">
        <f t="shared" si="22"/>
        <v>22.225687011438989</v>
      </c>
      <c r="E258">
        <f t="shared" si="22"/>
        <v>228.85653794458401</v>
      </c>
      <c r="F258">
        <f t="shared" si="22"/>
        <v>102.25040088746313</v>
      </c>
      <c r="G258">
        <f t="shared" si="22"/>
        <v>9.2264901981316836</v>
      </c>
      <c r="H258">
        <f t="shared" si="22"/>
        <v>127.87889503777633</v>
      </c>
      <c r="I258">
        <f t="shared" si="22"/>
        <v>8.710507233001092</v>
      </c>
      <c r="J258">
        <f t="shared" si="22"/>
        <v>27.268024437784423</v>
      </c>
      <c r="K258">
        <f t="shared" si="22"/>
        <v>34.60927817457317</v>
      </c>
      <c r="L258">
        <f t="shared" si="19"/>
        <v>577.22366538337189</v>
      </c>
    </row>
    <row r="259" spans="2:12" ht="15" x14ac:dyDescent="0.15">
      <c r="B259" s="38">
        <v>42990</v>
      </c>
      <c r="C259">
        <f t="shared" si="23"/>
        <v>16.197844458619016</v>
      </c>
      <c r="D259">
        <f t="shared" si="22"/>
        <v>22.225687011438989</v>
      </c>
      <c r="E259">
        <f t="shared" si="22"/>
        <v>228.85653794458401</v>
      </c>
      <c r="F259">
        <f t="shared" si="22"/>
        <v>102.25040088746313</v>
      </c>
      <c r="G259">
        <f t="shared" si="22"/>
        <v>9.2264901981316836</v>
      </c>
      <c r="H259">
        <f t="shared" si="22"/>
        <v>127.87889503777633</v>
      </c>
      <c r="I259">
        <f t="shared" si="22"/>
        <v>8.710507233001092</v>
      </c>
      <c r="J259">
        <f t="shared" si="22"/>
        <v>27.268024437784423</v>
      </c>
      <c r="K259">
        <f t="shared" si="22"/>
        <v>34.60927817457317</v>
      </c>
      <c r="L259">
        <f t="shared" si="19"/>
        <v>577.22366538337189</v>
      </c>
    </row>
    <row r="260" spans="2:12" ht="15" x14ac:dyDescent="0.15">
      <c r="B260" s="38">
        <v>42991</v>
      </c>
      <c r="C260">
        <f t="shared" si="23"/>
        <v>16.197844458619016</v>
      </c>
      <c r="D260">
        <f t="shared" si="22"/>
        <v>22.225687011438989</v>
      </c>
      <c r="E260">
        <f t="shared" si="22"/>
        <v>228.85653794458401</v>
      </c>
      <c r="F260">
        <f t="shared" si="22"/>
        <v>102.25040088746313</v>
      </c>
      <c r="G260">
        <f t="shared" si="22"/>
        <v>9.2264901981316836</v>
      </c>
      <c r="H260">
        <f t="shared" si="22"/>
        <v>127.87889503777633</v>
      </c>
      <c r="I260">
        <f t="shared" si="22"/>
        <v>8.710507233001092</v>
      </c>
      <c r="J260">
        <f t="shared" si="22"/>
        <v>27.268024437784423</v>
      </c>
      <c r="K260">
        <f t="shared" si="22"/>
        <v>34.60927817457317</v>
      </c>
      <c r="L260">
        <f t="shared" si="19"/>
        <v>577.22366538337189</v>
      </c>
    </row>
    <row r="261" spans="2:12" ht="15" x14ac:dyDescent="0.15">
      <c r="B261" s="38">
        <v>42992</v>
      </c>
      <c r="C261">
        <f t="shared" si="23"/>
        <v>16.197844458619016</v>
      </c>
      <c r="D261">
        <f t="shared" si="22"/>
        <v>22.225687011438989</v>
      </c>
      <c r="E261">
        <f t="shared" si="22"/>
        <v>228.85653794458401</v>
      </c>
      <c r="F261">
        <f t="shared" si="22"/>
        <v>102.25040088746313</v>
      </c>
      <c r="G261">
        <f t="shared" si="22"/>
        <v>9.2264901981316836</v>
      </c>
      <c r="H261">
        <f t="shared" si="22"/>
        <v>127.87889503777633</v>
      </c>
      <c r="I261">
        <f t="shared" si="22"/>
        <v>8.710507233001092</v>
      </c>
      <c r="J261">
        <f t="shared" si="22"/>
        <v>27.268024437784423</v>
      </c>
      <c r="K261">
        <f t="shared" si="22"/>
        <v>34.60927817457317</v>
      </c>
      <c r="L261">
        <f t="shared" si="19"/>
        <v>577.22366538337189</v>
      </c>
    </row>
    <row r="262" spans="2:12" ht="15" x14ac:dyDescent="0.15">
      <c r="B262" s="38">
        <v>42993</v>
      </c>
      <c r="C262">
        <f t="shared" si="23"/>
        <v>16.197844458619016</v>
      </c>
      <c r="D262">
        <f t="shared" si="22"/>
        <v>22.225687011438989</v>
      </c>
      <c r="E262">
        <f t="shared" si="22"/>
        <v>228.85653794458401</v>
      </c>
      <c r="F262">
        <f t="shared" si="22"/>
        <v>102.25040088746313</v>
      </c>
      <c r="G262">
        <f t="shared" si="22"/>
        <v>9.2264901981316836</v>
      </c>
      <c r="H262">
        <f t="shared" si="22"/>
        <v>127.87889503777633</v>
      </c>
      <c r="I262">
        <f t="shared" si="22"/>
        <v>8.710507233001092</v>
      </c>
      <c r="J262">
        <f t="shared" si="22"/>
        <v>27.268024437784423</v>
      </c>
      <c r="K262">
        <f t="shared" si="22"/>
        <v>34.60927817457317</v>
      </c>
      <c r="L262">
        <f t="shared" ref="L262:L325" si="24">SUM(C262:K262)</f>
        <v>577.22366538337189</v>
      </c>
    </row>
    <row r="263" spans="2:12" ht="15" x14ac:dyDescent="0.15">
      <c r="B263" s="38">
        <v>42994</v>
      </c>
      <c r="C263">
        <f t="shared" si="23"/>
        <v>16.197844458619016</v>
      </c>
      <c r="D263">
        <f t="shared" si="22"/>
        <v>22.225687011438989</v>
      </c>
      <c r="E263">
        <f t="shared" si="22"/>
        <v>228.85653794458401</v>
      </c>
      <c r="F263">
        <f t="shared" si="22"/>
        <v>102.25040088746313</v>
      </c>
      <c r="G263">
        <f t="shared" si="22"/>
        <v>9.2264901981316836</v>
      </c>
      <c r="H263">
        <f t="shared" si="22"/>
        <v>127.87889503777633</v>
      </c>
      <c r="I263">
        <f t="shared" si="22"/>
        <v>8.710507233001092</v>
      </c>
      <c r="J263">
        <f t="shared" si="22"/>
        <v>27.268024437784423</v>
      </c>
      <c r="K263">
        <f t="shared" si="22"/>
        <v>34.60927817457317</v>
      </c>
      <c r="L263">
        <f t="shared" si="24"/>
        <v>577.22366538337189</v>
      </c>
    </row>
    <row r="264" spans="2:12" ht="15" x14ac:dyDescent="0.15">
      <c r="B264" s="38">
        <v>42995</v>
      </c>
      <c r="C264">
        <f t="shared" si="23"/>
        <v>16.197844458619016</v>
      </c>
      <c r="D264">
        <f t="shared" si="23"/>
        <v>22.225687011438989</v>
      </c>
      <c r="E264">
        <f t="shared" si="23"/>
        <v>228.85653794458401</v>
      </c>
      <c r="F264">
        <f t="shared" si="23"/>
        <v>102.25040088746313</v>
      </c>
      <c r="G264">
        <f t="shared" si="23"/>
        <v>9.2264901981316836</v>
      </c>
      <c r="H264">
        <f t="shared" si="23"/>
        <v>127.87889503777633</v>
      </c>
      <c r="I264">
        <f t="shared" si="23"/>
        <v>8.710507233001092</v>
      </c>
      <c r="J264">
        <f t="shared" si="23"/>
        <v>27.268024437784423</v>
      </c>
      <c r="K264">
        <f t="shared" si="23"/>
        <v>34.60927817457317</v>
      </c>
      <c r="L264">
        <f t="shared" si="24"/>
        <v>577.22366538337189</v>
      </c>
    </row>
    <row r="265" spans="2:12" ht="15" x14ac:dyDescent="0.15">
      <c r="B265" s="38">
        <v>42996</v>
      </c>
      <c r="C265">
        <f t="shared" si="23"/>
        <v>16.197844458619016</v>
      </c>
      <c r="D265">
        <f t="shared" si="23"/>
        <v>22.225687011438989</v>
      </c>
      <c r="E265">
        <f t="shared" si="23"/>
        <v>228.85653794458401</v>
      </c>
      <c r="F265">
        <f t="shared" si="23"/>
        <v>102.25040088746313</v>
      </c>
      <c r="G265">
        <f t="shared" si="23"/>
        <v>9.2264901981316836</v>
      </c>
      <c r="H265">
        <f t="shared" si="23"/>
        <v>127.87889503777633</v>
      </c>
      <c r="I265">
        <f t="shared" si="23"/>
        <v>8.710507233001092</v>
      </c>
      <c r="J265">
        <f t="shared" si="23"/>
        <v>27.268024437784423</v>
      </c>
      <c r="K265">
        <f t="shared" si="23"/>
        <v>34.60927817457317</v>
      </c>
      <c r="L265">
        <f t="shared" si="24"/>
        <v>577.22366538337189</v>
      </c>
    </row>
    <row r="266" spans="2:12" ht="15" x14ac:dyDescent="0.15">
      <c r="B266" s="38">
        <v>42997</v>
      </c>
      <c r="C266">
        <f t="shared" si="23"/>
        <v>16.197844458619016</v>
      </c>
      <c r="D266">
        <f t="shared" si="23"/>
        <v>22.225687011438989</v>
      </c>
      <c r="E266">
        <f t="shared" si="23"/>
        <v>228.85653794458401</v>
      </c>
      <c r="F266">
        <f t="shared" si="23"/>
        <v>102.25040088746313</v>
      </c>
      <c r="G266">
        <f t="shared" si="23"/>
        <v>9.2264901981316836</v>
      </c>
      <c r="H266">
        <f t="shared" si="23"/>
        <v>127.87889503777633</v>
      </c>
      <c r="I266">
        <f t="shared" si="23"/>
        <v>8.710507233001092</v>
      </c>
      <c r="J266">
        <f t="shared" si="23"/>
        <v>27.268024437784423</v>
      </c>
      <c r="K266">
        <f t="shared" si="23"/>
        <v>34.60927817457317</v>
      </c>
      <c r="L266">
        <f t="shared" si="24"/>
        <v>577.22366538337189</v>
      </c>
    </row>
    <row r="267" spans="2:12" ht="15" x14ac:dyDescent="0.15">
      <c r="B267" s="38">
        <v>42998</v>
      </c>
      <c r="C267">
        <f t="shared" si="23"/>
        <v>16.197844458619016</v>
      </c>
      <c r="D267">
        <f t="shared" si="23"/>
        <v>22.225687011438989</v>
      </c>
      <c r="E267">
        <f t="shared" si="23"/>
        <v>228.85653794458401</v>
      </c>
      <c r="F267">
        <f t="shared" si="23"/>
        <v>102.25040088746313</v>
      </c>
      <c r="G267">
        <f t="shared" si="23"/>
        <v>9.2264901981316836</v>
      </c>
      <c r="H267">
        <f t="shared" si="23"/>
        <v>127.87889503777633</v>
      </c>
      <c r="I267">
        <f t="shared" si="23"/>
        <v>8.710507233001092</v>
      </c>
      <c r="J267">
        <f t="shared" si="23"/>
        <v>27.268024437784423</v>
      </c>
      <c r="K267">
        <f t="shared" si="23"/>
        <v>34.60927817457317</v>
      </c>
      <c r="L267">
        <f t="shared" si="24"/>
        <v>577.22366538337189</v>
      </c>
    </row>
    <row r="268" spans="2:12" ht="15" x14ac:dyDescent="0.15">
      <c r="B268" s="38">
        <v>42999</v>
      </c>
      <c r="C268">
        <f t="shared" si="23"/>
        <v>16.197844458619016</v>
      </c>
      <c r="D268">
        <f t="shared" si="23"/>
        <v>22.225687011438989</v>
      </c>
      <c r="E268">
        <f t="shared" si="23"/>
        <v>228.85653794458401</v>
      </c>
      <c r="F268">
        <f t="shared" si="23"/>
        <v>102.25040088746313</v>
      </c>
      <c r="G268">
        <f t="shared" si="23"/>
        <v>9.2264901981316836</v>
      </c>
      <c r="H268">
        <f t="shared" si="23"/>
        <v>127.87889503777633</v>
      </c>
      <c r="I268">
        <f t="shared" si="23"/>
        <v>8.710507233001092</v>
      </c>
      <c r="J268">
        <f t="shared" si="23"/>
        <v>27.268024437784423</v>
      </c>
      <c r="K268">
        <f t="shared" si="23"/>
        <v>34.60927817457317</v>
      </c>
      <c r="L268">
        <f t="shared" si="24"/>
        <v>577.22366538337189</v>
      </c>
    </row>
    <row r="269" spans="2:12" ht="15" x14ac:dyDescent="0.15">
      <c r="B269" s="38">
        <v>43000</v>
      </c>
      <c r="C269">
        <f t="shared" si="23"/>
        <v>16.197844458619016</v>
      </c>
      <c r="D269">
        <f t="shared" si="23"/>
        <v>22.225687011438989</v>
      </c>
      <c r="E269">
        <f t="shared" si="23"/>
        <v>228.85653794458401</v>
      </c>
      <c r="F269">
        <f t="shared" si="23"/>
        <v>102.25040088746313</v>
      </c>
      <c r="G269">
        <f t="shared" si="23"/>
        <v>9.2264901981316836</v>
      </c>
      <c r="H269">
        <f t="shared" si="23"/>
        <v>127.87889503777633</v>
      </c>
      <c r="I269">
        <f t="shared" si="23"/>
        <v>8.710507233001092</v>
      </c>
      <c r="J269">
        <f t="shared" si="23"/>
        <v>27.268024437784423</v>
      </c>
      <c r="K269">
        <f t="shared" si="23"/>
        <v>34.60927817457317</v>
      </c>
      <c r="L269">
        <f t="shared" si="24"/>
        <v>577.22366538337189</v>
      </c>
    </row>
    <row r="270" spans="2:12" ht="15" x14ac:dyDescent="0.15">
      <c r="B270" s="38">
        <v>43001</v>
      </c>
      <c r="C270">
        <f t="shared" si="23"/>
        <v>16.197844458619016</v>
      </c>
      <c r="D270">
        <f t="shared" si="23"/>
        <v>22.225687011438989</v>
      </c>
      <c r="E270">
        <f t="shared" si="23"/>
        <v>228.85653794458401</v>
      </c>
      <c r="F270">
        <f t="shared" si="23"/>
        <v>102.25040088746313</v>
      </c>
      <c r="G270">
        <f t="shared" si="23"/>
        <v>9.2264901981316836</v>
      </c>
      <c r="H270">
        <f t="shared" si="23"/>
        <v>127.87889503777633</v>
      </c>
      <c r="I270">
        <f t="shared" si="23"/>
        <v>8.710507233001092</v>
      </c>
      <c r="J270">
        <f t="shared" si="23"/>
        <v>27.268024437784423</v>
      </c>
      <c r="K270">
        <f t="shared" si="23"/>
        <v>34.60927817457317</v>
      </c>
      <c r="L270">
        <f t="shared" si="24"/>
        <v>577.22366538337189</v>
      </c>
    </row>
    <row r="271" spans="2:12" ht="15" x14ac:dyDescent="0.15">
      <c r="B271" s="38">
        <v>43002</v>
      </c>
      <c r="C271">
        <f t="shared" si="23"/>
        <v>16.197844458619016</v>
      </c>
      <c r="D271">
        <f t="shared" si="23"/>
        <v>22.225687011438989</v>
      </c>
      <c r="E271">
        <f t="shared" si="23"/>
        <v>228.85653794458401</v>
      </c>
      <c r="F271">
        <f t="shared" si="23"/>
        <v>102.25040088746313</v>
      </c>
      <c r="G271">
        <f t="shared" si="23"/>
        <v>9.2264901981316836</v>
      </c>
      <c r="H271">
        <f t="shared" si="23"/>
        <v>127.87889503777633</v>
      </c>
      <c r="I271">
        <f t="shared" si="23"/>
        <v>8.710507233001092</v>
      </c>
      <c r="J271">
        <f t="shared" si="23"/>
        <v>27.268024437784423</v>
      </c>
      <c r="K271">
        <f t="shared" si="23"/>
        <v>34.60927817457317</v>
      </c>
      <c r="L271">
        <f t="shared" si="24"/>
        <v>577.22366538337189</v>
      </c>
    </row>
    <row r="272" spans="2:12" ht="15" x14ac:dyDescent="0.15">
      <c r="B272" s="38">
        <v>43003</v>
      </c>
      <c r="C272">
        <f t="shared" si="23"/>
        <v>16.197844458619016</v>
      </c>
      <c r="D272">
        <f t="shared" si="23"/>
        <v>22.225687011438989</v>
      </c>
      <c r="E272">
        <f t="shared" si="23"/>
        <v>228.85653794458401</v>
      </c>
      <c r="F272">
        <f t="shared" si="23"/>
        <v>102.25040088746313</v>
      </c>
      <c r="G272">
        <f t="shared" si="23"/>
        <v>9.2264901981316836</v>
      </c>
      <c r="H272">
        <f t="shared" si="23"/>
        <v>127.87889503777633</v>
      </c>
      <c r="I272">
        <f t="shared" si="23"/>
        <v>8.710507233001092</v>
      </c>
      <c r="J272">
        <f t="shared" si="23"/>
        <v>27.268024437784423</v>
      </c>
      <c r="K272">
        <f t="shared" si="23"/>
        <v>34.60927817457317</v>
      </c>
      <c r="L272">
        <f t="shared" si="24"/>
        <v>577.22366538337189</v>
      </c>
    </row>
    <row r="273" spans="2:12" ht="15" x14ac:dyDescent="0.15">
      <c r="B273" s="38">
        <v>43004</v>
      </c>
      <c r="C273">
        <f t="shared" si="23"/>
        <v>16.197844458619016</v>
      </c>
      <c r="D273">
        <f t="shared" si="23"/>
        <v>22.225687011438989</v>
      </c>
      <c r="E273">
        <f t="shared" si="23"/>
        <v>228.85653794458401</v>
      </c>
      <c r="F273">
        <f t="shared" si="23"/>
        <v>102.25040088746313</v>
      </c>
      <c r="G273">
        <f t="shared" si="23"/>
        <v>9.2264901981316836</v>
      </c>
      <c r="H273">
        <f t="shared" si="23"/>
        <v>127.87889503777633</v>
      </c>
      <c r="I273">
        <f t="shared" si="23"/>
        <v>8.710507233001092</v>
      </c>
      <c r="J273">
        <f t="shared" si="23"/>
        <v>27.268024437784423</v>
      </c>
      <c r="K273">
        <f t="shared" si="23"/>
        <v>34.60927817457317</v>
      </c>
      <c r="L273">
        <f t="shared" si="24"/>
        <v>577.22366538337189</v>
      </c>
    </row>
    <row r="274" spans="2:12" ht="15" x14ac:dyDescent="0.15">
      <c r="B274" s="38">
        <v>43005</v>
      </c>
      <c r="C274">
        <f t="shared" si="23"/>
        <v>16.197844458619016</v>
      </c>
      <c r="D274">
        <f t="shared" si="23"/>
        <v>22.225687011438989</v>
      </c>
      <c r="E274">
        <f t="shared" si="23"/>
        <v>228.85653794458401</v>
      </c>
      <c r="F274">
        <f t="shared" si="23"/>
        <v>102.25040088746313</v>
      </c>
      <c r="G274">
        <f t="shared" si="23"/>
        <v>9.2264901981316836</v>
      </c>
      <c r="H274">
        <f t="shared" si="23"/>
        <v>127.87889503777633</v>
      </c>
      <c r="I274">
        <f t="shared" si="23"/>
        <v>8.710507233001092</v>
      </c>
      <c r="J274">
        <f t="shared" si="23"/>
        <v>27.268024437784423</v>
      </c>
      <c r="K274">
        <f t="shared" si="23"/>
        <v>34.60927817457317</v>
      </c>
      <c r="L274">
        <f t="shared" si="24"/>
        <v>577.22366538337189</v>
      </c>
    </row>
    <row r="275" spans="2:12" ht="15" x14ac:dyDescent="0.15">
      <c r="B275" s="38">
        <v>43006</v>
      </c>
      <c r="C275">
        <f t="shared" si="23"/>
        <v>16.197844458619016</v>
      </c>
      <c r="D275">
        <f t="shared" si="23"/>
        <v>22.225687011438989</v>
      </c>
      <c r="E275">
        <f t="shared" si="23"/>
        <v>228.85653794458401</v>
      </c>
      <c r="F275">
        <f t="shared" si="23"/>
        <v>102.25040088746313</v>
      </c>
      <c r="G275">
        <f t="shared" si="23"/>
        <v>9.2264901981316836</v>
      </c>
      <c r="H275">
        <f t="shared" si="23"/>
        <v>127.87889503777633</v>
      </c>
      <c r="I275">
        <f t="shared" si="23"/>
        <v>8.710507233001092</v>
      </c>
      <c r="J275">
        <f t="shared" si="23"/>
        <v>27.268024437784423</v>
      </c>
      <c r="K275">
        <f t="shared" si="23"/>
        <v>34.60927817457317</v>
      </c>
      <c r="L275">
        <f t="shared" si="24"/>
        <v>577.22366538337189</v>
      </c>
    </row>
    <row r="276" spans="2:12" ht="15" x14ac:dyDescent="0.15">
      <c r="B276" s="38">
        <v>43007</v>
      </c>
      <c r="C276">
        <f t="shared" si="23"/>
        <v>16.197844458619016</v>
      </c>
      <c r="D276">
        <f t="shared" si="23"/>
        <v>22.225687011438989</v>
      </c>
      <c r="E276">
        <f t="shared" si="23"/>
        <v>228.85653794458401</v>
      </c>
      <c r="F276">
        <f t="shared" si="23"/>
        <v>102.25040088746313</v>
      </c>
      <c r="G276">
        <f t="shared" si="23"/>
        <v>9.2264901981316836</v>
      </c>
      <c r="H276">
        <f t="shared" si="23"/>
        <v>127.87889503777633</v>
      </c>
      <c r="I276">
        <f t="shared" si="23"/>
        <v>8.710507233001092</v>
      </c>
      <c r="J276">
        <f t="shared" si="23"/>
        <v>27.268024437784423</v>
      </c>
      <c r="K276">
        <f t="shared" si="23"/>
        <v>34.60927817457317</v>
      </c>
      <c r="L276">
        <f t="shared" si="24"/>
        <v>577.22366538337189</v>
      </c>
    </row>
    <row r="277" spans="2:12" ht="15" x14ac:dyDescent="0.15">
      <c r="B277" s="38">
        <v>43008</v>
      </c>
      <c r="C277">
        <f t="shared" si="23"/>
        <v>16.197844458619016</v>
      </c>
      <c r="D277">
        <f t="shared" si="23"/>
        <v>22.225687011438989</v>
      </c>
      <c r="E277">
        <f t="shared" si="23"/>
        <v>228.85653794458401</v>
      </c>
      <c r="F277">
        <f t="shared" si="23"/>
        <v>102.25040088746313</v>
      </c>
      <c r="G277">
        <f t="shared" si="23"/>
        <v>9.2264901981316836</v>
      </c>
      <c r="H277">
        <f t="shared" si="23"/>
        <v>127.87889503777633</v>
      </c>
      <c r="I277">
        <f t="shared" si="23"/>
        <v>8.710507233001092</v>
      </c>
      <c r="J277">
        <f t="shared" si="23"/>
        <v>27.268024437784423</v>
      </c>
      <c r="K277">
        <f t="shared" si="23"/>
        <v>34.60927817457317</v>
      </c>
      <c r="L277">
        <f t="shared" si="24"/>
        <v>577.22366538337189</v>
      </c>
    </row>
    <row r="278" spans="2:12" ht="15" x14ac:dyDescent="0.15">
      <c r="B278" s="38">
        <v>43009</v>
      </c>
      <c r="C278">
        <f>C$3*$O$16/4</f>
        <v>16.121481174464385</v>
      </c>
      <c r="D278">
        <f t="shared" ref="D278:K293" si="25">D$3*$O$16/4</f>
        <v>22.120906004489431</v>
      </c>
      <c r="E278">
        <f t="shared" si="25"/>
        <v>227.7776143333372</v>
      </c>
      <c r="F278">
        <f t="shared" si="25"/>
        <v>101.76835054812062</v>
      </c>
      <c r="G278">
        <f t="shared" si="25"/>
        <v>9.1829927380498919</v>
      </c>
      <c r="H278">
        <f t="shared" si="25"/>
        <v>127.27602146258566</v>
      </c>
      <c r="I278">
        <f t="shared" si="25"/>
        <v>8.6694423283056601</v>
      </c>
      <c r="J278">
        <f t="shared" si="25"/>
        <v>27.139471783522456</v>
      </c>
      <c r="K278">
        <f t="shared" si="25"/>
        <v>34.446115838350998</v>
      </c>
      <c r="L278">
        <f t="shared" si="24"/>
        <v>574.50239621122637</v>
      </c>
    </row>
    <row r="279" spans="2:12" ht="15" x14ac:dyDescent="0.15">
      <c r="B279" s="38">
        <v>43010</v>
      </c>
      <c r="C279">
        <f t="shared" ref="C279:K308" si="26">C$3*$O$16/4</f>
        <v>16.121481174464385</v>
      </c>
      <c r="D279">
        <f t="shared" si="25"/>
        <v>22.120906004489431</v>
      </c>
      <c r="E279">
        <f t="shared" si="25"/>
        <v>227.7776143333372</v>
      </c>
      <c r="F279">
        <f t="shared" si="25"/>
        <v>101.76835054812062</v>
      </c>
      <c r="G279">
        <f t="shared" si="25"/>
        <v>9.1829927380498919</v>
      </c>
      <c r="H279">
        <f t="shared" si="25"/>
        <v>127.27602146258566</v>
      </c>
      <c r="I279">
        <f t="shared" si="25"/>
        <v>8.6694423283056601</v>
      </c>
      <c r="J279">
        <f t="shared" si="25"/>
        <v>27.139471783522456</v>
      </c>
      <c r="K279">
        <f t="shared" si="25"/>
        <v>34.446115838350998</v>
      </c>
      <c r="L279">
        <f t="shared" si="24"/>
        <v>574.50239621122637</v>
      </c>
    </row>
    <row r="280" spans="2:12" ht="15" x14ac:dyDescent="0.15">
      <c r="B280" s="38">
        <v>43011</v>
      </c>
      <c r="C280">
        <f t="shared" si="26"/>
        <v>16.121481174464385</v>
      </c>
      <c r="D280">
        <f t="shared" si="25"/>
        <v>22.120906004489431</v>
      </c>
      <c r="E280">
        <f t="shared" si="25"/>
        <v>227.7776143333372</v>
      </c>
      <c r="F280">
        <f t="shared" si="25"/>
        <v>101.76835054812062</v>
      </c>
      <c r="G280">
        <f t="shared" si="25"/>
        <v>9.1829927380498919</v>
      </c>
      <c r="H280">
        <f t="shared" si="25"/>
        <v>127.27602146258566</v>
      </c>
      <c r="I280">
        <f t="shared" si="25"/>
        <v>8.6694423283056601</v>
      </c>
      <c r="J280">
        <f t="shared" si="25"/>
        <v>27.139471783522456</v>
      </c>
      <c r="K280">
        <f t="shared" si="25"/>
        <v>34.446115838350998</v>
      </c>
      <c r="L280">
        <f t="shared" si="24"/>
        <v>574.50239621122637</v>
      </c>
    </row>
    <row r="281" spans="2:12" ht="15" x14ac:dyDescent="0.15">
      <c r="B281" s="38">
        <v>43012</v>
      </c>
      <c r="C281">
        <f t="shared" si="26"/>
        <v>16.121481174464385</v>
      </c>
      <c r="D281">
        <f t="shared" si="25"/>
        <v>22.120906004489431</v>
      </c>
      <c r="E281">
        <f t="shared" si="25"/>
        <v>227.7776143333372</v>
      </c>
      <c r="F281">
        <f t="shared" si="25"/>
        <v>101.76835054812062</v>
      </c>
      <c r="G281">
        <f t="shared" si="25"/>
        <v>9.1829927380498919</v>
      </c>
      <c r="H281">
        <f t="shared" si="25"/>
        <v>127.27602146258566</v>
      </c>
      <c r="I281">
        <f t="shared" si="25"/>
        <v>8.6694423283056601</v>
      </c>
      <c r="J281">
        <f t="shared" si="25"/>
        <v>27.139471783522456</v>
      </c>
      <c r="K281">
        <f t="shared" si="25"/>
        <v>34.446115838350998</v>
      </c>
      <c r="L281">
        <f t="shared" si="24"/>
        <v>574.50239621122637</v>
      </c>
    </row>
    <row r="282" spans="2:12" ht="15" x14ac:dyDescent="0.15">
      <c r="B282" s="38">
        <v>43013</v>
      </c>
      <c r="C282">
        <f t="shared" si="26"/>
        <v>16.121481174464385</v>
      </c>
      <c r="D282">
        <f t="shared" si="25"/>
        <v>22.120906004489431</v>
      </c>
      <c r="E282">
        <f t="shared" si="25"/>
        <v>227.7776143333372</v>
      </c>
      <c r="F282">
        <f t="shared" si="25"/>
        <v>101.76835054812062</v>
      </c>
      <c r="G282">
        <f t="shared" si="25"/>
        <v>9.1829927380498919</v>
      </c>
      <c r="H282">
        <f t="shared" si="25"/>
        <v>127.27602146258566</v>
      </c>
      <c r="I282">
        <f t="shared" si="25"/>
        <v>8.6694423283056601</v>
      </c>
      <c r="J282">
        <f t="shared" si="25"/>
        <v>27.139471783522456</v>
      </c>
      <c r="K282">
        <f t="shared" si="25"/>
        <v>34.446115838350998</v>
      </c>
      <c r="L282">
        <f t="shared" si="24"/>
        <v>574.50239621122637</v>
      </c>
    </row>
    <row r="283" spans="2:12" ht="15" x14ac:dyDescent="0.15">
      <c r="B283" s="38">
        <v>43014</v>
      </c>
      <c r="C283">
        <f t="shared" si="26"/>
        <v>16.121481174464385</v>
      </c>
      <c r="D283">
        <f t="shared" si="25"/>
        <v>22.120906004489431</v>
      </c>
      <c r="E283">
        <f t="shared" si="25"/>
        <v>227.7776143333372</v>
      </c>
      <c r="F283">
        <f t="shared" si="25"/>
        <v>101.76835054812062</v>
      </c>
      <c r="G283">
        <f t="shared" si="25"/>
        <v>9.1829927380498919</v>
      </c>
      <c r="H283">
        <f t="shared" si="25"/>
        <v>127.27602146258566</v>
      </c>
      <c r="I283">
        <f t="shared" si="25"/>
        <v>8.6694423283056601</v>
      </c>
      <c r="J283">
        <f t="shared" si="25"/>
        <v>27.139471783522456</v>
      </c>
      <c r="K283">
        <f t="shared" si="25"/>
        <v>34.446115838350998</v>
      </c>
      <c r="L283">
        <f t="shared" si="24"/>
        <v>574.50239621122637</v>
      </c>
    </row>
    <row r="284" spans="2:12" ht="15" x14ac:dyDescent="0.15">
      <c r="B284" s="38">
        <v>43015</v>
      </c>
      <c r="C284">
        <f t="shared" si="26"/>
        <v>16.121481174464385</v>
      </c>
      <c r="D284">
        <f t="shared" si="25"/>
        <v>22.120906004489431</v>
      </c>
      <c r="E284">
        <f t="shared" si="25"/>
        <v>227.7776143333372</v>
      </c>
      <c r="F284">
        <f t="shared" si="25"/>
        <v>101.76835054812062</v>
      </c>
      <c r="G284">
        <f t="shared" si="25"/>
        <v>9.1829927380498919</v>
      </c>
      <c r="H284">
        <f t="shared" si="25"/>
        <v>127.27602146258566</v>
      </c>
      <c r="I284">
        <f t="shared" si="25"/>
        <v>8.6694423283056601</v>
      </c>
      <c r="J284">
        <f t="shared" si="25"/>
        <v>27.139471783522456</v>
      </c>
      <c r="K284">
        <f t="shared" si="25"/>
        <v>34.446115838350998</v>
      </c>
      <c r="L284">
        <f t="shared" si="24"/>
        <v>574.50239621122637</v>
      </c>
    </row>
    <row r="285" spans="2:12" ht="15" x14ac:dyDescent="0.15">
      <c r="B285" s="38">
        <v>43016</v>
      </c>
      <c r="C285">
        <f t="shared" si="26"/>
        <v>16.121481174464385</v>
      </c>
      <c r="D285">
        <f t="shared" si="25"/>
        <v>22.120906004489431</v>
      </c>
      <c r="E285">
        <f t="shared" si="25"/>
        <v>227.7776143333372</v>
      </c>
      <c r="F285">
        <f t="shared" si="25"/>
        <v>101.76835054812062</v>
      </c>
      <c r="G285">
        <f t="shared" si="25"/>
        <v>9.1829927380498919</v>
      </c>
      <c r="H285">
        <f t="shared" si="25"/>
        <v>127.27602146258566</v>
      </c>
      <c r="I285">
        <f t="shared" si="25"/>
        <v>8.6694423283056601</v>
      </c>
      <c r="J285">
        <f t="shared" si="25"/>
        <v>27.139471783522456</v>
      </c>
      <c r="K285">
        <f t="shared" si="25"/>
        <v>34.446115838350998</v>
      </c>
      <c r="L285">
        <f t="shared" si="24"/>
        <v>574.50239621122637</v>
      </c>
    </row>
    <row r="286" spans="2:12" ht="15" x14ac:dyDescent="0.15">
      <c r="B286" s="38">
        <v>43017</v>
      </c>
      <c r="C286">
        <f t="shared" si="26"/>
        <v>16.121481174464385</v>
      </c>
      <c r="D286">
        <f t="shared" si="25"/>
        <v>22.120906004489431</v>
      </c>
      <c r="E286">
        <f t="shared" si="25"/>
        <v>227.7776143333372</v>
      </c>
      <c r="F286">
        <f t="shared" si="25"/>
        <v>101.76835054812062</v>
      </c>
      <c r="G286">
        <f t="shared" si="25"/>
        <v>9.1829927380498919</v>
      </c>
      <c r="H286">
        <f t="shared" si="25"/>
        <v>127.27602146258566</v>
      </c>
      <c r="I286">
        <f t="shared" si="25"/>
        <v>8.6694423283056601</v>
      </c>
      <c r="J286">
        <f t="shared" si="25"/>
        <v>27.139471783522456</v>
      </c>
      <c r="K286">
        <f t="shared" si="25"/>
        <v>34.446115838350998</v>
      </c>
      <c r="L286">
        <f t="shared" si="24"/>
        <v>574.50239621122637</v>
      </c>
    </row>
    <row r="287" spans="2:12" ht="15" x14ac:dyDescent="0.15">
      <c r="B287" s="38">
        <v>43018</v>
      </c>
      <c r="C287">
        <f t="shared" si="26"/>
        <v>16.121481174464385</v>
      </c>
      <c r="D287">
        <f t="shared" si="25"/>
        <v>22.120906004489431</v>
      </c>
      <c r="E287">
        <f t="shared" si="25"/>
        <v>227.7776143333372</v>
      </c>
      <c r="F287">
        <f t="shared" si="25"/>
        <v>101.76835054812062</v>
      </c>
      <c r="G287">
        <f t="shared" si="25"/>
        <v>9.1829927380498919</v>
      </c>
      <c r="H287">
        <f t="shared" si="25"/>
        <v>127.27602146258566</v>
      </c>
      <c r="I287">
        <f t="shared" si="25"/>
        <v>8.6694423283056601</v>
      </c>
      <c r="J287">
        <f t="shared" si="25"/>
        <v>27.139471783522456</v>
      </c>
      <c r="K287">
        <f t="shared" si="25"/>
        <v>34.446115838350998</v>
      </c>
      <c r="L287">
        <f t="shared" si="24"/>
        <v>574.50239621122637</v>
      </c>
    </row>
    <row r="288" spans="2:12" ht="15" x14ac:dyDescent="0.15">
      <c r="B288" s="38">
        <v>43019</v>
      </c>
      <c r="C288">
        <f t="shared" si="26"/>
        <v>16.121481174464385</v>
      </c>
      <c r="D288">
        <f t="shared" si="25"/>
        <v>22.120906004489431</v>
      </c>
      <c r="E288">
        <f t="shared" si="25"/>
        <v>227.7776143333372</v>
      </c>
      <c r="F288">
        <f t="shared" si="25"/>
        <v>101.76835054812062</v>
      </c>
      <c r="G288">
        <f t="shared" si="25"/>
        <v>9.1829927380498919</v>
      </c>
      <c r="H288">
        <f t="shared" si="25"/>
        <v>127.27602146258566</v>
      </c>
      <c r="I288">
        <f t="shared" si="25"/>
        <v>8.6694423283056601</v>
      </c>
      <c r="J288">
        <f t="shared" si="25"/>
        <v>27.139471783522456</v>
      </c>
      <c r="K288">
        <f t="shared" si="25"/>
        <v>34.446115838350998</v>
      </c>
      <c r="L288">
        <f t="shared" si="24"/>
        <v>574.50239621122637</v>
      </c>
    </row>
    <row r="289" spans="2:12" ht="15" x14ac:dyDescent="0.15">
      <c r="B289" s="38">
        <v>43020</v>
      </c>
      <c r="C289">
        <f t="shared" si="26"/>
        <v>16.121481174464385</v>
      </c>
      <c r="D289">
        <f t="shared" si="25"/>
        <v>22.120906004489431</v>
      </c>
      <c r="E289">
        <f t="shared" si="25"/>
        <v>227.7776143333372</v>
      </c>
      <c r="F289">
        <f t="shared" si="25"/>
        <v>101.76835054812062</v>
      </c>
      <c r="G289">
        <f t="shared" si="25"/>
        <v>9.1829927380498919</v>
      </c>
      <c r="H289">
        <f t="shared" si="25"/>
        <v>127.27602146258566</v>
      </c>
      <c r="I289">
        <f t="shared" si="25"/>
        <v>8.6694423283056601</v>
      </c>
      <c r="J289">
        <f t="shared" si="25"/>
        <v>27.139471783522456</v>
      </c>
      <c r="K289">
        <f t="shared" si="25"/>
        <v>34.446115838350998</v>
      </c>
      <c r="L289">
        <f t="shared" si="24"/>
        <v>574.50239621122637</v>
      </c>
    </row>
    <row r="290" spans="2:12" ht="15" x14ac:dyDescent="0.15">
      <c r="B290" s="38">
        <v>43021</v>
      </c>
      <c r="C290">
        <f t="shared" si="26"/>
        <v>16.121481174464385</v>
      </c>
      <c r="D290">
        <f t="shared" si="25"/>
        <v>22.120906004489431</v>
      </c>
      <c r="E290">
        <f t="shared" si="25"/>
        <v>227.7776143333372</v>
      </c>
      <c r="F290">
        <f t="shared" si="25"/>
        <v>101.76835054812062</v>
      </c>
      <c r="G290">
        <f t="shared" si="25"/>
        <v>9.1829927380498919</v>
      </c>
      <c r="H290">
        <f t="shared" si="25"/>
        <v>127.27602146258566</v>
      </c>
      <c r="I290">
        <f t="shared" si="25"/>
        <v>8.6694423283056601</v>
      </c>
      <c r="J290">
        <f t="shared" si="25"/>
        <v>27.139471783522456</v>
      </c>
      <c r="K290">
        <f t="shared" si="25"/>
        <v>34.446115838350998</v>
      </c>
      <c r="L290">
        <f t="shared" si="24"/>
        <v>574.50239621122637</v>
      </c>
    </row>
    <row r="291" spans="2:12" ht="15" x14ac:dyDescent="0.15">
      <c r="B291" s="38">
        <v>43022</v>
      </c>
      <c r="C291">
        <f t="shared" si="26"/>
        <v>16.121481174464385</v>
      </c>
      <c r="D291">
        <f t="shared" si="25"/>
        <v>22.120906004489431</v>
      </c>
      <c r="E291">
        <f t="shared" si="25"/>
        <v>227.7776143333372</v>
      </c>
      <c r="F291">
        <f t="shared" si="25"/>
        <v>101.76835054812062</v>
      </c>
      <c r="G291">
        <f t="shared" si="25"/>
        <v>9.1829927380498919</v>
      </c>
      <c r="H291">
        <f t="shared" si="25"/>
        <v>127.27602146258566</v>
      </c>
      <c r="I291">
        <f t="shared" si="25"/>
        <v>8.6694423283056601</v>
      </c>
      <c r="J291">
        <f t="shared" si="25"/>
        <v>27.139471783522456</v>
      </c>
      <c r="K291">
        <f t="shared" si="25"/>
        <v>34.446115838350998</v>
      </c>
      <c r="L291">
        <f t="shared" si="24"/>
        <v>574.50239621122637</v>
      </c>
    </row>
    <row r="292" spans="2:12" ht="15" x14ac:dyDescent="0.15">
      <c r="B292" s="38">
        <v>43023</v>
      </c>
      <c r="C292">
        <f t="shared" si="26"/>
        <v>16.121481174464385</v>
      </c>
      <c r="D292">
        <f t="shared" si="25"/>
        <v>22.120906004489431</v>
      </c>
      <c r="E292">
        <f t="shared" si="25"/>
        <v>227.7776143333372</v>
      </c>
      <c r="F292">
        <f t="shared" si="25"/>
        <v>101.76835054812062</v>
      </c>
      <c r="G292">
        <f t="shared" si="25"/>
        <v>9.1829927380498919</v>
      </c>
      <c r="H292">
        <f t="shared" si="25"/>
        <v>127.27602146258566</v>
      </c>
      <c r="I292">
        <f t="shared" si="25"/>
        <v>8.6694423283056601</v>
      </c>
      <c r="J292">
        <f t="shared" si="25"/>
        <v>27.139471783522456</v>
      </c>
      <c r="K292">
        <f t="shared" si="25"/>
        <v>34.446115838350998</v>
      </c>
      <c r="L292">
        <f t="shared" si="24"/>
        <v>574.50239621122637</v>
      </c>
    </row>
    <row r="293" spans="2:12" ht="15" x14ac:dyDescent="0.15">
      <c r="B293" s="38">
        <v>43024</v>
      </c>
      <c r="C293">
        <f t="shared" si="26"/>
        <v>16.121481174464385</v>
      </c>
      <c r="D293">
        <f t="shared" si="25"/>
        <v>22.120906004489431</v>
      </c>
      <c r="E293">
        <f t="shared" si="25"/>
        <v>227.7776143333372</v>
      </c>
      <c r="F293">
        <f t="shared" si="25"/>
        <v>101.76835054812062</v>
      </c>
      <c r="G293">
        <f t="shared" si="25"/>
        <v>9.1829927380498919</v>
      </c>
      <c r="H293">
        <f t="shared" si="25"/>
        <v>127.27602146258566</v>
      </c>
      <c r="I293">
        <f t="shared" si="25"/>
        <v>8.6694423283056601</v>
      </c>
      <c r="J293">
        <f t="shared" si="25"/>
        <v>27.139471783522456</v>
      </c>
      <c r="K293">
        <f t="shared" si="25"/>
        <v>34.446115838350998</v>
      </c>
      <c r="L293">
        <f t="shared" si="24"/>
        <v>574.50239621122637</v>
      </c>
    </row>
    <row r="294" spans="2:12" ht="15" x14ac:dyDescent="0.15">
      <c r="B294" s="38">
        <v>43025</v>
      </c>
      <c r="C294">
        <f t="shared" si="26"/>
        <v>16.121481174464385</v>
      </c>
      <c r="D294">
        <f t="shared" si="26"/>
        <v>22.120906004489431</v>
      </c>
      <c r="E294">
        <f t="shared" si="26"/>
        <v>227.7776143333372</v>
      </c>
      <c r="F294">
        <f t="shared" si="26"/>
        <v>101.76835054812062</v>
      </c>
      <c r="G294">
        <f t="shared" si="26"/>
        <v>9.1829927380498919</v>
      </c>
      <c r="H294">
        <f t="shared" si="26"/>
        <v>127.27602146258566</v>
      </c>
      <c r="I294">
        <f t="shared" si="26"/>
        <v>8.6694423283056601</v>
      </c>
      <c r="J294">
        <f t="shared" si="26"/>
        <v>27.139471783522456</v>
      </c>
      <c r="K294">
        <f t="shared" si="26"/>
        <v>34.446115838350998</v>
      </c>
      <c r="L294">
        <f t="shared" si="24"/>
        <v>574.50239621122637</v>
      </c>
    </row>
    <row r="295" spans="2:12" ht="15" x14ac:dyDescent="0.15">
      <c r="B295" s="38">
        <v>43026</v>
      </c>
      <c r="C295">
        <f t="shared" si="26"/>
        <v>16.121481174464385</v>
      </c>
      <c r="D295">
        <f t="shared" si="26"/>
        <v>22.120906004489431</v>
      </c>
      <c r="E295">
        <f t="shared" si="26"/>
        <v>227.7776143333372</v>
      </c>
      <c r="F295">
        <f t="shared" si="26"/>
        <v>101.76835054812062</v>
      </c>
      <c r="G295">
        <f t="shared" si="26"/>
        <v>9.1829927380498919</v>
      </c>
      <c r="H295">
        <f t="shared" si="26"/>
        <v>127.27602146258566</v>
      </c>
      <c r="I295">
        <f t="shared" si="26"/>
        <v>8.6694423283056601</v>
      </c>
      <c r="J295">
        <f t="shared" si="26"/>
        <v>27.139471783522456</v>
      </c>
      <c r="K295">
        <f t="shared" si="26"/>
        <v>34.446115838350998</v>
      </c>
      <c r="L295">
        <f t="shared" si="24"/>
        <v>574.50239621122637</v>
      </c>
    </row>
    <row r="296" spans="2:12" ht="15" x14ac:dyDescent="0.15">
      <c r="B296" s="38">
        <v>43027</v>
      </c>
      <c r="C296">
        <f t="shared" si="26"/>
        <v>16.121481174464385</v>
      </c>
      <c r="D296">
        <f t="shared" si="26"/>
        <v>22.120906004489431</v>
      </c>
      <c r="E296">
        <f t="shared" si="26"/>
        <v>227.7776143333372</v>
      </c>
      <c r="F296">
        <f t="shared" si="26"/>
        <v>101.76835054812062</v>
      </c>
      <c r="G296">
        <f t="shared" si="26"/>
        <v>9.1829927380498919</v>
      </c>
      <c r="H296">
        <f t="shared" si="26"/>
        <v>127.27602146258566</v>
      </c>
      <c r="I296">
        <f t="shared" si="26"/>
        <v>8.6694423283056601</v>
      </c>
      <c r="J296">
        <f t="shared" si="26"/>
        <v>27.139471783522456</v>
      </c>
      <c r="K296">
        <f t="shared" si="26"/>
        <v>34.446115838350998</v>
      </c>
      <c r="L296">
        <f t="shared" si="24"/>
        <v>574.50239621122637</v>
      </c>
    </row>
    <row r="297" spans="2:12" ht="15" x14ac:dyDescent="0.15">
      <c r="B297" s="38">
        <v>43028</v>
      </c>
      <c r="C297">
        <f t="shared" si="26"/>
        <v>16.121481174464385</v>
      </c>
      <c r="D297">
        <f t="shared" si="26"/>
        <v>22.120906004489431</v>
      </c>
      <c r="E297">
        <f t="shared" si="26"/>
        <v>227.7776143333372</v>
      </c>
      <c r="F297">
        <f t="shared" si="26"/>
        <v>101.76835054812062</v>
      </c>
      <c r="G297">
        <f t="shared" si="26"/>
        <v>9.1829927380498919</v>
      </c>
      <c r="H297">
        <f t="shared" si="26"/>
        <v>127.27602146258566</v>
      </c>
      <c r="I297">
        <f t="shared" si="26"/>
        <v>8.6694423283056601</v>
      </c>
      <c r="J297">
        <f t="shared" si="26"/>
        <v>27.139471783522456</v>
      </c>
      <c r="K297">
        <f t="shared" si="26"/>
        <v>34.446115838350998</v>
      </c>
      <c r="L297">
        <f t="shared" si="24"/>
        <v>574.50239621122637</v>
      </c>
    </row>
    <row r="298" spans="2:12" ht="15" x14ac:dyDescent="0.15">
      <c r="B298" s="38">
        <v>43029</v>
      </c>
      <c r="C298">
        <f t="shared" si="26"/>
        <v>16.121481174464385</v>
      </c>
      <c r="D298">
        <f t="shared" si="26"/>
        <v>22.120906004489431</v>
      </c>
      <c r="E298">
        <f t="shared" si="26"/>
        <v>227.7776143333372</v>
      </c>
      <c r="F298">
        <f t="shared" si="26"/>
        <v>101.76835054812062</v>
      </c>
      <c r="G298">
        <f t="shared" si="26"/>
        <v>9.1829927380498919</v>
      </c>
      <c r="H298">
        <f t="shared" si="26"/>
        <v>127.27602146258566</v>
      </c>
      <c r="I298">
        <f t="shared" si="26"/>
        <v>8.6694423283056601</v>
      </c>
      <c r="J298">
        <f t="shared" si="26"/>
        <v>27.139471783522456</v>
      </c>
      <c r="K298">
        <f t="shared" si="26"/>
        <v>34.446115838350998</v>
      </c>
      <c r="L298">
        <f t="shared" si="24"/>
        <v>574.50239621122637</v>
      </c>
    </row>
    <row r="299" spans="2:12" ht="15" x14ac:dyDescent="0.15">
      <c r="B299" s="38">
        <v>43030</v>
      </c>
      <c r="C299">
        <f t="shared" si="26"/>
        <v>16.121481174464385</v>
      </c>
      <c r="D299">
        <f t="shared" si="26"/>
        <v>22.120906004489431</v>
      </c>
      <c r="E299">
        <f t="shared" si="26"/>
        <v>227.7776143333372</v>
      </c>
      <c r="F299">
        <f t="shared" si="26"/>
        <v>101.76835054812062</v>
      </c>
      <c r="G299">
        <f t="shared" si="26"/>
        <v>9.1829927380498919</v>
      </c>
      <c r="H299">
        <f t="shared" si="26"/>
        <v>127.27602146258566</v>
      </c>
      <c r="I299">
        <f t="shared" si="26"/>
        <v>8.6694423283056601</v>
      </c>
      <c r="J299">
        <f t="shared" si="26"/>
        <v>27.139471783522456</v>
      </c>
      <c r="K299">
        <f t="shared" si="26"/>
        <v>34.446115838350998</v>
      </c>
      <c r="L299">
        <f t="shared" si="24"/>
        <v>574.50239621122637</v>
      </c>
    </row>
    <row r="300" spans="2:12" ht="15" x14ac:dyDescent="0.15">
      <c r="B300" s="38">
        <v>43031</v>
      </c>
      <c r="C300">
        <f t="shared" si="26"/>
        <v>16.121481174464385</v>
      </c>
      <c r="D300">
        <f t="shared" si="26"/>
        <v>22.120906004489431</v>
      </c>
      <c r="E300">
        <f t="shared" si="26"/>
        <v>227.7776143333372</v>
      </c>
      <c r="F300">
        <f t="shared" si="26"/>
        <v>101.76835054812062</v>
      </c>
      <c r="G300">
        <f t="shared" si="26"/>
        <v>9.1829927380498919</v>
      </c>
      <c r="H300">
        <f t="shared" si="26"/>
        <v>127.27602146258566</v>
      </c>
      <c r="I300">
        <f t="shared" si="26"/>
        <v>8.6694423283056601</v>
      </c>
      <c r="J300">
        <f t="shared" si="26"/>
        <v>27.139471783522456</v>
      </c>
      <c r="K300">
        <f t="shared" si="26"/>
        <v>34.446115838350998</v>
      </c>
      <c r="L300">
        <f t="shared" si="24"/>
        <v>574.50239621122637</v>
      </c>
    </row>
    <row r="301" spans="2:12" ht="15" x14ac:dyDescent="0.15">
      <c r="B301" s="38">
        <v>43032</v>
      </c>
      <c r="C301">
        <f t="shared" si="26"/>
        <v>16.121481174464385</v>
      </c>
      <c r="D301">
        <f t="shared" si="26"/>
        <v>22.120906004489431</v>
      </c>
      <c r="E301">
        <f t="shared" si="26"/>
        <v>227.7776143333372</v>
      </c>
      <c r="F301">
        <f t="shared" si="26"/>
        <v>101.76835054812062</v>
      </c>
      <c r="G301">
        <f t="shared" si="26"/>
        <v>9.1829927380498919</v>
      </c>
      <c r="H301">
        <f t="shared" si="26"/>
        <v>127.27602146258566</v>
      </c>
      <c r="I301">
        <f t="shared" si="26"/>
        <v>8.6694423283056601</v>
      </c>
      <c r="J301">
        <f t="shared" si="26"/>
        <v>27.139471783522456</v>
      </c>
      <c r="K301">
        <f t="shared" si="26"/>
        <v>34.446115838350998</v>
      </c>
      <c r="L301">
        <f t="shared" si="24"/>
        <v>574.50239621122637</v>
      </c>
    </row>
    <row r="302" spans="2:12" ht="15" x14ac:dyDescent="0.15">
      <c r="B302" s="38">
        <v>43033</v>
      </c>
      <c r="C302">
        <f t="shared" si="26"/>
        <v>16.121481174464385</v>
      </c>
      <c r="D302">
        <f t="shared" si="26"/>
        <v>22.120906004489431</v>
      </c>
      <c r="E302">
        <f t="shared" si="26"/>
        <v>227.7776143333372</v>
      </c>
      <c r="F302">
        <f t="shared" si="26"/>
        <v>101.76835054812062</v>
      </c>
      <c r="G302">
        <f t="shared" si="26"/>
        <v>9.1829927380498919</v>
      </c>
      <c r="H302">
        <f t="shared" si="26"/>
        <v>127.27602146258566</v>
      </c>
      <c r="I302">
        <f t="shared" si="26"/>
        <v>8.6694423283056601</v>
      </c>
      <c r="J302">
        <f t="shared" si="26"/>
        <v>27.139471783522456</v>
      </c>
      <c r="K302">
        <f t="shared" si="26"/>
        <v>34.446115838350998</v>
      </c>
      <c r="L302">
        <f t="shared" si="24"/>
        <v>574.50239621122637</v>
      </c>
    </row>
    <row r="303" spans="2:12" ht="15" x14ac:dyDescent="0.15">
      <c r="B303" s="38">
        <v>43034</v>
      </c>
      <c r="C303">
        <f t="shared" si="26"/>
        <v>16.121481174464385</v>
      </c>
      <c r="D303">
        <f t="shared" si="26"/>
        <v>22.120906004489431</v>
      </c>
      <c r="E303">
        <f t="shared" si="26"/>
        <v>227.7776143333372</v>
      </c>
      <c r="F303">
        <f t="shared" si="26"/>
        <v>101.76835054812062</v>
      </c>
      <c r="G303">
        <f t="shared" si="26"/>
        <v>9.1829927380498919</v>
      </c>
      <c r="H303">
        <f t="shared" si="26"/>
        <v>127.27602146258566</v>
      </c>
      <c r="I303">
        <f t="shared" si="26"/>
        <v>8.6694423283056601</v>
      </c>
      <c r="J303">
        <f t="shared" si="26"/>
        <v>27.139471783522456</v>
      </c>
      <c r="K303">
        <f t="shared" si="26"/>
        <v>34.446115838350998</v>
      </c>
      <c r="L303">
        <f t="shared" si="24"/>
        <v>574.50239621122637</v>
      </c>
    </row>
    <row r="304" spans="2:12" ht="15" x14ac:dyDescent="0.15">
      <c r="B304" s="38">
        <v>43035</v>
      </c>
      <c r="C304">
        <f t="shared" si="26"/>
        <v>16.121481174464385</v>
      </c>
      <c r="D304">
        <f t="shared" si="26"/>
        <v>22.120906004489431</v>
      </c>
      <c r="E304">
        <f t="shared" si="26"/>
        <v>227.7776143333372</v>
      </c>
      <c r="F304">
        <f t="shared" si="26"/>
        <v>101.76835054812062</v>
      </c>
      <c r="G304">
        <f t="shared" si="26"/>
        <v>9.1829927380498919</v>
      </c>
      <c r="H304">
        <f t="shared" si="26"/>
        <v>127.27602146258566</v>
      </c>
      <c r="I304">
        <f t="shared" si="26"/>
        <v>8.6694423283056601</v>
      </c>
      <c r="J304">
        <f t="shared" si="26"/>
        <v>27.139471783522456</v>
      </c>
      <c r="K304">
        <f t="shared" si="26"/>
        <v>34.446115838350998</v>
      </c>
      <c r="L304">
        <f t="shared" si="24"/>
        <v>574.50239621122637</v>
      </c>
    </row>
    <row r="305" spans="2:12" ht="15" x14ac:dyDescent="0.15">
      <c r="B305" s="38">
        <v>43036</v>
      </c>
      <c r="C305">
        <f t="shared" si="26"/>
        <v>16.121481174464385</v>
      </c>
      <c r="D305">
        <f t="shared" si="26"/>
        <v>22.120906004489431</v>
      </c>
      <c r="E305">
        <f t="shared" si="26"/>
        <v>227.7776143333372</v>
      </c>
      <c r="F305">
        <f t="shared" si="26"/>
        <v>101.76835054812062</v>
      </c>
      <c r="G305">
        <f t="shared" si="26"/>
        <v>9.1829927380498919</v>
      </c>
      <c r="H305">
        <f t="shared" si="26"/>
        <v>127.27602146258566</v>
      </c>
      <c r="I305">
        <f t="shared" si="26"/>
        <v>8.6694423283056601</v>
      </c>
      <c r="J305">
        <f t="shared" si="26"/>
        <v>27.139471783522456</v>
      </c>
      <c r="K305">
        <f t="shared" si="26"/>
        <v>34.446115838350998</v>
      </c>
      <c r="L305">
        <f t="shared" si="24"/>
        <v>574.50239621122637</v>
      </c>
    </row>
    <row r="306" spans="2:12" ht="15" x14ac:dyDescent="0.15">
      <c r="B306" s="38">
        <v>43037</v>
      </c>
      <c r="C306">
        <f t="shared" si="26"/>
        <v>16.121481174464385</v>
      </c>
      <c r="D306">
        <f t="shared" si="26"/>
        <v>22.120906004489431</v>
      </c>
      <c r="E306">
        <f t="shared" si="26"/>
        <v>227.7776143333372</v>
      </c>
      <c r="F306">
        <f t="shared" si="26"/>
        <v>101.76835054812062</v>
      </c>
      <c r="G306">
        <f t="shared" si="26"/>
        <v>9.1829927380498919</v>
      </c>
      <c r="H306">
        <f t="shared" si="26"/>
        <v>127.27602146258566</v>
      </c>
      <c r="I306">
        <f t="shared" si="26"/>
        <v>8.6694423283056601</v>
      </c>
      <c r="J306">
        <f t="shared" si="26"/>
        <v>27.139471783522456</v>
      </c>
      <c r="K306">
        <f t="shared" si="26"/>
        <v>34.446115838350998</v>
      </c>
      <c r="L306">
        <f t="shared" si="24"/>
        <v>574.50239621122637</v>
      </c>
    </row>
    <row r="307" spans="2:12" ht="15" x14ac:dyDescent="0.15">
      <c r="B307" s="38">
        <v>43038</v>
      </c>
      <c r="C307">
        <f t="shared" si="26"/>
        <v>16.121481174464385</v>
      </c>
      <c r="D307">
        <f t="shared" si="26"/>
        <v>22.120906004489431</v>
      </c>
      <c r="E307">
        <f t="shared" si="26"/>
        <v>227.7776143333372</v>
      </c>
      <c r="F307">
        <f t="shared" si="26"/>
        <v>101.76835054812062</v>
      </c>
      <c r="G307">
        <f t="shared" si="26"/>
        <v>9.1829927380498919</v>
      </c>
      <c r="H307">
        <f t="shared" si="26"/>
        <v>127.27602146258566</v>
      </c>
      <c r="I307">
        <f t="shared" si="26"/>
        <v>8.6694423283056601</v>
      </c>
      <c r="J307">
        <f t="shared" si="26"/>
        <v>27.139471783522456</v>
      </c>
      <c r="K307">
        <f t="shared" si="26"/>
        <v>34.446115838350998</v>
      </c>
      <c r="L307">
        <f t="shared" si="24"/>
        <v>574.50239621122637</v>
      </c>
    </row>
    <row r="308" spans="2:12" ht="15" x14ac:dyDescent="0.15">
      <c r="B308" s="38">
        <v>43039</v>
      </c>
      <c r="C308">
        <f t="shared" si="26"/>
        <v>16.121481174464385</v>
      </c>
      <c r="D308">
        <f t="shared" si="26"/>
        <v>22.120906004489431</v>
      </c>
      <c r="E308">
        <f t="shared" si="26"/>
        <v>227.7776143333372</v>
      </c>
      <c r="F308">
        <f t="shared" si="26"/>
        <v>101.76835054812062</v>
      </c>
      <c r="G308">
        <f t="shared" si="26"/>
        <v>9.1829927380498919</v>
      </c>
      <c r="H308">
        <f t="shared" si="26"/>
        <v>127.27602146258566</v>
      </c>
      <c r="I308">
        <f t="shared" si="26"/>
        <v>8.6694423283056601</v>
      </c>
      <c r="J308">
        <f t="shared" si="26"/>
        <v>27.139471783522456</v>
      </c>
      <c r="K308">
        <f t="shared" si="26"/>
        <v>34.446115838350998</v>
      </c>
      <c r="L308">
        <f t="shared" si="24"/>
        <v>574.50239621122637</v>
      </c>
    </row>
    <row r="309" spans="2:12" ht="15" x14ac:dyDescent="0.15">
      <c r="B309" s="38">
        <v>43040</v>
      </c>
      <c r="C309">
        <f>C$3*$O$17/4</f>
        <v>16.398067677137071</v>
      </c>
      <c r="D309">
        <f t="shared" ref="D309:K324" si="27">D$3*$O$17/4</f>
        <v>22.500421010680306</v>
      </c>
      <c r="E309">
        <f t="shared" si="27"/>
        <v>231.68545710868804</v>
      </c>
      <c r="F309">
        <f t="shared" si="27"/>
        <v>103.51432859171733</v>
      </c>
      <c r="G309">
        <f t="shared" si="27"/>
        <v>9.3405397908299399</v>
      </c>
      <c r="H309">
        <f t="shared" si="27"/>
        <v>129.45961918970949</v>
      </c>
      <c r="I309">
        <f t="shared" si="27"/>
        <v>8.8181787072871813</v>
      </c>
      <c r="J309">
        <f t="shared" si="27"/>
        <v>27.605087287690786</v>
      </c>
      <c r="K309">
        <f t="shared" si="27"/>
        <v>35.037087015706497</v>
      </c>
      <c r="L309">
        <f t="shared" si="24"/>
        <v>584.35878637944666</v>
      </c>
    </row>
    <row r="310" spans="2:12" ht="15" x14ac:dyDescent="0.15">
      <c r="B310" s="38">
        <v>43041</v>
      </c>
      <c r="C310">
        <f t="shared" ref="C310:K338" si="28">C$3*$O$17/4</f>
        <v>16.398067677137071</v>
      </c>
      <c r="D310">
        <f t="shared" si="27"/>
        <v>22.500421010680306</v>
      </c>
      <c r="E310">
        <f t="shared" si="27"/>
        <v>231.68545710868804</v>
      </c>
      <c r="F310">
        <f t="shared" si="27"/>
        <v>103.51432859171733</v>
      </c>
      <c r="G310">
        <f t="shared" si="27"/>
        <v>9.3405397908299399</v>
      </c>
      <c r="H310">
        <f t="shared" si="27"/>
        <v>129.45961918970949</v>
      </c>
      <c r="I310">
        <f t="shared" si="27"/>
        <v>8.8181787072871813</v>
      </c>
      <c r="J310">
        <f t="shared" si="27"/>
        <v>27.605087287690786</v>
      </c>
      <c r="K310">
        <f t="shared" si="27"/>
        <v>35.037087015706497</v>
      </c>
      <c r="L310">
        <f t="shared" si="24"/>
        <v>584.35878637944666</v>
      </c>
    </row>
    <row r="311" spans="2:12" ht="15" x14ac:dyDescent="0.15">
      <c r="B311" s="38">
        <v>43042</v>
      </c>
      <c r="C311">
        <f t="shared" si="28"/>
        <v>16.398067677137071</v>
      </c>
      <c r="D311">
        <f t="shared" si="27"/>
        <v>22.500421010680306</v>
      </c>
      <c r="E311">
        <f t="shared" si="27"/>
        <v>231.68545710868804</v>
      </c>
      <c r="F311">
        <f t="shared" si="27"/>
        <v>103.51432859171733</v>
      </c>
      <c r="G311">
        <f t="shared" si="27"/>
        <v>9.3405397908299399</v>
      </c>
      <c r="H311">
        <f t="shared" si="27"/>
        <v>129.45961918970949</v>
      </c>
      <c r="I311">
        <f t="shared" si="27"/>
        <v>8.8181787072871813</v>
      </c>
      <c r="J311">
        <f t="shared" si="27"/>
        <v>27.605087287690786</v>
      </c>
      <c r="K311">
        <f t="shared" si="27"/>
        <v>35.037087015706497</v>
      </c>
      <c r="L311">
        <f t="shared" si="24"/>
        <v>584.35878637944666</v>
      </c>
    </row>
    <row r="312" spans="2:12" ht="15" x14ac:dyDescent="0.15">
      <c r="B312" s="38">
        <v>43043</v>
      </c>
      <c r="C312">
        <f t="shared" si="28"/>
        <v>16.398067677137071</v>
      </c>
      <c r="D312">
        <f t="shared" si="27"/>
        <v>22.500421010680306</v>
      </c>
      <c r="E312">
        <f t="shared" si="27"/>
        <v>231.68545710868804</v>
      </c>
      <c r="F312">
        <f t="shared" si="27"/>
        <v>103.51432859171733</v>
      </c>
      <c r="G312">
        <f t="shared" si="27"/>
        <v>9.3405397908299399</v>
      </c>
      <c r="H312">
        <f t="shared" si="27"/>
        <v>129.45961918970949</v>
      </c>
      <c r="I312">
        <f t="shared" si="27"/>
        <v>8.8181787072871813</v>
      </c>
      <c r="J312">
        <f t="shared" si="27"/>
        <v>27.605087287690786</v>
      </c>
      <c r="K312">
        <f t="shared" si="27"/>
        <v>35.037087015706497</v>
      </c>
      <c r="L312">
        <f t="shared" si="24"/>
        <v>584.35878637944666</v>
      </c>
    </row>
    <row r="313" spans="2:12" ht="15" x14ac:dyDescent="0.15">
      <c r="B313" s="38">
        <v>43044</v>
      </c>
      <c r="C313">
        <f t="shared" si="28"/>
        <v>16.398067677137071</v>
      </c>
      <c r="D313">
        <f t="shared" si="27"/>
        <v>22.500421010680306</v>
      </c>
      <c r="E313">
        <f t="shared" si="27"/>
        <v>231.68545710868804</v>
      </c>
      <c r="F313">
        <f t="shared" si="27"/>
        <v>103.51432859171733</v>
      </c>
      <c r="G313">
        <f t="shared" si="27"/>
        <v>9.3405397908299399</v>
      </c>
      <c r="H313">
        <f t="shared" si="27"/>
        <v>129.45961918970949</v>
      </c>
      <c r="I313">
        <f t="shared" si="27"/>
        <v>8.8181787072871813</v>
      </c>
      <c r="J313">
        <f t="shared" si="27"/>
        <v>27.605087287690786</v>
      </c>
      <c r="K313">
        <f t="shared" si="27"/>
        <v>35.037087015706497</v>
      </c>
      <c r="L313">
        <f t="shared" si="24"/>
        <v>584.35878637944666</v>
      </c>
    </row>
    <row r="314" spans="2:12" ht="15" x14ac:dyDescent="0.15">
      <c r="B314" s="38">
        <v>43045</v>
      </c>
      <c r="C314">
        <f t="shared" si="28"/>
        <v>16.398067677137071</v>
      </c>
      <c r="D314">
        <f t="shared" si="27"/>
        <v>22.500421010680306</v>
      </c>
      <c r="E314">
        <f t="shared" si="27"/>
        <v>231.68545710868804</v>
      </c>
      <c r="F314">
        <f t="shared" si="27"/>
        <v>103.51432859171733</v>
      </c>
      <c r="G314">
        <f t="shared" si="27"/>
        <v>9.3405397908299399</v>
      </c>
      <c r="H314">
        <f t="shared" si="27"/>
        <v>129.45961918970949</v>
      </c>
      <c r="I314">
        <f t="shared" si="27"/>
        <v>8.8181787072871813</v>
      </c>
      <c r="J314">
        <f t="shared" si="27"/>
        <v>27.605087287690786</v>
      </c>
      <c r="K314">
        <f t="shared" si="27"/>
        <v>35.037087015706497</v>
      </c>
      <c r="L314">
        <f t="shared" si="24"/>
        <v>584.35878637944666</v>
      </c>
    </row>
    <row r="315" spans="2:12" ht="15" x14ac:dyDescent="0.15">
      <c r="B315" s="38">
        <v>43046</v>
      </c>
      <c r="C315">
        <f t="shared" si="28"/>
        <v>16.398067677137071</v>
      </c>
      <c r="D315">
        <f t="shared" si="27"/>
        <v>22.500421010680306</v>
      </c>
      <c r="E315">
        <f t="shared" si="27"/>
        <v>231.68545710868804</v>
      </c>
      <c r="F315">
        <f t="shared" si="27"/>
        <v>103.51432859171733</v>
      </c>
      <c r="G315">
        <f t="shared" si="27"/>
        <v>9.3405397908299399</v>
      </c>
      <c r="H315">
        <f t="shared" si="27"/>
        <v>129.45961918970949</v>
      </c>
      <c r="I315">
        <f t="shared" si="27"/>
        <v>8.8181787072871813</v>
      </c>
      <c r="J315">
        <f t="shared" si="27"/>
        <v>27.605087287690786</v>
      </c>
      <c r="K315">
        <f t="shared" si="27"/>
        <v>35.037087015706497</v>
      </c>
      <c r="L315">
        <f t="shared" si="24"/>
        <v>584.35878637944666</v>
      </c>
    </row>
    <row r="316" spans="2:12" ht="15" x14ac:dyDescent="0.15">
      <c r="B316" s="38">
        <v>43047</v>
      </c>
      <c r="C316">
        <f t="shared" si="28"/>
        <v>16.398067677137071</v>
      </c>
      <c r="D316">
        <f t="shared" si="27"/>
        <v>22.500421010680306</v>
      </c>
      <c r="E316">
        <f t="shared" si="27"/>
        <v>231.68545710868804</v>
      </c>
      <c r="F316">
        <f t="shared" si="27"/>
        <v>103.51432859171733</v>
      </c>
      <c r="G316">
        <f t="shared" si="27"/>
        <v>9.3405397908299399</v>
      </c>
      <c r="H316">
        <f t="shared" si="27"/>
        <v>129.45961918970949</v>
      </c>
      <c r="I316">
        <f t="shared" si="27"/>
        <v>8.8181787072871813</v>
      </c>
      <c r="J316">
        <f t="shared" si="27"/>
        <v>27.605087287690786</v>
      </c>
      <c r="K316">
        <f t="shared" si="27"/>
        <v>35.037087015706497</v>
      </c>
      <c r="L316">
        <f t="shared" si="24"/>
        <v>584.35878637944666</v>
      </c>
    </row>
    <row r="317" spans="2:12" ht="15" x14ac:dyDescent="0.15">
      <c r="B317" s="38">
        <v>43048</v>
      </c>
      <c r="C317">
        <f t="shared" si="28"/>
        <v>16.398067677137071</v>
      </c>
      <c r="D317">
        <f t="shared" si="27"/>
        <v>22.500421010680306</v>
      </c>
      <c r="E317">
        <f t="shared" si="27"/>
        <v>231.68545710868804</v>
      </c>
      <c r="F317">
        <f t="shared" si="27"/>
        <v>103.51432859171733</v>
      </c>
      <c r="G317">
        <f t="shared" si="27"/>
        <v>9.3405397908299399</v>
      </c>
      <c r="H317">
        <f t="shared" si="27"/>
        <v>129.45961918970949</v>
      </c>
      <c r="I317">
        <f t="shared" si="27"/>
        <v>8.8181787072871813</v>
      </c>
      <c r="J317">
        <f t="shared" si="27"/>
        <v>27.605087287690786</v>
      </c>
      <c r="K317">
        <f t="shared" si="27"/>
        <v>35.037087015706497</v>
      </c>
      <c r="L317">
        <f t="shared" si="24"/>
        <v>584.35878637944666</v>
      </c>
    </row>
    <row r="318" spans="2:12" ht="15" x14ac:dyDescent="0.15">
      <c r="B318" s="38">
        <v>43049</v>
      </c>
      <c r="C318">
        <f t="shared" si="28"/>
        <v>16.398067677137071</v>
      </c>
      <c r="D318">
        <f t="shared" si="27"/>
        <v>22.500421010680306</v>
      </c>
      <c r="E318">
        <f t="shared" si="27"/>
        <v>231.68545710868804</v>
      </c>
      <c r="F318">
        <f t="shared" si="27"/>
        <v>103.51432859171733</v>
      </c>
      <c r="G318">
        <f t="shared" si="27"/>
        <v>9.3405397908299399</v>
      </c>
      <c r="H318">
        <f t="shared" si="27"/>
        <v>129.45961918970949</v>
      </c>
      <c r="I318">
        <f t="shared" si="27"/>
        <v>8.8181787072871813</v>
      </c>
      <c r="J318">
        <f t="shared" si="27"/>
        <v>27.605087287690786</v>
      </c>
      <c r="K318">
        <f t="shared" si="27"/>
        <v>35.037087015706497</v>
      </c>
      <c r="L318">
        <f t="shared" si="24"/>
        <v>584.35878637944666</v>
      </c>
    </row>
    <row r="319" spans="2:12" ht="15" x14ac:dyDescent="0.15">
      <c r="B319" s="38">
        <v>43050</v>
      </c>
      <c r="C319">
        <f t="shared" si="28"/>
        <v>16.398067677137071</v>
      </c>
      <c r="D319">
        <f t="shared" si="27"/>
        <v>22.500421010680306</v>
      </c>
      <c r="E319">
        <f t="shared" si="27"/>
        <v>231.68545710868804</v>
      </c>
      <c r="F319">
        <f t="shared" si="27"/>
        <v>103.51432859171733</v>
      </c>
      <c r="G319">
        <f t="shared" si="27"/>
        <v>9.3405397908299399</v>
      </c>
      <c r="H319">
        <f t="shared" si="27"/>
        <v>129.45961918970949</v>
      </c>
      <c r="I319">
        <f t="shared" si="27"/>
        <v>8.8181787072871813</v>
      </c>
      <c r="J319">
        <f t="shared" si="27"/>
        <v>27.605087287690786</v>
      </c>
      <c r="K319">
        <f t="shared" si="27"/>
        <v>35.037087015706497</v>
      </c>
      <c r="L319">
        <f t="shared" si="24"/>
        <v>584.35878637944666</v>
      </c>
    </row>
    <row r="320" spans="2:12" ht="15" x14ac:dyDescent="0.15">
      <c r="B320" s="38">
        <v>43051</v>
      </c>
      <c r="C320">
        <f t="shared" si="28"/>
        <v>16.398067677137071</v>
      </c>
      <c r="D320">
        <f t="shared" si="27"/>
        <v>22.500421010680306</v>
      </c>
      <c r="E320">
        <f t="shared" si="27"/>
        <v>231.68545710868804</v>
      </c>
      <c r="F320">
        <f t="shared" si="27"/>
        <v>103.51432859171733</v>
      </c>
      <c r="G320">
        <f t="shared" si="27"/>
        <v>9.3405397908299399</v>
      </c>
      <c r="H320">
        <f t="shared" si="27"/>
        <v>129.45961918970949</v>
      </c>
      <c r="I320">
        <f t="shared" si="27"/>
        <v>8.8181787072871813</v>
      </c>
      <c r="J320">
        <f t="shared" si="27"/>
        <v>27.605087287690786</v>
      </c>
      <c r="K320">
        <f t="shared" si="27"/>
        <v>35.037087015706497</v>
      </c>
      <c r="L320">
        <f t="shared" si="24"/>
        <v>584.35878637944666</v>
      </c>
    </row>
    <row r="321" spans="2:12" ht="15" x14ac:dyDescent="0.15">
      <c r="B321" s="38">
        <v>43052</v>
      </c>
      <c r="C321">
        <f t="shared" si="28"/>
        <v>16.398067677137071</v>
      </c>
      <c r="D321">
        <f t="shared" si="27"/>
        <v>22.500421010680306</v>
      </c>
      <c r="E321">
        <f t="shared" si="27"/>
        <v>231.68545710868804</v>
      </c>
      <c r="F321">
        <f t="shared" si="27"/>
        <v>103.51432859171733</v>
      </c>
      <c r="G321">
        <f t="shared" si="27"/>
        <v>9.3405397908299399</v>
      </c>
      <c r="H321">
        <f t="shared" si="27"/>
        <v>129.45961918970949</v>
      </c>
      <c r="I321">
        <f t="shared" si="27"/>
        <v>8.8181787072871813</v>
      </c>
      <c r="J321">
        <f t="shared" si="27"/>
        <v>27.605087287690786</v>
      </c>
      <c r="K321">
        <f t="shared" si="27"/>
        <v>35.037087015706497</v>
      </c>
      <c r="L321">
        <f t="shared" si="24"/>
        <v>584.35878637944666</v>
      </c>
    </row>
    <row r="322" spans="2:12" ht="15" x14ac:dyDescent="0.15">
      <c r="B322" s="38">
        <v>43053</v>
      </c>
      <c r="C322">
        <f t="shared" si="28"/>
        <v>16.398067677137071</v>
      </c>
      <c r="D322">
        <f t="shared" si="27"/>
        <v>22.500421010680306</v>
      </c>
      <c r="E322">
        <f t="shared" si="27"/>
        <v>231.68545710868804</v>
      </c>
      <c r="F322">
        <f t="shared" si="27"/>
        <v>103.51432859171733</v>
      </c>
      <c r="G322">
        <f t="shared" si="27"/>
        <v>9.3405397908299399</v>
      </c>
      <c r="H322">
        <f t="shared" si="27"/>
        <v>129.45961918970949</v>
      </c>
      <c r="I322">
        <f t="shared" si="27"/>
        <v>8.8181787072871813</v>
      </c>
      <c r="J322">
        <f t="shared" si="27"/>
        <v>27.605087287690786</v>
      </c>
      <c r="K322">
        <f t="shared" si="27"/>
        <v>35.037087015706497</v>
      </c>
      <c r="L322">
        <f t="shared" si="24"/>
        <v>584.35878637944666</v>
      </c>
    </row>
    <row r="323" spans="2:12" ht="15" x14ac:dyDescent="0.15">
      <c r="B323" s="38">
        <v>43054</v>
      </c>
      <c r="C323">
        <f t="shared" si="28"/>
        <v>16.398067677137071</v>
      </c>
      <c r="D323">
        <f t="shared" si="27"/>
        <v>22.500421010680306</v>
      </c>
      <c r="E323">
        <f t="shared" si="27"/>
        <v>231.68545710868804</v>
      </c>
      <c r="F323">
        <f t="shared" si="27"/>
        <v>103.51432859171733</v>
      </c>
      <c r="G323">
        <f t="shared" si="27"/>
        <v>9.3405397908299399</v>
      </c>
      <c r="H323">
        <f t="shared" si="27"/>
        <v>129.45961918970949</v>
      </c>
      <c r="I323">
        <f t="shared" si="27"/>
        <v>8.8181787072871813</v>
      </c>
      <c r="J323">
        <f t="shared" si="27"/>
        <v>27.605087287690786</v>
      </c>
      <c r="K323">
        <f t="shared" si="27"/>
        <v>35.037087015706497</v>
      </c>
      <c r="L323">
        <f t="shared" si="24"/>
        <v>584.35878637944666</v>
      </c>
    </row>
    <row r="324" spans="2:12" ht="15" x14ac:dyDescent="0.15">
      <c r="B324" s="38">
        <v>43055</v>
      </c>
      <c r="C324">
        <f t="shared" si="28"/>
        <v>16.398067677137071</v>
      </c>
      <c r="D324">
        <f t="shared" si="27"/>
        <v>22.500421010680306</v>
      </c>
      <c r="E324">
        <f t="shared" si="27"/>
        <v>231.68545710868804</v>
      </c>
      <c r="F324">
        <f t="shared" si="27"/>
        <v>103.51432859171733</v>
      </c>
      <c r="G324">
        <f t="shared" si="27"/>
        <v>9.3405397908299399</v>
      </c>
      <c r="H324">
        <f t="shared" si="27"/>
        <v>129.45961918970949</v>
      </c>
      <c r="I324">
        <f t="shared" si="27"/>
        <v>8.8181787072871813</v>
      </c>
      <c r="J324">
        <f t="shared" si="27"/>
        <v>27.605087287690786</v>
      </c>
      <c r="K324">
        <f t="shared" si="27"/>
        <v>35.037087015706497</v>
      </c>
      <c r="L324">
        <f t="shared" si="24"/>
        <v>584.35878637944666</v>
      </c>
    </row>
    <row r="325" spans="2:12" ht="15" x14ac:dyDescent="0.15">
      <c r="B325" s="38">
        <v>43056</v>
      </c>
      <c r="C325">
        <f t="shared" si="28"/>
        <v>16.398067677137071</v>
      </c>
      <c r="D325">
        <f t="shared" si="28"/>
        <v>22.500421010680306</v>
      </c>
      <c r="E325">
        <f t="shared" si="28"/>
        <v>231.68545710868804</v>
      </c>
      <c r="F325">
        <f t="shared" si="28"/>
        <v>103.51432859171733</v>
      </c>
      <c r="G325">
        <f t="shared" si="28"/>
        <v>9.3405397908299399</v>
      </c>
      <c r="H325">
        <f t="shared" si="28"/>
        <v>129.45961918970949</v>
      </c>
      <c r="I325">
        <f t="shared" si="28"/>
        <v>8.8181787072871813</v>
      </c>
      <c r="J325">
        <f t="shared" si="28"/>
        <v>27.605087287690786</v>
      </c>
      <c r="K325">
        <f t="shared" si="28"/>
        <v>35.037087015706497</v>
      </c>
      <c r="L325">
        <f t="shared" si="24"/>
        <v>584.35878637944666</v>
      </c>
    </row>
    <row r="326" spans="2:12" ht="15" x14ac:dyDescent="0.15">
      <c r="B326" s="38">
        <v>43057</v>
      </c>
      <c r="C326">
        <f t="shared" si="28"/>
        <v>16.398067677137071</v>
      </c>
      <c r="D326">
        <f t="shared" si="28"/>
        <v>22.500421010680306</v>
      </c>
      <c r="E326">
        <f t="shared" si="28"/>
        <v>231.68545710868804</v>
      </c>
      <c r="F326">
        <f t="shared" si="28"/>
        <v>103.51432859171733</v>
      </c>
      <c r="G326">
        <f t="shared" si="28"/>
        <v>9.3405397908299399</v>
      </c>
      <c r="H326">
        <f t="shared" si="28"/>
        <v>129.45961918970949</v>
      </c>
      <c r="I326">
        <f t="shared" si="28"/>
        <v>8.8181787072871813</v>
      </c>
      <c r="J326">
        <f t="shared" si="28"/>
        <v>27.605087287690786</v>
      </c>
      <c r="K326">
        <f t="shared" si="28"/>
        <v>35.037087015706497</v>
      </c>
      <c r="L326">
        <f t="shared" ref="L326:L369" si="29">SUM(C326:K326)</f>
        <v>584.35878637944666</v>
      </c>
    </row>
    <row r="327" spans="2:12" ht="15" x14ac:dyDescent="0.15">
      <c r="B327" s="38">
        <v>43058</v>
      </c>
      <c r="C327">
        <f t="shared" si="28"/>
        <v>16.398067677137071</v>
      </c>
      <c r="D327">
        <f t="shared" si="28"/>
        <v>22.500421010680306</v>
      </c>
      <c r="E327">
        <f t="shared" si="28"/>
        <v>231.68545710868804</v>
      </c>
      <c r="F327">
        <f t="shared" si="28"/>
        <v>103.51432859171733</v>
      </c>
      <c r="G327">
        <f t="shared" si="28"/>
        <v>9.3405397908299399</v>
      </c>
      <c r="H327">
        <f t="shared" si="28"/>
        <v>129.45961918970949</v>
      </c>
      <c r="I327">
        <f t="shared" si="28"/>
        <v>8.8181787072871813</v>
      </c>
      <c r="J327">
        <f t="shared" si="28"/>
        <v>27.605087287690786</v>
      </c>
      <c r="K327">
        <f t="shared" si="28"/>
        <v>35.037087015706497</v>
      </c>
      <c r="L327">
        <f t="shared" si="29"/>
        <v>584.35878637944666</v>
      </c>
    </row>
    <row r="328" spans="2:12" ht="15" x14ac:dyDescent="0.15">
      <c r="B328" s="38">
        <v>43059</v>
      </c>
      <c r="C328">
        <f t="shared" si="28"/>
        <v>16.398067677137071</v>
      </c>
      <c r="D328">
        <f t="shared" si="28"/>
        <v>22.500421010680306</v>
      </c>
      <c r="E328">
        <f t="shared" si="28"/>
        <v>231.68545710868804</v>
      </c>
      <c r="F328">
        <f t="shared" si="28"/>
        <v>103.51432859171733</v>
      </c>
      <c r="G328">
        <f t="shared" si="28"/>
        <v>9.3405397908299399</v>
      </c>
      <c r="H328">
        <f t="shared" si="28"/>
        <v>129.45961918970949</v>
      </c>
      <c r="I328">
        <f t="shared" si="28"/>
        <v>8.8181787072871813</v>
      </c>
      <c r="J328">
        <f t="shared" si="28"/>
        <v>27.605087287690786</v>
      </c>
      <c r="K328">
        <f t="shared" si="28"/>
        <v>35.037087015706497</v>
      </c>
      <c r="L328">
        <f t="shared" si="29"/>
        <v>584.35878637944666</v>
      </c>
    </row>
    <row r="329" spans="2:12" ht="15" x14ac:dyDescent="0.15">
      <c r="B329" s="38">
        <v>43060</v>
      </c>
      <c r="C329">
        <f t="shared" si="28"/>
        <v>16.398067677137071</v>
      </c>
      <c r="D329">
        <f t="shared" si="28"/>
        <v>22.500421010680306</v>
      </c>
      <c r="E329">
        <f t="shared" si="28"/>
        <v>231.68545710868804</v>
      </c>
      <c r="F329">
        <f t="shared" si="28"/>
        <v>103.51432859171733</v>
      </c>
      <c r="G329">
        <f t="shared" si="28"/>
        <v>9.3405397908299399</v>
      </c>
      <c r="H329">
        <f t="shared" si="28"/>
        <v>129.45961918970949</v>
      </c>
      <c r="I329">
        <f t="shared" si="28"/>
        <v>8.8181787072871813</v>
      </c>
      <c r="J329">
        <f t="shared" si="28"/>
        <v>27.605087287690786</v>
      </c>
      <c r="K329">
        <f t="shared" si="28"/>
        <v>35.037087015706497</v>
      </c>
      <c r="L329">
        <f t="shared" si="29"/>
        <v>584.35878637944666</v>
      </c>
    </row>
    <row r="330" spans="2:12" ht="15" x14ac:dyDescent="0.15">
      <c r="B330" s="38">
        <v>43061</v>
      </c>
      <c r="C330">
        <f t="shared" si="28"/>
        <v>16.398067677137071</v>
      </c>
      <c r="D330">
        <f t="shared" si="28"/>
        <v>22.500421010680306</v>
      </c>
      <c r="E330">
        <f t="shared" si="28"/>
        <v>231.68545710868804</v>
      </c>
      <c r="F330">
        <f t="shared" si="28"/>
        <v>103.51432859171733</v>
      </c>
      <c r="G330">
        <f t="shared" si="28"/>
        <v>9.3405397908299399</v>
      </c>
      <c r="H330">
        <f t="shared" si="28"/>
        <v>129.45961918970949</v>
      </c>
      <c r="I330">
        <f t="shared" si="28"/>
        <v>8.8181787072871813</v>
      </c>
      <c r="J330">
        <f t="shared" si="28"/>
        <v>27.605087287690786</v>
      </c>
      <c r="K330">
        <f t="shared" si="28"/>
        <v>35.037087015706497</v>
      </c>
      <c r="L330">
        <f t="shared" si="29"/>
        <v>584.35878637944666</v>
      </c>
    </row>
    <row r="331" spans="2:12" ht="15" x14ac:dyDescent="0.15">
      <c r="B331" s="38">
        <v>43062</v>
      </c>
      <c r="C331">
        <f t="shared" si="28"/>
        <v>16.398067677137071</v>
      </c>
      <c r="D331">
        <f t="shared" si="28"/>
        <v>22.500421010680306</v>
      </c>
      <c r="E331">
        <f t="shared" si="28"/>
        <v>231.68545710868804</v>
      </c>
      <c r="F331">
        <f t="shared" si="28"/>
        <v>103.51432859171733</v>
      </c>
      <c r="G331">
        <f t="shared" si="28"/>
        <v>9.3405397908299399</v>
      </c>
      <c r="H331">
        <f t="shared" si="28"/>
        <v>129.45961918970949</v>
      </c>
      <c r="I331">
        <f t="shared" si="28"/>
        <v>8.8181787072871813</v>
      </c>
      <c r="J331">
        <f t="shared" si="28"/>
        <v>27.605087287690786</v>
      </c>
      <c r="K331">
        <f t="shared" si="28"/>
        <v>35.037087015706497</v>
      </c>
      <c r="L331">
        <f t="shared" si="29"/>
        <v>584.35878637944666</v>
      </c>
    </row>
    <row r="332" spans="2:12" ht="15" x14ac:dyDescent="0.15">
      <c r="B332" s="38">
        <v>43063</v>
      </c>
      <c r="C332">
        <f t="shared" si="28"/>
        <v>16.398067677137071</v>
      </c>
      <c r="D332">
        <f t="shared" si="28"/>
        <v>22.500421010680306</v>
      </c>
      <c r="E332">
        <f t="shared" si="28"/>
        <v>231.68545710868804</v>
      </c>
      <c r="F332">
        <f t="shared" si="28"/>
        <v>103.51432859171733</v>
      </c>
      <c r="G332">
        <f t="shared" si="28"/>
        <v>9.3405397908299399</v>
      </c>
      <c r="H332">
        <f t="shared" si="28"/>
        <v>129.45961918970949</v>
      </c>
      <c r="I332">
        <f t="shared" si="28"/>
        <v>8.8181787072871813</v>
      </c>
      <c r="J332">
        <f t="shared" si="28"/>
        <v>27.605087287690786</v>
      </c>
      <c r="K332">
        <f t="shared" si="28"/>
        <v>35.037087015706497</v>
      </c>
      <c r="L332">
        <f t="shared" si="29"/>
        <v>584.35878637944666</v>
      </c>
    </row>
    <row r="333" spans="2:12" ht="15" x14ac:dyDescent="0.15">
      <c r="B333" s="38">
        <v>43064</v>
      </c>
      <c r="C333">
        <f t="shared" si="28"/>
        <v>16.398067677137071</v>
      </c>
      <c r="D333">
        <f t="shared" si="28"/>
        <v>22.500421010680306</v>
      </c>
      <c r="E333">
        <f t="shared" si="28"/>
        <v>231.68545710868804</v>
      </c>
      <c r="F333">
        <f t="shared" si="28"/>
        <v>103.51432859171733</v>
      </c>
      <c r="G333">
        <f t="shared" si="28"/>
        <v>9.3405397908299399</v>
      </c>
      <c r="H333">
        <f t="shared" si="28"/>
        <v>129.45961918970949</v>
      </c>
      <c r="I333">
        <f t="shared" si="28"/>
        <v>8.8181787072871813</v>
      </c>
      <c r="J333">
        <f t="shared" si="28"/>
        <v>27.605087287690786</v>
      </c>
      <c r="K333">
        <f t="shared" si="28"/>
        <v>35.037087015706497</v>
      </c>
      <c r="L333">
        <f t="shared" si="29"/>
        <v>584.35878637944666</v>
      </c>
    </row>
    <row r="334" spans="2:12" ht="15" x14ac:dyDescent="0.15">
      <c r="B334" s="38">
        <v>43065</v>
      </c>
      <c r="C334">
        <f t="shared" si="28"/>
        <v>16.398067677137071</v>
      </c>
      <c r="D334">
        <f t="shared" si="28"/>
        <v>22.500421010680306</v>
      </c>
      <c r="E334">
        <f t="shared" si="28"/>
        <v>231.68545710868804</v>
      </c>
      <c r="F334">
        <f t="shared" si="28"/>
        <v>103.51432859171733</v>
      </c>
      <c r="G334">
        <f t="shared" si="28"/>
        <v>9.3405397908299399</v>
      </c>
      <c r="H334">
        <f t="shared" si="28"/>
        <v>129.45961918970949</v>
      </c>
      <c r="I334">
        <f t="shared" si="28"/>
        <v>8.8181787072871813</v>
      </c>
      <c r="J334">
        <f t="shared" si="28"/>
        <v>27.605087287690786</v>
      </c>
      <c r="K334">
        <f t="shared" si="28"/>
        <v>35.037087015706497</v>
      </c>
      <c r="L334">
        <f t="shared" si="29"/>
        <v>584.35878637944666</v>
      </c>
    </row>
    <row r="335" spans="2:12" ht="15" x14ac:dyDescent="0.15">
      <c r="B335" s="38">
        <v>43066</v>
      </c>
      <c r="C335">
        <f t="shared" si="28"/>
        <v>16.398067677137071</v>
      </c>
      <c r="D335">
        <f t="shared" si="28"/>
        <v>22.500421010680306</v>
      </c>
      <c r="E335">
        <f t="shared" si="28"/>
        <v>231.68545710868804</v>
      </c>
      <c r="F335">
        <f t="shared" si="28"/>
        <v>103.51432859171733</v>
      </c>
      <c r="G335">
        <f t="shared" si="28"/>
        <v>9.3405397908299399</v>
      </c>
      <c r="H335">
        <f t="shared" si="28"/>
        <v>129.45961918970949</v>
      </c>
      <c r="I335">
        <f t="shared" si="28"/>
        <v>8.8181787072871813</v>
      </c>
      <c r="J335">
        <f t="shared" si="28"/>
        <v>27.605087287690786</v>
      </c>
      <c r="K335">
        <f t="shared" si="28"/>
        <v>35.037087015706497</v>
      </c>
      <c r="L335">
        <f t="shared" si="29"/>
        <v>584.35878637944666</v>
      </c>
    </row>
    <row r="336" spans="2:12" ht="15" x14ac:dyDescent="0.15">
      <c r="B336" s="38">
        <v>43067</v>
      </c>
      <c r="C336">
        <f t="shared" si="28"/>
        <v>16.398067677137071</v>
      </c>
      <c r="D336">
        <f t="shared" si="28"/>
        <v>22.500421010680306</v>
      </c>
      <c r="E336">
        <f t="shared" si="28"/>
        <v>231.68545710868804</v>
      </c>
      <c r="F336">
        <f t="shared" si="28"/>
        <v>103.51432859171733</v>
      </c>
      <c r="G336">
        <f t="shared" si="28"/>
        <v>9.3405397908299399</v>
      </c>
      <c r="H336">
        <f t="shared" si="28"/>
        <v>129.45961918970949</v>
      </c>
      <c r="I336">
        <f t="shared" si="28"/>
        <v>8.8181787072871813</v>
      </c>
      <c r="J336">
        <f t="shared" si="28"/>
        <v>27.605087287690786</v>
      </c>
      <c r="K336">
        <f t="shared" si="28"/>
        <v>35.037087015706497</v>
      </c>
      <c r="L336">
        <f t="shared" si="29"/>
        <v>584.35878637944666</v>
      </c>
    </row>
    <row r="337" spans="2:12" ht="15" x14ac:dyDescent="0.15">
      <c r="B337" s="38">
        <v>43068</v>
      </c>
      <c r="C337">
        <f t="shared" si="28"/>
        <v>16.398067677137071</v>
      </c>
      <c r="D337">
        <f t="shared" si="28"/>
        <v>22.500421010680306</v>
      </c>
      <c r="E337">
        <f t="shared" si="28"/>
        <v>231.68545710868804</v>
      </c>
      <c r="F337">
        <f t="shared" si="28"/>
        <v>103.51432859171733</v>
      </c>
      <c r="G337">
        <f t="shared" si="28"/>
        <v>9.3405397908299399</v>
      </c>
      <c r="H337">
        <f t="shared" si="28"/>
        <v>129.45961918970949</v>
      </c>
      <c r="I337">
        <f t="shared" si="28"/>
        <v>8.8181787072871813</v>
      </c>
      <c r="J337">
        <f t="shared" si="28"/>
        <v>27.605087287690786</v>
      </c>
      <c r="K337">
        <f t="shared" si="28"/>
        <v>35.037087015706497</v>
      </c>
      <c r="L337">
        <f t="shared" si="29"/>
        <v>584.35878637944666</v>
      </c>
    </row>
    <row r="338" spans="2:12" ht="15" x14ac:dyDescent="0.15">
      <c r="B338" s="38">
        <v>43069</v>
      </c>
      <c r="C338">
        <f t="shared" si="28"/>
        <v>16.398067677137071</v>
      </c>
      <c r="D338">
        <f t="shared" si="28"/>
        <v>22.500421010680306</v>
      </c>
      <c r="E338">
        <f t="shared" si="28"/>
        <v>231.68545710868804</v>
      </c>
      <c r="F338">
        <f t="shared" si="28"/>
        <v>103.51432859171733</v>
      </c>
      <c r="G338">
        <f t="shared" si="28"/>
        <v>9.3405397908299399</v>
      </c>
      <c r="H338">
        <f t="shared" si="28"/>
        <v>129.45961918970949</v>
      </c>
      <c r="I338">
        <f t="shared" si="28"/>
        <v>8.8181787072871813</v>
      </c>
      <c r="J338">
        <f t="shared" si="28"/>
        <v>27.605087287690786</v>
      </c>
      <c r="K338">
        <f t="shared" si="28"/>
        <v>35.037087015706497</v>
      </c>
      <c r="L338">
        <f t="shared" si="29"/>
        <v>584.35878637944666</v>
      </c>
    </row>
    <row r="339" spans="2:12" ht="15" x14ac:dyDescent="0.15">
      <c r="B339" s="38">
        <v>43070</v>
      </c>
      <c r="C339">
        <f>C$3*$O$18/4</f>
        <v>18.959810895578311</v>
      </c>
      <c r="D339">
        <f t="shared" ref="D339:K354" si="30">D$3*$O$18/4</f>
        <v>26.015487667988214</v>
      </c>
      <c r="E339">
        <f t="shared" si="30"/>
        <v>267.87988319872983</v>
      </c>
      <c r="F339">
        <f t="shared" si="30"/>
        <v>119.68557111263046</v>
      </c>
      <c r="G339">
        <f t="shared" si="30"/>
        <v>10.79974004154611</v>
      </c>
      <c r="H339">
        <f t="shared" si="30"/>
        <v>149.68409368578776</v>
      </c>
      <c r="I339">
        <f t="shared" si="30"/>
        <v>10.195774528158916</v>
      </c>
      <c r="J339">
        <f t="shared" si="30"/>
        <v>31.917616455521788</v>
      </c>
      <c r="K339">
        <f t="shared" si="30"/>
        <v>40.510659989280917</v>
      </c>
      <c r="L339">
        <f t="shared" si="29"/>
        <v>675.64863757522232</v>
      </c>
    </row>
    <row r="340" spans="2:12" ht="15" x14ac:dyDescent="0.15">
      <c r="B340" s="38">
        <v>43071</v>
      </c>
      <c r="C340">
        <f t="shared" ref="C340:K369" si="31">C$3*$O$18/4</f>
        <v>18.959810895578311</v>
      </c>
      <c r="D340">
        <f t="shared" si="30"/>
        <v>26.015487667988214</v>
      </c>
      <c r="E340">
        <f t="shared" si="30"/>
        <v>267.87988319872983</v>
      </c>
      <c r="F340">
        <f t="shared" si="30"/>
        <v>119.68557111263046</v>
      </c>
      <c r="G340">
        <f t="shared" si="30"/>
        <v>10.79974004154611</v>
      </c>
      <c r="H340">
        <f t="shared" si="30"/>
        <v>149.68409368578776</v>
      </c>
      <c r="I340">
        <f t="shared" si="30"/>
        <v>10.195774528158916</v>
      </c>
      <c r="J340">
        <f t="shared" si="30"/>
        <v>31.917616455521788</v>
      </c>
      <c r="K340">
        <f t="shared" si="30"/>
        <v>40.510659989280917</v>
      </c>
      <c r="L340">
        <f t="shared" si="29"/>
        <v>675.64863757522232</v>
      </c>
    </row>
    <row r="341" spans="2:12" ht="15" x14ac:dyDescent="0.15">
      <c r="B341" s="38">
        <v>43072</v>
      </c>
      <c r="C341">
        <f t="shared" si="31"/>
        <v>18.959810895578311</v>
      </c>
      <c r="D341">
        <f t="shared" si="30"/>
        <v>26.015487667988214</v>
      </c>
      <c r="E341">
        <f t="shared" si="30"/>
        <v>267.87988319872983</v>
      </c>
      <c r="F341">
        <f t="shared" si="30"/>
        <v>119.68557111263046</v>
      </c>
      <c r="G341">
        <f t="shared" si="30"/>
        <v>10.79974004154611</v>
      </c>
      <c r="H341">
        <f t="shared" si="30"/>
        <v>149.68409368578776</v>
      </c>
      <c r="I341">
        <f t="shared" si="30"/>
        <v>10.195774528158916</v>
      </c>
      <c r="J341">
        <f t="shared" si="30"/>
        <v>31.917616455521788</v>
      </c>
      <c r="K341">
        <f t="shared" si="30"/>
        <v>40.510659989280917</v>
      </c>
      <c r="L341">
        <f t="shared" si="29"/>
        <v>675.64863757522232</v>
      </c>
    </row>
    <row r="342" spans="2:12" ht="15" x14ac:dyDescent="0.15">
      <c r="B342" s="38">
        <v>43073</v>
      </c>
      <c r="C342">
        <f t="shared" si="31"/>
        <v>18.959810895578311</v>
      </c>
      <c r="D342">
        <f t="shared" si="30"/>
        <v>26.015487667988214</v>
      </c>
      <c r="E342">
        <f t="shared" si="30"/>
        <v>267.87988319872983</v>
      </c>
      <c r="F342">
        <f t="shared" si="30"/>
        <v>119.68557111263046</v>
      </c>
      <c r="G342">
        <f t="shared" si="30"/>
        <v>10.79974004154611</v>
      </c>
      <c r="H342">
        <f t="shared" si="30"/>
        <v>149.68409368578776</v>
      </c>
      <c r="I342">
        <f t="shared" si="30"/>
        <v>10.195774528158916</v>
      </c>
      <c r="J342">
        <f t="shared" si="30"/>
        <v>31.917616455521788</v>
      </c>
      <c r="K342">
        <f t="shared" si="30"/>
        <v>40.510659989280917</v>
      </c>
      <c r="L342">
        <f t="shared" si="29"/>
        <v>675.64863757522232</v>
      </c>
    </row>
    <row r="343" spans="2:12" ht="15" x14ac:dyDescent="0.15">
      <c r="B343" s="38">
        <v>43074</v>
      </c>
      <c r="C343">
        <f t="shared" si="31"/>
        <v>18.959810895578311</v>
      </c>
      <c r="D343">
        <f t="shared" si="30"/>
        <v>26.015487667988214</v>
      </c>
      <c r="E343">
        <f t="shared" si="30"/>
        <v>267.87988319872983</v>
      </c>
      <c r="F343">
        <f t="shared" si="30"/>
        <v>119.68557111263046</v>
      </c>
      <c r="G343">
        <f t="shared" si="30"/>
        <v>10.79974004154611</v>
      </c>
      <c r="H343">
        <f t="shared" si="30"/>
        <v>149.68409368578776</v>
      </c>
      <c r="I343">
        <f t="shared" si="30"/>
        <v>10.195774528158916</v>
      </c>
      <c r="J343">
        <f t="shared" si="30"/>
        <v>31.917616455521788</v>
      </c>
      <c r="K343">
        <f t="shared" si="30"/>
        <v>40.510659989280917</v>
      </c>
      <c r="L343">
        <f t="shared" si="29"/>
        <v>675.64863757522232</v>
      </c>
    </row>
    <row r="344" spans="2:12" ht="15" x14ac:dyDescent="0.15">
      <c r="B344" s="38">
        <v>43075</v>
      </c>
      <c r="C344">
        <f t="shared" si="31"/>
        <v>18.959810895578311</v>
      </c>
      <c r="D344">
        <f t="shared" si="30"/>
        <v>26.015487667988214</v>
      </c>
      <c r="E344">
        <f t="shared" si="30"/>
        <v>267.87988319872983</v>
      </c>
      <c r="F344">
        <f t="shared" si="30"/>
        <v>119.68557111263046</v>
      </c>
      <c r="G344">
        <f t="shared" si="30"/>
        <v>10.79974004154611</v>
      </c>
      <c r="H344">
        <f t="shared" si="30"/>
        <v>149.68409368578776</v>
      </c>
      <c r="I344">
        <f t="shared" si="30"/>
        <v>10.195774528158916</v>
      </c>
      <c r="J344">
        <f t="shared" si="30"/>
        <v>31.917616455521788</v>
      </c>
      <c r="K344">
        <f t="shared" si="30"/>
        <v>40.510659989280917</v>
      </c>
      <c r="L344">
        <f t="shared" si="29"/>
        <v>675.64863757522232</v>
      </c>
    </row>
    <row r="345" spans="2:12" ht="15" x14ac:dyDescent="0.15">
      <c r="B345" s="38">
        <v>43076</v>
      </c>
      <c r="C345">
        <f t="shared" si="31"/>
        <v>18.959810895578311</v>
      </c>
      <c r="D345">
        <f t="shared" si="30"/>
        <v>26.015487667988214</v>
      </c>
      <c r="E345">
        <f t="shared" si="30"/>
        <v>267.87988319872983</v>
      </c>
      <c r="F345">
        <f t="shared" si="30"/>
        <v>119.68557111263046</v>
      </c>
      <c r="G345">
        <f t="shared" si="30"/>
        <v>10.79974004154611</v>
      </c>
      <c r="H345">
        <f t="shared" si="30"/>
        <v>149.68409368578776</v>
      </c>
      <c r="I345">
        <f t="shared" si="30"/>
        <v>10.195774528158916</v>
      </c>
      <c r="J345">
        <f t="shared" si="30"/>
        <v>31.917616455521788</v>
      </c>
      <c r="K345">
        <f t="shared" si="30"/>
        <v>40.510659989280917</v>
      </c>
      <c r="L345">
        <f t="shared" si="29"/>
        <v>675.64863757522232</v>
      </c>
    </row>
    <row r="346" spans="2:12" ht="15" x14ac:dyDescent="0.15">
      <c r="B346" s="38">
        <v>43077</v>
      </c>
      <c r="C346">
        <f t="shared" si="31"/>
        <v>18.959810895578311</v>
      </c>
      <c r="D346">
        <f t="shared" si="30"/>
        <v>26.015487667988214</v>
      </c>
      <c r="E346">
        <f t="shared" si="30"/>
        <v>267.87988319872983</v>
      </c>
      <c r="F346">
        <f t="shared" si="30"/>
        <v>119.68557111263046</v>
      </c>
      <c r="G346">
        <f t="shared" si="30"/>
        <v>10.79974004154611</v>
      </c>
      <c r="H346">
        <f t="shared" si="30"/>
        <v>149.68409368578776</v>
      </c>
      <c r="I346">
        <f t="shared" si="30"/>
        <v>10.195774528158916</v>
      </c>
      <c r="J346">
        <f t="shared" si="30"/>
        <v>31.917616455521788</v>
      </c>
      <c r="K346">
        <f t="shared" si="30"/>
        <v>40.510659989280917</v>
      </c>
      <c r="L346">
        <f t="shared" si="29"/>
        <v>675.64863757522232</v>
      </c>
    </row>
    <row r="347" spans="2:12" ht="15" x14ac:dyDescent="0.15">
      <c r="B347" s="38">
        <v>43078</v>
      </c>
      <c r="C347">
        <f t="shared" si="31"/>
        <v>18.959810895578311</v>
      </c>
      <c r="D347">
        <f t="shared" si="30"/>
        <v>26.015487667988214</v>
      </c>
      <c r="E347">
        <f t="shared" si="30"/>
        <v>267.87988319872983</v>
      </c>
      <c r="F347">
        <f t="shared" si="30"/>
        <v>119.68557111263046</v>
      </c>
      <c r="G347">
        <f t="shared" si="30"/>
        <v>10.79974004154611</v>
      </c>
      <c r="H347">
        <f t="shared" si="30"/>
        <v>149.68409368578776</v>
      </c>
      <c r="I347">
        <f t="shared" si="30"/>
        <v>10.195774528158916</v>
      </c>
      <c r="J347">
        <f t="shared" si="30"/>
        <v>31.917616455521788</v>
      </c>
      <c r="K347">
        <f t="shared" si="30"/>
        <v>40.510659989280917</v>
      </c>
      <c r="L347">
        <f t="shared" si="29"/>
        <v>675.64863757522232</v>
      </c>
    </row>
    <row r="348" spans="2:12" ht="15" x14ac:dyDescent="0.15">
      <c r="B348" s="38">
        <v>43079</v>
      </c>
      <c r="C348">
        <f t="shared" si="31"/>
        <v>18.959810895578311</v>
      </c>
      <c r="D348">
        <f t="shared" si="30"/>
        <v>26.015487667988214</v>
      </c>
      <c r="E348">
        <f t="shared" si="30"/>
        <v>267.87988319872983</v>
      </c>
      <c r="F348">
        <f t="shared" si="30"/>
        <v>119.68557111263046</v>
      </c>
      <c r="G348">
        <f t="shared" si="30"/>
        <v>10.79974004154611</v>
      </c>
      <c r="H348">
        <f t="shared" si="30"/>
        <v>149.68409368578776</v>
      </c>
      <c r="I348">
        <f t="shared" si="30"/>
        <v>10.195774528158916</v>
      </c>
      <c r="J348">
        <f t="shared" si="30"/>
        <v>31.917616455521788</v>
      </c>
      <c r="K348">
        <f t="shared" si="30"/>
        <v>40.510659989280917</v>
      </c>
      <c r="L348">
        <f t="shared" si="29"/>
        <v>675.64863757522232</v>
      </c>
    </row>
    <row r="349" spans="2:12" ht="15" x14ac:dyDescent="0.15">
      <c r="B349" s="38">
        <v>43080</v>
      </c>
      <c r="C349">
        <f t="shared" si="31"/>
        <v>18.959810895578311</v>
      </c>
      <c r="D349">
        <f t="shared" si="30"/>
        <v>26.015487667988214</v>
      </c>
      <c r="E349">
        <f t="shared" si="30"/>
        <v>267.87988319872983</v>
      </c>
      <c r="F349">
        <f t="shared" si="30"/>
        <v>119.68557111263046</v>
      </c>
      <c r="G349">
        <f t="shared" si="30"/>
        <v>10.79974004154611</v>
      </c>
      <c r="H349">
        <f t="shared" si="30"/>
        <v>149.68409368578776</v>
      </c>
      <c r="I349">
        <f t="shared" si="30"/>
        <v>10.195774528158916</v>
      </c>
      <c r="J349">
        <f t="shared" si="30"/>
        <v>31.917616455521788</v>
      </c>
      <c r="K349">
        <f t="shared" si="30"/>
        <v>40.510659989280917</v>
      </c>
      <c r="L349">
        <f t="shared" si="29"/>
        <v>675.64863757522232</v>
      </c>
    </row>
    <row r="350" spans="2:12" ht="15" x14ac:dyDescent="0.15">
      <c r="B350" s="38">
        <v>43081</v>
      </c>
      <c r="C350">
        <f t="shared" si="31"/>
        <v>18.959810895578311</v>
      </c>
      <c r="D350">
        <f t="shared" si="30"/>
        <v>26.015487667988214</v>
      </c>
      <c r="E350">
        <f t="shared" si="30"/>
        <v>267.87988319872983</v>
      </c>
      <c r="F350">
        <f t="shared" si="30"/>
        <v>119.68557111263046</v>
      </c>
      <c r="G350">
        <f t="shared" si="30"/>
        <v>10.79974004154611</v>
      </c>
      <c r="H350">
        <f t="shared" si="30"/>
        <v>149.68409368578776</v>
      </c>
      <c r="I350">
        <f t="shared" si="30"/>
        <v>10.195774528158916</v>
      </c>
      <c r="J350">
        <f t="shared" si="30"/>
        <v>31.917616455521788</v>
      </c>
      <c r="K350">
        <f t="shared" si="30"/>
        <v>40.510659989280917</v>
      </c>
      <c r="L350">
        <f t="shared" si="29"/>
        <v>675.64863757522232</v>
      </c>
    </row>
    <row r="351" spans="2:12" ht="15" x14ac:dyDescent="0.15">
      <c r="B351" s="38">
        <v>43082</v>
      </c>
      <c r="C351">
        <f t="shared" si="31"/>
        <v>18.959810895578311</v>
      </c>
      <c r="D351">
        <f t="shared" si="30"/>
        <v>26.015487667988214</v>
      </c>
      <c r="E351">
        <f t="shared" si="30"/>
        <v>267.87988319872983</v>
      </c>
      <c r="F351">
        <f t="shared" si="30"/>
        <v>119.68557111263046</v>
      </c>
      <c r="G351">
        <f t="shared" si="30"/>
        <v>10.79974004154611</v>
      </c>
      <c r="H351">
        <f t="shared" si="30"/>
        <v>149.68409368578776</v>
      </c>
      <c r="I351">
        <f t="shared" si="30"/>
        <v>10.195774528158916</v>
      </c>
      <c r="J351">
        <f t="shared" si="30"/>
        <v>31.917616455521788</v>
      </c>
      <c r="K351">
        <f t="shared" si="30"/>
        <v>40.510659989280917</v>
      </c>
      <c r="L351">
        <f t="shared" si="29"/>
        <v>675.64863757522232</v>
      </c>
    </row>
    <row r="352" spans="2:12" ht="15" x14ac:dyDescent="0.15">
      <c r="B352" s="38">
        <v>43083</v>
      </c>
      <c r="C352">
        <f t="shared" si="31"/>
        <v>18.959810895578311</v>
      </c>
      <c r="D352">
        <f t="shared" si="30"/>
        <v>26.015487667988214</v>
      </c>
      <c r="E352">
        <f t="shared" si="30"/>
        <v>267.87988319872983</v>
      </c>
      <c r="F352">
        <f t="shared" si="30"/>
        <v>119.68557111263046</v>
      </c>
      <c r="G352">
        <f t="shared" si="30"/>
        <v>10.79974004154611</v>
      </c>
      <c r="H352">
        <f t="shared" si="30"/>
        <v>149.68409368578776</v>
      </c>
      <c r="I352">
        <f t="shared" si="30"/>
        <v>10.195774528158916</v>
      </c>
      <c r="J352">
        <f t="shared" si="30"/>
        <v>31.917616455521788</v>
      </c>
      <c r="K352">
        <f t="shared" si="30"/>
        <v>40.510659989280917</v>
      </c>
      <c r="L352">
        <f t="shared" si="29"/>
        <v>675.64863757522232</v>
      </c>
    </row>
    <row r="353" spans="2:12" ht="15" x14ac:dyDescent="0.15">
      <c r="B353" s="38">
        <v>43084</v>
      </c>
      <c r="C353">
        <f t="shared" si="31"/>
        <v>18.959810895578311</v>
      </c>
      <c r="D353">
        <f t="shared" si="30"/>
        <v>26.015487667988214</v>
      </c>
      <c r="E353">
        <f t="shared" si="30"/>
        <v>267.87988319872983</v>
      </c>
      <c r="F353">
        <f t="shared" si="30"/>
        <v>119.68557111263046</v>
      </c>
      <c r="G353">
        <f t="shared" si="30"/>
        <v>10.79974004154611</v>
      </c>
      <c r="H353">
        <f t="shared" si="30"/>
        <v>149.68409368578776</v>
      </c>
      <c r="I353">
        <f t="shared" si="30"/>
        <v>10.195774528158916</v>
      </c>
      <c r="J353">
        <f t="shared" si="30"/>
        <v>31.917616455521788</v>
      </c>
      <c r="K353">
        <f t="shared" si="30"/>
        <v>40.510659989280917</v>
      </c>
      <c r="L353">
        <f t="shared" si="29"/>
        <v>675.64863757522232</v>
      </c>
    </row>
    <row r="354" spans="2:12" ht="15" x14ac:dyDescent="0.15">
      <c r="B354" s="38">
        <v>43085</v>
      </c>
      <c r="C354">
        <f t="shared" si="31"/>
        <v>18.959810895578311</v>
      </c>
      <c r="D354">
        <f t="shared" si="30"/>
        <v>26.015487667988214</v>
      </c>
      <c r="E354">
        <f t="shared" si="30"/>
        <v>267.87988319872983</v>
      </c>
      <c r="F354">
        <f t="shared" si="30"/>
        <v>119.68557111263046</v>
      </c>
      <c r="G354">
        <f t="shared" si="30"/>
        <v>10.79974004154611</v>
      </c>
      <c r="H354">
        <f t="shared" si="30"/>
        <v>149.68409368578776</v>
      </c>
      <c r="I354">
        <f t="shared" si="30"/>
        <v>10.195774528158916</v>
      </c>
      <c r="J354">
        <f t="shared" si="30"/>
        <v>31.917616455521788</v>
      </c>
      <c r="K354">
        <f t="shared" si="30"/>
        <v>40.510659989280917</v>
      </c>
      <c r="L354">
        <f t="shared" si="29"/>
        <v>675.64863757522232</v>
      </c>
    </row>
    <row r="355" spans="2:12" ht="15" x14ac:dyDescent="0.15">
      <c r="B355" s="38">
        <v>43086</v>
      </c>
      <c r="C355">
        <f t="shared" si="31"/>
        <v>18.959810895578311</v>
      </c>
      <c r="D355">
        <f t="shared" si="31"/>
        <v>26.015487667988214</v>
      </c>
      <c r="E355">
        <f t="shared" si="31"/>
        <v>267.87988319872983</v>
      </c>
      <c r="F355">
        <f t="shared" si="31"/>
        <v>119.68557111263046</v>
      </c>
      <c r="G355">
        <f t="shared" si="31"/>
        <v>10.79974004154611</v>
      </c>
      <c r="H355">
        <f t="shared" si="31"/>
        <v>149.68409368578776</v>
      </c>
      <c r="I355">
        <f t="shared" si="31"/>
        <v>10.195774528158916</v>
      </c>
      <c r="J355">
        <f t="shared" si="31"/>
        <v>31.917616455521788</v>
      </c>
      <c r="K355">
        <f t="shared" si="31"/>
        <v>40.510659989280917</v>
      </c>
      <c r="L355">
        <f t="shared" si="29"/>
        <v>675.64863757522232</v>
      </c>
    </row>
    <row r="356" spans="2:12" ht="15" x14ac:dyDescent="0.15">
      <c r="B356" s="38">
        <v>43087</v>
      </c>
      <c r="C356">
        <f t="shared" si="31"/>
        <v>18.959810895578311</v>
      </c>
      <c r="D356">
        <f t="shared" si="31"/>
        <v>26.015487667988214</v>
      </c>
      <c r="E356">
        <f t="shared" si="31"/>
        <v>267.87988319872983</v>
      </c>
      <c r="F356">
        <f t="shared" si="31"/>
        <v>119.68557111263046</v>
      </c>
      <c r="G356">
        <f t="shared" si="31"/>
        <v>10.79974004154611</v>
      </c>
      <c r="H356">
        <f t="shared" si="31"/>
        <v>149.68409368578776</v>
      </c>
      <c r="I356">
        <f t="shared" si="31"/>
        <v>10.195774528158916</v>
      </c>
      <c r="J356">
        <f t="shared" si="31"/>
        <v>31.917616455521788</v>
      </c>
      <c r="K356">
        <f t="shared" si="31"/>
        <v>40.510659989280917</v>
      </c>
      <c r="L356">
        <f t="shared" si="29"/>
        <v>675.64863757522232</v>
      </c>
    </row>
    <row r="357" spans="2:12" ht="15" x14ac:dyDescent="0.15">
      <c r="B357" s="38">
        <v>43088</v>
      </c>
      <c r="C357">
        <f t="shared" si="31"/>
        <v>18.959810895578311</v>
      </c>
      <c r="D357">
        <f t="shared" si="31"/>
        <v>26.015487667988214</v>
      </c>
      <c r="E357">
        <f t="shared" si="31"/>
        <v>267.87988319872983</v>
      </c>
      <c r="F357">
        <f t="shared" si="31"/>
        <v>119.68557111263046</v>
      </c>
      <c r="G357">
        <f t="shared" si="31"/>
        <v>10.79974004154611</v>
      </c>
      <c r="H357">
        <f t="shared" si="31"/>
        <v>149.68409368578776</v>
      </c>
      <c r="I357">
        <f t="shared" si="31"/>
        <v>10.195774528158916</v>
      </c>
      <c r="J357">
        <f t="shared" si="31"/>
        <v>31.917616455521788</v>
      </c>
      <c r="K357">
        <f t="shared" si="31"/>
        <v>40.510659989280917</v>
      </c>
      <c r="L357">
        <f t="shared" si="29"/>
        <v>675.64863757522232</v>
      </c>
    </row>
    <row r="358" spans="2:12" ht="15" x14ac:dyDescent="0.15">
      <c r="B358" s="38">
        <v>43089</v>
      </c>
      <c r="C358">
        <f t="shared" si="31"/>
        <v>18.959810895578311</v>
      </c>
      <c r="D358">
        <f t="shared" si="31"/>
        <v>26.015487667988214</v>
      </c>
      <c r="E358">
        <f t="shared" si="31"/>
        <v>267.87988319872983</v>
      </c>
      <c r="F358">
        <f t="shared" si="31"/>
        <v>119.68557111263046</v>
      </c>
      <c r="G358">
        <f t="shared" si="31"/>
        <v>10.79974004154611</v>
      </c>
      <c r="H358">
        <f t="shared" si="31"/>
        <v>149.68409368578776</v>
      </c>
      <c r="I358">
        <f t="shared" si="31"/>
        <v>10.195774528158916</v>
      </c>
      <c r="J358">
        <f t="shared" si="31"/>
        <v>31.917616455521788</v>
      </c>
      <c r="K358">
        <f t="shared" si="31"/>
        <v>40.510659989280917</v>
      </c>
      <c r="L358">
        <f t="shared" si="29"/>
        <v>675.64863757522232</v>
      </c>
    </row>
    <row r="359" spans="2:12" ht="15" x14ac:dyDescent="0.15">
      <c r="B359" s="38">
        <v>43090</v>
      </c>
      <c r="C359">
        <f t="shared" si="31"/>
        <v>18.959810895578311</v>
      </c>
      <c r="D359">
        <f t="shared" si="31"/>
        <v>26.015487667988214</v>
      </c>
      <c r="E359">
        <f t="shared" si="31"/>
        <v>267.87988319872983</v>
      </c>
      <c r="F359">
        <f t="shared" si="31"/>
        <v>119.68557111263046</v>
      </c>
      <c r="G359">
        <f t="shared" si="31"/>
        <v>10.79974004154611</v>
      </c>
      <c r="H359">
        <f t="shared" si="31"/>
        <v>149.68409368578776</v>
      </c>
      <c r="I359">
        <f t="shared" si="31"/>
        <v>10.195774528158916</v>
      </c>
      <c r="J359">
        <f t="shared" si="31"/>
        <v>31.917616455521788</v>
      </c>
      <c r="K359">
        <f t="shared" si="31"/>
        <v>40.510659989280917</v>
      </c>
      <c r="L359">
        <f t="shared" si="29"/>
        <v>675.64863757522232</v>
      </c>
    </row>
    <row r="360" spans="2:12" ht="15" x14ac:dyDescent="0.15">
      <c r="B360" s="38">
        <v>43091</v>
      </c>
      <c r="C360">
        <f t="shared" si="31"/>
        <v>18.959810895578311</v>
      </c>
      <c r="D360">
        <f t="shared" si="31"/>
        <v>26.015487667988214</v>
      </c>
      <c r="E360">
        <f t="shared" si="31"/>
        <v>267.87988319872983</v>
      </c>
      <c r="F360">
        <f t="shared" si="31"/>
        <v>119.68557111263046</v>
      </c>
      <c r="G360">
        <f t="shared" si="31"/>
        <v>10.79974004154611</v>
      </c>
      <c r="H360">
        <f t="shared" si="31"/>
        <v>149.68409368578776</v>
      </c>
      <c r="I360">
        <f t="shared" si="31"/>
        <v>10.195774528158916</v>
      </c>
      <c r="J360">
        <f t="shared" si="31"/>
        <v>31.917616455521788</v>
      </c>
      <c r="K360">
        <f t="shared" si="31"/>
        <v>40.510659989280917</v>
      </c>
      <c r="L360">
        <f t="shared" si="29"/>
        <v>675.64863757522232</v>
      </c>
    </row>
    <row r="361" spans="2:12" ht="15" x14ac:dyDescent="0.15">
      <c r="B361" s="38">
        <v>43092</v>
      </c>
      <c r="C361">
        <f t="shared" si="31"/>
        <v>18.959810895578311</v>
      </c>
      <c r="D361">
        <f t="shared" si="31"/>
        <v>26.015487667988214</v>
      </c>
      <c r="E361">
        <f t="shared" si="31"/>
        <v>267.87988319872983</v>
      </c>
      <c r="F361">
        <f t="shared" si="31"/>
        <v>119.68557111263046</v>
      </c>
      <c r="G361">
        <f t="shared" si="31"/>
        <v>10.79974004154611</v>
      </c>
      <c r="H361">
        <f t="shared" si="31"/>
        <v>149.68409368578776</v>
      </c>
      <c r="I361">
        <f t="shared" si="31"/>
        <v>10.195774528158916</v>
      </c>
      <c r="J361">
        <f t="shared" si="31"/>
        <v>31.917616455521788</v>
      </c>
      <c r="K361">
        <f t="shared" si="31"/>
        <v>40.510659989280917</v>
      </c>
      <c r="L361">
        <f t="shared" si="29"/>
        <v>675.64863757522232</v>
      </c>
    </row>
    <row r="362" spans="2:12" ht="15" x14ac:dyDescent="0.15">
      <c r="B362" s="38">
        <v>43093</v>
      </c>
      <c r="C362">
        <f t="shared" si="31"/>
        <v>18.959810895578311</v>
      </c>
      <c r="D362">
        <f t="shared" si="31"/>
        <v>26.015487667988214</v>
      </c>
      <c r="E362">
        <f t="shared" si="31"/>
        <v>267.87988319872983</v>
      </c>
      <c r="F362">
        <f t="shared" si="31"/>
        <v>119.68557111263046</v>
      </c>
      <c r="G362">
        <f t="shared" si="31"/>
        <v>10.79974004154611</v>
      </c>
      <c r="H362">
        <f t="shared" si="31"/>
        <v>149.68409368578776</v>
      </c>
      <c r="I362">
        <f t="shared" si="31"/>
        <v>10.195774528158916</v>
      </c>
      <c r="J362">
        <f t="shared" si="31"/>
        <v>31.917616455521788</v>
      </c>
      <c r="K362">
        <f t="shared" si="31"/>
        <v>40.510659989280917</v>
      </c>
      <c r="L362">
        <f t="shared" si="29"/>
        <v>675.64863757522232</v>
      </c>
    </row>
    <row r="363" spans="2:12" ht="15" x14ac:dyDescent="0.15">
      <c r="B363" s="38">
        <v>43094</v>
      </c>
      <c r="C363">
        <f t="shared" si="31"/>
        <v>18.959810895578311</v>
      </c>
      <c r="D363">
        <f t="shared" si="31"/>
        <v>26.015487667988214</v>
      </c>
      <c r="E363">
        <f t="shared" si="31"/>
        <v>267.87988319872983</v>
      </c>
      <c r="F363">
        <f t="shared" si="31"/>
        <v>119.68557111263046</v>
      </c>
      <c r="G363">
        <f t="shared" si="31"/>
        <v>10.79974004154611</v>
      </c>
      <c r="H363">
        <f t="shared" si="31"/>
        <v>149.68409368578776</v>
      </c>
      <c r="I363">
        <f t="shared" si="31"/>
        <v>10.195774528158916</v>
      </c>
      <c r="J363">
        <f t="shared" si="31"/>
        <v>31.917616455521788</v>
      </c>
      <c r="K363">
        <f t="shared" si="31"/>
        <v>40.510659989280917</v>
      </c>
      <c r="L363">
        <f t="shared" si="29"/>
        <v>675.64863757522232</v>
      </c>
    </row>
    <row r="364" spans="2:12" ht="15" x14ac:dyDescent="0.15">
      <c r="B364" s="38">
        <v>43095</v>
      </c>
      <c r="C364">
        <f t="shared" si="31"/>
        <v>18.959810895578311</v>
      </c>
      <c r="D364">
        <f t="shared" si="31"/>
        <v>26.015487667988214</v>
      </c>
      <c r="E364">
        <f t="shared" si="31"/>
        <v>267.87988319872983</v>
      </c>
      <c r="F364">
        <f t="shared" si="31"/>
        <v>119.68557111263046</v>
      </c>
      <c r="G364">
        <f t="shared" si="31"/>
        <v>10.79974004154611</v>
      </c>
      <c r="H364">
        <f t="shared" si="31"/>
        <v>149.68409368578776</v>
      </c>
      <c r="I364">
        <f t="shared" si="31"/>
        <v>10.195774528158916</v>
      </c>
      <c r="J364">
        <f t="shared" si="31"/>
        <v>31.917616455521788</v>
      </c>
      <c r="K364">
        <f t="shared" si="31"/>
        <v>40.510659989280917</v>
      </c>
      <c r="L364">
        <f t="shared" si="29"/>
        <v>675.64863757522232</v>
      </c>
    </row>
    <row r="365" spans="2:12" ht="15" x14ac:dyDescent="0.15">
      <c r="B365" s="38">
        <v>43096</v>
      </c>
      <c r="C365">
        <f t="shared" si="31"/>
        <v>18.959810895578311</v>
      </c>
      <c r="D365">
        <f t="shared" si="31"/>
        <v>26.015487667988214</v>
      </c>
      <c r="E365">
        <f t="shared" si="31"/>
        <v>267.87988319872983</v>
      </c>
      <c r="F365">
        <f t="shared" si="31"/>
        <v>119.68557111263046</v>
      </c>
      <c r="G365">
        <f t="shared" si="31"/>
        <v>10.79974004154611</v>
      </c>
      <c r="H365">
        <f t="shared" si="31"/>
        <v>149.68409368578776</v>
      </c>
      <c r="I365">
        <f t="shared" si="31"/>
        <v>10.195774528158916</v>
      </c>
      <c r="J365">
        <f t="shared" si="31"/>
        <v>31.917616455521788</v>
      </c>
      <c r="K365">
        <f t="shared" si="31"/>
        <v>40.510659989280917</v>
      </c>
      <c r="L365">
        <f t="shared" si="29"/>
        <v>675.64863757522232</v>
      </c>
    </row>
    <row r="366" spans="2:12" ht="15" x14ac:dyDescent="0.15">
      <c r="B366" s="38">
        <v>43097</v>
      </c>
      <c r="C366">
        <f t="shared" si="31"/>
        <v>18.959810895578311</v>
      </c>
      <c r="D366">
        <f t="shared" si="31"/>
        <v>26.015487667988214</v>
      </c>
      <c r="E366">
        <f t="shared" si="31"/>
        <v>267.87988319872983</v>
      </c>
      <c r="F366">
        <f t="shared" si="31"/>
        <v>119.68557111263046</v>
      </c>
      <c r="G366">
        <f t="shared" si="31"/>
        <v>10.79974004154611</v>
      </c>
      <c r="H366">
        <f t="shared" si="31"/>
        <v>149.68409368578776</v>
      </c>
      <c r="I366">
        <f t="shared" si="31"/>
        <v>10.195774528158916</v>
      </c>
      <c r="J366">
        <f t="shared" si="31"/>
        <v>31.917616455521788</v>
      </c>
      <c r="K366">
        <f t="shared" si="31"/>
        <v>40.510659989280917</v>
      </c>
      <c r="L366">
        <f t="shared" si="29"/>
        <v>675.64863757522232</v>
      </c>
    </row>
    <row r="367" spans="2:12" ht="15" x14ac:dyDescent="0.15">
      <c r="B367" s="38">
        <v>43098</v>
      </c>
      <c r="C367">
        <f t="shared" si="31"/>
        <v>18.959810895578311</v>
      </c>
      <c r="D367">
        <f t="shared" si="31"/>
        <v>26.015487667988214</v>
      </c>
      <c r="E367">
        <f t="shared" si="31"/>
        <v>267.87988319872983</v>
      </c>
      <c r="F367">
        <f t="shared" si="31"/>
        <v>119.68557111263046</v>
      </c>
      <c r="G367">
        <f t="shared" si="31"/>
        <v>10.79974004154611</v>
      </c>
      <c r="H367">
        <f t="shared" si="31"/>
        <v>149.68409368578776</v>
      </c>
      <c r="I367">
        <f t="shared" si="31"/>
        <v>10.195774528158916</v>
      </c>
      <c r="J367">
        <f t="shared" si="31"/>
        <v>31.917616455521788</v>
      </c>
      <c r="K367">
        <f t="shared" si="31"/>
        <v>40.510659989280917</v>
      </c>
      <c r="L367">
        <f t="shared" si="29"/>
        <v>675.64863757522232</v>
      </c>
    </row>
    <row r="368" spans="2:12" ht="15" x14ac:dyDescent="0.15">
      <c r="B368" s="38">
        <v>43099</v>
      </c>
      <c r="C368">
        <f t="shared" si="31"/>
        <v>18.959810895578311</v>
      </c>
      <c r="D368">
        <f t="shared" si="31"/>
        <v>26.015487667988214</v>
      </c>
      <c r="E368">
        <f t="shared" si="31"/>
        <v>267.87988319872983</v>
      </c>
      <c r="F368">
        <f t="shared" si="31"/>
        <v>119.68557111263046</v>
      </c>
      <c r="G368">
        <f t="shared" si="31"/>
        <v>10.79974004154611</v>
      </c>
      <c r="H368">
        <f t="shared" si="31"/>
        <v>149.68409368578776</v>
      </c>
      <c r="I368">
        <f t="shared" si="31"/>
        <v>10.195774528158916</v>
      </c>
      <c r="J368">
        <f t="shared" si="31"/>
        <v>31.917616455521788</v>
      </c>
      <c r="K368">
        <f t="shared" si="31"/>
        <v>40.510659989280917</v>
      </c>
      <c r="L368">
        <f t="shared" si="29"/>
        <v>675.64863757522232</v>
      </c>
    </row>
    <row r="369" spans="2:12" ht="15" x14ac:dyDescent="0.15">
      <c r="B369" s="38">
        <v>43100</v>
      </c>
      <c r="C369">
        <f t="shared" si="31"/>
        <v>18.959810895578311</v>
      </c>
      <c r="D369">
        <f t="shared" si="31"/>
        <v>26.015487667988214</v>
      </c>
      <c r="E369">
        <f t="shared" si="31"/>
        <v>267.87988319872983</v>
      </c>
      <c r="F369">
        <f t="shared" si="31"/>
        <v>119.68557111263046</v>
      </c>
      <c r="G369">
        <f t="shared" si="31"/>
        <v>10.79974004154611</v>
      </c>
      <c r="H369">
        <f t="shared" si="31"/>
        <v>149.68409368578776</v>
      </c>
      <c r="I369">
        <f t="shared" si="31"/>
        <v>10.195774528158916</v>
      </c>
      <c r="J369">
        <f t="shared" si="31"/>
        <v>31.917616455521788</v>
      </c>
      <c r="K369">
        <f t="shared" si="31"/>
        <v>40.510659989280917</v>
      </c>
      <c r="L369">
        <f t="shared" si="29"/>
        <v>675.64863757522232</v>
      </c>
    </row>
  </sheetData>
  <phoneticPr fontId="1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7"/>
  <sheetViews>
    <sheetView workbookViewId="0">
      <selection activeCell="F5" sqref="F5"/>
    </sheetView>
  </sheetViews>
  <sheetFormatPr defaultRowHeight="13.5" x14ac:dyDescent="0.15"/>
  <sheetData>
    <row r="1" spans="1:14" x14ac:dyDescent="0.15">
      <c r="A1" t="s">
        <v>132</v>
      </c>
      <c r="B1" t="s">
        <v>88</v>
      </c>
      <c r="C1" t="s">
        <v>89</v>
      </c>
      <c r="D1" t="s">
        <v>133</v>
      </c>
      <c r="E1" t="s">
        <v>133</v>
      </c>
      <c r="F1" t="s">
        <v>133</v>
      </c>
      <c r="G1" t="s">
        <v>133</v>
      </c>
      <c r="H1" t="s">
        <v>91</v>
      </c>
      <c r="I1" t="s">
        <v>92</v>
      </c>
      <c r="J1" t="s">
        <v>93</v>
      </c>
      <c r="K1" t="s">
        <v>93</v>
      </c>
      <c r="L1" t="s">
        <v>94</v>
      </c>
      <c r="M1" t="s">
        <v>95</v>
      </c>
      <c r="N1" t="s">
        <v>134</v>
      </c>
    </row>
    <row r="2" spans="1:14" ht="15" x14ac:dyDescent="0.15">
      <c r="B2" s="3">
        <v>6</v>
      </c>
      <c r="C2" s="3">
        <v>47</v>
      </c>
      <c r="D2" s="3">
        <v>73</v>
      </c>
      <c r="E2" s="3">
        <v>74</v>
      </c>
      <c r="F2" s="3">
        <v>83</v>
      </c>
      <c r="G2" s="3">
        <v>99</v>
      </c>
      <c r="H2" s="3">
        <v>176</v>
      </c>
      <c r="I2" s="3">
        <v>207</v>
      </c>
      <c r="J2" s="3">
        <v>226</v>
      </c>
      <c r="K2" s="3">
        <v>227</v>
      </c>
      <c r="L2" s="3">
        <v>273</v>
      </c>
      <c r="M2" s="3">
        <v>279</v>
      </c>
      <c r="N2" s="3">
        <v>325</v>
      </c>
    </row>
    <row r="3" spans="1:14" ht="15" x14ac:dyDescent="0.15">
      <c r="A3" s="38">
        <v>42736</v>
      </c>
      <c r="B3" s="56">
        <v>373.74400000000003</v>
      </c>
      <c r="G3" s="56">
        <v>373.74400000000003</v>
      </c>
      <c r="I3" s="56">
        <v>373.74400000000003</v>
      </c>
      <c r="M3" s="56">
        <v>373.74400000000003</v>
      </c>
    </row>
    <row r="4" spans="1:14" ht="15" x14ac:dyDescent="0.15">
      <c r="A4" s="38">
        <v>42737</v>
      </c>
      <c r="C4" s="56">
        <v>373.74400000000003</v>
      </c>
      <c r="E4" s="56">
        <v>373.74400000000003</v>
      </c>
      <c r="J4" s="56">
        <v>373.74400000000003</v>
      </c>
      <c r="N4" s="56">
        <v>373.74400000000003</v>
      </c>
    </row>
    <row r="5" spans="1:14" ht="15" x14ac:dyDescent="0.15">
      <c r="A5" s="38">
        <v>42738</v>
      </c>
      <c r="D5" s="56">
        <v>373.74400000000003</v>
      </c>
      <c r="E5" s="57"/>
      <c r="F5" s="57"/>
      <c r="L5" s="56">
        <v>373.74400000000003</v>
      </c>
    </row>
    <row r="6" spans="1:14" ht="15" x14ac:dyDescent="0.15">
      <c r="A6" s="38">
        <v>42739</v>
      </c>
      <c r="F6" s="56">
        <v>373.74400000000003</v>
      </c>
      <c r="H6" s="56">
        <v>373.74400000000003</v>
      </c>
      <c r="K6" s="56">
        <v>373.74400000000003</v>
      </c>
    </row>
    <row r="7" spans="1:14" ht="15" x14ac:dyDescent="0.15">
      <c r="A7" s="38">
        <v>42740</v>
      </c>
      <c r="B7" s="56">
        <v>373.74400000000003</v>
      </c>
      <c r="G7" s="56">
        <v>373.74400000000003</v>
      </c>
      <c r="I7" s="56">
        <v>373.74400000000003</v>
      </c>
      <c r="M7" s="56">
        <v>373.74400000000003</v>
      </c>
    </row>
    <row r="8" spans="1:14" ht="15" x14ac:dyDescent="0.15">
      <c r="A8" s="38">
        <v>42741</v>
      </c>
      <c r="C8" s="56">
        <v>373.74400000000003</v>
      </c>
      <c r="E8" s="56">
        <v>374.74400000000003</v>
      </c>
      <c r="J8" s="56">
        <v>373.74400000000003</v>
      </c>
      <c r="N8" s="56">
        <v>373.74400000000003</v>
      </c>
    </row>
    <row r="9" spans="1:14" ht="15" x14ac:dyDescent="0.15">
      <c r="A9" s="38">
        <v>42742</v>
      </c>
      <c r="D9" s="56">
        <v>373.74400000000003</v>
      </c>
      <c r="E9" s="57"/>
      <c r="F9" s="57"/>
      <c r="L9" s="56">
        <v>373.74400000000003</v>
      </c>
    </row>
    <row r="10" spans="1:14" ht="15" x14ac:dyDescent="0.15">
      <c r="A10" s="38">
        <v>42743</v>
      </c>
      <c r="F10" s="56">
        <v>374.74400000000003</v>
      </c>
      <c r="H10" s="56">
        <v>373.74400000000003</v>
      </c>
      <c r="K10" s="56">
        <v>373.74400000000003</v>
      </c>
    </row>
    <row r="11" spans="1:14" ht="15" x14ac:dyDescent="0.15">
      <c r="A11" s="38">
        <v>42744</v>
      </c>
      <c r="B11" s="56">
        <v>373.74400000000003</v>
      </c>
      <c r="G11" s="56">
        <v>373.74400000000003</v>
      </c>
      <c r="I11" s="56">
        <v>373.74400000000003</v>
      </c>
      <c r="M11" s="56">
        <v>373.74400000000003</v>
      </c>
    </row>
    <row r="12" spans="1:14" ht="15" x14ac:dyDescent="0.15">
      <c r="A12" s="38">
        <v>42745</v>
      </c>
      <c r="C12" s="56">
        <v>373.74400000000003</v>
      </c>
      <c r="E12" s="56">
        <v>374.74400000000003</v>
      </c>
      <c r="J12" s="56">
        <v>373.74400000000003</v>
      </c>
      <c r="N12" s="56">
        <v>373.74400000000003</v>
      </c>
    </row>
    <row r="13" spans="1:14" ht="15" x14ac:dyDescent="0.15">
      <c r="A13" s="38">
        <v>42746</v>
      </c>
      <c r="D13" s="56">
        <v>373.74400000000003</v>
      </c>
      <c r="E13" s="57"/>
      <c r="F13" s="57"/>
      <c r="L13" s="56">
        <v>373.74400000000003</v>
      </c>
    </row>
    <row r="14" spans="1:14" ht="15" x14ac:dyDescent="0.15">
      <c r="A14" s="38">
        <v>42747</v>
      </c>
      <c r="F14" s="56">
        <v>374.74400000000003</v>
      </c>
      <c r="H14" s="56">
        <v>373.74400000000003</v>
      </c>
      <c r="K14" s="56">
        <v>373.74400000000003</v>
      </c>
    </row>
    <row r="15" spans="1:14" ht="15" x14ac:dyDescent="0.15">
      <c r="A15" s="38">
        <v>42748</v>
      </c>
      <c r="B15" s="56">
        <v>373.74400000000003</v>
      </c>
      <c r="G15" s="56">
        <v>373.74400000000003</v>
      </c>
      <c r="I15" s="56">
        <v>373.74400000000003</v>
      </c>
      <c r="M15" s="56">
        <v>373.74400000000003</v>
      </c>
    </row>
    <row r="16" spans="1:14" ht="15" x14ac:dyDescent="0.15">
      <c r="A16" s="38">
        <v>42749</v>
      </c>
      <c r="C16" s="56">
        <v>373.74400000000003</v>
      </c>
      <c r="E16" s="56">
        <v>374.74400000000003</v>
      </c>
      <c r="J16" s="56">
        <v>373.74400000000003</v>
      </c>
      <c r="N16" s="56">
        <v>373.74400000000003</v>
      </c>
    </row>
    <row r="17" spans="1:14" ht="15" x14ac:dyDescent="0.15">
      <c r="A17" s="38">
        <v>42750</v>
      </c>
      <c r="D17" s="56">
        <v>373.74400000000003</v>
      </c>
      <c r="E17" s="57"/>
      <c r="F17" s="57"/>
      <c r="L17" s="56">
        <v>373.74400000000003</v>
      </c>
    </row>
    <row r="18" spans="1:14" ht="15" x14ac:dyDescent="0.15">
      <c r="A18" s="38">
        <v>42751</v>
      </c>
      <c r="F18" s="56">
        <v>374.74400000000003</v>
      </c>
      <c r="H18" s="56">
        <v>373.74400000000003</v>
      </c>
      <c r="K18" s="56">
        <v>373.74400000000003</v>
      </c>
    </row>
    <row r="19" spans="1:14" ht="15" x14ac:dyDescent="0.15">
      <c r="A19" s="38">
        <v>42752</v>
      </c>
      <c r="B19" s="56">
        <v>373.74400000000003</v>
      </c>
      <c r="G19" s="56">
        <v>373.74400000000003</v>
      </c>
      <c r="I19" s="56">
        <v>373.74400000000003</v>
      </c>
      <c r="M19" s="56">
        <v>373.74400000000003</v>
      </c>
    </row>
    <row r="20" spans="1:14" ht="15" x14ac:dyDescent="0.15">
      <c r="A20" s="38">
        <v>42753</v>
      </c>
      <c r="C20" s="56">
        <v>373.74400000000003</v>
      </c>
      <c r="E20" s="56">
        <v>374.74400000000003</v>
      </c>
      <c r="J20" s="56">
        <v>373.74400000000003</v>
      </c>
      <c r="N20" s="56">
        <v>373.74400000000003</v>
      </c>
    </row>
    <row r="21" spans="1:14" ht="15" x14ac:dyDescent="0.15">
      <c r="A21" s="38">
        <v>42754</v>
      </c>
      <c r="D21" s="56">
        <v>373.74400000000003</v>
      </c>
      <c r="E21" s="57"/>
      <c r="F21" s="57"/>
      <c r="L21" s="56">
        <v>373.74400000000003</v>
      </c>
    </row>
    <row r="22" spans="1:14" ht="15" x14ac:dyDescent="0.15">
      <c r="A22" s="38">
        <v>42755</v>
      </c>
      <c r="F22" s="56">
        <v>374.74400000000003</v>
      </c>
      <c r="H22" s="56">
        <v>373.74400000000003</v>
      </c>
      <c r="K22" s="56">
        <v>373.74400000000003</v>
      </c>
    </row>
    <row r="23" spans="1:14" ht="15" x14ac:dyDescent="0.15">
      <c r="A23" s="38">
        <v>42756</v>
      </c>
      <c r="B23" s="56">
        <v>373.74400000000003</v>
      </c>
      <c r="G23" s="56">
        <v>373.74400000000003</v>
      </c>
      <c r="I23" s="56">
        <v>373.74400000000003</v>
      </c>
      <c r="M23" s="56">
        <v>373.74400000000003</v>
      </c>
    </row>
    <row r="24" spans="1:14" ht="15" x14ac:dyDescent="0.15">
      <c r="A24" s="38">
        <v>42757</v>
      </c>
      <c r="C24" s="56">
        <v>373.74400000000003</v>
      </c>
      <c r="E24" s="56">
        <v>374.74400000000003</v>
      </c>
      <c r="J24" s="56">
        <v>373.74400000000003</v>
      </c>
      <c r="N24" s="56">
        <v>373.74400000000003</v>
      </c>
    </row>
    <row r="25" spans="1:14" ht="15" x14ac:dyDescent="0.15">
      <c r="A25" s="38">
        <v>42758</v>
      </c>
      <c r="D25" s="56">
        <v>373.74400000000003</v>
      </c>
      <c r="E25" s="57"/>
      <c r="F25" s="57"/>
      <c r="L25" s="56">
        <v>373.74400000000003</v>
      </c>
    </row>
    <row r="26" spans="1:14" ht="15" x14ac:dyDescent="0.15">
      <c r="A26" s="38">
        <v>42759</v>
      </c>
      <c r="F26" s="56">
        <v>374.74400000000003</v>
      </c>
      <c r="H26" s="56">
        <v>373.74400000000003</v>
      </c>
      <c r="K26" s="56">
        <v>373.74400000000003</v>
      </c>
    </row>
    <row r="27" spans="1:14" ht="15" x14ac:dyDescent="0.15">
      <c r="A27" s="38">
        <v>42760</v>
      </c>
      <c r="B27" s="56">
        <v>373.74400000000003</v>
      </c>
      <c r="G27" s="56">
        <v>373.74400000000003</v>
      </c>
      <c r="I27" s="56">
        <v>373.74400000000003</v>
      </c>
      <c r="M27" s="56">
        <v>373.74400000000003</v>
      </c>
    </row>
    <row r="28" spans="1:14" ht="15" x14ac:dyDescent="0.15">
      <c r="A28" s="38">
        <v>42761</v>
      </c>
      <c r="C28" s="56">
        <v>373.74400000000003</v>
      </c>
      <c r="E28" s="56">
        <v>374.74400000000003</v>
      </c>
      <c r="J28" s="56">
        <v>373.74400000000003</v>
      </c>
      <c r="N28" s="56">
        <v>373.74400000000003</v>
      </c>
    </row>
    <row r="29" spans="1:14" ht="15" x14ac:dyDescent="0.15">
      <c r="A29" s="38">
        <v>42762</v>
      </c>
      <c r="D29" s="56">
        <v>373.74400000000003</v>
      </c>
      <c r="E29" s="57"/>
      <c r="F29" s="57"/>
      <c r="L29" s="56">
        <v>373.74400000000003</v>
      </c>
    </row>
    <row r="30" spans="1:14" ht="15" x14ac:dyDescent="0.15">
      <c r="A30" s="38">
        <v>42763</v>
      </c>
      <c r="F30" s="56">
        <v>374.74400000000003</v>
      </c>
      <c r="H30" s="56">
        <v>373.74400000000003</v>
      </c>
      <c r="K30" s="56">
        <v>373.74400000000003</v>
      </c>
    </row>
    <row r="31" spans="1:14" ht="15" x14ac:dyDescent="0.15">
      <c r="A31" s="38">
        <v>42764</v>
      </c>
      <c r="B31" s="56">
        <v>373.74400000000003</v>
      </c>
      <c r="G31" s="56">
        <v>373.74400000000003</v>
      </c>
      <c r="I31" s="56">
        <v>373.74400000000003</v>
      </c>
      <c r="M31" s="56">
        <v>373.74400000000003</v>
      </c>
    </row>
    <row r="32" spans="1:14" ht="15" x14ac:dyDescent="0.15">
      <c r="A32" s="38">
        <v>42765</v>
      </c>
      <c r="C32" s="56">
        <v>373.74400000000003</v>
      </c>
      <c r="E32" s="56">
        <v>374.74400000000003</v>
      </c>
      <c r="J32" s="56">
        <v>373.74400000000003</v>
      </c>
      <c r="N32" s="56">
        <v>373.74400000000003</v>
      </c>
    </row>
    <row r="33" spans="1:14" ht="15" x14ac:dyDescent="0.15">
      <c r="A33" s="38">
        <v>42766</v>
      </c>
      <c r="D33" s="56">
        <v>373.74400000000003</v>
      </c>
      <c r="E33" s="57"/>
      <c r="F33" s="57"/>
      <c r="L33" s="56">
        <v>373.74400000000003</v>
      </c>
    </row>
    <row r="34" spans="1:14" ht="15" x14ac:dyDescent="0.15">
      <c r="A34" s="38">
        <v>42767</v>
      </c>
      <c r="F34" s="56">
        <v>374.74400000000003</v>
      </c>
      <c r="H34" s="56">
        <v>373.74400000000003</v>
      </c>
      <c r="K34" s="56">
        <v>373.74400000000003</v>
      </c>
    </row>
    <row r="35" spans="1:14" ht="15" x14ac:dyDescent="0.15">
      <c r="A35" s="38">
        <v>42768</v>
      </c>
      <c r="B35" s="56">
        <v>373.74400000000003</v>
      </c>
      <c r="G35" s="56">
        <v>373.74400000000003</v>
      </c>
      <c r="I35" s="56">
        <v>373.74400000000003</v>
      </c>
      <c r="M35" s="56">
        <v>373.74400000000003</v>
      </c>
    </row>
    <row r="36" spans="1:14" ht="15" x14ac:dyDescent="0.15">
      <c r="A36" s="38">
        <v>42769</v>
      </c>
      <c r="C36" s="56">
        <v>373.74400000000003</v>
      </c>
      <c r="E36" s="56">
        <v>374.74400000000003</v>
      </c>
      <c r="J36" s="56">
        <v>373.74400000000003</v>
      </c>
      <c r="N36" s="56">
        <v>373.74400000000003</v>
      </c>
    </row>
    <row r="37" spans="1:14" ht="15" x14ac:dyDescent="0.15">
      <c r="A37" s="38">
        <v>42770</v>
      </c>
      <c r="D37" s="56">
        <v>373.74400000000003</v>
      </c>
      <c r="E37" s="57"/>
      <c r="F37" s="57"/>
      <c r="L37" s="56">
        <v>373.74400000000003</v>
      </c>
    </row>
    <row r="38" spans="1:14" ht="15" x14ac:dyDescent="0.15">
      <c r="A38" s="38">
        <v>42771</v>
      </c>
      <c r="F38" s="56">
        <v>374.74400000000003</v>
      </c>
      <c r="H38" s="56">
        <v>373.74400000000003</v>
      </c>
      <c r="K38" s="56">
        <v>373.74400000000003</v>
      </c>
    </row>
    <row r="39" spans="1:14" ht="15" x14ac:dyDescent="0.15">
      <c r="A39" s="38">
        <v>42772</v>
      </c>
      <c r="B39" s="56">
        <v>373.74400000000003</v>
      </c>
      <c r="G39" s="56">
        <v>373.74400000000003</v>
      </c>
      <c r="I39" s="56">
        <v>373.74400000000003</v>
      </c>
      <c r="M39" s="56">
        <v>373.74400000000003</v>
      </c>
    </row>
    <row r="40" spans="1:14" ht="15" x14ac:dyDescent="0.15">
      <c r="A40" s="38">
        <v>42773</v>
      </c>
      <c r="C40" s="56">
        <v>373.74400000000003</v>
      </c>
      <c r="E40" s="56">
        <v>374.74400000000003</v>
      </c>
      <c r="J40" s="56">
        <v>373.74400000000003</v>
      </c>
      <c r="N40" s="56">
        <v>373.74400000000003</v>
      </c>
    </row>
    <row r="41" spans="1:14" ht="15" x14ac:dyDescent="0.15">
      <c r="A41" s="38">
        <v>42774</v>
      </c>
      <c r="D41" s="56">
        <v>373.74400000000003</v>
      </c>
      <c r="E41" s="57"/>
      <c r="F41" s="57"/>
      <c r="L41" s="56">
        <v>373.74400000000003</v>
      </c>
    </row>
    <row r="42" spans="1:14" ht="15" x14ac:dyDescent="0.15">
      <c r="A42" s="38">
        <v>42775</v>
      </c>
      <c r="F42" s="56">
        <v>374.74400000000003</v>
      </c>
      <c r="H42" s="56">
        <v>373.74400000000003</v>
      </c>
      <c r="K42" s="56">
        <v>373.74400000000003</v>
      </c>
    </row>
    <row r="43" spans="1:14" ht="15" x14ac:dyDescent="0.15">
      <c r="A43" s="38">
        <v>42776</v>
      </c>
      <c r="B43" s="56">
        <v>373.74400000000003</v>
      </c>
      <c r="G43" s="56">
        <v>373.74400000000003</v>
      </c>
      <c r="I43" s="56">
        <v>373.74400000000003</v>
      </c>
      <c r="M43" s="56">
        <v>373.74400000000003</v>
      </c>
    </row>
    <row r="44" spans="1:14" ht="15" x14ac:dyDescent="0.15">
      <c r="A44" s="38">
        <v>42777</v>
      </c>
      <c r="C44" s="56">
        <v>373.74400000000003</v>
      </c>
      <c r="E44" s="56">
        <v>374.74400000000003</v>
      </c>
      <c r="J44" s="56">
        <v>373.74400000000003</v>
      </c>
      <c r="N44" s="56">
        <v>373.74400000000003</v>
      </c>
    </row>
    <row r="45" spans="1:14" ht="15" x14ac:dyDescent="0.15">
      <c r="A45" s="38">
        <v>42778</v>
      </c>
      <c r="D45" s="56">
        <v>373.74400000000003</v>
      </c>
      <c r="E45" s="57"/>
      <c r="F45" s="57"/>
      <c r="L45" s="56">
        <v>373.74400000000003</v>
      </c>
    </row>
    <row r="46" spans="1:14" ht="15" x14ac:dyDescent="0.15">
      <c r="A46" s="38">
        <v>42779</v>
      </c>
      <c r="F46" s="56">
        <v>374.74400000000003</v>
      </c>
      <c r="H46" s="56">
        <v>373.74400000000003</v>
      </c>
      <c r="K46" s="56">
        <v>373.74400000000003</v>
      </c>
    </row>
    <row r="47" spans="1:14" ht="15" x14ac:dyDescent="0.15">
      <c r="A47" s="38">
        <v>42780</v>
      </c>
      <c r="B47" s="56">
        <v>373.74400000000003</v>
      </c>
      <c r="G47" s="56">
        <v>373.74400000000003</v>
      </c>
      <c r="I47" s="56">
        <v>373.74400000000003</v>
      </c>
      <c r="M47" s="56">
        <v>373.74400000000003</v>
      </c>
    </row>
    <row r="48" spans="1:14" ht="15" x14ac:dyDescent="0.15">
      <c r="A48" s="38">
        <v>42781</v>
      </c>
      <c r="C48" s="56">
        <v>373.74400000000003</v>
      </c>
      <c r="E48" s="56">
        <v>374.74400000000003</v>
      </c>
      <c r="J48" s="56">
        <v>373.74400000000003</v>
      </c>
      <c r="N48" s="56">
        <v>373.74400000000003</v>
      </c>
    </row>
    <row r="49" spans="1:14" ht="15" x14ac:dyDescent="0.15">
      <c r="A49" s="38">
        <v>42782</v>
      </c>
      <c r="D49" s="56">
        <v>373.74400000000003</v>
      </c>
      <c r="E49" s="57"/>
      <c r="F49" s="57"/>
      <c r="L49" s="56">
        <v>373.74400000000003</v>
      </c>
    </row>
    <row r="50" spans="1:14" ht="15" x14ac:dyDescent="0.15">
      <c r="A50" s="38">
        <v>42783</v>
      </c>
      <c r="F50" s="56">
        <v>374.74400000000003</v>
      </c>
      <c r="H50" s="56">
        <v>373.74400000000003</v>
      </c>
      <c r="K50" s="56">
        <v>373.74400000000003</v>
      </c>
    </row>
    <row r="51" spans="1:14" ht="15" x14ac:dyDescent="0.15">
      <c r="A51" s="38">
        <v>42784</v>
      </c>
      <c r="B51" s="56">
        <v>373.74400000000003</v>
      </c>
      <c r="G51" s="56">
        <v>373.74400000000003</v>
      </c>
      <c r="I51" s="56">
        <v>373.74400000000003</v>
      </c>
      <c r="M51" s="56">
        <v>373.74400000000003</v>
      </c>
    </row>
    <row r="52" spans="1:14" ht="15" x14ac:dyDescent="0.15">
      <c r="A52" s="38">
        <v>42785</v>
      </c>
      <c r="C52" s="56">
        <v>373.74400000000003</v>
      </c>
      <c r="E52" s="56">
        <v>374.74400000000003</v>
      </c>
      <c r="J52" s="56">
        <v>373.74400000000003</v>
      </c>
      <c r="N52" s="56">
        <v>373.74400000000003</v>
      </c>
    </row>
    <row r="53" spans="1:14" ht="15" x14ac:dyDescent="0.15">
      <c r="A53" s="38">
        <v>42786</v>
      </c>
      <c r="D53" s="56">
        <v>373.74400000000003</v>
      </c>
      <c r="E53" s="57"/>
      <c r="F53" s="57"/>
      <c r="L53" s="56">
        <v>373.74400000000003</v>
      </c>
    </row>
    <row r="54" spans="1:14" ht="15" x14ac:dyDescent="0.15">
      <c r="A54" s="38">
        <v>42787</v>
      </c>
      <c r="F54" s="56">
        <v>374.74400000000003</v>
      </c>
      <c r="H54" s="56">
        <v>373.74400000000003</v>
      </c>
      <c r="K54" s="56">
        <v>373.74400000000003</v>
      </c>
    </row>
    <row r="55" spans="1:14" ht="15" x14ac:dyDescent="0.15">
      <c r="A55" s="38">
        <v>42788</v>
      </c>
      <c r="B55" s="56">
        <v>373.74400000000003</v>
      </c>
      <c r="G55" s="56">
        <v>373.74400000000003</v>
      </c>
      <c r="I55" s="56">
        <v>373.74400000000003</v>
      </c>
      <c r="M55" s="56">
        <v>373.74400000000003</v>
      </c>
    </row>
    <row r="56" spans="1:14" ht="15" x14ac:dyDescent="0.15">
      <c r="A56" s="38">
        <v>42789</v>
      </c>
      <c r="C56" s="56">
        <v>373.74400000000003</v>
      </c>
      <c r="E56" s="56">
        <v>374.74400000000003</v>
      </c>
      <c r="J56" s="56">
        <v>373.74400000000003</v>
      </c>
      <c r="N56" s="56">
        <v>373.74400000000003</v>
      </c>
    </row>
    <row r="57" spans="1:14" ht="15" x14ac:dyDescent="0.15">
      <c r="A57" s="38">
        <v>42790</v>
      </c>
      <c r="D57" s="56">
        <v>373.74400000000003</v>
      </c>
      <c r="E57" s="57"/>
      <c r="F57" s="57"/>
      <c r="L57" s="56">
        <v>373.74400000000003</v>
      </c>
    </row>
    <row r="58" spans="1:14" ht="15" x14ac:dyDescent="0.15">
      <c r="A58" s="38">
        <v>42791</v>
      </c>
      <c r="F58" s="56">
        <v>374.74400000000003</v>
      </c>
      <c r="H58" s="56">
        <v>373.74400000000003</v>
      </c>
      <c r="K58" s="56">
        <v>373.74400000000003</v>
      </c>
    </row>
    <row r="59" spans="1:14" ht="15" x14ac:dyDescent="0.15">
      <c r="A59" s="38">
        <v>42792</v>
      </c>
      <c r="B59" s="56">
        <v>373.74400000000003</v>
      </c>
      <c r="G59" s="56">
        <v>373.74400000000003</v>
      </c>
      <c r="I59" s="56">
        <v>373.74400000000003</v>
      </c>
      <c r="M59" s="56">
        <v>373.74400000000003</v>
      </c>
    </row>
    <row r="60" spans="1:14" ht="15" x14ac:dyDescent="0.15">
      <c r="A60" s="38">
        <v>42793</v>
      </c>
      <c r="C60" s="56">
        <v>373.74400000000003</v>
      </c>
      <c r="E60" s="56">
        <v>374.74400000000003</v>
      </c>
      <c r="J60" s="56">
        <v>373.74400000000003</v>
      </c>
      <c r="N60" s="56">
        <v>373.74400000000003</v>
      </c>
    </row>
    <row r="61" spans="1:14" ht="15" x14ac:dyDescent="0.15">
      <c r="A61" s="38">
        <v>42794</v>
      </c>
      <c r="D61" s="56">
        <v>373.74400000000003</v>
      </c>
      <c r="E61" s="57"/>
      <c r="F61" s="57"/>
      <c r="L61" s="56">
        <v>373.74400000000003</v>
      </c>
    </row>
    <row r="62" spans="1:14" ht="15" x14ac:dyDescent="0.15">
      <c r="A62" s="38">
        <v>42795</v>
      </c>
      <c r="F62" s="56">
        <v>374.74400000000003</v>
      </c>
      <c r="H62" s="56">
        <v>373.74400000000003</v>
      </c>
      <c r="K62" s="56">
        <v>373.74400000000003</v>
      </c>
    </row>
    <row r="63" spans="1:14" ht="15" x14ac:dyDescent="0.15">
      <c r="A63" s="38">
        <v>42796</v>
      </c>
      <c r="B63" s="56">
        <v>373.74400000000003</v>
      </c>
      <c r="G63" s="56">
        <v>373.74400000000003</v>
      </c>
      <c r="I63" s="56">
        <v>373.74400000000003</v>
      </c>
      <c r="M63" s="56">
        <v>373.74400000000003</v>
      </c>
    </row>
    <row r="64" spans="1:14" ht="15" x14ac:dyDescent="0.15">
      <c r="A64" s="38">
        <v>42797</v>
      </c>
      <c r="C64" s="56">
        <v>373.74400000000003</v>
      </c>
      <c r="E64" s="56">
        <v>374.74400000000003</v>
      </c>
      <c r="J64" s="56">
        <v>373.74400000000003</v>
      </c>
      <c r="N64" s="56">
        <v>373.74400000000003</v>
      </c>
    </row>
    <row r="65" spans="1:14" ht="15" x14ac:dyDescent="0.15">
      <c r="A65" s="38">
        <v>42798</v>
      </c>
      <c r="D65" s="56">
        <v>373.74400000000003</v>
      </c>
      <c r="E65" s="57"/>
      <c r="F65" s="57"/>
      <c r="L65" s="56">
        <v>373.74400000000003</v>
      </c>
    </row>
    <row r="66" spans="1:14" ht="15" x14ac:dyDescent="0.15">
      <c r="A66" s="38">
        <v>42799</v>
      </c>
      <c r="F66" s="56">
        <v>374.74400000000003</v>
      </c>
      <c r="H66" s="56">
        <v>373.74400000000003</v>
      </c>
      <c r="K66" s="56">
        <v>373.74400000000003</v>
      </c>
    </row>
    <row r="67" spans="1:14" ht="15" x14ac:dyDescent="0.15">
      <c r="A67" s="38">
        <v>42800</v>
      </c>
      <c r="B67" s="56">
        <v>373.74400000000003</v>
      </c>
      <c r="G67" s="56">
        <v>373.74400000000003</v>
      </c>
      <c r="I67" s="56">
        <v>373.74400000000003</v>
      </c>
      <c r="M67" s="56">
        <v>373.74400000000003</v>
      </c>
    </row>
    <row r="68" spans="1:14" ht="15" x14ac:dyDescent="0.15">
      <c r="A68" s="38">
        <v>42801</v>
      </c>
      <c r="C68" s="56">
        <v>373.74400000000003</v>
      </c>
      <c r="E68" s="56">
        <v>374.74400000000003</v>
      </c>
      <c r="J68" s="56">
        <v>373.74400000000003</v>
      </c>
      <c r="N68" s="56">
        <v>373.74400000000003</v>
      </c>
    </row>
    <row r="69" spans="1:14" ht="15" x14ac:dyDescent="0.15">
      <c r="A69" s="38">
        <v>42802</v>
      </c>
      <c r="D69" s="56">
        <v>373.74400000000003</v>
      </c>
      <c r="E69" s="57"/>
      <c r="F69" s="57"/>
      <c r="L69" s="56">
        <v>373.74400000000003</v>
      </c>
    </row>
    <row r="70" spans="1:14" ht="15" x14ac:dyDescent="0.15">
      <c r="A70" s="38">
        <v>42803</v>
      </c>
      <c r="F70" s="56">
        <v>374.74400000000003</v>
      </c>
      <c r="H70" s="56">
        <v>373.74400000000003</v>
      </c>
      <c r="K70" s="56">
        <v>373.74400000000003</v>
      </c>
    </row>
    <row r="71" spans="1:14" ht="15" x14ac:dyDescent="0.15">
      <c r="A71" s="38">
        <v>42804</v>
      </c>
      <c r="B71" s="56">
        <v>373.74400000000003</v>
      </c>
      <c r="G71" s="56">
        <v>373.74400000000003</v>
      </c>
      <c r="I71" s="56">
        <v>373.74400000000003</v>
      </c>
      <c r="M71" s="56">
        <v>373.74400000000003</v>
      </c>
    </row>
    <row r="72" spans="1:14" ht="15" x14ac:dyDescent="0.15">
      <c r="A72" s="38">
        <v>42805</v>
      </c>
      <c r="C72" s="56">
        <v>373.74400000000003</v>
      </c>
      <c r="E72" s="56">
        <v>374.74400000000003</v>
      </c>
      <c r="J72" s="56">
        <v>373.74400000000003</v>
      </c>
      <c r="N72" s="56">
        <v>373.74400000000003</v>
      </c>
    </row>
    <row r="73" spans="1:14" ht="15" x14ac:dyDescent="0.15">
      <c r="A73" s="38">
        <v>42806</v>
      </c>
      <c r="D73" s="56">
        <v>373.74400000000003</v>
      </c>
      <c r="E73" s="57"/>
      <c r="F73" s="57"/>
      <c r="L73" s="56">
        <v>373.74400000000003</v>
      </c>
    </row>
    <row r="74" spans="1:14" ht="15" x14ac:dyDescent="0.15">
      <c r="A74" s="38">
        <v>42807</v>
      </c>
      <c r="F74" s="56">
        <v>374.74400000000003</v>
      </c>
      <c r="H74" s="56">
        <v>373.74400000000003</v>
      </c>
      <c r="K74" s="56">
        <v>373.74400000000003</v>
      </c>
    </row>
    <row r="75" spans="1:14" ht="15" x14ac:dyDescent="0.15">
      <c r="A75" s="38">
        <v>42808</v>
      </c>
      <c r="B75" s="56">
        <v>373.74400000000003</v>
      </c>
      <c r="G75" s="56">
        <v>373.74400000000003</v>
      </c>
      <c r="I75" s="56">
        <v>373.74400000000003</v>
      </c>
      <c r="M75" s="56">
        <v>373.74400000000003</v>
      </c>
    </row>
    <row r="76" spans="1:14" ht="15" x14ac:dyDescent="0.15">
      <c r="A76" s="38">
        <v>42809</v>
      </c>
      <c r="C76" s="56">
        <v>373.74400000000003</v>
      </c>
      <c r="E76" s="56">
        <v>374.74400000000003</v>
      </c>
      <c r="J76" s="56">
        <v>373.74400000000003</v>
      </c>
      <c r="N76" s="56">
        <v>373.74400000000003</v>
      </c>
    </row>
    <row r="77" spans="1:14" ht="15" x14ac:dyDescent="0.15">
      <c r="A77" s="38">
        <v>42810</v>
      </c>
      <c r="D77" s="56">
        <v>373.74400000000003</v>
      </c>
      <c r="E77" s="57"/>
      <c r="F77" s="57"/>
      <c r="L77" s="56">
        <v>373.74400000000003</v>
      </c>
    </row>
    <row r="78" spans="1:14" ht="15" x14ac:dyDescent="0.15">
      <c r="A78" s="38">
        <v>42811</v>
      </c>
      <c r="F78" s="56">
        <v>374.74400000000003</v>
      </c>
      <c r="H78" s="56">
        <v>373.74400000000003</v>
      </c>
      <c r="K78" s="56">
        <v>373.74400000000003</v>
      </c>
    </row>
    <row r="79" spans="1:14" ht="15" x14ac:dyDescent="0.15">
      <c r="A79" s="38">
        <v>42812</v>
      </c>
      <c r="B79" s="56">
        <v>373.74400000000003</v>
      </c>
      <c r="G79" s="56">
        <v>373.74400000000003</v>
      </c>
      <c r="I79" s="56">
        <v>373.74400000000003</v>
      </c>
      <c r="M79" s="56">
        <v>373.74400000000003</v>
      </c>
    </row>
    <row r="80" spans="1:14" ht="15" x14ac:dyDescent="0.15">
      <c r="A80" s="38">
        <v>42813</v>
      </c>
      <c r="C80" s="56">
        <v>373.74400000000003</v>
      </c>
      <c r="E80" s="56">
        <v>374.74400000000003</v>
      </c>
      <c r="J80" s="56">
        <v>373.74400000000003</v>
      </c>
      <c r="N80" s="56">
        <v>373.74400000000003</v>
      </c>
    </row>
    <row r="81" spans="1:14" ht="15" x14ac:dyDescent="0.15">
      <c r="A81" s="38">
        <v>42814</v>
      </c>
      <c r="D81" s="56">
        <v>373.74400000000003</v>
      </c>
      <c r="E81" s="57"/>
      <c r="F81" s="57"/>
      <c r="L81" s="56">
        <v>373.74400000000003</v>
      </c>
    </row>
    <row r="82" spans="1:14" ht="15" x14ac:dyDescent="0.15">
      <c r="A82" s="38">
        <v>42815</v>
      </c>
      <c r="F82" s="56">
        <v>374.74400000000003</v>
      </c>
      <c r="H82" s="56">
        <v>373.74400000000003</v>
      </c>
      <c r="K82" s="56">
        <v>373.74400000000003</v>
      </c>
    </row>
    <row r="83" spans="1:14" ht="15" x14ac:dyDescent="0.15">
      <c r="A83" s="38">
        <v>42816</v>
      </c>
      <c r="B83" s="56">
        <v>373.74400000000003</v>
      </c>
      <c r="G83" s="56">
        <v>373.74400000000003</v>
      </c>
      <c r="I83" s="56">
        <v>373.74400000000003</v>
      </c>
      <c r="M83" s="56">
        <v>373.74400000000003</v>
      </c>
    </row>
    <row r="84" spans="1:14" ht="15" x14ac:dyDescent="0.15">
      <c r="A84" s="38">
        <v>42817</v>
      </c>
      <c r="C84" s="56">
        <v>373.74400000000003</v>
      </c>
      <c r="E84" s="56">
        <v>374.74400000000003</v>
      </c>
      <c r="J84" s="56">
        <v>373.74400000000003</v>
      </c>
      <c r="N84" s="56">
        <v>373.74400000000003</v>
      </c>
    </row>
    <row r="85" spans="1:14" ht="15" x14ac:dyDescent="0.15">
      <c r="A85" s="38">
        <v>42818</v>
      </c>
      <c r="D85" s="56">
        <v>373.74400000000003</v>
      </c>
      <c r="E85" s="57"/>
      <c r="F85" s="57"/>
      <c r="L85" s="56">
        <v>373.74400000000003</v>
      </c>
    </row>
    <row r="86" spans="1:14" ht="15" x14ac:dyDescent="0.15">
      <c r="A86" s="38">
        <v>42819</v>
      </c>
      <c r="F86" s="56">
        <v>374.74400000000003</v>
      </c>
      <c r="H86" s="56">
        <v>373.74400000000003</v>
      </c>
      <c r="K86" s="56">
        <v>373.74400000000003</v>
      </c>
    </row>
    <row r="87" spans="1:14" ht="15" x14ac:dyDescent="0.15">
      <c r="A87" s="38">
        <v>42820</v>
      </c>
      <c r="B87" s="56">
        <v>373.74400000000003</v>
      </c>
      <c r="G87" s="56">
        <v>373.74400000000003</v>
      </c>
      <c r="I87" s="56">
        <v>373.74400000000003</v>
      </c>
      <c r="M87" s="56">
        <v>373.74400000000003</v>
      </c>
    </row>
    <row r="88" spans="1:14" ht="15" x14ac:dyDescent="0.15">
      <c r="A88" s="38">
        <v>42821</v>
      </c>
      <c r="C88" s="56">
        <v>373.74400000000003</v>
      </c>
      <c r="E88" s="56">
        <v>374.74400000000003</v>
      </c>
      <c r="J88" s="56">
        <v>373.74400000000003</v>
      </c>
      <c r="N88" s="56">
        <v>373.74400000000003</v>
      </c>
    </row>
    <row r="89" spans="1:14" ht="15" x14ac:dyDescent="0.15">
      <c r="A89" s="38">
        <v>42822</v>
      </c>
      <c r="D89" s="56">
        <v>373.74400000000003</v>
      </c>
      <c r="E89" s="57"/>
      <c r="F89" s="57"/>
      <c r="L89" s="56">
        <v>373.74400000000003</v>
      </c>
    </row>
    <row r="90" spans="1:14" ht="15" x14ac:dyDescent="0.15">
      <c r="A90" s="38">
        <v>42823</v>
      </c>
      <c r="F90" s="56">
        <v>374.74400000000003</v>
      </c>
      <c r="H90" s="56">
        <v>373.74400000000003</v>
      </c>
      <c r="K90" s="56">
        <v>373.74400000000003</v>
      </c>
    </row>
    <row r="91" spans="1:14" ht="15" x14ac:dyDescent="0.15">
      <c r="A91" s="38">
        <v>42824</v>
      </c>
      <c r="B91" s="56">
        <v>373.74400000000003</v>
      </c>
      <c r="G91" s="56">
        <v>373.74400000000003</v>
      </c>
      <c r="I91" s="56">
        <v>373.74400000000003</v>
      </c>
      <c r="M91" s="56">
        <v>373.74400000000003</v>
      </c>
    </row>
    <row r="92" spans="1:14" ht="15" x14ac:dyDescent="0.15">
      <c r="A92" s="38">
        <v>42825</v>
      </c>
      <c r="C92" s="56">
        <v>373.74400000000003</v>
      </c>
      <c r="E92" s="56">
        <v>374.74400000000003</v>
      </c>
      <c r="J92" s="56">
        <v>373.74400000000003</v>
      </c>
      <c r="N92" s="56">
        <v>373.74400000000003</v>
      </c>
    </row>
    <row r="93" spans="1:14" ht="15" x14ac:dyDescent="0.15">
      <c r="A93" s="38">
        <v>42826</v>
      </c>
      <c r="D93" s="56">
        <v>373.74400000000003</v>
      </c>
      <c r="E93" s="57"/>
      <c r="F93" s="57"/>
      <c r="L93" s="56">
        <v>373.74400000000003</v>
      </c>
    </row>
    <row r="94" spans="1:14" ht="15" x14ac:dyDescent="0.15">
      <c r="A94" s="38">
        <v>42827</v>
      </c>
      <c r="F94" s="56">
        <v>374.74400000000003</v>
      </c>
      <c r="H94" s="56">
        <v>373.74400000000003</v>
      </c>
      <c r="K94" s="56">
        <v>373.74400000000003</v>
      </c>
    </row>
    <row r="95" spans="1:14" ht="15" x14ac:dyDescent="0.15">
      <c r="A95" s="38">
        <v>42828</v>
      </c>
      <c r="B95" s="56">
        <v>373.74400000000003</v>
      </c>
      <c r="G95" s="56">
        <v>373.74400000000003</v>
      </c>
      <c r="I95" s="56">
        <v>373.74400000000003</v>
      </c>
      <c r="M95" s="56">
        <v>373.74400000000003</v>
      </c>
    </row>
    <row r="96" spans="1:14" ht="15" x14ac:dyDescent="0.15">
      <c r="A96" s="38">
        <v>42829</v>
      </c>
      <c r="C96" s="56">
        <v>373.74400000000003</v>
      </c>
      <c r="E96" s="56">
        <v>374.74400000000003</v>
      </c>
      <c r="J96" s="56">
        <v>373.74400000000003</v>
      </c>
      <c r="N96" s="56">
        <v>373.74400000000003</v>
      </c>
    </row>
    <row r="97" spans="1:14" ht="15" x14ac:dyDescent="0.15">
      <c r="A97" s="38">
        <v>42830</v>
      </c>
      <c r="D97" s="56">
        <v>373.74400000000003</v>
      </c>
      <c r="E97" s="57"/>
      <c r="F97" s="57"/>
      <c r="L97" s="56">
        <v>373.74400000000003</v>
      </c>
    </row>
    <row r="98" spans="1:14" ht="15" x14ac:dyDescent="0.15">
      <c r="A98" s="38">
        <v>42831</v>
      </c>
      <c r="F98" s="56">
        <v>374.74400000000003</v>
      </c>
      <c r="H98" s="56">
        <v>373.74400000000003</v>
      </c>
      <c r="K98" s="56">
        <v>373.74400000000003</v>
      </c>
    </row>
    <row r="99" spans="1:14" ht="15" x14ac:dyDescent="0.15">
      <c r="A99" s="38">
        <v>42832</v>
      </c>
      <c r="B99" s="56">
        <v>373.74400000000003</v>
      </c>
      <c r="G99" s="56">
        <v>373.74400000000003</v>
      </c>
      <c r="I99" s="56">
        <v>373.74400000000003</v>
      </c>
      <c r="M99" s="56">
        <v>373.74400000000003</v>
      </c>
    </row>
    <row r="100" spans="1:14" ht="15" x14ac:dyDescent="0.15">
      <c r="A100" s="38">
        <v>42833</v>
      </c>
      <c r="C100" s="56">
        <v>373.74400000000003</v>
      </c>
      <c r="E100" s="56">
        <v>374.74400000000003</v>
      </c>
      <c r="J100" s="56">
        <v>373.74400000000003</v>
      </c>
      <c r="N100" s="56">
        <v>373.74400000000003</v>
      </c>
    </row>
    <row r="101" spans="1:14" ht="15" x14ac:dyDescent="0.15">
      <c r="A101" s="38">
        <v>42834</v>
      </c>
      <c r="D101" s="56">
        <v>373.74400000000003</v>
      </c>
      <c r="E101" s="57"/>
      <c r="F101" s="57"/>
      <c r="L101" s="56">
        <v>373.74400000000003</v>
      </c>
    </row>
    <row r="102" spans="1:14" ht="15" x14ac:dyDescent="0.15">
      <c r="A102" s="38">
        <v>42835</v>
      </c>
      <c r="F102" s="56">
        <v>374.74400000000003</v>
      </c>
      <c r="H102" s="56">
        <v>373.74400000000003</v>
      </c>
      <c r="K102" s="56">
        <v>373.74400000000003</v>
      </c>
    </row>
    <row r="103" spans="1:14" ht="15" x14ac:dyDescent="0.15">
      <c r="A103" s="38">
        <v>42836</v>
      </c>
      <c r="B103" s="56">
        <v>373.74400000000003</v>
      </c>
      <c r="G103" s="56">
        <v>373.74400000000003</v>
      </c>
      <c r="I103" s="56">
        <v>373.74400000000003</v>
      </c>
      <c r="M103" s="56">
        <v>373.74400000000003</v>
      </c>
    </row>
    <row r="104" spans="1:14" ht="15" x14ac:dyDescent="0.15">
      <c r="A104" s="38">
        <v>42837</v>
      </c>
      <c r="C104" s="56">
        <v>373.74400000000003</v>
      </c>
      <c r="E104" s="56">
        <v>374.74400000000003</v>
      </c>
      <c r="J104" s="56">
        <v>373.74400000000003</v>
      </c>
      <c r="N104" s="56">
        <v>373.74400000000003</v>
      </c>
    </row>
    <row r="105" spans="1:14" ht="15" x14ac:dyDescent="0.15">
      <c r="A105" s="38">
        <v>42838</v>
      </c>
      <c r="D105" s="56">
        <v>373.74400000000003</v>
      </c>
      <c r="E105" s="57"/>
      <c r="F105" s="57"/>
      <c r="L105" s="56">
        <v>373.74400000000003</v>
      </c>
    </row>
    <row r="106" spans="1:14" ht="15" x14ac:dyDescent="0.15">
      <c r="A106" s="38">
        <v>42839</v>
      </c>
      <c r="F106" s="56">
        <v>374.74400000000003</v>
      </c>
      <c r="H106" s="56">
        <v>373.74400000000003</v>
      </c>
      <c r="K106" s="56">
        <v>373.74400000000003</v>
      </c>
    </row>
    <row r="107" spans="1:14" ht="15" x14ac:dyDescent="0.15">
      <c r="A107" s="38">
        <v>42840</v>
      </c>
      <c r="B107" s="56">
        <v>373.74400000000003</v>
      </c>
      <c r="G107" s="56">
        <v>373.74400000000003</v>
      </c>
      <c r="I107" s="56">
        <v>373.74400000000003</v>
      </c>
      <c r="M107" s="56">
        <v>373.74400000000003</v>
      </c>
    </row>
    <row r="108" spans="1:14" ht="15" x14ac:dyDescent="0.15">
      <c r="A108" s="38">
        <v>42841</v>
      </c>
      <c r="C108" s="56">
        <v>373.74400000000003</v>
      </c>
      <c r="E108" s="56">
        <v>374.74400000000003</v>
      </c>
      <c r="J108" s="56">
        <v>373.74400000000003</v>
      </c>
      <c r="N108" s="56">
        <v>373.74400000000003</v>
      </c>
    </row>
    <row r="109" spans="1:14" ht="15" x14ac:dyDescent="0.15">
      <c r="A109" s="38">
        <v>42842</v>
      </c>
      <c r="D109" s="56">
        <v>373.74400000000003</v>
      </c>
      <c r="E109" s="57"/>
      <c r="F109" s="57"/>
      <c r="L109" s="56">
        <v>373.74400000000003</v>
      </c>
    </row>
    <row r="110" spans="1:14" ht="15" x14ac:dyDescent="0.15">
      <c r="A110" s="38">
        <v>42843</v>
      </c>
      <c r="F110" s="56">
        <v>374.74400000000003</v>
      </c>
      <c r="H110" s="56">
        <v>373.74400000000003</v>
      </c>
      <c r="K110" s="56">
        <v>373.74400000000003</v>
      </c>
    </row>
    <row r="111" spans="1:14" ht="15" x14ac:dyDescent="0.15">
      <c r="A111" s="38">
        <v>42844</v>
      </c>
      <c r="B111" s="56">
        <v>373.74400000000003</v>
      </c>
      <c r="G111" s="56">
        <v>373.74400000000003</v>
      </c>
      <c r="I111" s="56">
        <v>373.74400000000003</v>
      </c>
      <c r="M111" s="56">
        <v>373.74400000000003</v>
      </c>
    </row>
    <row r="112" spans="1:14" ht="15" x14ac:dyDescent="0.15">
      <c r="A112" s="38">
        <v>42845</v>
      </c>
      <c r="C112" s="56">
        <v>373.74400000000003</v>
      </c>
      <c r="E112" s="56">
        <v>374.74400000000003</v>
      </c>
      <c r="J112" s="56">
        <v>373.74400000000003</v>
      </c>
      <c r="N112" s="56">
        <v>373.74400000000003</v>
      </c>
    </row>
    <row r="113" spans="1:14" ht="15" x14ac:dyDescent="0.15">
      <c r="A113" s="38">
        <v>42846</v>
      </c>
      <c r="D113" s="56">
        <v>373.74400000000003</v>
      </c>
      <c r="E113" s="57"/>
      <c r="F113" s="57"/>
      <c r="L113" s="56">
        <v>373.74400000000003</v>
      </c>
    </row>
    <row r="114" spans="1:14" ht="15" x14ac:dyDescent="0.15">
      <c r="A114" s="38">
        <v>42847</v>
      </c>
      <c r="F114" s="56">
        <v>374.74400000000003</v>
      </c>
      <c r="H114" s="56">
        <v>373.74400000000003</v>
      </c>
      <c r="K114" s="56">
        <v>373.74400000000003</v>
      </c>
    </row>
    <row r="115" spans="1:14" ht="15" x14ac:dyDescent="0.15">
      <c r="A115" s="38">
        <v>42848</v>
      </c>
      <c r="B115" s="56">
        <v>373.74400000000003</v>
      </c>
      <c r="G115" s="56">
        <v>373.74400000000003</v>
      </c>
      <c r="I115" s="56">
        <v>373.74400000000003</v>
      </c>
      <c r="M115" s="56">
        <v>373.74400000000003</v>
      </c>
    </row>
    <row r="116" spans="1:14" ht="15" x14ac:dyDescent="0.15">
      <c r="A116" s="38">
        <v>42849</v>
      </c>
      <c r="C116" s="56">
        <v>373.74400000000003</v>
      </c>
      <c r="E116" s="56">
        <v>374.74400000000003</v>
      </c>
      <c r="J116" s="56">
        <v>373.74400000000003</v>
      </c>
      <c r="N116" s="56">
        <v>373.74400000000003</v>
      </c>
    </row>
    <row r="117" spans="1:14" ht="15" x14ac:dyDescent="0.15">
      <c r="A117" s="38">
        <v>42850</v>
      </c>
      <c r="D117" s="56">
        <v>373.74400000000003</v>
      </c>
      <c r="E117" s="57"/>
      <c r="F117" s="57"/>
      <c r="L117" s="56">
        <v>373.74400000000003</v>
      </c>
    </row>
    <row r="118" spans="1:14" ht="15" x14ac:dyDescent="0.15">
      <c r="A118" s="38">
        <v>42851</v>
      </c>
      <c r="F118" s="56">
        <v>374.74400000000003</v>
      </c>
      <c r="H118" s="56">
        <v>373.74400000000003</v>
      </c>
      <c r="K118" s="56">
        <v>373.74400000000003</v>
      </c>
    </row>
    <row r="119" spans="1:14" ht="15" x14ac:dyDescent="0.15">
      <c r="A119" s="38">
        <v>42852</v>
      </c>
      <c r="B119" s="56">
        <v>373.74400000000003</v>
      </c>
      <c r="G119" s="56">
        <v>373.74400000000003</v>
      </c>
      <c r="I119" s="56">
        <v>373.74400000000003</v>
      </c>
      <c r="M119" s="56">
        <v>373.74400000000003</v>
      </c>
    </row>
    <row r="120" spans="1:14" ht="15" x14ac:dyDescent="0.15">
      <c r="A120" s="38">
        <v>42853</v>
      </c>
      <c r="C120" s="56">
        <v>373.74400000000003</v>
      </c>
      <c r="E120" s="56">
        <v>374.74400000000003</v>
      </c>
      <c r="J120" s="56">
        <v>373.74400000000003</v>
      </c>
      <c r="N120" s="56">
        <v>373.74400000000003</v>
      </c>
    </row>
    <row r="121" spans="1:14" ht="15" x14ac:dyDescent="0.15">
      <c r="A121" s="38">
        <v>42854</v>
      </c>
      <c r="D121" s="56">
        <v>373.74400000000003</v>
      </c>
      <c r="E121" s="57"/>
      <c r="F121" s="57"/>
      <c r="L121" s="56">
        <v>373.74400000000003</v>
      </c>
    </row>
    <row r="122" spans="1:14" ht="15" x14ac:dyDescent="0.15">
      <c r="A122" s="38">
        <v>42855</v>
      </c>
      <c r="F122" s="56">
        <v>374.74400000000003</v>
      </c>
      <c r="H122" s="56">
        <v>373.74400000000003</v>
      </c>
      <c r="K122" s="56">
        <v>373.74400000000003</v>
      </c>
    </row>
    <row r="123" spans="1:14" ht="15" x14ac:dyDescent="0.15">
      <c r="A123" s="38">
        <v>42856</v>
      </c>
      <c r="B123" s="56">
        <v>373.74400000000003</v>
      </c>
      <c r="G123" s="56">
        <v>373.74400000000003</v>
      </c>
      <c r="I123" s="56">
        <v>373.74400000000003</v>
      </c>
      <c r="M123" s="56">
        <v>373.74400000000003</v>
      </c>
    </row>
    <row r="124" spans="1:14" ht="15" x14ac:dyDescent="0.15">
      <c r="A124" s="38">
        <v>42857</v>
      </c>
      <c r="C124" s="56">
        <v>373.74400000000003</v>
      </c>
      <c r="E124" s="56">
        <v>374.74400000000003</v>
      </c>
      <c r="J124" s="56">
        <v>373.74400000000003</v>
      </c>
      <c r="N124" s="56">
        <v>373.74400000000003</v>
      </c>
    </row>
    <row r="125" spans="1:14" ht="15" x14ac:dyDescent="0.15">
      <c r="A125" s="38">
        <v>42858</v>
      </c>
      <c r="D125" s="56">
        <v>373.74400000000003</v>
      </c>
      <c r="E125" s="57"/>
      <c r="F125" s="57"/>
      <c r="L125" s="56">
        <v>373.74400000000003</v>
      </c>
    </row>
    <row r="126" spans="1:14" ht="15" x14ac:dyDescent="0.15">
      <c r="A126" s="38">
        <v>42859</v>
      </c>
      <c r="F126" s="56">
        <v>374.74400000000003</v>
      </c>
      <c r="H126" s="56">
        <v>373.74400000000003</v>
      </c>
      <c r="K126" s="56">
        <v>373.74400000000003</v>
      </c>
    </row>
    <row r="127" spans="1:14" ht="15" x14ac:dyDescent="0.15">
      <c r="A127" s="38">
        <v>42860</v>
      </c>
      <c r="B127" s="56">
        <v>373.74400000000003</v>
      </c>
      <c r="G127" s="56">
        <v>373.74400000000003</v>
      </c>
      <c r="I127" s="56">
        <v>373.74400000000003</v>
      </c>
      <c r="M127" s="56">
        <v>373.74400000000003</v>
      </c>
    </row>
    <row r="128" spans="1:14" ht="15" x14ac:dyDescent="0.15">
      <c r="A128" s="38">
        <v>42861</v>
      </c>
      <c r="C128" s="56">
        <v>373.74400000000003</v>
      </c>
      <c r="E128" s="56">
        <v>374.74400000000003</v>
      </c>
      <c r="J128" s="56">
        <v>373.74400000000003</v>
      </c>
      <c r="N128" s="56">
        <v>373.74400000000003</v>
      </c>
    </row>
    <row r="129" spans="1:14" ht="15" x14ac:dyDescent="0.15">
      <c r="A129" s="38">
        <v>42862</v>
      </c>
      <c r="D129" s="56">
        <v>373.74400000000003</v>
      </c>
      <c r="E129" s="57"/>
      <c r="F129" s="57"/>
      <c r="L129" s="56">
        <v>373.74400000000003</v>
      </c>
    </row>
    <row r="130" spans="1:14" ht="15" x14ac:dyDescent="0.15">
      <c r="A130" s="38">
        <v>42863</v>
      </c>
      <c r="F130" s="56">
        <v>374.74400000000003</v>
      </c>
      <c r="H130" s="56">
        <v>373.74400000000003</v>
      </c>
      <c r="K130" s="56">
        <v>373.74400000000003</v>
      </c>
    </row>
    <row r="131" spans="1:14" ht="15" x14ac:dyDescent="0.15">
      <c r="A131" s="38">
        <v>42864</v>
      </c>
      <c r="B131" s="56">
        <v>373.74400000000003</v>
      </c>
      <c r="G131" s="56">
        <v>373.74400000000003</v>
      </c>
      <c r="I131" s="56">
        <v>373.74400000000003</v>
      </c>
      <c r="M131" s="56">
        <v>373.74400000000003</v>
      </c>
    </row>
    <row r="132" spans="1:14" ht="15" x14ac:dyDescent="0.15">
      <c r="A132" s="38">
        <v>42865</v>
      </c>
      <c r="C132" s="56">
        <v>373.74400000000003</v>
      </c>
      <c r="E132" s="56">
        <v>374.74400000000003</v>
      </c>
      <c r="J132" s="56">
        <v>373.74400000000003</v>
      </c>
      <c r="N132" s="56">
        <v>373.74400000000003</v>
      </c>
    </row>
    <row r="133" spans="1:14" ht="15" x14ac:dyDescent="0.15">
      <c r="A133" s="38">
        <v>42866</v>
      </c>
      <c r="D133" s="56">
        <v>373.74400000000003</v>
      </c>
      <c r="E133" s="57"/>
      <c r="F133" s="57"/>
      <c r="L133" s="56">
        <v>373.74400000000003</v>
      </c>
    </row>
    <row r="134" spans="1:14" ht="15" x14ac:dyDescent="0.15">
      <c r="A134" s="38">
        <v>42867</v>
      </c>
      <c r="F134" s="56">
        <v>374.74400000000003</v>
      </c>
      <c r="H134" s="56">
        <v>373.74400000000003</v>
      </c>
      <c r="K134" s="56">
        <v>373.74400000000003</v>
      </c>
    </row>
    <row r="135" spans="1:14" ht="15" x14ac:dyDescent="0.15">
      <c r="A135" s="38">
        <v>42868</v>
      </c>
      <c r="B135" s="56">
        <v>373.74400000000003</v>
      </c>
      <c r="G135" s="56">
        <v>373.74400000000003</v>
      </c>
      <c r="I135" s="56">
        <v>373.74400000000003</v>
      </c>
      <c r="M135" s="56">
        <v>373.74400000000003</v>
      </c>
    </row>
    <row r="136" spans="1:14" ht="15" x14ac:dyDescent="0.15">
      <c r="A136" s="38">
        <v>42869</v>
      </c>
      <c r="C136" s="56">
        <v>373.74400000000003</v>
      </c>
      <c r="E136" s="56">
        <v>374.74400000000003</v>
      </c>
      <c r="J136" s="56">
        <v>373.74400000000003</v>
      </c>
      <c r="N136" s="56">
        <v>373.74400000000003</v>
      </c>
    </row>
    <row r="137" spans="1:14" ht="15" x14ac:dyDescent="0.15">
      <c r="A137" s="38">
        <v>42870</v>
      </c>
      <c r="D137" s="56">
        <v>373.74400000000003</v>
      </c>
      <c r="E137" s="57"/>
      <c r="F137" s="57"/>
      <c r="L137" s="56">
        <v>373.74400000000003</v>
      </c>
    </row>
    <row r="138" spans="1:14" ht="15" x14ac:dyDescent="0.15">
      <c r="A138" s="38">
        <v>42871</v>
      </c>
      <c r="F138" s="56">
        <v>374.74400000000003</v>
      </c>
      <c r="H138" s="56">
        <v>373.74400000000003</v>
      </c>
      <c r="K138" s="56">
        <v>373.74400000000003</v>
      </c>
    </row>
    <row r="139" spans="1:14" ht="15" x14ac:dyDescent="0.15">
      <c r="A139" s="38">
        <v>42872</v>
      </c>
      <c r="B139" s="56">
        <v>373.74400000000003</v>
      </c>
      <c r="G139" s="56">
        <v>373.74400000000003</v>
      </c>
      <c r="I139" s="56">
        <v>373.74400000000003</v>
      </c>
      <c r="M139" s="56">
        <v>373.74400000000003</v>
      </c>
    </row>
    <row r="140" spans="1:14" ht="15" x14ac:dyDescent="0.15">
      <c r="A140" s="38">
        <v>42873</v>
      </c>
      <c r="C140" s="56">
        <v>373.74400000000003</v>
      </c>
      <c r="E140" s="56">
        <v>374.74400000000003</v>
      </c>
      <c r="J140" s="56">
        <v>373.74400000000003</v>
      </c>
      <c r="N140" s="56">
        <v>373.74400000000003</v>
      </c>
    </row>
    <row r="141" spans="1:14" ht="15" x14ac:dyDescent="0.15">
      <c r="A141" s="38">
        <v>42874</v>
      </c>
      <c r="D141" s="56">
        <v>373.74400000000003</v>
      </c>
      <c r="E141" s="57"/>
      <c r="F141" s="57"/>
      <c r="L141" s="56">
        <v>373.74400000000003</v>
      </c>
    </row>
    <row r="142" spans="1:14" ht="15" x14ac:dyDescent="0.15">
      <c r="A142" s="38">
        <v>42875</v>
      </c>
      <c r="F142" s="56">
        <v>374.74400000000003</v>
      </c>
      <c r="H142" s="56">
        <v>373.74400000000003</v>
      </c>
      <c r="K142" s="56">
        <v>373.74400000000003</v>
      </c>
    </row>
    <row r="143" spans="1:14" ht="15" x14ac:dyDescent="0.15">
      <c r="A143" s="38">
        <v>42876</v>
      </c>
      <c r="B143" s="56">
        <v>373.74400000000003</v>
      </c>
      <c r="G143" s="56">
        <v>373.74400000000003</v>
      </c>
      <c r="I143" s="56">
        <v>373.74400000000003</v>
      </c>
      <c r="M143" s="56">
        <v>373.74400000000003</v>
      </c>
    </row>
    <row r="144" spans="1:14" ht="15" x14ac:dyDescent="0.15">
      <c r="A144" s="38">
        <v>42877</v>
      </c>
      <c r="C144" s="56">
        <v>373.74400000000003</v>
      </c>
      <c r="E144" s="56">
        <v>374.74400000000003</v>
      </c>
      <c r="J144" s="56">
        <v>373.74400000000003</v>
      </c>
      <c r="N144" s="56">
        <v>373.74400000000003</v>
      </c>
    </row>
    <row r="145" spans="1:14" ht="15" x14ac:dyDescent="0.15">
      <c r="A145" s="38">
        <v>42878</v>
      </c>
      <c r="D145" s="56">
        <v>373.74400000000003</v>
      </c>
      <c r="E145" s="57"/>
      <c r="F145" s="57"/>
      <c r="L145" s="56">
        <v>373.74400000000003</v>
      </c>
    </row>
    <row r="146" spans="1:14" ht="15" x14ac:dyDescent="0.15">
      <c r="A146" s="38">
        <v>42879</v>
      </c>
      <c r="F146" s="56">
        <v>374.74400000000003</v>
      </c>
      <c r="H146" s="56">
        <v>373.74400000000003</v>
      </c>
      <c r="K146" s="56">
        <v>373.74400000000003</v>
      </c>
    </row>
    <row r="147" spans="1:14" ht="15" x14ac:dyDescent="0.15">
      <c r="A147" s="38">
        <v>42880</v>
      </c>
      <c r="B147" s="56">
        <v>373.74400000000003</v>
      </c>
      <c r="G147" s="56">
        <v>373.74400000000003</v>
      </c>
      <c r="I147" s="56">
        <v>373.74400000000003</v>
      </c>
      <c r="M147" s="56">
        <v>373.74400000000003</v>
      </c>
    </row>
    <row r="148" spans="1:14" ht="15" x14ac:dyDescent="0.15">
      <c r="A148" s="38">
        <v>42881</v>
      </c>
      <c r="C148" s="56">
        <v>373.74400000000003</v>
      </c>
      <c r="E148" s="56">
        <v>374.74400000000003</v>
      </c>
      <c r="J148" s="56">
        <v>373.74400000000003</v>
      </c>
      <c r="N148" s="56">
        <v>373.74400000000003</v>
      </c>
    </row>
    <row r="149" spans="1:14" ht="15" x14ac:dyDescent="0.15">
      <c r="A149" s="38">
        <v>42882</v>
      </c>
      <c r="D149" s="56">
        <v>373.74400000000003</v>
      </c>
      <c r="E149" s="57"/>
      <c r="F149" s="57"/>
      <c r="L149" s="56">
        <v>373.74400000000003</v>
      </c>
    </row>
    <row r="150" spans="1:14" ht="15" x14ac:dyDescent="0.15">
      <c r="A150" s="38">
        <v>42883</v>
      </c>
      <c r="F150" s="56">
        <v>374.74400000000003</v>
      </c>
      <c r="H150" s="56">
        <v>373.74400000000003</v>
      </c>
      <c r="K150" s="56">
        <v>373.74400000000003</v>
      </c>
    </row>
    <row r="151" spans="1:14" ht="15" x14ac:dyDescent="0.15">
      <c r="A151" s="38">
        <v>42884</v>
      </c>
      <c r="B151" s="56">
        <v>373.74400000000003</v>
      </c>
      <c r="G151" s="56">
        <v>373.74400000000003</v>
      </c>
      <c r="I151" s="56">
        <v>373.74400000000003</v>
      </c>
      <c r="M151" s="56">
        <v>373.74400000000003</v>
      </c>
    </row>
    <row r="152" spans="1:14" ht="15" x14ac:dyDescent="0.15">
      <c r="A152" s="38">
        <v>42885</v>
      </c>
      <c r="C152" s="56">
        <v>373.74400000000003</v>
      </c>
      <c r="E152" s="56">
        <v>374.74400000000003</v>
      </c>
      <c r="J152" s="56">
        <v>373.74400000000003</v>
      </c>
      <c r="N152" s="56">
        <v>373.74400000000003</v>
      </c>
    </row>
    <row r="153" spans="1:14" ht="15" x14ac:dyDescent="0.15">
      <c r="A153" s="38">
        <v>42886</v>
      </c>
      <c r="D153" s="56">
        <v>373.74400000000003</v>
      </c>
      <c r="E153" s="57"/>
      <c r="F153" s="57"/>
      <c r="L153" s="56">
        <v>373.74400000000003</v>
      </c>
    </row>
    <row r="154" spans="1:14" ht="15" x14ac:dyDescent="0.15">
      <c r="A154" s="38">
        <v>42887</v>
      </c>
      <c r="F154" s="56">
        <v>374.74400000000003</v>
      </c>
      <c r="H154" s="56">
        <v>373.74400000000003</v>
      </c>
      <c r="K154" s="56">
        <v>373.74400000000003</v>
      </c>
    </row>
    <row r="155" spans="1:14" ht="15" x14ac:dyDescent="0.15">
      <c r="A155" s="38">
        <v>42888</v>
      </c>
      <c r="B155" s="56">
        <v>373.74400000000003</v>
      </c>
      <c r="G155" s="56">
        <v>373.74400000000003</v>
      </c>
      <c r="I155" s="56">
        <v>373.74400000000003</v>
      </c>
      <c r="M155" s="56">
        <v>373.74400000000003</v>
      </c>
    </row>
    <row r="156" spans="1:14" ht="15" x14ac:dyDescent="0.15">
      <c r="A156" s="38">
        <v>42889</v>
      </c>
      <c r="C156" s="56">
        <v>373.74400000000003</v>
      </c>
      <c r="E156" s="56">
        <v>374.74400000000003</v>
      </c>
      <c r="J156" s="56">
        <v>373.74400000000003</v>
      </c>
      <c r="N156" s="56">
        <v>373.74400000000003</v>
      </c>
    </row>
    <row r="157" spans="1:14" ht="15" x14ac:dyDescent="0.15">
      <c r="A157" s="38">
        <v>42890</v>
      </c>
      <c r="D157" s="56">
        <v>373.74400000000003</v>
      </c>
      <c r="E157" s="57"/>
      <c r="F157" s="57"/>
      <c r="L157" s="56">
        <v>373.74400000000003</v>
      </c>
    </row>
    <row r="158" spans="1:14" ht="15" x14ac:dyDescent="0.15">
      <c r="A158" s="38">
        <v>42891</v>
      </c>
      <c r="F158" s="56">
        <v>374.74400000000003</v>
      </c>
      <c r="H158" s="56">
        <v>373.74400000000003</v>
      </c>
      <c r="K158" s="56">
        <v>373.74400000000003</v>
      </c>
    </row>
    <row r="159" spans="1:14" ht="15" x14ac:dyDescent="0.15">
      <c r="A159" s="38">
        <v>42892</v>
      </c>
      <c r="B159" s="56">
        <v>373.74400000000003</v>
      </c>
      <c r="G159" s="56">
        <v>373.74400000000003</v>
      </c>
      <c r="I159" s="56">
        <v>373.74400000000003</v>
      </c>
      <c r="M159" s="56">
        <v>373.74400000000003</v>
      </c>
    </row>
    <row r="160" spans="1:14" ht="15" x14ac:dyDescent="0.15">
      <c r="A160" s="38">
        <v>42893</v>
      </c>
      <c r="C160" s="56">
        <v>373.74400000000003</v>
      </c>
      <c r="E160" s="56">
        <v>374.74400000000003</v>
      </c>
      <c r="J160" s="56">
        <v>373.74400000000003</v>
      </c>
      <c r="N160" s="56">
        <v>373.74400000000003</v>
      </c>
    </row>
    <row r="161" spans="1:14" ht="15" x14ac:dyDescent="0.15">
      <c r="A161" s="38">
        <v>42894</v>
      </c>
      <c r="D161" s="56">
        <v>373.74400000000003</v>
      </c>
      <c r="E161" s="57"/>
      <c r="F161" s="57"/>
      <c r="L161" s="56">
        <v>373.74400000000003</v>
      </c>
    </row>
    <row r="162" spans="1:14" ht="15" x14ac:dyDescent="0.15">
      <c r="A162" s="38">
        <v>42895</v>
      </c>
      <c r="F162" s="56">
        <v>374.74400000000003</v>
      </c>
      <c r="H162" s="56">
        <v>373.74400000000003</v>
      </c>
      <c r="K162" s="56">
        <v>373.74400000000003</v>
      </c>
    </row>
    <row r="163" spans="1:14" ht="15" x14ac:dyDescent="0.15">
      <c r="A163" s="38">
        <v>42896</v>
      </c>
      <c r="B163" s="56">
        <v>373.74400000000003</v>
      </c>
      <c r="G163" s="56">
        <v>373.74400000000003</v>
      </c>
      <c r="I163" s="56">
        <v>373.74400000000003</v>
      </c>
      <c r="M163" s="56">
        <v>373.74400000000003</v>
      </c>
    </row>
    <row r="164" spans="1:14" ht="15" x14ac:dyDescent="0.15">
      <c r="A164" s="38">
        <v>42897</v>
      </c>
      <c r="C164" s="56">
        <v>373.74400000000003</v>
      </c>
      <c r="E164" s="56">
        <v>374.74400000000003</v>
      </c>
      <c r="J164" s="56">
        <v>373.74400000000003</v>
      </c>
      <c r="N164" s="56">
        <v>373.74400000000003</v>
      </c>
    </row>
    <row r="165" spans="1:14" ht="15" x14ac:dyDescent="0.15">
      <c r="A165" s="38">
        <v>42898</v>
      </c>
      <c r="D165" s="56">
        <v>373.74400000000003</v>
      </c>
      <c r="E165" s="57"/>
      <c r="F165" s="57"/>
      <c r="L165" s="56">
        <v>373.74400000000003</v>
      </c>
    </row>
    <row r="166" spans="1:14" ht="15" x14ac:dyDescent="0.15">
      <c r="A166" s="38">
        <v>42899</v>
      </c>
      <c r="F166" s="56">
        <v>374.74400000000003</v>
      </c>
      <c r="H166" s="56">
        <v>373.74400000000003</v>
      </c>
      <c r="K166" s="56">
        <v>373.74400000000003</v>
      </c>
    </row>
    <row r="167" spans="1:14" ht="15" x14ac:dyDescent="0.15">
      <c r="A167" s="38">
        <v>42900</v>
      </c>
      <c r="B167" s="56">
        <v>373.74400000000003</v>
      </c>
      <c r="G167" s="56">
        <v>373.74400000000003</v>
      </c>
      <c r="I167" s="56">
        <v>373.74400000000003</v>
      </c>
      <c r="M167" s="56">
        <v>373.74400000000003</v>
      </c>
    </row>
    <row r="168" spans="1:14" ht="15" x14ac:dyDescent="0.15">
      <c r="A168" s="38">
        <v>42901</v>
      </c>
      <c r="C168" s="56">
        <v>373.74400000000003</v>
      </c>
      <c r="E168" s="56">
        <v>374.74400000000003</v>
      </c>
      <c r="J168" s="56">
        <v>373.74400000000003</v>
      </c>
      <c r="N168" s="56">
        <v>373.74400000000003</v>
      </c>
    </row>
    <row r="169" spans="1:14" ht="15" x14ac:dyDescent="0.15">
      <c r="A169" s="38">
        <v>42902</v>
      </c>
      <c r="D169" s="56">
        <v>373.74400000000003</v>
      </c>
      <c r="E169" s="57"/>
      <c r="F169" s="57"/>
      <c r="L169" s="56">
        <v>373.74400000000003</v>
      </c>
    </row>
    <row r="170" spans="1:14" ht="15" x14ac:dyDescent="0.15">
      <c r="A170" s="38">
        <v>42903</v>
      </c>
      <c r="F170" s="56">
        <v>374.74400000000003</v>
      </c>
      <c r="H170" s="56">
        <v>373.74400000000003</v>
      </c>
      <c r="K170" s="56">
        <v>373.74400000000003</v>
      </c>
    </row>
    <row r="171" spans="1:14" ht="15" x14ac:dyDescent="0.15">
      <c r="A171" s="38">
        <v>42904</v>
      </c>
      <c r="B171" s="56">
        <v>373.74400000000003</v>
      </c>
      <c r="G171" s="56">
        <v>373.74400000000003</v>
      </c>
      <c r="I171" s="56">
        <v>373.74400000000003</v>
      </c>
      <c r="M171" s="56">
        <v>373.74400000000003</v>
      </c>
    </row>
    <row r="172" spans="1:14" ht="15" x14ac:dyDescent="0.15">
      <c r="A172" s="38">
        <v>42905</v>
      </c>
      <c r="C172" s="56">
        <v>373.74400000000003</v>
      </c>
      <c r="E172" s="56">
        <v>374.74400000000003</v>
      </c>
      <c r="J172" s="56">
        <v>373.74400000000003</v>
      </c>
      <c r="N172" s="56">
        <v>373.74400000000003</v>
      </c>
    </row>
    <row r="173" spans="1:14" ht="15" x14ac:dyDescent="0.15">
      <c r="A173" s="38">
        <v>42906</v>
      </c>
      <c r="D173" s="56">
        <v>373.74400000000003</v>
      </c>
      <c r="E173" s="57"/>
      <c r="F173" s="57"/>
      <c r="L173" s="56">
        <v>373.74400000000003</v>
      </c>
    </row>
    <row r="174" spans="1:14" ht="15" x14ac:dyDescent="0.15">
      <c r="A174" s="38">
        <v>42907</v>
      </c>
      <c r="F174" s="56">
        <v>374.74400000000003</v>
      </c>
      <c r="H174" s="56">
        <v>373.74400000000003</v>
      </c>
      <c r="K174" s="56">
        <v>373.74400000000003</v>
      </c>
    </row>
    <row r="175" spans="1:14" ht="15" x14ac:dyDescent="0.15">
      <c r="A175" s="38">
        <v>42908</v>
      </c>
      <c r="B175" s="56">
        <v>373.74400000000003</v>
      </c>
      <c r="G175" s="56">
        <v>373.74400000000003</v>
      </c>
      <c r="I175" s="56">
        <v>373.74400000000003</v>
      </c>
      <c r="M175" s="56">
        <v>373.74400000000003</v>
      </c>
    </row>
    <row r="176" spans="1:14" ht="15" x14ac:dyDescent="0.15">
      <c r="A176" s="38">
        <v>42909</v>
      </c>
      <c r="C176" s="56">
        <v>373.74400000000003</v>
      </c>
      <c r="E176" s="56">
        <v>374.74400000000003</v>
      </c>
      <c r="J176" s="56">
        <v>373.74400000000003</v>
      </c>
      <c r="N176" s="56">
        <v>373.74400000000003</v>
      </c>
    </row>
    <row r="177" spans="1:14" ht="15" x14ac:dyDescent="0.15">
      <c r="A177" s="38">
        <v>42910</v>
      </c>
      <c r="D177" s="56">
        <v>373.74400000000003</v>
      </c>
      <c r="E177" s="57"/>
      <c r="F177" s="57"/>
      <c r="L177" s="56">
        <v>373.74400000000003</v>
      </c>
    </row>
    <row r="178" spans="1:14" ht="15" x14ac:dyDescent="0.15">
      <c r="A178" s="38">
        <v>42911</v>
      </c>
      <c r="F178" s="56">
        <v>374.74400000000003</v>
      </c>
      <c r="H178" s="56">
        <v>373.74400000000003</v>
      </c>
      <c r="K178" s="56">
        <v>373.74400000000003</v>
      </c>
    </row>
    <row r="179" spans="1:14" ht="15" x14ac:dyDescent="0.15">
      <c r="A179" s="38">
        <v>42912</v>
      </c>
      <c r="B179" s="56">
        <v>373.74400000000003</v>
      </c>
      <c r="G179" s="56">
        <v>373.74400000000003</v>
      </c>
      <c r="I179" s="56">
        <v>373.74400000000003</v>
      </c>
      <c r="M179" s="56">
        <v>373.74400000000003</v>
      </c>
    </row>
    <row r="180" spans="1:14" ht="15" x14ac:dyDescent="0.15">
      <c r="A180" s="38">
        <v>42913</v>
      </c>
      <c r="C180" s="56">
        <v>373.74400000000003</v>
      </c>
      <c r="E180" s="56">
        <v>374.74400000000003</v>
      </c>
      <c r="J180" s="56">
        <v>373.74400000000003</v>
      </c>
      <c r="N180" s="56">
        <v>373.74400000000003</v>
      </c>
    </row>
    <row r="181" spans="1:14" ht="15" x14ac:dyDescent="0.15">
      <c r="A181" s="38">
        <v>42914</v>
      </c>
      <c r="D181" s="56">
        <v>373.74400000000003</v>
      </c>
      <c r="E181" s="57"/>
      <c r="F181" s="57"/>
      <c r="L181" s="56">
        <v>373.74400000000003</v>
      </c>
    </row>
    <row r="182" spans="1:14" ht="15" x14ac:dyDescent="0.15">
      <c r="A182" s="38">
        <v>42915</v>
      </c>
      <c r="F182" s="56">
        <v>374.74400000000003</v>
      </c>
      <c r="H182" s="56">
        <v>373.74400000000003</v>
      </c>
      <c r="K182" s="56">
        <v>373.74400000000003</v>
      </c>
    </row>
    <row r="183" spans="1:14" ht="15" x14ac:dyDescent="0.15">
      <c r="A183" s="38">
        <v>42916</v>
      </c>
      <c r="B183" s="56">
        <v>373.74400000000003</v>
      </c>
      <c r="G183" s="56">
        <v>373.74400000000003</v>
      </c>
      <c r="I183" s="56">
        <v>373.74400000000003</v>
      </c>
      <c r="M183" s="56">
        <v>373.74400000000003</v>
      </c>
    </row>
    <row r="184" spans="1:14" ht="15" x14ac:dyDescent="0.15">
      <c r="A184" s="38">
        <v>42917</v>
      </c>
      <c r="C184" s="56">
        <v>373.74400000000003</v>
      </c>
      <c r="E184" s="56">
        <v>374.74400000000003</v>
      </c>
      <c r="J184" s="56">
        <v>373.74400000000003</v>
      </c>
      <c r="N184" s="56">
        <v>373.74400000000003</v>
      </c>
    </row>
    <row r="185" spans="1:14" ht="15" x14ac:dyDescent="0.15">
      <c r="A185" s="38">
        <v>42918</v>
      </c>
      <c r="D185" s="56">
        <v>373.74400000000003</v>
      </c>
      <c r="E185" s="57"/>
      <c r="F185" s="57"/>
      <c r="L185" s="56">
        <v>373.74400000000003</v>
      </c>
    </row>
    <row r="186" spans="1:14" ht="15" x14ac:dyDescent="0.15">
      <c r="A186" s="38">
        <v>42919</v>
      </c>
      <c r="F186" s="56">
        <v>374.74400000000003</v>
      </c>
      <c r="H186" s="56">
        <v>373.74400000000003</v>
      </c>
      <c r="K186" s="56">
        <v>373.74400000000003</v>
      </c>
    </row>
    <row r="187" spans="1:14" ht="15" x14ac:dyDescent="0.15">
      <c r="A187" s="38">
        <v>42920</v>
      </c>
      <c r="B187" s="56">
        <v>373.74400000000003</v>
      </c>
      <c r="G187" s="56">
        <v>373.74400000000003</v>
      </c>
      <c r="I187" s="56">
        <v>373.74400000000003</v>
      </c>
      <c r="M187" s="56">
        <v>373.74400000000003</v>
      </c>
    </row>
    <row r="188" spans="1:14" ht="15" x14ac:dyDescent="0.15">
      <c r="A188" s="38">
        <v>42921</v>
      </c>
      <c r="C188" s="56">
        <v>373.74400000000003</v>
      </c>
      <c r="E188" s="56">
        <v>374.74400000000003</v>
      </c>
      <c r="J188" s="56">
        <v>373.74400000000003</v>
      </c>
      <c r="N188" s="56">
        <v>373.74400000000003</v>
      </c>
    </row>
    <row r="189" spans="1:14" ht="15" x14ac:dyDescent="0.15">
      <c r="A189" s="38">
        <v>42922</v>
      </c>
      <c r="D189" s="56">
        <v>373.74400000000003</v>
      </c>
      <c r="E189" s="57"/>
      <c r="F189" s="57"/>
      <c r="L189" s="56">
        <v>373.74400000000003</v>
      </c>
    </row>
    <row r="190" spans="1:14" ht="15" x14ac:dyDescent="0.15">
      <c r="A190" s="38">
        <v>42923</v>
      </c>
      <c r="F190" s="56">
        <v>374.74400000000003</v>
      </c>
      <c r="H190" s="56">
        <v>373.74400000000003</v>
      </c>
      <c r="K190" s="56">
        <v>373.74400000000003</v>
      </c>
    </row>
    <row r="191" spans="1:14" ht="15" x14ac:dyDescent="0.15">
      <c r="A191" s="38">
        <v>42924</v>
      </c>
      <c r="B191" s="56">
        <v>373.74400000000003</v>
      </c>
      <c r="G191" s="56">
        <v>373.74400000000003</v>
      </c>
      <c r="I191" s="56">
        <v>373.74400000000003</v>
      </c>
      <c r="M191" s="56">
        <v>373.74400000000003</v>
      </c>
    </row>
    <row r="192" spans="1:14" ht="15" x14ac:dyDescent="0.15">
      <c r="A192" s="38">
        <v>42925</v>
      </c>
      <c r="C192" s="56">
        <v>373.74400000000003</v>
      </c>
      <c r="E192" s="56">
        <v>374.74400000000003</v>
      </c>
      <c r="J192" s="56">
        <v>373.74400000000003</v>
      </c>
      <c r="N192" s="56">
        <v>373.74400000000003</v>
      </c>
    </row>
    <row r="193" spans="1:14" ht="15" x14ac:dyDescent="0.15">
      <c r="A193" s="38">
        <v>42926</v>
      </c>
      <c r="D193" s="56">
        <v>373.74400000000003</v>
      </c>
      <c r="E193" s="57"/>
      <c r="F193" s="57"/>
      <c r="L193" s="56">
        <v>373.74400000000003</v>
      </c>
    </row>
    <row r="194" spans="1:14" ht="15" x14ac:dyDescent="0.15">
      <c r="A194" s="38">
        <v>42927</v>
      </c>
      <c r="F194" s="56">
        <v>374.74400000000003</v>
      </c>
      <c r="H194" s="56">
        <v>373.74400000000003</v>
      </c>
      <c r="K194" s="56">
        <v>373.74400000000003</v>
      </c>
    </row>
    <row r="195" spans="1:14" ht="15" x14ac:dyDescent="0.15">
      <c r="A195" s="38">
        <v>42928</v>
      </c>
      <c r="B195" s="56">
        <v>373.74400000000003</v>
      </c>
      <c r="G195" s="56">
        <v>373.74400000000003</v>
      </c>
      <c r="I195" s="56">
        <v>373.74400000000003</v>
      </c>
      <c r="M195" s="56">
        <v>373.74400000000003</v>
      </c>
    </row>
    <row r="196" spans="1:14" ht="15" x14ac:dyDescent="0.15">
      <c r="A196" s="38">
        <v>42929</v>
      </c>
      <c r="C196" s="56">
        <v>373.74400000000003</v>
      </c>
      <c r="E196" s="56">
        <v>374.74400000000003</v>
      </c>
      <c r="J196" s="56">
        <v>373.74400000000003</v>
      </c>
      <c r="N196" s="56">
        <v>373.74400000000003</v>
      </c>
    </row>
    <row r="197" spans="1:14" ht="15" x14ac:dyDescent="0.15">
      <c r="A197" s="38">
        <v>42930</v>
      </c>
      <c r="D197" s="56">
        <v>373.74400000000003</v>
      </c>
      <c r="E197" s="57"/>
      <c r="F197" s="57"/>
      <c r="L197" s="56">
        <v>373.74400000000003</v>
      </c>
    </row>
    <row r="198" spans="1:14" ht="15" x14ac:dyDescent="0.15">
      <c r="A198" s="38">
        <v>42931</v>
      </c>
      <c r="F198" s="56">
        <v>374.74400000000003</v>
      </c>
      <c r="H198" s="56">
        <v>373.74400000000003</v>
      </c>
      <c r="K198" s="56">
        <v>373.74400000000003</v>
      </c>
    </row>
    <row r="199" spans="1:14" ht="15" x14ac:dyDescent="0.15">
      <c r="A199" s="38">
        <v>42932</v>
      </c>
      <c r="B199" s="56">
        <v>373.74400000000003</v>
      </c>
      <c r="G199" s="56">
        <v>373.74400000000003</v>
      </c>
      <c r="I199" s="56">
        <v>373.74400000000003</v>
      </c>
      <c r="M199" s="56">
        <v>373.74400000000003</v>
      </c>
    </row>
    <row r="200" spans="1:14" ht="15" x14ac:dyDescent="0.15">
      <c r="A200" s="38">
        <v>42933</v>
      </c>
      <c r="C200" s="56">
        <v>373.74400000000003</v>
      </c>
      <c r="E200" s="56">
        <v>374.74400000000003</v>
      </c>
      <c r="J200" s="56">
        <v>373.74400000000003</v>
      </c>
      <c r="N200" s="56">
        <v>373.74400000000003</v>
      </c>
    </row>
    <row r="201" spans="1:14" ht="15" x14ac:dyDescent="0.15">
      <c r="A201" s="38">
        <v>42934</v>
      </c>
      <c r="D201" s="56">
        <v>373.74400000000003</v>
      </c>
      <c r="E201" s="57"/>
      <c r="F201" s="57"/>
      <c r="L201" s="56">
        <v>373.74400000000003</v>
      </c>
    </row>
    <row r="202" spans="1:14" ht="15" x14ac:dyDescent="0.15">
      <c r="A202" s="38">
        <v>42935</v>
      </c>
      <c r="F202" s="56">
        <v>374.74400000000003</v>
      </c>
      <c r="H202" s="56">
        <v>373.74400000000003</v>
      </c>
      <c r="K202" s="56">
        <v>373.74400000000003</v>
      </c>
    </row>
    <row r="203" spans="1:14" ht="15" x14ac:dyDescent="0.15">
      <c r="A203" s="38">
        <v>42936</v>
      </c>
      <c r="B203" s="56">
        <v>373.74400000000003</v>
      </c>
      <c r="G203" s="56">
        <v>373.74400000000003</v>
      </c>
      <c r="I203" s="56">
        <v>373.74400000000003</v>
      </c>
      <c r="M203" s="56">
        <v>373.74400000000003</v>
      </c>
    </row>
    <row r="204" spans="1:14" ht="15" x14ac:dyDescent="0.15">
      <c r="A204" s="38">
        <v>42937</v>
      </c>
      <c r="C204" s="56">
        <v>373.74400000000003</v>
      </c>
      <c r="E204" s="56">
        <v>374.74400000000003</v>
      </c>
      <c r="J204" s="56">
        <v>373.74400000000003</v>
      </c>
      <c r="N204" s="56">
        <v>373.74400000000003</v>
      </c>
    </row>
    <row r="205" spans="1:14" ht="15" x14ac:dyDescent="0.15">
      <c r="A205" s="38">
        <v>42938</v>
      </c>
      <c r="D205" s="56">
        <v>373.74400000000003</v>
      </c>
      <c r="E205" s="57"/>
      <c r="F205" s="57"/>
      <c r="L205" s="56">
        <v>373.74400000000003</v>
      </c>
    </row>
    <row r="206" spans="1:14" ht="15" x14ac:dyDescent="0.15">
      <c r="A206" s="38">
        <v>42939</v>
      </c>
      <c r="F206" s="56">
        <v>374.74400000000003</v>
      </c>
      <c r="H206" s="56">
        <v>373.74400000000003</v>
      </c>
      <c r="K206" s="56">
        <v>373.74400000000003</v>
      </c>
    </row>
    <row r="207" spans="1:14" ht="15" x14ac:dyDescent="0.15">
      <c r="A207" s="38">
        <v>42940</v>
      </c>
      <c r="B207" s="56">
        <v>373.74400000000003</v>
      </c>
      <c r="G207" s="56">
        <v>373.74400000000003</v>
      </c>
      <c r="I207" s="56">
        <v>373.74400000000003</v>
      </c>
      <c r="M207" s="56">
        <v>373.74400000000003</v>
      </c>
    </row>
    <row r="208" spans="1:14" ht="15" x14ac:dyDescent="0.15">
      <c r="A208" s="38">
        <v>42941</v>
      </c>
      <c r="C208" s="56">
        <v>373.74400000000003</v>
      </c>
      <c r="E208" s="56">
        <v>374.74400000000003</v>
      </c>
      <c r="J208" s="56">
        <v>373.74400000000003</v>
      </c>
      <c r="N208" s="56">
        <v>373.74400000000003</v>
      </c>
    </row>
    <row r="209" spans="1:14" ht="15" x14ac:dyDescent="0.15">
      <c r="A209" s="38">
        <v>42942</v>
      </c>
      <c r="D209" s="56">
        <v>373.74400000000003</v>
      </c>
      <c r="E209" s="57"/>
      <c r="F209" s="57"/>
      <c r="L209" s="56">
        <v>373.74400000000003</v>
      </c>
    </row>
    <row r="210" spans="1:14" ht="15" x14ac:dyDescent="0.15">
      <c r="A210" s="38">
        <v>42943</v>
      </c>
      <c r="F210" s="56">
        <v>374.74400000000003</v>
      </c>
      <c r="H210" s="56">
        <v>373.74400000000003</v>
      </c>
      <c r="K210" s="56">
        <v>373.74400000000003</v>
      </c>
    </row>
    <row r="211" spans="1:14" ht="15" x14ac:dyDescent="0.15">
      <c r="A211" s="38">
        <v>42944</v>
      </c>
      <c r="B211" s="56">
        <v>373.74400000000003</v>
      </c>
      <c r="G211" s="56">
        <v>373.74400000000003</v>
      </c>
      <c r="I211" s="56">
        <v>373.74400000000003</v>
      </c>
      <c r="M211" s="56">
        <v>373.74400000000003</v>
      </c>
    </row>
    <row r="212" spans="1:14" ht="15" x14ac:dyDescent="0.15">
      <c r="A212" s="38">
        <v>42945</v>
      </c>
      <c r="C212" s="56">
        <v>373.74400000000003</v>
      </c>
      <c r="E212" s="56">
        <v>374.74400000000003</v>
      </c>
      <c r="J212" s="56">
        <v>373.74400000000003</v>
      </c>
      <c r="N212" s="56">
        <v>373.74400000000003</v>
      </c>
    </row>
    <row r="213" spans="1:14" ht="15" x14ac:dyDescent="0.15">
      <c r="A213" s="38">
        <v>42946</v>
      </c>
      <c r="D213" s="56">
        <v>373.74400000000003</v>
      </c>
      <c r="E213" s="57"/>
      <c r="F213" s="57"/>
      <c r="L213" s="56">
        <v>373.74400000000003</v>
      </c>
    </row>
    <row r="214" spans="1:14" ht="15" x14ac:dyDescent="0.15">
      <c r="A214" s="38">
        <v>42947</v>
      </c>
      <c r="F214" s="56">
        <v>374.74400000000003</v>
      </c>
      <c r="H214" s="56">
        <v>373.74400000000003</v>
      </c>
      <c r="K214" s="56">
        <v>373.74400000000003</v>
      </c>
    </row>
    <row r="215" spans="1:14" ht="15" x14ac:dyDescent="0.15">
      <c r="A215" s="38">
        <v>42948</v>
      </c>
      <c r="B215" s="56">
        <v>373.74400000000003</v>
      </c>
      <c r="G215" s="56">
        <v>373.74400000000003</v>
      </c>
      <c r="I215" s="56">
        <v>373.74400000000003</v>
      </c>
      <c r="M215" s="56">
        <v>373.74400000000003</v>
      </c>
    </row>
    <row r="216" spans="1:14" ht="15" x14ac:dyDescent="0.15">
      <c r="A216" s="38">
        <v>42949</v>
      </c>
      <c r="C216" s="56">
        <v>373.74400000000003</v>
      </c>
      <c r="E216" s="56">
        <v>374.74400000000003</v>
      </c>
      <c r="J216" s="56">
        <v>373.74400000000003</v>
      </c>
      <c r="N216" s="56">
        <v>373.74400000000003</v>
      </c>
    </row>
    <row r="217" spans="1:14" ht="15" x14ac:dyDescent="0.15">
      <c r="A217" s="38">
        <v>42950</v>
      </c>
      <c r="D217" s="56">
        <v>373.74400000000003</v>
      </c>
      <c r="E217" s="57"/>
      <c r="F217" s="57"/>
      <c r="L217" s="56">
        <v>373.74400000000003</v>
      </c>
    </row>
    <row r="218" spans="1:14" ht="15" x14ac:dyDescent="0.15">
      <c r="A218" s="38">
        <v>42951</v>
      </c>
      <c r="F218" s="56">
        <v>374.74400000000003</v>
      </c>
      <c r="H218" s="56">
        <v>373.74400000000003</v>
      </c>
      <c r="K218" s="56">
        <v>373.74400000000003</v>
      </c>
    </row>
    <row r="219" spans="1:14" ht="15" x14ac:dyDescent="0.15">
      <c r="A219" s="38">
        <v>42952</v>
      </c>
      <c r="B219" s="56">
        <v>373.74400000000003</v>
      </c>
      <c r="G219" s="56">
        <v>373.74400000000003</v>
      </c>
      <c r="I219" s="56">
        <v>373.74400000000003</v>
      </c>
      <c r="M219" s="56">
        <v>373.74400000000003</v>
      </c>
    </row>
    <row r="220" spans="1:14" ht="15" x14ac:dyDescent="0.15">
      <c r="A220" s="38">
        <v>42953</v>
      </c>
      <c r="C220" s="56">
        <v>373.74400000000003</v>
      </c>
      <c r="E220" s="56">
        <v>374.74400000000003</v>
      </c>
      <c r="J220" s="56">
        <v>373.74400000000003</v>
      </c>
      <c r="N220" s="56">
        <v>373.74400000000003</v>
      </c>
    </row>
    <row r="221" spans="1:14" ht="15" x14ac:dyDescent="0.15">
      <c r="A221" s="38">
        <v>42954</v>
      </c>
      <c r="D221" s="56">
        <v>373.74400000000003</v>
      </c>
      <c r="E221" s="57"/>
      <c r="F221" s="57"/>
      <c r="L221" s="56">
        <v>373.74400000000003</v>
      </c>
    </row>
    <row r="222" spans="1:14" ht="15" x14ac:dyDescent="0.15">
      <c r="A222" s="38">
        <v>42955</v>
      </c>
      <c r="F222" s="56">
        <v>374.74400000000003</v>
      </c>
      <c r="H222" s="56">
        <v>373.74400000000003</v>
      </c>
      <c r="K222" s="56">
        <v>373.74400000000003</v>
      </c>
    </row>
    <row r="223" spans="1:14" ht="15" x14ac:dyDescent="0.15">
      <c r="A223" s="38">
        <v>42956</v>
      </c>
      <c r="B223" s="56">
        <v>373.74400000000003</v>
      </c>
      <c r="G223" s="56">
        <v>373.74400000000003</v>
      </c>
      <c r="I223" s="56">
        <v>373.74400000000003</v>
      </c>
      <c r="M223" s="56">
        <v>373.74400000000003</v>
      </c>
    </row>
    <row r="224" spans="1:14" ht="15" x14ac:dyDescent="0.15">
      <c r="A224" s="38">
        <v>42957</v>
      </c>
      <c r="C224" s="56">
        <v>373.74400000000003</v>
      </c>
      <c r="E224" s="56">
        <v>374.74400000000003</v>
      </c>
      <c r="J224" s="56">
        <v>373.74400000000003</v>
      </c>
      <c r="N224" s="56">
        <v>373.74400000000003</v>
      </c>
    </row>
    <row r="225" spans="1:14" ht="15" x14ac:dyDescent="0.15">
      <c r="A225" s="38">
        <v>42958</v>
      </c>
      <c r="D225" s="56">
        <v>373.74400000000003</v>
      </c>
      <c r="E225" s="57"/>
      <c r="F225" s="57"/>
      <c r="L225" s="56">
        <v>373.74400000000003</v>
      </c>
    </row>
    <row r="226" spans="1:14" ht="15" x14ac:dyDescent="0.15">
      <c r="A226" s="38">
        <v>42959</v>
      </c>
      <c r="F226" s="56">
        <v>374.74400000000003</v>
      </c>
      <c r="H226" s="56">
        <v>373.74400000000003</v>
      </c>
      <c r="K226" s="56">
        <v>373.74400000000003</v>
      </c>
    </row>
    <row r="227" spans="1:14" ht="15" x14ac:dyDescent="0.15">
      <c r="A227" s="38">
        <v>42960</v>
      </c>
      <c r="B227" s="56">
        <v>373.74400000000003</v>
      </c>
      <c r="G227" s="56">
        <v>373.74400000000003</v>
      </c>
      <c r="I227" s="56">
        <v>373.74400000000003</v>
      </c>
      <c r="M227" s="56">
        <v>373.74400000000003</v>
      </c>
    </row>
    <row r="228" spans="1:14" ht="15" x14ac:dyDescent="0.15">
      <c r="A228" s="38">
        <v>42961</v>
      </c>
      <c r="C228" s="56">
        <v>373.74400000000003</v>
      </c>
      <c r="E228" s="56">
        <v>374.74400000000003</v>
      </c>
      <c r="J228" s="56">
        <v>373.74400000000003</v>
      </c>
      <c r="N228" s="56">
        <v>373.74400000000003</v>
      </c>
    </row>
    <row r="229" spans="1:14" ht="15" x14ac:dyDescent="0.15">
      <c r="A229" s="38">
        <v>42962</v>
      </c>
      <c r="D229" s="56">
        <v>373.74400000000003</v>
      </c>
      <c r="E229" s="57"/>
      <c r="F229" s="57"/>
      <c r="L229" s="56">
        <v>373.74400000000003</v>
      </c>
    </row>
    <row r="230" spans="1:14" ht="15" x14ac:dyDescent="0.15">
      <c r="A230" s="38">
        <v>42963</v>
      </c>
      <c r="F230" s="56">
        <v>374.74400000000003</v>
      </c>
      <c r="H230" s="56">
        <v>373.74400000000003</v>
      </c>
      <c r="K230" s="56">
        <v>373.74400000000003</v>
      </c>
    </row>
    <row r="231" spans="1:14" ht="15" x14ac:dyDescent="0.15">
      <c r="A231" s="38">
        <v>42964</v>
      </c>
      <c r="B231" s="56">
        <v>373.74400000000003</v>
      </c>
      <c r="G231" s="56">
        <v>373.74400000000003</v>
      </c>
      <c r="I231" s="56">
        <v>373.74400000000003</v>
      </c>
      <c r="M231" s="56">
        <v>373.74400000000003</v>
      </c>
    </row>
    <row r="232" spans="1:14" ht="15" x14ac:dyDescent="0.15">
      <c r="A232" s="38">
        <v>42965</v>
      </c>
      <c r="C232" s="56">
        <v>373.74400000000003</v>
      </c>
      <c r="E232" s="56">
        <v>374.74400000000003</v>
      </c>
      <c r="J232" s="56">
        <v>373.74400000000003</v>
      </c>
      <c r="N232" s="56">
        <v>373.74400000000003</v>
      </c>
    </row>
    <row r="233" spans="1:14" ht="15" x14ac:dyDescent="0.15">
      <c r="A233" s="38">
        <v>42966</v>
      </c>
      <c r="D233" s="56">
        <v>373.74400000000003</v>
      </c>
      <c r="E233" s="57"/>
      <c r="F233" s="57"/>
      <c r="L233" s="56">
        <v>373.74400000000003</v>
      </c>
    </row>
    <row r="234" spans="1:14" ht="15" x14ac:dyDescent="0.15">
      <c r="A234" s="38">
        <v>42967</v>
      </c>
      <c r="F234" s="56">
        <v>374.74400000000003</v>
      </c>
      <c r="H234" s="56">
        <v>373.74400000000003</v>
      </c>
      <c r="K234" s="56">
        <v>373.74400000000003</v>
      </c>
    </row>
    <row r="235" spans="1:14" ht="15" x14ac:dyDescent="0.15">
      <c r="A235" s="38">
        <v>42968</v>
      </c>
      <c r="B235" s="56">
        <v>373.74400000000003</v>
      </c>
      <c r="G235" s="56">
        <v>373.74400000000003</v>
      </c>
      <c r="I235" s="56">
        <v>373.74400000000003</v>
      </c>
      <c r="M235" s="56">
        <v>373.74400000000003</v>
      </c>
    </row>
    <row r="236" spans="1:14" ht="15" x14ac:dyDescent="0.15">
      <c r="A236" s="38">
        <v>42969</v>
      </c>
      <c r="C236" s="56">
        <v>373.74400000000003</v>
      </c>
      <c r="E236" s="56">
        <v>374.74400000000003</v>
      </c>
      <c r="J236" s="56">
        <v>373.74400000000003</v>
      </c>
      <c r="N236" s="56">
        <v>373.74400000000003</v>
      </c>
    </row>
    <row r="237" spans="1:14" ht="15" x14ac:dyDescent="0.15">
      <c r="A237" s="38">
        <v>42970</v>
      </c>
      <c r="D237" s="56">
        <v>373.74400000000003</v>
      </c>
      <c r="E237" s="57"/>
      <c r="F237" s="57"/>
      <c r="L237" s="56">
        <v>373.74400000000003</v>
      </c>
    </row>
    <row r="238" spans="1:14" ht="15" x14ac:dyDescent="0.15">
      <c r="A238" s="38">
        <v>42971</v>
      </c>
      <c r="F238" s="56">
        <v>374.74400000000003</v>
      </c>
      <c r="H238" s="56">
        <v>373.74400000000003</v>
      </c>
      <c r="K238" s="56">
        <v>373.74400000000003</v>
      </c>
    </row>
    <row r="239" spans="1:14" ht="15" x14ac:dyDescent="0.15">
      <c r="A239" s="38">
        <v>42972</v>
      </c>
      <c r="B239" s="56">
        <v>373.74400000000003</v>
      </c>
      <c r="G239" s="56">
        <v>373.74400000000003</v>
      </c>
      <c r="I239" s="56">
        <v>373.74400000000003</v>
      </c>
      <c r="M239" s="56">
        <v>373.74400000000003</v>
      </c>
    </row>
    <row r="240" spans="1:14" ht="15" x14ac:dyDescent="0.15">
      <c r="A240" s="38">
        <v>42973</v>
      </c>
      <c r="C240" s="56">
        <v>373.74400000000003</v>
      </c>
      <c r="E240" s="56">
        <v>374.74400000000003</v>
      </c>
      <c r="J240" s="56">
        <v>373.74400000000003</v>
      </c>
      <c r="N240" s="56">
        <v>373.74400000000003</v>
      </c>
    </row>
    <row r="241" spans="1:14" ht="15" x14ac:dyDescent="0.15">
      <c r="A241" s="38">
        <v>42974</v>
      </c>
      <c r="D241" s="56">
        <v>373.74400000000003</v>
      </c>
      <c r="E241" s="57"/>
      <c r="F241" s="57"/>
      <c r="L241" s="56">
        <v>373.74400000000003</v>
      </c>
    </row>
    <row r="242" spans="1:14" ht="15" x14ac:dyDescent="0.15">
      <c r="A242" s="38">
        <v>42975</v>
      </c>
      <c r="F242" s="56">
        <v>374.74400000000003</v>
      </c>
      <c r="H242" s="56">
        <v>373.74400000000003</v>
      </c>
      <c r="K242" s="56">
        <v>373.74400000000003</v>
      </c>
    </row>
    <row r="243" spans="1:14" ht="15" x14ac:dyDescent="0.15">
      <c r="A243" s="38">
        <v>42976</v>
      </c>
      <c r="B243" s="56">
        <v>373.74400000000003</v>
      </c>
      <c r="G243" s="56">
        <v>373.74400000000003</v>
      </c>
      <c r="I243" s="56">
        <v>373.74400000000003</v>
      </c>
      <c r="M243" s="56">
        <v>373.74400000000003</v>
      </c>
    </row>
    <row r="244" spans="1:14" ht="15" x14ac:dyDescent="0.15">
      <c r="A244" s="38">
        <v>42977</v>
      </c>
      <c r="C244" s="56">
        <v>373.74400000000003</v>
      </c>
      <c r="E244" s="56">
        <v>374.74400000000003</v>
      </c>
      <c r="J244" s="56">
        <v>373.74400000000003</v>
      </c>
      <c r="N244" s="56">
        <v>373.74400000000003</v>
      </c>
    </row>
    <row r="245" spans="1:14" ht="15" x14ac:dyDescent="0.15">
      <c r="A245" s="38">
        <v>42978</v>
      </c>
      <c r="D245" s="56">
        <v>373.74400000000003</v>
      </c>
      <c r="E245" s="57"/>
      <c r="F245" s="57"/>
      <c r="L245" s="56">
        <v>373.74400000000003</v>
      </c>
    </row>
    <row r="246" spans="1:14" ht="15" x14ac:dyDescent="0.15">
      <c r="A246" s="38">
        <v>42979</v>
      </c>
      <c r="F246" s="56">
        <v>374.74400000000003</v>
      </c>
      <c r="H246" s="56">
        <v>373.74400000000003</v>
      </c>
      <c r="K246" s="56">
        <v>373.74400000000003</v>
      </c>
    </row>
    <row r="247" spans="1:14" ht="15" x14ac:dyDescent="0.15">
      <c r="A247" s="38">
        <v>42980</v>
      </c>
      <c r="B247" s="56">
        <v>373.74400000000003</v>
      </c>
      <c r="G247" s="56">
        <v>373.74400000000003</v>
      </c>
      <c r="I247" s="56">
        <v>373.74400000000003</v>
      </c>
      <c r="M247" s="56">
        <v>373.74400000000003</v>
      </c>
    </row>
    <row r="248" spans="1:14" ht="15" x14ac:dyDescent="0.15">
      <c r="A248" s="38">
        <v>42981</v>
      </c>
      <c r="C248" s="56">
        <v>373.74400000000003</v>
      </c>
      <c r="E248" s="56">
        <v>374.74400000000003</v>
      </c>
      <c r="J248" s="56">
        <v>373.74400000000003</v>
      </c>
      <c r="N248" s="56">
        <v>373.74400000000003</v>
      </c>
    </row>
    <row r="249" spans="1:14" ht="15" x14ac:dyDescent="0.15">
      <c r="A249" s="38">
        <v>42982</v>
      </c>
      <c r="D249" s="56">
        <v>373.74400000000003</v>
      </c>
      <c r="E249" s="57"/>
      <c r="F249" s="57"/>
      <c r="L249" s="56">
        <v>373.74400000000003</v>
      </c>
    </row>
    <row r="250" spans="1:14" ht="15" x14ac:dyDescent="0.15">
      <c r="A250" s="38">
        <v>42983</v>
      </c>
      <c r="F250" s="56">
        <v>374.74400000000003</v>
      </c>
      <c r="H250" s="56">
        <v>373.74400000000003</v>
      </c>
      <c r="K250" s="56">
        <v>373.74400000000003</v>
      </c>
    </row>
    <row r="251" spans="1:14" ht="15" x14ac:dyDescent="0.15">
      <c r="A251" s="38">
        <v>42984</v>
      </c>
      <c r="B251" s="56">
        <v>373.74400000000003</v>
      </c>
      <c r="G251" s="56">
        <v>373.74400000000003</v>
      </c>
      <c r="I251" s="56">
        <v>373.74400000000003</v>
      </c>
      <c r="M251" s="56">
        <v>373.74400000000003</v>
      </c>
    </row>
    <row r="252" spans="1:14" ht="15" x14ac:dyDescent="0.15">
      <c r="A252" s="38">
        <v>42985</v>
      </c>
      <c r="C252" s="56">
        <v>373.74400000000003</v>
      </c>
      <c r="E252" s="56">
        <v>374.74400000000003</v>
      </c>
      <c r="J252" s="56">
        <v>373.74400000000003</v>
      </c>
      <c r="N252" s="56">
        <v>373.74400000000003</v>
      </c>
    </row>
    <row r="253" spans="1:14" ht="15" x14ac:dyDescent="0.15">
      <c r="A253" s="38">
        <v>42986</v>
      </c>
      <c r="D253" s="56">
        <v>373.74400000000003</v>
      </c>
      <c r="E253" s="57"/>
      <c r="F253" s="57"/>
      <c r="L253" s="56">
        <v>373.74400000000003</v>
      </c>
    </row>
    <row r="254" spans="1:14" ht="15" x14ac:dyDescent="0.15">
      <c r="A254" s="38">
        <v>42987</v>
      </c>
      <c r="F254" s="56">
        <v>374.74400000000003</v>
      </c>
      <c r="H254" s="56">
        <v>373.74400000000003</v>
      </c>
      <c r="K254" s="56">
        <v>373.74400000000003</v>
      </c>
    </row>
    <row r="255" spans="1:14" ht="15" x14ac:dyDescent="0.15">
      <c r="A255" s="38">
        <v>42988</v>
      </c>
      <c r="B255" s="56">
        <v>373.74400000000003</v>
      </c>
      <c r="G255" s="56">
        <v>373.74400000000003</v>
      </c>
      <c r="I255" s="56">
        <v>373.74400000000003</v>
      </c>
      <c r="M255" s="56">
        <v>373.74400000000003</v>
      </c>
    </row>
    <row r="256" spans="1:14" ht="15" x14ac:dyDescent="0.15">
      <c r="A256" s="38">
        <v>42989</v>
      </c>
      <c r="C256" s="56">
        <v>373.74400000000003</v>
      </c>
      <c r="E256" s="56">
        <v>374.74400000000003</v>
      </c>
      <c r="J256" s="56">
        <v>373.74400000000003</v>
      </c>
      <c r="N256" s="56">
        <v>373.74400000000003</v>
      </c>
    </row>
    <row r="257" spans="1:14" ht="15" x14ac:dyDescent="0.15">
      <c r="A257" s="38">
        <v>42990</v>
      </c>
      <c r="D257" s="56">
        <v>373.74400000000003</v>
      </c>
      <c r="E257" s="57"/>
      <c r="F257" s="57"/>
      <c r="L257" s="56">
        <v>373.74400000000003</v>
      </c>
    </row>
    <row r="258" spans="1:14" ht="15" x14ac:dyDescent="0.15">
      <c r="A258" s="38">
        <v>42991</v>
      </c>
      <c r="F258" s="56">
        <v>374.74400000000003</v>
      </c>
      <c r="H258" s="56">
        <v>373.74400000000003</v>
      </c>
      <c r="K258" s="56">
        <v>373.74400000000003</v>
      </c>
    </row>
    <row r="259" spans="1:14" ht="15" x14ac:dyDescent="0.15">
      <c r="A259" s="38">
        <v>42992</v>
      </c>
      <c r="B259" s="56">
        <v>373.74400000000003</v>
      </c>
      <c r="G259" s="56">
        <v>373.74400000000003</v>
      </c>
      <c r="I259" s="56">
        <v>373.74400000000003</v>
      </c>
      <c r="M259" s="56">
        <v>373.74400000000003</v>
      </c>
    </row>
    <row r="260" spans="1:14" ht="15" x14ac:dyDescent="0.15">
      <c r="A260" s="38">
        <v>42993</v>
      </c>
      <c r="C260" s="56">
        <v>373.74400000000003</v>
      </c>
      <c r="E260" s="56">
        <v>374.74400000000003</v>
      </c>
      <c r="J260" s="56">
        <v>373.74400000000003</v>
      </c>
      <c r="N260" s="56">
        <v>373.74400000000003</v>
      </c>
    </row>
    <row r="261" spans="1:14" ht="15" x14ac:dyDescent="0.15">
      <c r="A261" s="38">
        <v>42994</v>
      </c>
      <c r="D261" s="56">
        <v>373.74400000000003</v>
      </c>
      <c r="E261" s="57"/>
      <c r="F261" s="57"/>
      <c r="L261" s="56">
        <v>373.74400000000003</v>
      </c>
    </row>
    <row r="262" spans="1:14" ht="15" x14ac:dyDescent="0.15">
      <c r="A262" s="38">
        <v>42995</v>
      </c>
      <c r="F262" s="56">
        <v>374.74400000000003</v>
      </c>
      <c r="H262" s="56">
        <v>373.74400000000003</v>
      </c>
      <c r="K262" s="56">
        <v>373.74400000000003</v>
      </c>
    </row>
    <row r="263" spans="1:14" ht="15" x14ac:dyDescent="0.15">
      <c r="A263" s="38">
        <v>42996</v>
      </c>
      <c r="B263" s="56">
        <v>373.74400000000003</v>
      </c>
      <c r="G263" s="56">
        <v>373.74400000000003</v>
      </c>
      <c r="I263" s="56">
        <v>373.74400000000003</v>
      </c>
      <c r="M263" s="56">
        <v>373.74400000000003</v>
      </c>
    </row>
    <row r="264" spans="1:14" ht="15" x14ac:dyDescent="0.15">
      <c r="A264" s="38">
        <v>42997</v>
      </c>
      <c r="C264" s="56">
        <v>373.74400000000003</v>
      </c>
      <c r="E264" s="56">
        <v>374.74400000000003</v>
      </c>
      <c r="J264" s="56">
        <v>373.74400000000003</v>
      </c>
      <c r="N264" s="56">
        <v>373.74400000000003</v>
      </c>
    </row>
    <row r="265" spans="1:14" ht="15" x14ac:dyDescent="0.15">
      <c r="A265" s="38">
        <v>42998</v>
      </c>
      <c r="D265" s="56">
        <v>373.74400000000003</v>
      </c>
      <c r="E265" s="57"/>
      <c r="F265" s="57"/>
      <c r="L265" s="56">
        <v>373.74400000000003</v>
      </c>
    </row>
    <row r="266" spans="1:14" ht="15" x14ac:dyDescent="0.15">
      <c r="A266" s="38">
        <v>42999</v>
      </c>
      <c r="F266" s="56">
        <v>374.74400000000003</v>
      </c>
      <c r="H266" s="56">
        <v>373.74400000000003</v>
      </c>
      <c r="K266" s="56">
        <v>373.74400000000003</v>
      </c>
    </row>
    <row r="267" spans="1:14" ht="15" x14ac:dyDescent="0.15">
      <c r="A267" s="38">
        <v>43000</v>
      </c>
      <c r="B267" s="56">
        <v>373.74400000000003</v>
      </c>
      <c r="G267" s="56">
        <v>373.74400000000003</v>
      </c>
      <c r="I267" s="56">
        <v>373.74400000000003</v>
      </c>
      <c r="M267" s="56">
        <v>373.74400000000003</v>
      </c>
    </row>
    <row r="268" spans="1:14" ht="15" x14ac:dyDescent="0.15">
      <c r="A268" s="38">
        <v>43001</v>
      </c>
      <c r="C268" s="56">
        <v>373.74400000000003</v>
      </c>
      <c r="E268" s="56">
        <v>374.74400000000003</v>
      </c>
      <c r="J268" s="56">
        <v>373.74400000000003</v>
      </c>
      <c r="N268" s="56">
        <v>373.74400000000003</v>
      </c>
    </row>
    <row r="269" spans="1:14" ht="15" x14ac:dyDescent="0.15">
      <c r="A269" s="38">
        <v>43002</v>
      </c>
      <c r="D269" s="56">
        <v>373.74400000000003</v>
      </c>
      <c r="E269" s="57"/>
      <c r="F269" s="57"/>
      <c r="L269" s="56">
        <v>373.74400000000003</v>
      </c>
    </row>
    <row r="270" spans="1:14" ht="15" x14ac:dyDescent="0.15">
      <c r="A270" s="38">
        <v>43003</v>
      </c>
      <c r="F270" s="56">
        <v>374.74400000000003</v>
      </c>
      <c r="H270" s="56">
        <v>373.74400000000003</v>
      </c>
      <c r="K270" s="56">
        <v>373.74400000000003</v>
      </c>
    </row>
    <row r="271" spans="1:14" ht="15" x14ac:dyDescent="0.15">
      <c r="A271" s="38">
        <v>43004</v>
      </c>
      <c r="B271" s="56">
        <v>373.74400000000003</v>
      </c>
      <c r="G271" s="56">
        <v>373.74400000000003</v>
      </c>
      <c r="I271" s="56">
        <v>373.74400000000003</v>
      </c>
      <c r="M271" s="56">
        <v>373.74400000000003</v>
      </c>
    </row>
    <row r="272" spans="1:14" ht="15" x14ac:dyDescent="0.15">
      <c r="A272" s="38">
        <v>43005</v>
      </c>
      <c r="C272" s="56">
        <v>373.74400000000003</v>
      </c>
      <c r="E272" s="56">
        <v>374.74400000000003</v>
      </c>
      <c r="J272" s="56">
        <v>373.74400000000003</v>
      </c>
      <c r="N272" s="56">
        <v>373.74400000000003</v>
      </c>
    </row>
    <row r="273" spans="1:14" ht="15" x14ac:dyDescent="0.15">
      <c r="A273" s="38">
        <v>43006</v>
      </c>
      <c r="D273" s="56">
        <v>373.74400000000003</v>
      </c>
      <c r="E273" s="57"/>
      <c r="F273" s="57"/>
      <c r="L273" s="56">
        <v>373.74400000000003</v>
      </c>
    </row>
    <row r="274" spans="1:14" ht="15" x14ac:dyDescent="0.15">
      <c r="A274" s="38">
        <v>43007</v>
      </c>
      <c r="F274" s="56">
        <v>374.74400000000003</v>
      </c>
      <c r="H274" s="56">
        <v>373.74400000000003</v>
      </c>
      <c r="K274" s="56">
        <v>373.74400000000003</v>
      </c>
    </row>
    <row r="275" spans="1:14" ht="15" x14ac:dyDescent="0.15">
      <c r="A275" s="38">
        <v>43008</v>
      </c>
      <c r="B275" s="56">
        <v>373.74400000000003</v>
      </c>
      <c r="G275" s="56">
        <v>373.74400000000003</v>
      </c>
      <c r="I275" s="56">
        <v>373.74400000000003</v>
      </c>
      <c r="M275" s="56">
        <v>373.74400000000003</v>
      </c>
    </row>
    <row r="276" spans="1:14" ht="15" x14ac:dyDescent="0.15">
      <c r="A276" s="38">
        <v>43009</v>
      </c>
      <c r="C276" s="56">
        <v>373.74400000000003</v>
      </c>
      <c r="E276" s="56">
        <v>374.74400000000003</v>
      </c>
      <c r="J276" s="56">
        <v>373.74400000000003</v>
      </c>
      <c r="N276" s="56">
        <v>373.74400000000003</v>
      </c>
    </row>
    <row r="277" spans="1:14" ht="15" x14ac:dyDescent="0.15">
      <c r="A277" s="38">
        <v>43010</v>
      </c>
      <c r="D277" s="56">
        <v>373.74400000000003</v>
      </c>
      <c r="E277" s="57"/>
      <c r="F277" s="57"/>
      <c r="L277" s="56">
        <v>373.74400000000003</v>
      </c>
    </row>
    <row r="278" spans="1:14" ht="15" x14ac:dyDescent="0.15">
      <c r="A278" s="38">
        <v>43011</v>
      </c>
      <c r="F278" s="56">
        <v>374.74400000000003</v>
      </c>
      <c r="H278" s="56">
        <v>373.74400000000003</v>
      </c>
      <c r="K278" s="56">
        <v>373.74400000000003</v>
      </c>
    </row>
    <row r="279" spans="1:14" ht="15" x14ac:dyDescent="0.15">
      <c r="A279" s="38">
        <v>43012</v>
      </c>
      <c r="B279" s="56">
        <v>373.74400000000003</v>
      </c>
      <c r="G279" s="56">
        <v>373.74400000000003</v>
      </c>
      <c r="I279" s="56">
        <v>373.74400000000003</v>
      </c>
      <c r="M279" s="56">
        <v>373.74400000000003</v>
      </c>
    </row>
    <row r="280" spans="1:14" ht="15" x14ac:dyDescent="0.15">
      <c r="A280" s="38">
        <v>43013</v>
      </c>
      <c r="C280" s="56">
        <v>373.74400000000003</v>
      </c>
      <c r="E280" s="56">
        <v>374.74400000000003</v>
      </c>
      <c r="J280" s="56">
        <v>373.74400000000003</v>
      </c>
      <c r="N280" s="56">
        <v>373.74400000000003</v>
      </c>
    </row>
    <row r="281" spans="1:14" ht="15" x14ac:dyDescent="0.15">
      <c r="A281" s="38">
        <v>43014</v>
      </c>
      <c r="D281" s="56">
        <v>373.74400000000003</v>
      </c>
      <c r="E281" s="57"/>
      <c r="F281" s="57"/>
      <c r="L281" s="56">
        <v>373.74400000000003</v>
      </c>
    </row>
    <row r="282" spans="1:14" ht="15" x14ac:dyDescent="0.15">
      <c r="A282" s="38">
        <v>43015</v>
      </c>
      <c r="F282" s="56">
        <v>374.74400000000003</v>
      </c>
      <c r="H282" s="56">
        <v>373.74400000000003</v>
      </c>
      <c r="K282" s="56">
        <v>373.74400000000003</v>
      </c>
    </row>
    <row r="283" spans="1:14" ht="15" x14ac:dyDescent="0.15">
      <c r="A283" s="38">
        <v>43016</v>
      </c>
      <c r="B283" s="56">
        <v>373.74400000000003</v>
      </c>
      <c r="G283" s="56">
        <v>373.74400000000003</v>
      </c>
      <c r="I283" s="56">
        <v>373.74400000000003</v>
      </c>
      <c r="M283" s="56">
        <v>373.74400000000003</v>
      </c>
    </row>
    <row r="284" spans="1:14" ht="15" x14ac:dyDescent="0.15">
      <c r="A284" s="38">
        <v>43017</v>
      </c>
      <c r="C284" s="56">
        <v>373.74400000000003</v>
      </c>
      <c r="E284" s="56">
        <v>374.74400000000003</v>
      </c>
      <c r="J284" s="56">
        <v>373.74400000000003</v>
      </c>
      <c r="N284" s="56">
        <v>373.74400000000003</v>
      </c>
    </row>
    <row r="285" spans="1:14" ht="15" x14ac:dyDescent="0.15">
      <c r="A285" s="38">
        <v>43018</v>
      </c>
      <c r="D285" s="56">
        <v>373.74400000000003</v>
      </c>
      <c r="E285" s="57"/>
      <c r="F285" s="57"/>
      <c r="L285" s="56">
        <v>373.74400000000003</v>
      </c>
    </row>
    <row r="286" spans="1:14" ht="15" x14ac:dyDescent="0.15">
      <c r="A286" s="38">
        <v>43019</v>
      </c>
      <c r="F286" s="56">
        <v>374.74400000000003</v>
      </c>
      <c r="H286" s="56">
        <v>373.74400000000003</v>
      </c>
      <c r="K286" s="56">
        <v>373.74400000000003</v>
      </c>
    </row>
    <row r="287" spans="1:14" ht="15" x14ac:dyDescent="0.15">
      <c r="A287" s="38">
        <v>43020</v>
      </c>
      <c r="B287" s="56">
        <v>373.74400000000003</v>
      </c>
      <c r="G287" s="56">
        <v>373.74400000000003</v>
      </c>
      <c r="I287" s="56">
        <v>373.74400000000003</v>
      </c>
      <c r="M287" s="56">
        <v>373.74400000000003</v>
      </c>
    </row>
    <row r="288" spans="1:14" ht="15" x14ac:dyDescent="0.15">
      <c r="A288" s="38">
        <v>43021</v>
      </c>
      <c r="C288" s="56">
        <v>373.74400000000003</v>
      </c>
      <c r="E288" s="56">
        <v>374.74400000000003</v>
      </c>
      <c r="J288" s="56">
        <v>373.74400000000003</v>
      </c>
      <c r="N288" s="56">
        <v>373.74400000000003</v>
      </c>
    </row>
    <row r="289" spans="1:14" ht="15" x14ac:dyDescent="0.15">
      <c r="A289" s="38">
        <v>43022</v>
      </c>
      <c r="D289" s="56">
        <v>373.74400000000003</v>
      </c>
      <c r="E289" s="57"/>
      <c r="F289" s="57"/>
      <c r="L289" s="56">
        <v>373.74400000000003</v>
      </c>
    </row>
    <row r="290" spans="1:14" ht="15" x14ac:dyDescent="0.15">
      <c r="A290" s="38">
        <v>43023</v>
      </c>
      <c r="F290" s="56">
        <v>374.74400000000003</v>
      </c>
      <c r="H290" s="56">
        <v>373.74400000000003</v>
      </c>
      <c r="K290" s="56">
        <v>373.74400000000003</v>
      </c>
    </row>
    <row r="291" spans="1:14" ht="15" x14ac:dyDescent="0.15">
      <c r="A291" s="38">
        <v>43024</v>
      </c>
      <c r="B291" s="56">
        <v>373.74400000000003</v>
      </c>
      <c r="G291" s="56">
        <v>373.74400000000003</v>
      </c>
      <c r="I291" s="56">
        <v>373.74400000000003</v>
      </c>
      <c r="M291" s="56">
        <v>373.74400000000003</v>
      </c>
    </row>
    <row r="292" spans="1:14" ht="15" x14ac:dyDescent="0.15">
      <c r="A292" s="38">
        <v>43025</v>
      </c>
      <c r="C292" s="56">
        <v>373.74400000000003</v>
      </c>
      <c r="E292" s="56">
        <v>374.74400000000003</v>
      </c>
      <c r="J292" s="56">
        <v>373.74400000000003</v>
      </c>
      <c r="N292" s="56">
        <v>373.74400000000003</v>
      </c>
    </row>
    <row r="293" spans="1:14" ht="15" x14ac:dyDescent="0.15">
      <c r="A293" s="38">
        <v>43026</v>
      </c>
      <c r="D293" s="56">
        <v>373.74400000000003</v>
      </c>
      <c r="E293" s="57"/>
      <c r="F293" s="57"/>
      <c r="L293" s="56">
        <v>373.74400000000003</v>
      </c>
    </row>
    <row r="294" spans="1:14" ht="15" x14ac:dyDescent="0.15">
      <c r="A294" s="38">
        <v>43027</v>
      </c>
      <c r="F294" s="56">
        <v>374.74400000000003</v>
      </c>
      <c r="H294" s="56">
        <v>373.74400000000003</v>
      </c>
      <c r="K294" s="56">
        <v>373.74400000000003</v>
      </c>
    </row>
    <row r="295" spans="1:14" ht="15" x14ac:dyDescent="0.15">
      <c r="A295" s="38">
        <v>43028</v>
      </c>
      <c r="B295" s="56">
        <v>373.74400000000003</v>
      </c>
      <c r="G295" s="56">
        <v>373.74400000000003</v>
      </c>
      <c r="I295" s="56">
        <v>373.74400000000003</v>
      </c>
      <c r="M295" s="56">
        <v>373.74400000000003</v>
      </c>
    </row>
    <row r="296" spans="1:14" ht="15" x14ac:dyDescent="0.15">
      <c r="A296" s="38">
        <v>43029</v>
      </c>
      <c r="C296" s="56">
        <v>373.74400000000003</v>
      </c>
      <c r="E296" s="56">
        <v>374.74400000000003</v>
      </c>
      <c r="J296" s="56">
        <v>373.74400000000003</v>
      </c>
      <c r="N296" s="56">
        <v>373.74400000000003</v>
      </c>
    </row>
    <row r="297" spans="1:14" ht="15" x14ac:dyDescent="0.15">
      <c r="A297" s="38">
        <v>43030</v>
      </c>
      <c r="D297" s="56">
        <v>373.74400000000003</v>
      </c>
      <c r="E297" s="57"/>
      <c r="F297" s="57"/>
      <c r="L297" s="56">
        <v>373.74400000000003</v>
      </c>
    </row>
    <row r="298" spans="1:14" ht="15" x14ac:dyDescent="0.15">
      <c r="A298" s="38">
        <v>43031</v>
      </c>
      <c r="F298" s="56">
        <v>374.74400000000003</v>
      </c>
      <c r="H298" s="56">
        <v>373.74400000000003</v>
      </c>
      <c r="K298" s="56">
        <v>373.74400000000003</v>
      </c>
    </row>
    <row r="299" spans="1:14" ht="15" x14ac:dyDescent="0.15">
      <c r="A299" s="38">
        <v>43032</v>
      </c>
      <c r="B299" s="56">
        <v>373.74400000000003</v>
      </c>
      <c r="G299" s="56">
        <v>373.74400000000003</v>
      </c>
      <c r="I299" s="56">
        <v>373.74400000000003</v>
      </c>
      <c r="M299" s="56">
        <v>373.74400000000003</v>
      </c>
    </row>
    <row r="300" spans="1:14" ht="15" x14ac:dyDescent="0.15">
      <c r="A300" s="38">
        <v>43033</v>
      </c>
      <c r="C300" s="56">
        <v>373.74400000000003</v>
      </c>
      <c r="E300" s="56">
        <v>374.74400000000003</v>
      </c>
      <c r="J300" s="56">
        <v>373.74400000000003</v>
      </c>
      <c r="N300" s="56">
        <v>373.74400000000003</v>
      </c>
    </row>
    <row r="301" spans="1:14" ht="15" x14ac:dyDescent="0.15">
      <c r="A301" s="38">
        <v>43034</v>
      </c>
      <c r="D301" s="56">
        <v>373.74400000000003</v>
      </c>
      <c r="E301" s="57"/>
      <c r="F301" s="57"/>
      <c r="L301" s="56">
        <v>373.74400000000003</v>
      </c>
    </row>
    <row r="302" spans="1:14" ht="15" x14ac:dyDescent="0.15">
      <c r="A302" s="38">
        <v>43035</v>
      </c>
      <c r="F302" s="56">
        <v>374.74400000000003</v>
      </c>
      <c r="H302" s="56">
        <v>373.74400000000003</v>
      </c>
      <c r="K302" s="56">
        <v>373.74400000000003</v>
      </c>
    </row>
    <row r="303" spans="1:14" ht="15" x14ac:dyDescent="0.15">
      <c r="A303" s="38">
        <v>43036</v>
      </c>
      <c r="B303" s="56">
        <v>373.74400000000003</v>
      </c>
      <c r="G303" s="56">
        <v>373.74400000000003</v>
      </c>
      <c r="I303" s="56">
        <v>373.74400000000003</v>
      </c>
      <c r="M303" s="56">
        <v>373.74400000000003</v>
      </c>
    </row>
    <row r="304" spans="1:14" ht="15" x14ac:dyDescent="0.15">
      <c r="A304" s="38">
        <v>43037</v>
      </c>
      <c r="C304" s="56">
        <v>373.74400000000003</v>
      </c>
      <c r="E304" s="56">
        <v>374.74400000000003</v>
      </c>
      <c r="J304" s="56">
        <v>373.74400000000003</v>
      </c>
      <c r="N304" s="56">
        <v>373.74400000000003</v>
      </c>
    </row>
    <row r="305" spans="1:14" ht="15" x14ac:dyDescent="0.15">
      <c r="A305" s="38">
        <v>43038</v>
      </c>
      <c r="D305" s="56">
        <v>373.74400000000003</v>
      </c>
      <c r="E305" s="57"/>
      <c r="F305" s="57"/>
      <c r="L305" s="56">
        <v>373.74400000000003</v>
      </c>
    </row>
    <row r="306" spans="1:14" ht="15" x14ac:dyDescent="0.15">
      <c r="A306" s="38">
        <v>43039</v>
      </c>
      <c r="F306" s="56">
        <v>374.74400000000003</v>
      </c>
      <c r="H306" s="56">
        <v>373.74400000000003</v>
      </c>
      <c r="K306" s="56">
        <v>373.74400000000003</v>
      </c>
    </row>
    <row r="307" spans="1:14" ht="15" x14ac:dyDescent="0.15">
      <c r="A307" s="38">
        <v>43040</v>
      </c>
      <c r="B307" s="56">
        <v>373.74400000000003</v>
      </c>
      <c r="G307" s="56">
        <v>373.74400000000003</v>
      </c>
      <c r="I307" s="56">
        <v>373.74400000000003</v>
      </c>
      <c r="M307" s="56">
        <v>373.74400000000003</v>
      </c>
    </row>
    <row r="308" spans="1:14" ht="15" x14ac:dyDescent="0.15">
      <c r="A308" s="38">
        <v>43041</v>
      </c>
      <c r="C308" s="56">
        <v>373.74400000000003</v>
      </c>
      <c r="E308" s="56">
        <v>374.74400000000003</v>
      </c>
      <c r="J308" s="56">
        <v>373.74400000000003</v>
      </c>
      <c r="N308" s="56">
        <v>373.74400000000003</v>
      </c>
    </row>
    <row r="309" spans="1:14" ht="15" x14ac:dyDescent="0.15">
      <c r="A309" s="38">
        <v>43042</v>
      </c>
      <c r="D309" s="56">
        <v>373.74400000000003</v>
      </c>
      <c r="E309" s="57"/>
      <c r="F309" s="57"/>
      <c r="L309" s="56">
        <v>373.74400000000003</v>
      </c>
    </row>
    <row r="310" spans="1:14" ht="15" x14ac:dyDescent="0.15">
      <c r="A310" s="38">
        <v>43043</v>
      </c>
      <c r="F310" s="56">
        <v>374.74400000000003</v>
      </c>
      <c r="H310" s="56">
        <v>373.74400000000003</v>
      </c>
      <c r="K310" s="56">
        <v>373.74400000000003</v>
      </c>
    </row>
    <row r="311" spans="1:14" ht="15" x14ac:dyDescent="0.15">
      <c r="A311" s="38">
        <v>43044</v>
      </c>
      <c r="B311" s="56">
        <v>373.74400000000003</v>
      </c>
      <c r="G311" s="56">
        <v>373.74400000000003</v>
      </c>
      <c r="I311" s="56">
        <v>373.74400000000003</v>
      </c>
      <c r="M311" s="56">
        <v>373.74400000000003</v>
      </c>
    </row>
    <row r="312" spans="1:14" ht="15" x14ac:dyDescent="0.15">
      <c r="A312" s="38">
        <v>43045</v>
      </c>
      <c r="C312" s="56">
        <v>373.74400000000003</v>
      </c>
      <c r="E312" s="56">
        <v>374.74400000000003</v>
      </c>
      <c r="J312" s="56">
        <v>373.74400000000003</v>
      </c>
      <c r="N312" s="56">
        <v>373.74400000000003</v>
      </c>
    </row>
    <row r="313" spans="1:14" ht="15" x14ac:dyDescent="0.15">
      <c r="A313" s="38">
        <v>43046</v>
      </c>
      <c r="D313" s="56">
        <v>373.74400000000003</v>
      </c>
      <c r="E313" s="57"/>
      <c r="F313" s="57"/>
      <c r="L313" s="56">
        <v>373.74400000000003</v>
      </c>
    </row>
    <row r="314" spans="1:14" ht="15" x14ac:dyDescent="0.15">
      <c r="A314" s="38">
        <v>43047</v>
      </c>
      <c r="F314" s="56">
        <v>374.74400000000003</v>
      </c>
      <c r="H314" s="56">
        <v>373.74400000000003</v>
      </c>
      <c r="K314" s="56">
        <v>373.74400000000003</v>
      </c>
    </row>
    <row r="315" spans="1:14" ht="15" x14ac:dyDescent="0.15">
      <c r="A315" s="38">
        <v>43048</v>
      </c>
      <c r="B315" s="56">
        <v>373.74400000000003</v>
      </c>
      <c r="G315" s="56">
        <v>373.74400000000003</v>
      </c>
      <c r="I315" s="56">
        <v>373.74400000000003</v>
      </c>
      <c r="M315" s="56">
        <v>373.74400000000003</v>
      </c>
    </row>
    <row r="316" spans="1:14" ht="15" x14ac:dyDescent="0.15">
      <c r="A316" s="38">
        <v>43049</v>
      </c>
      <c r="C316" s="56">
        <v>373.74400000000003</v>
      </c>
      <c r="E316" s="56">
        <v>374.74400000000003</v>
      </c>
      <c r="J316" s="56">
        <v>373.74400000000003</v>
      </c>
      <c r="N316" s="56">
        <v>373.74400000000003</v>
      </c>
    </row>
    <row r="317" spans="1:14" ht="15" x14ac:dyDescent="0.15">
      <c r="A317" s="38">
        <v>43050</v>
      </c>
      <c r="D317" s="56">
        <v>373.74400000000003</v>
      </c>
      <c r="E317" s="57"/>
      <c r="F317" s="57"/>
      <c r="L317" s="56">
        <v>373.74400000000003</v>
      </c>
    </row>
    <row r="318" spans="1:14" ht="15" x14ac:dyDescent="0.15">
      <c r="A318" s="38">
        <v>43051</v>
      </c>
      <c r="F318" s="56">
        <v>374.74400000000003</v>
      </c>
      <c r="H318" s="56">
        <v>373.74400000000003</v>
      </c>
      <c r="K318" s="56">
        <v>373.74400000000003</v>
      </c>
    </row>
    <row r="319" spans="1:14" ht="15" x14ac:dyDescent="0.15">
      <c r="A319" s="38">
        <v>43052</v>
      </c>
      <c r="B319" s="56">
        <v>373.74400000000003</v>
      </c>
      <c r="G319" s="56">
        <v>373.74400000000003</v>
      </c>
      <c r="I319" s="56">
        <v>373.74400000000003</v>
      </c>
      <c r="M319" s="56">
        <v>373.74400000000003</v>
      </c>
    </row>
    <row r="320" spans="1:14" ht="15" x14ac:dyDescent="0.15">
      <c r="A320" s="38">
        <v>43053</v>
      </c>
      <c r="C320" s="56">
        <v>373.74400000000003</v>
      </c>
      <c r="E320" s="56">
        <v>374.74400000000003</v>
      </c>
      <c r="J320" s="56">
        <v>373.74400000000003</v>
      </c>
      <c r="N320" s="56">
        <v>373.74400000000003</v>
      </c>
    </row>
    <row r="321" spans="1:14" ht="15" x14ac:dyDescent="0.15">
      <c r="A321" s="38">
        <v>43054</v>
      </c>
      <c r="D321" s="56">
        <v>373.74400000000003</v>
      </c>
      <c r="E321" s="57"/>
      <c r="F321" s="57"/>
      <c r="L321" s="56">
        <v>373.74400000000003</v>
      </c>
    </row>
    <row r="322" spans="1:14" ht="15" x14ac:dyDescent="0.15">
      <c r="A322" s="38">
        <v>43055</v>
      </c>
      <c r="F322" s="56">
        <v>374.74400000000003</v>
      </c>
      <c r="H322" s="56">
        <v>373.74400000000003</v>
      </c>
      <c r="K322" s="56">
        <v>373.74400000000003</v>
      </c>
    </row>
    <row r="323" spans="1:14" ht="15" x14ac:dyDescent="0.15">
      <c r="A323" s="38">
        <v>43056</v>
      </c>
      <c r="B323" s="56">
        <v>373.74400000000003</v>
      </c>
      <c r="G323" s="56">
        <v>373.74400000000003</v>
      </c>
      <c r="I323" s="56">
        <v>373.74400000000003</v>
      </c>
      <c r="M323" s="56">
        <v>373.74400000000003</v>
      </c>
    </row>
    <row r="324" spans="1:14" ht="15" x14ac:dyDescent="0.15">
      <c r="A324" s="38">
        <v>43057</v>
      </c>
      <c r="C324" s="56">
        <v>373.74400000000003</v>
      </c>
      <c r="E324" s="56">
        <v>374.74400000000003</v>
      </c>
      <c r="J324" s="56">
        <v>373.74400000000003</v>
      </c>
      <c r="N324" s="56">
        <v>373.74400000000003</v>
      </c>
    </row>
    <row r="325" spans="1:14" ht="15" x14ac:dyDescent="0.15">
      <c r="A325" s="38">
        <v>43058</v>
      </c>
      <c r="D325" s="56">
        <v>373.74400000000003</v>
      </c>
      <c r="E325" s="57"/>
      <c r="F325" s="57"/>
      <c r="L325" s="56">
        <v>373.74400000000003</v>
      </c>
    </row>
    <row r="326" spans="1:14" ht="15" x14ac:dyDescent="0.15">
      <c r="A326" s="38">
        <v>43059</v>
      </c>
      <c r="F326" s="56">
        <v>374.74400000000003</v>
      </c>
      <c r="H326" s="56">
        <v>373.74400000000003</v>
      </c>
      <c r="K326" s="56">
        <v>373.74400000000003</v>
      </c>
    </row>
    <row r="327" spans="1:14" ht="15" x14ac:dyDescent="0.15">
      <c r="A327" s="38">
        <v>43060</v>
      </c>
      <c r="B327" s="56">
        <v>373.74400000000003</v>
      </c>
      <c r="G327" s="56">
        <v>373.74400000000003</v>
      </c>
      <c r="I327" s="56">
        <v>373.74400000000003</v>
      </c>
      <c r="M327" s="56">
        <v>373.74400000000003</v>
      </c>
    </row>
    <row r="328" spans="1:14" ht="15" x14ac:dyDescent="0.15">
      <c r="A328" s="38">
        <v>43061</v>
      </c>
      <c r="C328" s="56">
        <v>373.74400000000003</v>
      </c>
      <c r="E328" s="56">
        <v>374.74400000000003</v>
      </c>
      <c r="J328" s="56">
        <v>373.74400000000003</v>
      </c>
      <c r="N328" s="56">
        <v>373.74400000000003</v>
      </c>
    </row>
    <row r="329" spans="1:14" ht="15" x14ac:dyDescent="0.15">
      <c r="A329" s="38">
        <v>43062</v>
      </c>
      <c r="D329" s="56">
        <v>373.74400000000003</v>
      </c>
      <c r="E329" s="57"/>
      <c r="F329" s="57"/>
      <c r="L329" s="56">
        <v>373.74400000000003</v>
      </c>
    </row>
    <row r="330" spans="1:14" ht="15" x14ac:dyDescent="0.15">
      <c r="A330" s="38">
        <v>43063</v>
      </c>
      <c r="F330" s="56">
        <v>374.74400000000003</v>
      </c>
      <c r="H330" s="56">
        <v>373.74400000000003</v>
      </c>
      <c r="K330" s="56">
        <v>373.74400000000003</v>
      </c>
    </row>
    <row r="331" spans="1:14" ht="15" x14ac:dyDescent="0.15">
      <c r="A331" s="38">
        <v>43064</v>
      </c>
      <c r="B331" s="56">
        <v>373.74400000000003</v>
      </c>
      <c r="G331" s="56">
        <v>373.74400000000003</v>
      </c>
      <c r="I331" s="56">
        <v>373.74400000000003</v>
      </c>
      <c r="M331" s="56">
        <v>373.74400000000003</v>
      </c>
    </row>
    <row r="332" spans="1:14" ht="15" x14ac:dyDescent="0.15">
      <c r="A332" s="38">
        <v>43065</v>
      </c>
      <c r="C332" s="56">
        <v>373.74400000000003</v>
      </c>
      <c r="E332" s="56">
        <v>374.74400000000003</v>
      </c>
      <c r="J332" s="56">
        <v>373.74400000000003</v>
      </c>
      <c r="N332" s="56">
        <v>373.74400000000003</v>
      </c>
    </row>
    <row r="333" spans="1:14" ht="15" x14ac:dyDescent="0.15">
      <c r="A333" s="38">
        <v>43066</v>
      </c>
      <c r="D333" s="56">
        <v>373.74400000000003</v>
      </c>
      <c r="E333" s="57"/>
      <c r="F333" s="57"/>
      <c r="L333" s="56">
        <v>373.74400000000003</v>
      </c>
    </row>
    <row r="334" spans="1:14" ht="15" x14ac:dyDescent="0.15">
      <c r="A334" s="38">
        <v>43067</v>
      </c>
      <c r="F334" s="56">
        <v>374.74400000000003</v>
      </c>
      <c r="H334" s="56">
        <v>373.74400000000003</v>
      </c>
      <c r="K334" s="56">
        <v>373.74400000000003</v>
      </c>
    </row>
    <row r="335" spans="1:14" ht="15" x14ac:dyDescent="0.15">
      <c r="A335" s="38">
        <v>43068</v>
      </c>
      <c r="B335" s="56">
        <v>373.74400000000003</v>
      </c>
      <c r="G335" s="56">
        <v>373.74400000000003</v>
      </c>
      <c r="I335" s="56">
        <v>373.74400000000003</v>
      </c>
      <c r="M335" s="56">
        <v>373.74400000000003</v>
      </c>
    </row>
    <row r="336" spans="1:14" ht="15" x14ac:dyDescent="0.15">
      <c r="A336" s="38">
        <v>43069</v>
      </c>
      <c r="C336" s="56">
        <v>373.74400000000003</v>
      </c>
      <c r="E336" s="56">
        <v>374.74400000000003</v>
      </c>
      <c r="J336" s="56">
        <v>373.74400000000003</v>
      </c>
      <c r="N336" s="56">
        <v>373.74400000000003</v>
      </c>
    </row>
    <row r="337" spans="1:14" ht="15" x14ac:dyDescent="0.15">
      <c r="A337" s="38">
        <v>43070</v>
      </c>
      <c r="D337" s="56">
        <v>373.74400000000003</v>
      </c>
      <c r="E337" s="57"/>
      <c r="F337" s="57"/>
      <c r="L337" s="56">
        <v>373.74400000000003</v>
      </c>
    </row>
    <row r="338" spans="1:14" ht="15" x14ac:dyDescent="0.15">
      <c r="A338" s="38">
        <v>43071</v>
      </c>
      <c r="F338" s="56">
        <v>374.74400000000003</v>
      </c>
      <c r="H338" s="56">
        <v>373.74400000000003</v>
      </c>
      <c r="K338" s="56">
        <v>373.74400000000003</v>
      </c>
    </row>
    <row r="339" spans="1:14" ht="15" x14ac:dyDescent="0.15">
      <c r="A339" s="38">
        <v>43072</v>
      </c>
      <c r="B339" s="56">
        <v>373.74400000000003</v>
      </c>
      <c r="G339" s="56">
        <v>373.74400000000003</v>
      </c>
      <c r="I339" s="56">
        <v>373.74400000000003</v>
      </c>
      <c r="M339" s="56">
        <v>373.74400000000003</v>
      </c>
    </row>
    <row r="340" spans="1:14" ht="15" x14ac:dyDescent="0.15">
      <c r="A340" s="38">
        <v>43073</v>
      </c>
      <c r="C340" s="56">
        <v>373.74400000000003</v>
      </c>
      <c r="E340" s="56">
        <v>374.74400000000003</v>
      </c>
      <c r="J340" s="56">
        <v>373.74400000000003</v>
      </c>
      <c r="N340" s="56">
        <v>373.74400000000003</v>
      </c>
    </row>
    <row r="341" spans="1:14" ht="15" x14ac:dyDescent="0.15">
      <c r="A341" s="38">
        <v>43074</v>
      </c>
      <c r="D341" s="56">
        <v>373.74400000000003</v>
      </c>
      <c r="E341" s="57"/>
      <c r="F341" s="57"/>
      <c r="L341" s="56">
        <v>373.74400000000003</v>
      </c>
    </row>
    <row r="342" spans="1:14" ht="15" x14ac:dyDescent="0.15">
      <c r="A342" s="38">
        <v>43075</v>
      </c>
      <c r="F342" s="56">
        <v>374.74400000000003</v>
      </c>
      <c r="H342" s="56">
        <v>373.74400000000003</v>
      </c>
      <c r="K342" s="56">
        <v>373.74400000000003</v>
      </c>
    </row>
    <row r="343" spans="1:14" ht="15" x14ac:dyDescent="0.15">
      <c r="A343" s="38">
        <v>43076</v>
      </c>
      <c r="B343" s="56">
        <v>373.74400000000003</v>
      </c>
      <c r="G343" s="56">
        <v>373.74400000000003</v>
      </c>
      <c r="I343" s="56">
        <v>373.74400000000003</v>
      </c>
      <c r="M343" s="56">
        <v>373.74400000000003</v>
      </c>
    </row>
    <row r="344" spans="1:14" ht="15" x14ac:dyDescent="0.15">
      <c r="A344" s="38">
        <v>43077</v>
      </c>
      <c r="C344" s="56">
        <v>373.74400000000003</v>
      </c>
      <c r="E344" s="56">
        <v>374.74400000000003</v>
      </c>
      <c r="J344" s="56">
        <v>373.74400000000003</v>
      </c>
      <c r="N344" s="56">
        <v>373.74400000000003</v>
      </c>
    </row>
    <row r="345" spans="1:14" ht="15" x14ac:dyDescent="0.15">
      <c r="A345" s="38">
        <v>43078</v>
      </c>
      <c r="D345" s="56">
        <v>373.74400000000003</v>
      </c>
      <c r="E345" s="57"/>
      <c r="F345" s="57"/>
      <c r="L345" s="56">
        <v>373.74400000000003</v>
      </c>
    </row>
    <row r="346" spans="1:14" ht="15" x14ac:dyDescent="0.15">
      <c r="A346" s="38">
        <v>43079</v>
      </c>
      <c r="F346" s="56">
        <v>374.74400000000003</v>
      </c>
      <c r="H346" s="56">
        <v>373.74400000000003</v>
      </c>
      <c r="K346" s="56">
        <v>373.74400000000003</v>
      </c>
    </row>
    <row r="347" spans="1:14" ht="15" x14ac:dyDescent="0.15">
      <c r="A347" s="38">
        <v>43080</v>
      </c>
      <c r="B347" s="56">
        <v>373.74400000000003</v>
      </c>
      <c r="G347" s="56">
        <v>373.74400000000003</v>
      </c>
      <c r="I347" s="56">
        <v>373.74400000000003</v>
      </c>
      <c r="M347" s="56">
        <v>373.74400000000003</v>
      </c>
    </row>
    <row r="348" spans="1:14" ht="15" x14ac:dyDescent="0.15">
      <c r="A348" s="38">
        <v>43081</v>
      </c>
      <c r="C348" s="56">
        <v>373.74400000000003</v>
      </c>
      <c r="E348" s="56">
        <v>374.74400000000003</v>
      </c>
      <c r="J348" s="56">
        <v>373.74400000000003</v>
      </c>
      <c r="N348" s="56">
        <v>373.74400000000003</v>
      </c>
    </row>
    <row r="349" spans="1:14" ht="15" x14ac:dyDescent="0.15">
      <c r="A349" s="38">
        <v>43082</v>
      </c>
      <c r="D349" s="56">
        <v>373.74400000000003</v>
      </c>
      <c r="E349" s="57"/>
      <c r="F349" s="57"/>
      <c r="L349" s="56">
        <v>373.74400000000003</v>
      </c>
    </row>
    <row r="350" spans="1:14" ht="15" x14ac:dyDescent="0.15">
      <c r="A350" s="38">
        <v>43083</v>
      </c>
      <c r="F350" s="56">
        <v>374.74400000000003</v>
      </c>
      <c r="H350" s="56">
        <v>373.74400000000003</v>
      </c>
      <c r="K350" s="56">
        <v>373.74400000000003</v>
      </c>
    </row>
    <row r="351" spans="1:14" ht="15" x14ac:dyDescent="0.15">
      <c r="A351" s="38">
        <v>43084</v>
      </c>
      <c r="B351" s="56">
        <v>373.74400000000003</v>
      </c>
      <c r="G351" s="56">
        <v>373.74400000000003</v>
      </c>
      <c r="I351" s="56">
        <v>373.74400000000003</v>
      </c>
      <c r="M351" s="56">
        <v>373.74400000000003</v>
      </c>
    </row>
    <row r="352" spans="1:14" ht="15" x14ac:dyDescent="0.15">
      <c r="A352" s="38">
        <v>43085</v>
      </c>
      <c r="C352" s="56">
        <v>373.74400000000003</v>
      </c>
      <c r="E352" s="56">
        <v>374.74400000000003</v>
      </c>
      <c r="J352" s="56">
        <v>373.74400000000003</v>
      </c>
      <c r="N352" s="56">
        <v>373.74400000000003</v>
      </c>
    </row>
    <row r="353" spans="1:14" ht="15" x14ac:dyDescent="0.15">
      <c r="A353" s="38">
        <v>43086</v>
      </c>
      <c r="D353" s="56">
        <v>373.74400000000003</v>
      </c>
      <c r="E353" s="57"/>
      <c r="F353" s="57"/>
      <c r="L353" s="56">
        <v>373.74400000000003</v>
      </c>
    </row>
    <row r="354" spans="1:14" ht="15" x14ac:dyDescent="0.15">
      <c r="A354" s="38">
        <v>43087</v>
      </c>
      <c r="F354" s="56">
        <v>374.74400000000003</v>
      </c>
      <c r="H354" s="56">
        <v>373.74400000000003</v>
      </c>
      <c r="K354" s="56">
        <v>373.74400000000003</v>
      </c>
    </row>
    <row r="355" spans="1:14" ht="15" x14ac:dyDescent="0.15">
      <c r="A355" s="38">
        <v>43088</v>
      </c>
      <c r="B355" s="56">
        <v>373.74400000000003</v>
      </c>
      <c r="G355" s="56">
        <v>373.74400000000003</v>
      </c>
      <c r="I355" s="56">
        <v>373.74400000000003</v>
      </c>
      <c r="M355" s="56">
        <v>373.74400000000003</v>
      </c>
    </row>
    <row r="356" spans="1:14" ht="15" x14ac:dyDescent="0.15">
      <c r="A356" s="38">
        <v>43089</v>
      </c>
      <c r="C356" s="56">
        <v>373.74400000000003</v>
      </c>
      <c r="E356" s="56">
        <v>374.74400000000003</v>
      </c>
      <c r="J356" s="56">
        <v>373.74400000000003</v>
      </c>
      <c r="N356" s="56">
        <v>373.74400000000003</v>
      </c>
    </row>
    <row r="357" spans="1:14" ht="15" x14ac:dyDescent="0.15">
      <c r="A357" s="38">
        <v>43090</v>
      </c>
      <c r="D357" s="56">
        <v>373.74400000000003</v>
      </c>
      <c r="E357" s="57"/>
      <c r="F357" s="57"/>
      <c r="L357" s="56">
        <v>373.74400000000003</v>
      </c>
    </row>
    <row r="358" spans="1:14" ht="15" x14ac:dyDescent="0.15">
      <c r="A358" s="38">
        <v>43091</v>
      </c>
      <c r="F358" s="56">
        <v>374.74400000000003</v>
      </c>
      <c r="H358" s="56">
        <v>373.74400000000003</v>
      </c>
      <c r="K358" s="56">
        <v>373.74400000000003</v>
      </c>
    </row>
    <row r="359" spans="1:14" ht="15" x14ac:dyDescent="0.15">
      <c r="A359" s="38">
        <v>43092</v>
      </c>
      <c r="B359" s="56">
        <v>373.74400000000003</v>
      </c>
      <c r="G359" s="56">
        <v>373.74400000000003</v>
      </c>
      <c r="I359" s="56">
        <v>373.74400000000003</v>
      </c>
      <c r="M359" s="56">
        <v>373.74400000000003</v>
      </c>
    </row>
    <row r="360" spans="1:14" ht="15" x14ac:dyDescent="0.15">
      <c r="A360" s="38">
        <v>43093</v>
      </c>
      <c r="C360" s="56">
        <v>373.74400000000003</v>
      </c>
      <c r="E360" s="56">
        <v>374.74400000000003</v>
      </c>
      <c r="J360" s="56">
        <v>373.74400000000003</v>
      </c>
      <c r="N360" s="56">
        <v>373.74400000000003</v>
      </c>
    </row>
    <row r="361" spans="1:14" ht="15" x14ac:dyDescent="0.15">
      <c r="A361" s="38">
        <v>43094</v>
      </c>
      <c r="D361" s="56">
        <v>373.74400000000003</v>
      </c>
      <c r="E361" s="57"/>
      <c r="F361" s="57"/>
      <c r="L361" s="56">
        <v>373.74400000000003</v>
      </c>
    </row>
    <row r="362" spans="1:14" ht="15" x14ac:dyDescent="0.15">
      <c r="A362" s="38">
        <v>43095</v>
      </c>
      <c r="F362" s="56">
        <v>374.74400000000003</v>
      </c>
      <c r="H362" s="56">
        <v>373.74400000000003</v>
      </c>
      <c r="K362" s="56">
        <v>373.74400000000003</v>
      </c>
    </row>
    <row r="363" spans="1:14" ht="15" x14ac:dyDescent="0.15">
      <c r="A363" s="38">
        <v>43096</v>
      </c>
      <c r="B363" s="56">
        <v>373.74400000000003</v>
      </c>
      <c r="G363" s="56">
        <v>373.74400000000003</v>
      </c>
      <c r="I363" s="56">
        <v>373.74400000000003</v>
      </c>
      <c r="M363" s="56">
        <v>373.74400000000003</v>
      </c>
    </row>
    <row r="364" spans="1:14" ht="15" x14ac:dyDescent="0.15">
      <c r="A364" s="38">
        <v>43097</v>
      </c>
      <c r="C364" s="56">
        <v>373.74400000000003</v>
      </c>
      <c r="E364" s="56">
        <v>374.74400000000003</v>
      </c>
      <c r="J364" s="56">
        <v>373.74400000000003</v>
      </c>
      <c r="N364" s="56">
        <v>373.74400000000003</v>
      </c>
    </row>
    <row r="365" spans="1:14" ht="15" x14ac:dyDescent="0.15">
      <c r="A365" s="38">
        <v>43098</v>
      </c>
      <c r="D365" s="56">
        <v>373.74400000000003</v>
      </c>
      <c r="E365" s="57"/>
      <c r="F365" s="57"/>
      <c r="L365" s="56">
        <v>373.74400000000003</v>
      </c>
    </row>
    <row r="366" spans="1:14" ht="15" x14ac:dyDescent="0.15">
      <c r="A366" s="38">
        <v>43099</v>
      </c>
      <c r="F366" s="56">
        <v>374.74400000000003</v>
      </c>
      <c r="H366" s="56">
        <v>373.74400000000003</v>
      </c>
      <c r="K366" s="56">
        <v>373.74400000000003</v>
      </c>
    </row>
    <row r="367" spans="1:14" ht="15" x14ac:dyDescent="0.15">
      <c r="A367" s="38">
        <v>43100</v>
      </c>
      <c r="B367" s="56">
        <v>373.74400000000003</v>
      </c>
      <c r="G367" s="56">
        <v>373.74400000000003</v>
      </c>
      <c r="I367" s="56">
        <v>373.74400000000003</v>
      </c>
      <c r="M367" s="56">
        <v>373.74400000000003</v>
      </c>
    </row>
  </sheetData>
  <phoneticPr fontId="18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36</vt:i4>
      </vt:variant>
    </vt:vector>
  </HeadingPairs>
  <TitlesOfParts>
    <vt:vector size="40" baseType="lpstr">
      <vt:lpstr>Facility</vt:lpstr>
      <vt:lpstr>Balance</vt:lpstr>
      <vt:lpstr>City_Gas</vt:lpstr>
      <vt:lpstr>IMP_Hy</vt:lpstr>
      <vt:lpstr>CCS</vt:lpstr>
      <vt:lpstr>CO2DE</vt:lpstr>
      <vt:lpstr>DLFCC</vt:lpstr>
      <vt:lpstr>E0</vt:lpstr>
      <vt:lpstr>EBS</vt:lpstr>
      <vt:lpstr>ECR</vt:lpstr>
      <vt:lpstr>ECYC</vt:lpstr>
      <vt:lpstr>EDT</vt:lpstr>
      <vt:lpstr>Elec</vt:lpstr>
      <vt:lpstr>ELT</vt:lpstr>
      <vt:lpstr>EMC</vt:lpstr>
      <vt:lpstr>EN</vt:lpstr>
      <vt:lpstr>ENM</vt:lpstr>
      <vt:lpstr>EOM</vt:lpstr>
      <vt:lpstr>ESC</vt:lpstr>
      <vt:lpstr>ETU</vt:lpstr>
      <vt:lpstr>ETYN</vt:lpstr>
      <vt:lpstr>EUC</vt:lpstr>
      <vt:lpstr>EUS</vt:lpstr>
      <vt:lpstr>EVC</vt:lpstr>
      <vt:lpstr>HCE</vt:lpstr>
      <vt:lpstr>HNS</vt:lpstr>
      <vt:lpstr>HSC</vt:lpstr>
      <vt:lpstr>Hyd</vt:lpstr>
      <vt:lpstr>HyFlag</vt:lpstr>
      <vt:lpstr>HySch</vt:lpstr>
      <vt:lpstr>IES</vt:lpstr>
      <vt:lpstr>IFD</vt:lpstr>
      <vt:lpstr>KEmax</vt:lpstr>
      <vt:lpstr>KEmin</vt:lpstr>
      <vt:lpstr>METLOADN</vt:lpstr>
      <vt:lpstr>METRE</vt:lpstr>
      <vt:lpstr>NCO</vt:lpstr>
      <vt:lpstr>OTYN</vt:lpstr>
      <vt:lpstr>PSC</vt:lpstr>
      <vt:lpstr>Syno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康正</dc:creator>
  <cp:lastModifiedBy>田原 聡史</cp:lastModifiedBy>
  <cp:lastPrinted>2011-11-08T07:36:57Z</cp:lastPrinted>
  <dcterms:created xsi:type="dcterms:W3CDTF">2010-09-10T06:00:32Z</dcterms:created>
  <dcterms:modified xsi:type="dcterms:W3CDTF">2021-12-29T14:03:32Z</dcterms:modified>
</cp:coreProperties>
</file>