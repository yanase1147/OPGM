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hara\Desktop\2021_OPGMDec\"/>
    </mc:Choice>
  </mc:AlternateContent>
  <bookViews>
    <workbookView xWindow="0" yWindow="0" windowWidth="6750" windowHeight="450"/>
  </bookViews>
  <sheets>
    <sheet name="SYS" sheetId="1" r:id="rId1"/>
    <sheet name="TRN" sheetId="39" r:id="rId2"/>
  </sheets>
  <definedNames>
    <definedName name="AIR">SYS!$C$13</definedName>
    <definedName name="ANR">SYS!$I$5:$Q$360</definedName>
    <definedName name="ARF">SYS!$I$2:$Q$2</definedName>
    <definedName name="BB">TRN!$A$2</definedName>
    <definedName name="BLT">TRN!$V$3</definedName>
    <definedName name="CO2Max">SYS!$C$9</definedName>
    <definedName name="CO2Tax">SYS!$C$8</definedName>
    <definedName name="COM">SYS!$H$4</definedName>
    <definedName name="D0">SYS!$C$5</definedName>
    <definedName name="DB">SYS!$C$6</definedName>
    <definedName name="DE">SYS!$C$7</definedName>
    <definedName name="DELTA">SYS!$C$12</definedName>
    <definedName name="FATX">SYS!$C$14</definedName>
    <definedName name="KTmax">TRN!$M$4:$M$464</definedName>
    <definedName name="KTmin">TRN!$L$4:$L$464</definedName>
    <definedName name="LFCF">SYS!$C$20</definedName>
    <definedName name="LOSS">TRN!$K$4:$K$464</definedName>
    <definedName name="MAX_SNSP">SYS!$I$3:$Q$3</definedName>
    <definedName name="MFLOW">TRN!$H$4:$I$464</definedName>
    <definedName name="NMD">SYS!$C$30:$C$41</definedName>
    <definedName name="NN">SYS!$G$4</definedName>
    <definedName name="O_M_rate">TRN!$U$3</definedName>
    <definedName name="QN">SYS!$C$18:$C$19</definedName>
    <definedName name="RS">SYS!$C$17</definedName>
    <definedName name="SCALE">SYS!$C$16</definedName>
    <definedName name="SNN">SYS!$C$18:$C$19</definedName>
    <definedName name="SOMAX">SYS!$C$11</definedName>
    <definedName name="SOMIN">SYS!$C$10</definedName>
    <definedName name="SVR">SYS!$C$15</definedName>
    <definedName name="T0">SYS!$C$4</definedName>
    <definedName name="TFC">TRN!$J$4:$J$464</definedName>
    <definedName name="TI">TRN!$D$4:$E$464</definedName>
    <definedName name="UCF">SYS!#REF!</definedName>
    <definedName name="XX">TRN!$G$4:$G$464</definedName>
  </definedNames>
  <calcPr calcId="162913" calcMode="manual"/>
</workbook>
</file>

<file path=xl/calcChain.xml><?xml version="1.0" encoding="utf-8"?>
<calcChain xmlns="http://schemas.openxmlformats.org/spreadsheetml/2006/main">
  <c r="T23" i="39" l="1"/>
  <c r="J23" i="39" s="1"/>
  <c r="E23" i="39"/>
  <c r="P23" i="39" s="1"/>
  <c r="D23" i="39"/>
  <c r="O23" i="39" s="1"/>
  <c r="T21" i="39" l="1"/>
  <c r="J21" i="39" s="1"/>
  <c r="T22" i="39"/>
  <c r="J22" i="39" s="1"/>
  <c r="T24" i="39"/>
  <c r="J24" i="39" s="1"/>
  <c r="T25" i="39"/>
  <c r="J25" i="39" s="1"/>
  <c r="T26" i="39"/>
  <c r="J26" i="39" s="1"/>
  <c r="T27" i="39"/>
  <c r="J27" i="39" s="1"/>
  <c r="T28" i="39"/>
  <c r="J28" i="39" s="1"/>
  <c r="T20" i="39"/>
  <c r="J20" i="39" s="1"/>
  <c r="E26" i="39" l="1"/>
  <c r="P26" i="39" s="1"/>
  <c r="D26" i="39"/>
  <c r="O26" i="39" s="1"/>
  <c r="K299" i="39" l="1"/>
  <c r="E299" i="39"/>
  <c r="P299" i="39" s="1"/>
  <c r="D299" i="39"/>
  <c r="O299" i="39" s="1"/>
  <c r="E22" i="39" l="1"/>
  <c r="P22" i="39" s="1"/>
  <c r="E24" i="39"/>
  <c r="P24" i="39" s="1"/>
  <c r="E25" i="39"/>
  <c r="P25" i="39" s="1"/>
  <c r="D22" i="39"/>
  <c r="O22" i="39" s="1"/>
  <c r="D24" i="39"/>
  <c r="O24" i="39" s="1"/>
  <c r="D25" i="39"/>
  <c r="O25" i="39" s="1"/>
  <c r="K355" i="39"/>
  <c r="K354" i="39"/>
  <c r="E354" i="39"/>
  <c r="P354" i="39" s="1"/>
  <c r="E355" i="39"/>
  <c r="P355" i="39" s="1"/>
  <c r="D354" i="39"/>
  <c r="O354" i="39" s="1"/>
  <c r="D355" i="39"/>
  <c r="O355" i="39" s="1"/>
  <c r="E353" i="39"/>
  <c r="P353" i="39" s="1"/>
  <c r="D353" i="39"/>
  <c r="O353" i="39" s="1"/>
  <c r="K353" i="39"/>
  <c r="R267" i="1"/>
  <c r="R224" i="1"/>
  <c r="D102" i="39"/>
  <c r="O102" i="39" s="1"/>
  <c r="E102" i="39"/>
  <c r="P102" i="39" s="1"/>
  <c r="K102" i="39"/>
  <c r="E129" i="39"/>
  <c r="P129" i="39" s="1"/>
  <c r="E130" i="39"/>
  <c r="P130" i="39" s="1"/>
  <c r="D129" i="39"/>
  <c r="O129" i="39" s="1"/>
  <c r="D130" i="39"/>
  <c r="O130" i="39" s="1"/>
  <c r="K130" i="39"/>
  <c r="K129" i="39"/>
  <c r="R66" i="1"/>
  <c r="R87" i="1"/>
  <c r="K104" i="39"/>
  <c r="K103" i="39"/>
  <c r="E103" i="39"/>
  <c r="P103" i="39" s="1"/>
  <c r="E104" i="39"/>
  <c r="P104" i="39" s="1"/>
  <c r="D103" i="39"/>
  <c r="O103" i="39" s="1"/>
  <c r="D104" i="39"/>
  <c r="O104" i="39" s="1"/>
  <c r="H5" i="39"/>
  <c r="I5" i="39"/>
  <c r="K19" i="39"/>
  <c r="E19" i="39"/>
  <c r="P19" i="39" s="1"/>
  <c r="D19" i="39"/>
  <c r="O19" i="39" s="1"/>
  <c r="R68" i="1" l="1"/>
  <c r="R67" i="1"/>
  <c r="D5" i="39"/>
  <c r="O5" i="39" s="1"/>
  <c r="E5" i="39"/>
  <c r="D6" i="39"/>
  <c r="E6" i="39"/>
  <c r="D7" i="39"/>
  <c r="E7" i="39"/>
  <c r="D8" i="39"/>
  <c r="E8" i="39"/>
  <c r="D9" i="39"/>
  <c r="E9" i="39"/>
  <c r="D10" i="39"/>
  <c r="E10" i="39"/>
  <c r="D11" i="39"/>
  <c r="E11" i="39"/>
  <c r="D12" i="39"/>
  <c r="E12" i="39"/>
  <c r="D13" i="39"/>
  <c r="E13" i="39"/>
  <c r="D14" i="39"/>
  <c r="E14" i="39"/>
  <c r="D15" i="39"/>
  <c r="E15" i="39"/>
  <c r="D16" i="39"/>
  <c r="E16" i="39"/>
  <c r="D17" i="39"/>
  <c r="E17" i="39"/>
  <c r="D18" i="39"/>
  <c r="E18" i="39"/>
  <c r="D20" i="39"/>
  <c r="O20" i="39" s="1"/>
  <c r="E20" i="39"/>
  <c r="P20" i="39" s="1"/>
  <c r="D21" i="39"/>
  <c r="O21" i="39" s="1"/>
  <c r="E21" i="39"/>
  <c r="P21" i="39" s="1"/>
  <c r="D27" i="39"/>
  <c r="O27" i="39" s="1"/>
  <c r="E27" i="39"/>
  <c r="P27" i="39" s="1"/>
  <c r="D28" i="39"/>
  <c r="O28" i="39" s="1"/>
  <c r="E28" i="39"/>
  <c r="P28" i="39" s="1"/>
  <c r="D29" i="39"/>
  <c r="E29" i="39"/>
  <c r="D30" i="39"/>
  <c r="E30" i="39"/>
  <c r="D31" i="39"/>
  <c r="E31" i="39"/>
  <c r="D32" i="39"/>
  <c r="E32" i="39"/>
  <c r="D33" i="39"/>
  <c r="E33" i="39"/>
  <c r="D34" i="39"/>
  <c r="E34" i="39"/>
  <c r="D35" i="39"/>
  <c r="E35" i="39"/>
  <c r="D36" i="39"/>
  <c r="E36" i="39"/>
  <c r="D37" i="39"/>
  <c r="E37" i="39"/>
  <c r="D38" i="39"/>
  <c r="E38" i="39"/>
  <c r="D39" i="39"/>
  <c r="E39" i="39"/>
  <c r="D40" i="39"/>
  <c r="E40" i="39"/>
  <c r="D41" i="39"/>
  <c r="E41" i="39"/>
  <c r="D42" i="39"/>
  <c r="E42" i="39"/>
  <c r="D43" i="39"/>
  <c r="E43" i="39"/>
  <c r="D44" i="39"/>
  <c r="E44" i="39"/>
  <c r="D45" i="39"/>
  <c r="E45" i="39"/>
  <c r="D46" i="39"/>
  <c r="E46" i="39"/>
  <c r="D47" i="39"/>
  <c r="E47" i="39"/>
  <c r="D48" i="39"/>
  <c r="E48" i="39"/>
  <c r="D49" i="39"/>
  <c r="E49" i="39"/>
  <c r="D50" i="39"/>
  <c r="E50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D63" i="39"/>
  <c r="E63" i="39"/>
  <c r="D64" i="39"/>
  <c r="E64" i="39"/>
  <c r="D65" i="39"/>
  <c r="E65" i="39"/>
  <c r="D66" i="39"/>
  <c r="E66" i="39"/>
  <c r="D67" i="39"/>
  <c r="E67" i="39"/>
  <c r="D68" i="39"/>
  <c r="E68" i="39"/>
  <c r="D69" i="39"/>
  <c r="E69" i="39"/>
  <c r="D70" i="39"/>
  <c r="E70" i="39"/>
  <c r="D71" i="39"/>
  <c r="E71" i="39"/>
  <c r="D72" i="39"/>
  <c r="E72" i="39"/>
  <c r="D73" i="39"/>
  <c r="E73" i="39"/>
  <c r="D74" i="39"/>
  <c r="E74" i="39"/>
  <c r="D75" i="39"/>
  <c r="E75" i="39"/>
  <c r="D76" i="39"/>
  <c r="E76" i="39"/>
  <c r="D77" i="39"/>
  <c r="E77" i="39"/>
  <c r="D78" i="39"/>
  <c r="E78" i="39"/>
  <c r="D79" i="39"/>
  <c r="E79" i="39"/>
  <c r="D80" i="39"/>
  <c r="E80" i="39"/>
  <c r="D81" i="39"/>
  <c r="E81" i="39"/>
  <c r="D82" i="39"/>
  <c r="E82" i="39"/>
  <c r="D83" i="39"/>
  <c r="E83" i="39"/>
  <c r="D84" i="39"/>
  <c r="E84" i="39"/>
  <c r="D85" i="39"/>
  <c r="E85" i="39"/>
  <c r="D86" i="39"/>
  <c r="E86" i="39"/>
  <c r="D87" i="39"/>
  <c r="E87" i="39"/>
  <c r="D88" i="39"/>
  <c r="E88" i="39"/>
  <c r="D89" i="39"/>
  <c r="E89" i="39"/>
  <c r="D90" i="39"/>
  <c r="E90" i="39"/>
  <c r="D91" i="39"/>
  <c r="E91" i="39"/>
  <c r="D92" i="39"/>
  <c r="E92" i="39"/>
  <c r="D93" i="39"/>
  <c r="E93" i="39"/>
  <c r="D94" i="39"/>
  <c r="E94" i="39"/>
  <c r="D95" i="39"/>
  <c r="E95" i="39"/>
  <c r="D96" i="39"/>
  <c r="E96" i="39"/>
  <c r="D97" i="39"/>
  <c r="E97" i="39"/>
  <c r="D98" i="39"/>
  <c r="E98" i="39"/>
  <c r="D99" i="39"/>
  <c r="E99" i="39"/>
  <c r="D100" i="39"/>
  <c r="E100" i="39"/>
  <c r="D101" i="39"/>
  <c r="E101" i="39"/>
  <c r="D105" i="39"/>
  <c r="E105" i="39"/>
  <c r="D106" i="39"/>
  <c r="E106" i="39"/>
  <c r="D107" i="39"/>
  <c r="E107" i="39"/>
  <c r="D108" i="39"/>
  <c r="E108" i="39"/>
  <c r="D109" i="39"/>
  <c r="E109" i="39"/>
  <c r="D110" i="39"/>
  <c r="E110" i="39"/>
  <c r="D111" i="39"/>
  <c r="E111" i="39"/>
  <c r="D112" i="39"/>
  <c r="E112" i="39"/>
  <c r="D113" i="39"/>
  <c r="E113" i="39"/>
  <c r="D114" i="39"/>
  <c r="E114" i="39"/>
  <c r="D115" i="39"/>
  <c r="E115" i="39"/>
  <c r="D116" i="39"/>
  <c r="E116" i="39"/>
  <c r="D117" i="39"/>
  <c r="E117" i="39"/>
  <c r="D118" i="39"/>
  <c r="E118" i="39"/>
  <c r="D119" i="39"/>
  <c r="E119" i="39"/>
  <c r="D120" i="39"/>
  <c r="E120" i="39"/>
  <c r="D121" i="39"/>
  <c r="E121" i="39"/>
  <c r="D122" i="39"/>
  <c r="E122" i="39"/>
  <c r="D123" i="39"/>
  <c r="E123" i="39"/>
  <c r="D124" i="39"/>
  <c r="E124" i="39"/>
  <c r="D125" i="39"/>
  <c r="E125" i="39"/>
  <c r="D126" i="39"/>
  <c r="E126" i="39"/>
  <c r="D127" i="39"/>
  <c r="E127" i="39"/>
  <c r="D128" i="39"/>
  <c r="E128" i="39"/>
  <c r="D131" i="39"/>
  <c r="E131" i="39"/>
  <c r="D132" i="39"/>
  <c r="E132" i="39"/>
  <c r="D133" i="39"/>
  <c r="E133" i="39"/>
  <c r="D134" i="39"/>
  <c r="E134" i="39"/>
  <c r="D135" i="39"/>
  <c r="E135" i="39"/>
  <c r="D136" i="39"/>
  <c r="E136" i="39"/>
  <c r="D137" i="39"/>
  <c r="E137" i="39"/>
  <c r="D138" i="39"/>
  <c r="E138" i="39"/>
  <c r="D139" i="39"/>
  <c r="E139" i="39"/>
  <c r="D140" i="39"/>
  <c r="E140" i="39"/>
  <c r="D141" i="39"/>
  <c r="E141" i="39"/>
  <c r="D142" i="39"/>
  <c r="E142" i="39"/>
  <c r="D143" i="39"/>
  <c r="E143" i="39"/>
  <c r="D144" i="39"/>
  <c r="E144" i="39"/>
  <c r="D145" i="39"/>
  <c r="E145" i="39"/>
  <c r="D146" i="39"/>
  <c r="E146" i="39"/>
  <c r="D147" i="39"/>
  <c r="E147" i="39"/>
  <c r="D148" i="39"/>
  <c r="E148" i="39"/>
  <c r="D149" i="39"/>
  <c r="E149" i="39"/>
  <c r="D150" i="39"/>
  <c r="E150" i="39"/>
  <c r="D151" i="39"/>
  <c r="E151" i="39"/>
  <c r="D152" i="39"/>
  <c r="E152" i="39"/>
  <c r="D153" i="39"/>
  <c r="E153" i="39"/>
  <c r="D154" i="39"/>
  <c r="E154" i="39"/>
  <c r="D155" i="39"/>
  <c r="E155" i="39"/>
  <c r="D156" i="39"/>
  <c r="E156" i="39"/>
  <c r="D157" i="39"/>
  <c r="E157" i="39"/>
  <c r="D158" i="39"/>
  <c r="E158" i="39"/>
  <c r="D159" i="39"/>
  <c r="E159" i="39"/>
  <c r="D160" i="39"/>
  <c r="E160" i="39"/>
  <c r="D161" i="39"/>
  <c r="E161" i="39"/>
  <c r="D162" i="39"/>
  <c r="E162" i="39"/>
  <c r="D163" i="39"/>
  <c r="E163" i="39"/>
  <c r="D164" i="39"/>
  <c r="E164" i="39"/>
  <c r="D165" i="39"/>
  <c r="E165" i="39"/>
  <c r="D166" i="39"/>
  <c r="E166" i="39"/>
  <c r="D167" i="39"/>
  <c r="E167" i="39"/>
  <c r="D168" i="39"/>
  <c r="E168" i="39"/>
  <c r="D169" i="39"/>
  <c r="E169" i="39"/>
  <c r="D170" i="39"/>
  <c r="E170" i="39"/>
  <c r="D171" i="39"/>
  <c r="E171" i="39"/>
  <c r="D172" i="39"/>
  <c r="E172" i="39"/>
  <c r="D173" i="39"/>
  <c r="E173" i="39"/>
  <c r="D174" i="39"/>
  <c r="E174" i="39"/>
  <c r="D175" i="39"/>
  <c r="E175" i="39"/>
  <c r="D176" i="39"/>
  <c r="E176" i="39"/>
  <c r="D177" i="39"/>
  <c r="E177" i="39"/>
  <c r="D178" i="39"/>
  <c r="E178" i="39"/>
  <c r="D179" i="39"/>
  <c r="E179" i="39"/>
  <c r="D180" i="39"/>
  <c r="E180" i="39"/>
  <c r="D181" i="39"/>
  <c r="E181" i="39"/>
  <c r="D182" i="39"/>
  <c r="E182" i="39"/>
  <c r="D183" i="39"/>
  <c r="E183" i="39"/>
  <c r="D184" i="39"/>
  <c r="E184" i="39"/>
  <c r="D185" i="39"/>
  <c r="E185" i="39"/>
  <c r="D186" i="39"/>
  <c r="E186" i="39"/>
  <c r="D187" i="39"/>
  <c r="E187" i="39"/>
  <c r="D188" i="39"/>
  <c r="E188" i="39"/>
  <c r="D189" i="39"/>
  <c r="E189" i="39"/>
  <c r="D190" i="39"/>
  <c r="E190" i="39"/>
  <c r="D191" i="39"/>
  <c r="E191" i="39"/>
  <c r="D192" i="39"/>
  <c r="E192" i="39"/>
  <c r="D193" i="39"/>
  <c r="E193" i="39"/>
  <c r="D194" i="39"/>
  <c r="E194" i="39"/>
  <c r="D195" i="39"/>
  <c r="E195" i="39"/>
  <c r="D196" i="39"/>
  <c r="E196" i="39"/>
  <c r="D197" i="39"/>
  <c r="E197" i="39"/>
  <c r="D198" i="39"/>
  <c r="E198" i="39"/>
  <c r="D199" i="39"/>
  <c r="E199" i="39"/>
  <c r="D200" i="39"/>
  <c r="E200" i="39"/>
  <c r="D201" i="39"/>
  <c r="E201" i="39"/>
  <c r="D202" i="39"/>
  <c r="E202" i="39"/>
  <c r="D203" i="39"/>
  <c r="E203" i="39"/>
  <c r="D204" i="39"/>
  <c r="E204" i="39"/>
  <c r="D205" i="39"/>
  <c r="E205" i="39"/>
  <c r="D206" i="39"/>
  <c r="E206" i="39"/>
  <c r="D207" i="39"/>
  <c r="E207" i="39"/>
  <c r="D208" i="39"/>
  <c r="E208" i="39"/>
  <c r="D209" i="39"/>
  <c r="E209" i="39"/>
  <c r="D210" i="39"/>
  <c r="E210" i="39"/>
  <c r="D211" i="39"/>
  <c r="E211" i="39"/>
  <c r="D212" i="39"/>
  <c r="E212" i="39"/>
  <c r="D213" i="39"/>
  <c r="E213" i="39"/>
  <c r="D214" i="39"/>
  <c r="E214" i="39"/>
  <c r="D215" i="39"/>
  <c r="E215" i="39"/>
  <c r="D216" i="39"/>
  <c r="E216" i="39"/>
  <c r="D217" i="39"/>
  <c r="E217" i="39"/>
  <c r="D218" i="39"/>
  <c r="E218" i="39"/>
  <c r="D219" i="39"/>
  <c r="E219" i="39"/>
  <c r="D220" i="39"/>
  <c r="E220" i="39"/>
  <c r="D221" i="39"/>
  <c r="E221" i="39"/>
  <c r="D222" i="39"/>
  <c r="E222" i="39"/>
  <c r="D223" i="39"/>
  <c r="E223" i="39"/>
  <c r="D224" i="39"/>
  <c r="E224" i="39"/>
  <c r="D225" i="39"/>
  <c r="E225" i="39"/>
  <c r="D226" i="39"/>
  <c r="E226" i="39"/>
  <c r="D227" i="39"/>
  <c r="E227" i="39"/>
  <c r="D228" i="39"/>
  <c r="E228" i="39"/>
  <c r="D229" i="39"/>
  <c r="E229" i="39"/>
  <c r="D230" i="39"/>
  <c r="E230" i="39"/>
  <c r="D231" i="39"/>
  <c r="E231" i="39"/>
  <c r="D232" i="39"/>
  <c r="E232" i="39"/>
  <c r="D233" i="39"/>
  <c r="E233" i="39"/>
  <c r="D234" i="39"/>
  <c r="E234" i="39"/>
  <c r="D235" i="39"/>
  <c r="E235" i="39"/>
  <c r="D236" i="39"/>
  <c r="E236" i="39"/>
  <c r="D237" i="39"/>
  <c r="E237" i="39"/>
  <c r="D238" i="39"/>
  <c r="E238" i="39"/>
  <c r="D239" i="39"/>
  <c r="E239" i="39"/>
  <c r="D240" i="39"/>
  <c r="E240" i="39"/>
  <c r="D241" i="39"/>
  <c r="E241" i="39"/>
  <c r="D242" i="39"/>
  <c r="E242" i="39"/>
  <c r="D243" i="39"/>
  <c r="E243" i="39"/>
  <c r="D244" i="39"/>
  <c r="E244" i="39"/>
  <c r="D245" i="39"/>
  <c r="E245" i="39"/>
  <c r="D246" i="39"/>
  <c r="E246" i="39"/>
  <c r="D247" i="39"/>
  <c r="E247" i="39"/>
  <c r="D248" i="39"/>
  <c r="E248" i="39"/>
  <c r="D249" i="39"/>
  <c r="E249" i="39"/>
  <c r="D250" i="39"/>
  <c r="E250" i="39"/>
  <c r="D251" i="39"/>
  <c r="E251" i="39"/>
  <c r="D252" i="39"/>
  <c r="E252" i="39"/>
  <c r="D253" i="39"/>
  <c r="E253" i="39"/>
  <c r="D254" i="39"/>
  <c r="E254" i="39"/>
  <c r="D255" i="39"/>
  <c r="E255" i="39"/>
  <c r="D256" i="39"/>
  <c r="E256" i="39"/>
  <c r="D257" i="39"/>
  <c r="E257" i="39"/>
  <c r="D258" i="39"/>
  <c r="E258" i="39"/>
  <c r="D259" i="39"/>
  <c r="E259" i="39"/>
  <c r="D260" i="39"/>
  <c r="E260" i="39"/>
  <c r="D261" i="39"/>
  <c r="E261" i="39"/>
  <c r="D262" i="39"/>
  <c r="E262" i="39"/>
  <c r="D263" i="39"/>
  <c r="E263" i="39"/>
  <c r="D264" i="39"/>
  <c r="E264" i="39"/>
  <c r="D265" i="39"/>
  <c r="E265" i="39"/>
  <c r="D266" i="39"/>
  <c r="E266" i="39"/>
  <c r="D267" i="39"/>
  <c r="E267" i="39"/>
  <c r="D268" i="39"/>
  <c r="E268" i="39"/>
  <c r="D269" i="39"/>
  <c r="E269" i="39"/>
  <c r="D270" i="39"/>
  <c r="E270" i="39"/>
  <c r="D271" i="39"/>
  <c r="E271" i="39"/>
  <c r="D272" i="39"/>
  <c r="E272" i="39"/>
  <c r="D273" i="39"/>
  <c r="E273" i="39"/>
  <c r="D274" i="39"/>
  <c r="E274" i="39"/>
  <c r="D275" i="39"/>
  <c r="E275" i="39"/>
  <c r="D276" i="39"/>
  <c r="E276" i="39"/>
  <c r="D277" i="39"/>
  <c r="E277" i="39"/>
  <c r="D278" i="39"/>
  <c r="E278" i="39"/>
  <c r="D279" i="39"/>
  <c r="E279" i="39"/>
  <c r="D280" i="39"/>
  <c r="E280" i="39"/>
  <c r="D281" i="39"/>
  <c r="E281" i="39"/>
  <c r="D282" i="39"/>
  <c r="E282" i="39"/>
  <c r="D283" i="39"/>
  <c r="E283" i="39"/>
  <c r="D284" i="39"/>
  <c r="E284" i="39"/>
  <c r="D285" i="39"/>
  <c r="E285" i="39"/>
  <c r="D286" i="39"/>
  <c r="E286" i="39"/>
  <c r="D287" i="39"/>
  <c r="E287" i="39"/>
  <c r="D288" i="39"/>
  <c r="E288" i="39"/>
  <c r="D289" i="39"/>
  <c r="E289" i="39"/>
  <c r="D290" i="39"/>
  <c r="E290" i="39"/>
  <c r="D291" i="39"/>
  <c r="E291" i="39"/>
  <c r="D292" i="39"/>
  <c r="E292" i="39"/>
  <c r="D293" i="39"/>
  <c r="E293" i="39"/>
  <c r="D294" i="39"/>
  <c r="E294" i="39"/>
  <c r="D295" i="39"/>
  <c r="E295" i="39"/>
  <c r="D296" i="39"/>
  <c r="E296" i="39"/>
  <c r="D297" i="39"/>
  <c r="E297" i="39"/>
  <c r="D298" i="39"/>
  <c r="E298" i="39"/>
  <c r="D300" i="39"/>
  <c r="E300" i="39"/>
  <c r="D301" i="39"/>
  <c r="E301" i="39"/>
  <c r="D302" i="39"/>
  <c r="E302" i="39"/>
  <c r="D303" i="39"/>
  <c r="E303" i="39"/>
  <c r="D304" i="39"/>
  <c r="E304" i="39"/>
  <c r="D305" i="39"/>
  <c r="E305" i="39"/>
  <c r="D306" i="39"/>
  <c r="E306" i="39"/>
  <c r="D307" i="39"/>
  <c r="E307" i="39"/>
  <c r="D308" i="39"/>
  <c r="E308" i="39"/>
  <c r="D309" i="39"/>
  <c r="E309" i="39"/>
  <c r="D310" i="39"/>
  <c r="E310" i="39"/>
  <c r="D311" i="39"/>
  <c r="E311" i="39"/>
  <c r="D312" i="39"/>
  <c r="E312" i="39"/>
  <c r="D313" i="39"/>
  <c r="E313" i="39"/>
  <c r="D314" i="39"/>
  <c r="E314" i="39"/>
  <c r="D315" i="39"/>
  <c r="E315" i="39"/>
  <c r="D316" i="39"/>
  <c r="E316" i="39"/>
  <c r="D317" i="39"/>
  <c r="E317" i="39"/>
  <c r="D318" i="39"/>
  <c r="E318" i="39"/>
  <c r="D319" i="39"/>
  <c r="E319" i="39"/>
  <c r="D320" i="39"/>
  <c r="E320" i="39"/>
  <c r="D321" i="39"/>
  <c r="E321" i="39"/>
  <c r="D322" i="39"/>
  <c r="E322" i="39"/>
  <c r="D323" i="39"/>
  <c r="E323" i="39"/>
  <c r="D324" i="39"/>
  <c r="E324" i="39"/>
  <c r="D325" i="39"/>
  <c r="E325" i="39"/>
  <c r="D326" i="39"/>
  <c r="E326" i="39"/>
  <c r="D327" i="39"/>
  <c r="E327" i="39"/>
  <c r="D328" i="39"/>
  <c r="E328" i="39"/>
  <c r="D329" i="39"/>
  <c r="E329" i="39"/>
  <c r="D330" i="39"/>
  <c r="E330" i="39"/>
  <c r="D331" i="39"/>
  <c r="E331" i="39"/>
  <c r="D332" i="39"/>
  <c r="E332" i="39"/>
  <c r="D333" i="39"/>
  <c r="E333" i="39"/>
  <c r="D334" i="39"/>
  <c r="E334" i="39"/>
  <c r="D335" i="39"/>
  <c r="E335" i="39"/>
  <c r="D336" i="39"/>
  <c r="E336" i="39"/>
  <c r="D337" i="39"/>
  <c r="E337" i="39"/>
  <c r="D338" i="39"/>
  <c r="E338" i="39"/>
  <c r="D339" i="39"/>
  <c r="E339" i="39"/>
  <c r="D340" i="39"/>
  <c r="E340" i="39"/>
  <c r="D341" i="39"/>
  <c r="E341" i="39"/>
  <c r="D342" i="39"/>
  <c r="E342" i="39"/>
  <c r="D343" i="39"/>
  <c r="E343" i="39"/>
  <c r="D344" i="39"/>
  <c r="E344" i="39"/>
  <c r="D345" i="39"/>
  <c r="E345" i="39"/>
  <c r="D346" i="39"/>
  <c r="E346" i="39"/>
  <c r="D347" i="39"/>
  <c r="E347" i="39"/>
  <c r="D348" i="39"/>
  <c r="E348" i="39"/>
  <c r="D349" i="39"/>
  <c r="E349" i="39"/>
  <c r="D350" i="39"/>
  <c r="E350" i="39"/>
  <c r="D351" i="39"/>
  <c r="E351" i="39"/>
  <c r="D352" i="39"/>
  <c r="E352" i="39"/>
  <c r="D356" i="39"/>
  <c r="E356" i="39"/>
  <c r="D357" i="39"/>
  <c r="E357" i="39"/>
  <c r="D358" i="39"/>
  <c r="E358" i="39"/>
  <c r="D359" i="39"/>
  <c r="E359" i="39"/>
  <c r="D360" i="39"/>
  <c r="E360" i="39"/>
  <c r="D361" i="39"/>
  <c r="E361" i="39"/>
  <c r="D362" i="39"/>
  <c r="E362" i="39"/>
  <c r="D363" i="39"/>
  <c r="E363" i="39"/>
  <c r="D364" i="39"/>
  <c r="E364" i="39"/>
  <c r="D365" i="39"/>
  <c r="E365" i="39"/>
  <c r="D366" i="39"/>
  <c r="E366" i="39"/>
  <c r="D367" i="39"/>
  <c r="E367" i="39"/>
  <c r="D368" i="39"/>
  <c r="E368" i="39"/>
  <c r="D369" i="39"/>
  <c r="E369" i="39"/>
  <c r="D370" i="39"/>
  <c r="E370" i="39"/>
  <c r="D371" i="39"/>
  <c r="E371" i="39"/>
  <c r="D372" i="39"/>
  <c r="E372" i="39"/>
  <c r="D373" i="39"/>
  <c r="E373" i="39"/>
  <c r="D374" i="39"/>
  <c r="E374" i="39"/>
  <c r="D375" i="39"/>
  <c r="E375" i="39"/>
  <c r="D376" i="39"/>
  <c r="E376" i="39"/>
  <c r="D377" i="39"/>
  <c r="E377" i="39"/>
  <c r="D378" i="39"/>
  <c r="E378" i="39"/>
  <c r="D379" i="39"/>
  <c r="E379" i="39"/>
  <c r="D380" i="39"/>
  <c r="E380" i="39"/>
  <c r="D381" i="39"/>
  <c r="E381" i="39"/>
  <c r="D382" i="39"/>
  <c r="E382" i="39"/>
  <c r="D383" i="39"/>
  <c r="E383" i="39"/>
  <c r="D384" i="39"/>
  <c r="E384" i="39"/>
  <c r="D385" i="39"/>
  <c r="E385" i="39"/>
  <c r="D386" i="39"/>
  <c r="E386" i="39"/>
  <c r="D387" i="39"/>
  <c r="E387" i="39"/>
  <c r="D388" i="39"/>
  <c r="E388" i="39"/>
  <c r="D389" i="39"/>
  <c r="E389" i="39"/>
  <c r="D390" i="39"/>
  <c r="E390" i="39"/>
  <c r="D391" i="39"/>
  <c r="E391" i="39"/>
  <c r="D392" i="39"/>
  <c r="E392" i="39"/>
  <c r="D393" i="39"/>
  <c r="E393" i="39"/>
  <c r="D394" i="39"/>
  <c r="E394" i="39"/>
  <c r="D395" i="39"/>
  <c r="E395" i="39"/>
  <c r="D396" i="39"/>
  <c r="E396" i="39"/>
  <c r="D397" i="39"/>
  <c r="E397" i="39"/>
  <c r="D398" i="39"/>
  <c r="E398" i="39"/>
  <c r="D399" i="39"/>
  <c r="E399" i="39"/>
  <c r="D400" i="39"/>
  <c r="E400" i="39"/>
  <c r="D401" i="39"/>
  <c r="E401" i="39"/>
  <c r="D402" i="39"/>
  <c r="E402" i="39"/>
  <c r="D403" i="39"/>
  <c r="E403" i="39"/>
  <c r="D404" i="39"/>
  <c r="E404" i="39"/>
  <c r="D405" i="39"/>
  <c r="E405" i="39"/>
  <c r="D406" i="39"/>
  <c r="E406" i="39"/>
  <c r="D407" i="39"/>
  <c r="E407" i="39"/>
  <c r="D408" i="39"/>
  <c r="E408" i="39"/>
  <c r="D409" i="39"/>
  <c r="E409" i="39"/>
  <c r="D410" i="39"/>
  <c r="E410" i="39"/>
  <c r="D411" i="39"/>
  <c r="E411" i="39"/>
  <c r="D412" i="39"/>
  <c r="E412" i="39"/>
  <c r="D413" i="39"/>
  <c r="E413" i="39"/>
  <c r="D414" i="39"/>
  <c r="E414" i="39"/>
  <c r="D415" i="39"/>
  <c r="E415" i="39"/>
  <c r="D416" i="39"/>
  <c r="E416" i="39"/>
  <c r="D417" i="39"/>
  <c r="E417" i="39"/>
  <c r="D418" i="39"/>
  <c r="E418" i="39"/>
  <c r="D419" i="39"/>
  <c r="E419" i="39"/>
  <c r="D420" i="39"/>
  <c r="E420" i="39"/>
  <c r="D421" i="39"/>
  <c r="E421" i="39"/>
  <c r="D422" i="39"/>
  <c r="E422" i="39"/>
  <c r="D423" i="39"/>
  <c r="E423" i="39"/>
  <c r="D424" i="39"/>
  <c r="E424" i="39"/>
  <c r="D425" i="39"/>
  <c r="E425" i="39"/>
  <c r="D426" i="39"/>
  <c r="E426" i="39"/>
  <c r="D427" i="39"/>
  <c r="E427" i="39"/>
  <c r="D428" i="39"/>
  <c r="E428" i="39"/>
  <c r="D429" i="39"/>
  <c r="E429" i="39"/>
  <c r="D430" i="39"/>
  <c r="E430" i="39"/>
  <c r="D431" i="39"/>
  <c r="E431" i="39"/>
  <c r="D432" i="39"/>
  <c r="E432" i="39"/>
  <c r="D433" i="39"/>
  <c r="E433" i="39"/>
  <c r="D434" i="39"/>
  <c r="E434" i="39"/>
  <c r="D435" i="39"/>
  <c r="E435" i="39"/>
  <c r="D436" i="39"/>
  <c r="E436" i="39"/>
  <c r="D437" i="39"/>
  <c r="E437" i="39"/>
  <c r="D438" i="39"/>
  <c r="E438" i="39"/>
  <c r="D439" i="39"/>
  <c r="E439" i="39"/>
  <c r="D440" i="39"/>
  <c r="E440" i="39"/>
  <c r="D441" i="39"/>
  <c r="E441" i="39"/>
  <c r="D442" i="39"/>
  <c r="E442" i="39"/>
  <c r="D443" i="39"/>
  <c r="E443" i="39"/>
  <c r="D444" i="39"/>
  <c r="E444" i="39"/>
  <c r="D445" i="39"/>
  <c r="E445" i="39"/>
  <c r="D446" i="39"/>
  <c r="E446" i="39"/>
  <c r="D447" i="39"/>
  <c r="E447" i="39"/>
  <c r="D448" i="39"/>
  <c r="E448" i="39"/>
  <c r="D449" i="39"/>
  <c r="E449" i="39"/>
  <c r="D450" i="39"/>
  <c r="E450" i="39"/>
  <c r="D451" i="39"/>
  <c r="E451" i="39"/>
  <c r="D452" i="39"/>
  <c r="E452" i="39"/>
  <c r="D453" i="39"/>
  <c r="E453" i="39"/>
  <c r="D454" i="39"/>
  <c r="E454" i="39"/>
  <c r="D455" i="39"/>
  <c r="E455" i="39"/>
  <c r="D456" i="39"/>
  <c r="E456" i="39"/>
  <c r="D457" i="39"/>
  <c r="E457" i="39"/>
  <c r="D458" i="39"/>
  <c r="E458" i="39"/>
  <c r="D459" i="39"/>
  <c r="E459" i="39"/>
  <c r="D460" i="39"/>
  <c r="E460" i="39"/>
  <c r="D461" i="39"/>
  <c r="E461" i="39"/>
  <c r="D462" i="39"/>
  <c r="E462" i="39"/>
  <c r="D463" i="39"/>
  <c r="E463" i="39"/>
  <c r="D464" i="39"/>
  <c r="E464" i="39"/>
  <c r="E4" i="39"/>
  <c r="D4" i="39"/>
  <c r="O4" i="39" s="1"/>
  <c r="P10" i="39"/>
  <c r="Z12" i="39" l="1"/>
  <c r="Z13" i="39"/>
  <c r="Z14" i="39"/>
  <c r="Z15" i="39"/>
  <c r="Z16" i="39"/>
  <c r="Z17" i="39"/>
  <c r="Z18" i="39"/>
  <c r="Z20" i="39"/>
  <c r="Z21" i="39"/>
  <c r="Z11" i="39"/>
  <c r="V9" i="39"/>
  <c r="V14" i="39" s="1"/>
  <c r="W10" i="39" l="1"/>
  <c r="W9" i="39" l="1"/>
  <c r="W8" i="39"/>
  <c r="AA7" i="39" l="1"/>
  <c r="AG7" i="39" s="1"/>
  <c r="Z7" i="39"/>
  <c r="AA6" i="39"/>
  <c r="AG6" i="39" s="1"/>
  <c r="Z6" i="39"/>
  <c r="AA5" i="39"/>
  <c r="AG5" i="39" s="1"/>
  <c r="Z5" i="39"/>
  <c r="AA4" i="39"/>
  <c r="AG4" i="39" s="1"/>
  <c r="Z4" i="39"/>
  <c r="AA3" i="39"/>
  <c r="AG3" i="39" s="1"/>
  <c r="W7" i="39"/>
  <c r="W3" i="39"/>
  <c r="Z3" i="39" s="1"/>
  <c r="W5" i="39"/>
  <c r="W4" i="39"/>
  <c r="AC3" i="39" l="1"/>
  <c r="AH3" i="39"/>
  <c r="AE3" i="39"/>
  <c r="AH4" i="39"/>
  <c r="AE4" i="39"/>
  <c r="AH5" i="39"/>
  <c r="AE5" i="39"/>
  <c r="AH6" i="39"/>
  <c r="AE6" i="39"/>
  <c r="AC4" i="39"/>
  <c r="AH7" i="39"/>
  <c r="AE7" i="39"/>
  <c r="AC7" i="39"/>
  <c r="AC6" i="39"/>
  <c r="AC5" i="39"/>
  <c r="AD3" i="39"/>
  <c r="AD7" i="39"/>
  <c r="AD6" i="39"/>
  <c r="AD5" i="39"/>
  <c r="AD4" i="39"/>
  <c r="AL10" i="1"/>
  <c r="P464" i="39" l="1"/>
  <c r="P463" i="39"/>
  <c r="P462" i="39"/>
  <c r="P461" i="39"/>
  <c r="P460" i="39"/>
  <c r="P459" i="39"/>
  <c r="P458" i="39"/>
  <c r="P457" i="39"/>
  <c r="P456" i="39"/>
  <c r="P455" i="39"/>
  <c r="P454" i="39"/>
  <c r="P453" i="39"/>
  <c r="P452" i="39"/>
  <c r="P451" i="39"/>
  <c r="P450" i="39"/>
  <c r="P449" i="39"/>
  <c r="P448" i="39"/>
  <c r="P447" i="39"/>
  <c r="P446" i="39"/>
  <c r="P445" i="39"/>
  <c r="P444" i="39"/>
  <c r="P443" i="39"/>
  <c r="P442" i="39"/>
  <c r="P441" i="39"/>
  <c r="P440" i="39"/>
  <c r="P439" i="39"/>
  <c r="P438" i="39"/>
  <c r="P437" i="39"/>
  <c r="P436" i="39"/>
  <c r="P435" i="39"/>
  <c r="P434" i="39"/>
  <c r="P433" i="39"/>
  <c r="P432" i="39"/>
  <c r="P431" i="39"/>
  <c r="P430" i="39"/>
  <c r="P429" i="39"/>
  <c r="P428" i="39"/>
  <c r="P427" i="39"/>
  <c r="P426" i="39"/>
  <c r="P425" i="39"/>
  <c r="P424" i="39"/>
  <c r="P423" i="39"/>
  <c r="P422" i="39"/>
  <c r="P421" i="39"/>
  <c r="P420" i="39"/>
  <c r="P419" i="39"/>
  <c r="P418" i="39"/>
  <c r="P417" i="39"/>
  <c r="P416" i="39"/>
  <c r="P415" i="39"/>
  <c r="P414" i="39"/>
  <c r="P413" i="39"/>
  <c r="P412" i="39"/>
  <c r="P411" i="39"/>
  <c r="P410" i="39"/>
  <c r="P409" i="39"/>
  <c r="P408" i="39"/>
  <c r="P407" i="39"/>
  <c r="P406" i="39"/>
  <c r="P405" i="39"/>
  <c r="P404" i="39"/>
  <c r="P403" i="39"/>
  <c r="P402" i="39"/>
  <c r="P401" i="39"/>
  <c r="P400" i="39"/>
  <c r="P399" i="39"/>
  <c r="P398" i="39"/>
  <c r="P397" i="39"/>
  <c r="P396" i="39"/>
  <c r="P395" i="39"/>
  <c r="P394" i="39"/>
  <c r="P393" i="39"/>
  <c r="P392" i="39"/>
  <c r="P391" i="39"/>
  <c r="P390" i="39"/>
  <c r="P389" i="39"/>
  <c r="P388" i="39"/>
  <c r="P387" i="39"/>
  <c r="P386" i="39"/>
  <c r="P385" i="39"/>
  <c r="P384" i="39"/>
  <c r="P383" i="39"/>
  <c r="P382" i="39"/>
  <c r="P381" i="39"/>
  <c r="P380" i="39"/>
  <c r="P379" i="39"/>
  <c r="P378" i="39"/>
  <c r="P377" i="39"/>
  <c r="P376" i="39"/>
  <c r="P375" i="39"/>
  <c r="P374" i="39"/>
  <c r="P373" i="39"/>
  <c r="P372" i="39"/>
  <c r="P371" i="39"/>
  <c r="P370" i="39"/>
  <c r="P369" i="39"/>
  <c r="P368" i="39"/>
  <c r="P367" i="39"/>
  <c r="P366" i="39"/>
  <c r="P365" i="39"/>
  <c r="P364" i="39"/>
  <c r="P363" i="39"/>
  <c r="P362" i="39"/>
  <c r="P361" i="39"/>
  <c r="P360" i="39"/>
  <c r="P359" i="39"/>
  <c r="P358" i="39"/>
  <c r="P357" i="39"/>
  <c r="P356" i="39"/>
  <c r="P352" i="39"/>
  <c r="P351" i="39"/>
  <c r="P350" i="39"/>
  <c r="P349" i="39"/>
  <c r="P348" i="39"/>
  <c r="P347" i="39"/>
  <c r="P346" i="39"/>
  <c r="P345" i="39"/>
  <c r="P344" i="39"/>
  <c r="P343" i="39"/>
  <c r="P342" i="39"/>
  <c r="P341" i="39"/>
  <c r="P340" i="39"/>
  <c r="P339" i="39"/>
  <c r="P338" i="39"/>
  <c r="P337" i="39"/>
  <c r="P336" i="39"/>
  <c r="P335" i="39"/>
  <c r="P334" i="39"/>
  <c r="P333" i="39"/>
  <c r="P332" i="39"/>
  <c r="P331" i="39"/>
  <c r="P330" i="39"/>
  <c r="P329" i="39"/>
  <c r="P328" i="39"/>
  <c r="P327" i="39"/>
  <c r="P326" i="39"/>
  <c r="P325" i="39"/>
  <c r="P324" i="39"/>
  <c r="P323" i="39"/>
  <c r="P322" i="39"/>
  <c r="P321" i="39"/>
  <c r="P320" i="39"/>
  <c r="P319" i="39"/>
  <c r="P318" i="39"/>
  <c r="P317" i="39"/>
  <c r="P316" i="39"/>
  <c r="P315" i="39"/>
  <c r="P314" i="39"/>
  <c r="P313" i="39"/>
  <c r="P312" i="39"/>
  <c r="P311" i="39"/>
  <c r="P310" i="39"/>
  <c r="P309" i="39"/>
  <c r="P308" i="39"/>
  <c r="P307" i="39"/>
  <c r="P306" i="39"/>
  <c r="P305" i="39"/>
  <c r="P304" i="39"/>
  <c r="P303" i="39"/>
  <c r="P302" i="39"/>
  <c r="P301" i="39"/>
  <c r="P300" i="39"/>
  <c r="P298" i="39"/>
  <c r="P297" i="39"/>
  <c r="P296" i="39"/>
  <c r="P295" i="39"/>
  <c r="P294" i="39"/>
  <c r="P293" i="39"/>
  <c r="P292" i="39"/>
  <c r="P291" i="39"/>
  <c r="P290" i="39"/>
  <c r="P289" i="39"/>
  <c r="P288" i="39"/>
  <c r="P287" i="39"/>
  <c r="P286" i="39"/>
  <c r="P285" i="39"/>
  <c r="P284" i="39"/>
  <c r="P283" i="39"/>
  <c r="P282" i="39"/>
  <c r="P281" i="39"/>
  <c r="P280" i="39"/>
  <c r="P279" i="39"/>
  <c r="P278" i="39"/>
  <c r="P277" i="39"/>
  <c r="P276" i="39"/>
  <c r="P275" i="39"/>
  <c r="P274" i="39"/>
  <c r="P273" i="39"/>
  <c r="P272" i="39"/>
  <c r="P271" i="39"/>
  <c r="P270" i="39"/>
  <c r="P269" i="39"/>
  <c r="P268" i="39"/>
  <c r="P267" i="39"/>
  <c r="P266" i="39"/>
  <c r="P265" i="39"/>
  <c r="P264" i="39"/>
  <c r="P263" i="39"/>
  <c r="P262" i="39"/>
  <c r="P261" i="39"/>
  <c r="P260" i="39"/>
  <c r="P259" i="39"/>
  <c r="P258" i="39"/>
  <c r="P257" i="39"/>
  <c r="P256" i="39"/>
  <c r="P255" i="39"/>
  <c r="P254" i="39"/>
  <c r="P253" i="39"/>
  <c r="P252" i="39"/>
  <c r="P251" i="39"/>
  <c r="P250" i="39"/>
  <c r="P249" i="39"/>
  <c r="P248" i="39"/>
  <c r="P247" i="39"/>
  <c r="P246" i="39"/>
  <c r="P245" i="39"/>
  <c r="P244" i="39"/>
  <c r="P243" i="39"/>
  <c r="P242" i="39"/>
  <c r="P241" i="39"/>
  <c r="P240" i="39"/>
  <c r="P239" i="39"/>
  <c r="P238" i="39"/>
  <c r="P237" i="39"/>
  <c r="P236" i="39"/>
  <c r="P235" i="39"/>
  <c r="P234" i="39"/>
  <c r="P233" i="39"/>
  <c r="P232" i="39"/>
  <c r="P231" i="39"/>
  <c r="P230" i="39"/>
  <c r="P229" i="39"/>
  <c r="P228" i="39"/>
  <c r="P227" i="39"/>
  <c r="P226" i="39"/>
  <c r="P225" i="39"/>
  <c r="P224" i="39"/>
  <c r="P223" i="39"/>
  <c r="P222" i="39"/>
  <c r="P221" i="39"/>
  <c r="P220" i="39"/>
  <c r="P219" i="39"/>
  <c r="P218" i="39"/>
  <c r="P217" i="39"/>
  <c r="P216" i="39"/>
  <c r="P215" i="39"/>
  <c r="P214" i="39"/>
  <c r="P213" i="39"/>
  <c r="P212" i="39"/>
  <c r="P211" i="39"/>
  <c r="P210" i="39"/>
  <c r="P209" i="39"/>
  <c r="P208" i="39"/>
  <c r="P207" i="39"/>
  <c r="P206" i="39"/>
  <c r="P205" i="39"/>
  <c r="P204" i="39"/>
  <c r="P203" i="39"/>
  <c r="P202" i="39"/>
  <c r="P201" i="39"/>
  <c r="P200" i="39"/>
  <c r="P199" i="39"/>
  <c r="P198" i="39"/>
  <c r="P197" i="39"/>
  <c r="P196" i="39"/>
  <c r="P195" i="39"/>
  <c r="P194" i="39"/>
  <c r="P193" i="39"/>
  <c r="P192" i="39"/>
  <c r="P191" i="39"/>
  <c r="P190" i="39"/>
  <c r="P189" i="39"/>
  <c r="P188" i="39"/>
  <c r="P187" i="39"/>
  <c r="P186" i="39"/>
  <c r="P185" i="39"/>
  <c r="P184" i="39"/>
  <c r="P183" i="39"/>
  <c r="P182" i="39"/>
  <c r="P181" i="39"/>
  <c r="P180" i="39"/>
  <c r="P179" i="39"/>
  <c r="P178" i="39"/>
  <c r="P177" i="39"/>
  <c r="P176" i="39"/>
  <c r="P175" i="39"/>
  <c r="P174" i="39"/>
  <c r="P173" i="39"/>
  <c r="P172" i="39"/>
  <c r="P171" i="39"/>
  <c r="P170" i="39"/>
  <c r="P169" i="39"/>
  <c r="P168" i="39"/>
  <c r="P167" i="39"/>
  <c r="P166" i="39"/>
  <c r="P165" i="39"/>
  <c r="P164" i="39"/>
  <c r="P163" i="39"/>
  <c r="P162" i="39"/>
  <c r="P161" i="39"/>
  <c r="P160" i="39"/>
  <c r="P159" i="39"/>
  <c r="P158" i="39"/>
  <c r="P157" i="39"/>
  <c r="P156" i="39"/>
  <c r="P155" i="39"/>
  <c r="P154" i="39"/>
  <c r="P153" i="39"/>
  <c r="P152" i="39"/>
  <c r="P151" i="39"/>
  <c r="P150" i="39"/>
  <c r="P149" i="39"/>
  <c r="P148" i="39"/>
  <c r="P147" i="39"/>
  <c r="P146" i="39"/>
  <c r="P145" i="39"/>
  <c r="P144" i="39"/>
  <c r="P143" i="39"/>
  <c r="P142" i="39"/>
  <c r="P141" i="39"/>
  <c r="P140" i="39"/>
  <c r="P139" i="39"/>
  <c r="P138" i="39"/>
  <c r="P137" i="39"/>
  <c r="P136" i="39"/>
  <c r="P135" i="39"/>
  <c r="P134" i="39"/>
  <c r="P133" i="39"/>
  <c r="P132" i="39"/>
  <c r="P131" i="39"/>
  <c r="P128" i="39"/>
  <c r="P127" i="39"/>
  <c r="P126" i="39"/>
  <c r="P125" i="39"/>
  <c r="P124" i="39"/>
  <c r="P123" i="39"/>
  <c r="P122" i="39"/>
  <c r="P121" i="39"/>
  <c r="P120" i="39"/>
  <c r="P119" i="39"/>
  <c r="P118" i="39"/>
  <c r="P117" i="39"/>
  <c r="P116" i="39"/>
  <c r="P115" i="39"/>
  <c r="P114" i="39"/>
  <c r="P113" i="39"/>
  <c r="P112" i="39"/>
  <c r="P111" i="39"/>
  <c r="P110" i="39"/>
  <c r="P109" i="39"/>
  <c r="P108" i="39"/>
  <c r="P107" i="39"/>
  <c r="P106" i="39"/>
  <c r="P105" i="39"/>
  <c r="P101" i="39"/>
  <c r="P100" i="39"/>
  <c r="P99" i="39"/>
  <c r="P98" i="39"/>
  <c r="P97" i="39"/>
  <c r="P96" i="39"/>
  <c r="P95" i="39"/>
  <c r="P94" i="39"/>
  <c r="P93" i="39"/>
  <c r="P92" i="39"/>
  <c r="P91" i="39"/>
  <c r="P90" i="39"/>
  <c r="P89" i="39"/>
  <c r="P88" i="39"/>
  <c r="P87" i="39"/>
  <c r="P86" i="39"/>
  <c r="P85" i="39"/>
  <c r="P84" i="39"/>
  <c r="P83" i="39"/>
  <c r="P82" i="39"/>
  <c r="P81" i="39"/>
  <c r="P80" i="39"/>
  <c r="P79" i="39"/>
  <c r="P78" i="39"/>
  <c r="P77" i="39"/>
  <c r="P76" i="39"/>
  <c r="P75" i="39"/>
  <c r="P74" i="39"/>
  <c r="P73" i="39"/>
  <c r="P72" i="39"/>
  <c r="P71" i="39"/>
  <c r="P70" i="39"/>
  <c r="P69" i="39"/>
  <c r="P68" i="39"/>
  <c r="P67" i="39"/>
  <c r="P66" i="39"/>
  <c r="P65" i="39"/>
  <c r="P64" i="39"/>
  <c r="P63" i="39"/>
  <c r="P62" i="39"/>
  <c r="P61" i="39"/>
  <c r="P60" i="39"/>
  <c r="P59" i="39"/>
  <c r="P58" i="39"/>
  <c r="P57" i="39"/>
  <c r="P56" i="39"/>
  <c r="P55" i="39"/>
  <c r="P54" i="39"/>
  <c r="P53" i="39"/>
  <c r="P52" i="39"/>
  <c r="P51" i="39"/>
  <c r="P50" i="39"/>
  <c r="P49" i="39"/>
  <c r="P48" i="39"/>
  <c r="P47" i="39"/>
  <c r="P46" i="39"/>
  <c r="P45" i="39"/>
  <c r="P44" i="39"/>
  <c r="P43" i="39"/>
  <c r="P42" i="39"/>
  <c r="P41" i="39"/>
  <c r="P40" i="39"/>
  <c r="P39" i="39"/>
  <c r="P38" i="39"/>
  <c r="P37" i="39"/>
  <c r="P36" i="39"/>
  <c r="P35" i="39"/>
  <c r="P34" i="39"/>
  <c r="P33" i="39"/>
  <c r="P32" i="39"/>
  <c r="P31" i="39"/>
  <c r="P30" i="39"/>
  <c r="P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O59" i="39"/>
  <c r="O60" i="39"/>
  <c r="O61" i="39"/>
  <c r="O62" i="39"/>
  <c r="O63" i="39"/>
  <c r="O64" i="39"/>
  <c r="O65" i="39"/>
  <c r="O66" i="39"/>
  <c r="O67" i="39"/>
  <c r="O68" i="39"/>
  <c r="O69" i="39"/>
  <c r="O70" i="39"/>
  <c r="O71" i="39"/>
  <c r="O72" i="39"/>
  <c r="O73" i="39"/>
  <c r="O74" i="39"/>
  <c r="O75" i="39"/>
  <c r="O76" i="39"/>
  <c r="O77" i="39"/>
  <c r="O78" i="39"/>
  <c r="O79" i="39"/>
  <c r="O80" i="39"/>
  <c r="O81" i="39"/>
  <c r="O82" i="39"/>
  <c r="O83" i="39"/>
  <c r="O84" i="39"/>
  <c r="O85" i="39"/>
  <c r="O86" i="39"/>
  <c r="O87" i="39"/>
  <c r="O88" i="39"/>
  <c r="O89" i="39"/>
  <c r="O90" i="39"/>
  <c r="O91" i="39"/>
  <c r="O92" i="39"/>
  <c r="O93" i="39"/>
  <c r="O94" i="39"/>
  <c r="O95" i="39"/>
  <c r="O96" i="39"/>
  <c r="O97" i="39"/>
  <c r="O98" i="39"/>
  <c r="O99" i="39"/>
  <c r="O100" i="39"/>
  <c r="O101" i="39"/>
  <c r="O105" i="39"/>
  <c r="O106" i="39"/>
  <c r="O107" i="39"/>
  <c r="O108" i="39"/>
  <c r="O109" i="39"/>
  <c r="O110" i="39"/>
  <c r="O111" i="39"/>
  <c r="O112" i="39"/>
  <c r="O113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O126" i="39"/>
  <c r="O127" i="39"/>
  <c r="O128" i="39"/>
  <c r="O131" i="39"/>
  <c r="O132" i="39"/>
  <c r="O133" i="39"/>
  <c r="O134" i="39"/>
  <c r="O135" i="39"/>
  <c r="O136" i="39"/>
  <c r="O137" i="39"/>
  <c r="O138" i="39"/>
  <c r="O139" i="39"/>
  <c r="O140" i="39"/>
  <c r="O141" i="39"/>
  <c r="O142" i="39"/>
  <c r="O143" i="39"/>
  <c r="O144" i="39"/>
  <c r="O145" i="39"/>
  <c r="O146" i="39"/>
  <c r="O147" i="39"/>
  <c r="O148" i="39"/>
  <c r="O149" i="39"/>
  <c r="O150" i="39"/>
  <c r="O151" i="39"/>
  <c r="O152" i="39"/>
  <c r="O153" i="39"/>
  <c r="O154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O215" i="39"/>
  <c r="O216" i="39"/>
  <c r="O217" i="39"/>
  <c r="O218" i="39"/>
  <c r="O219" i="39"/>
  <c r="O220" i="39"/>
  <c r="O221" i="39"/>
  <c r="O222" i="39"/>
  <c r="O223" i="39"/>
  <c r="O224" i="39"/>
  <c r="O225" i="39"/>
  <c r="O226" i="39"/>
  <c r="O227" i="39"/>
  <c r="O228" i="39"/>
  <c r="O229" i="39"/>
  <c r="O230" i="39"/>
  <c r="O231" i="39"/>
  <c r="O232" i="39"/>
  <c r="O233" i="39"/>
  <c r="O234" i="39"/>
  <c r="O235" i="39"/>
  <c r="O236" i="39"/>
  <c r="O237" i="39"/>
  <c r="O238" i="39"/>
  <c r="O239" i="39"/>
  <c r="O240" i="39"/>
  <c r="O241" i="39"/>
  <c r="O242" i="39"/>
  <c r="O243" i="39"/>
  <c r="O244" i="39"/>
  <c r="O245" i="39"/>
  <c r="O246" i="39"/>
  <c r="O247" i="39"/>
  <c r="O248" i="39"/>
  <c r="O249" i="39"/>
  <c r="O250" i="39"/>
  <c r="O251" i="39"/>
  <c r="O252" i="39"/>
  <c r="O253" i="39"/>
  <c r="O254" i="39"/>
  <c r="O255" i="39"/>
  <c r="O256" i="39"/>
  <c r="O257" i="39"/>
  <c r="O258" i="39"/>
  <c r="O259" i="39"/>
  <c r="O260" i="39"/>
  <c r="O261" i="39"/>
  <c r="O262" i="39"/>
  <c r="O263" i="39"/>
  <c r="O264" i="39"/>
  <c r="O265" i="39"/>
  <c r="O266" i="39"/>
  <c r="O267" i="39"/>
  <c r="O268" i="39"/>
  <c r="O269" i="39"/>
  <c r="O270" i="39"/>
  <c r="O271" i="39"/>
  <c r="O272" i="39"/>
  <c r="O273" i="39"/>
  <c r="O274" i="39"/>
  <c r="O275" i="39"/>
  <c r="O276" i="39"/>
  <c r="O277" i="39"/>
  <c r="O278" i="39"/>
  <c r="O279" i="39"/>
  <c r="O280" i="39"/>
  <c r="O281" i="39"/>
  <c r="O282" i="39"/>
  <c r="O283" i="39"/>
  <c r="O284" i="39"/>
  <c r="O285" i="39"/>
  <c r="O286" i="39"/>
  <c r="O287" i="39"/>
  <c r="O288" i="39"/>
  <c r="O289" i="39"/>
  <c r="O290" i="39"/>
  <c r="O291" i="39"/>
  <c r="O292" i="39"/>
  <c r="O293" i="39"/>
  <c r="O294" i="39"/>
  <c r="O295" i="39"/>
  <c r="O296" i="39"/>
  <c r="O297" i="39"/>
  <c r="O298" i="39"/>
  <c r="O300" i="39"/>
  <c r="O301" i="39"/>
  <c r="O302" i="39"/>
  <c r="O303" i="39"/>
  <c r="O304" i="39"/>
  <c r="O305" i="39"/>
  <c r="O306" i="39"/>
  <c r="O307" i="39"/>
  <c r="O308" i="39"/>
  <c r="O309" i="39"/>
  <c r="O310" i="39"/>
  <c r="O311" i="39"/>
  <c r="O312" i="39"/>
  <c r="O313" i="39"/>
  <c r="O314" i="39"/>
  <c r="O315" i="39"/>
  <c r="O316" i="39"/>
  <c r="O317" i="39"/>
  <c r="O318" i="39"/>
  <c r="O319" i="39"/>
  <c r="O320" i="39"/>
  <c r="O321" i="39"/>
  <c r="O322" i="39"/>
  <c r="O323" i="39"/>
  <c r="O324" i="39"/>
  <c r="O325" i="39"/>
  <c r="O326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O346" i="39"/>
  <c r="O347" i="39"/>
  <c r="O348" i="39"/>
  <c r="O349" i="39"/>
  <c r="O350" i="39"/>
  <c r="O351" i="39"/>
  <c r="O352" i="39"/>
  <c r="O356" i="39"/>
  <c r="O357" i="39"/>
  <c r="O358" i="39"/>
  <c r="O359" i="39"/>
  <c r="O360" i="39"/>
  <c r="O361" i="39"/>
  <c r="O362" i="39"/>
  <c r="O363" i="39"/>
  <c r="O364" i="39"/>
  <c r="O365" i="39"/>
  <c r="O366" i="39"/>
  <c r="O367" i="39"/>
  <c r="O368" i="39"/>
  <c r="O369" i="39"/>
  <c r="O370" i="39"/>
  <c r="O371" i="39"/>
  <c r="O372" i="39"/>
  <c r="O373" i="39"/>
  <c r="O374" i="39"/>
  <c r="O375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O391" i="39"/>
  <c r="O392" i="39"/>
  <c r="O393" i="39"/>
  <c r="O394" i="39"/>
  <c r="O395" i="39"/>
  <c r="O396" i="39"/>
  <c r="O397" i="39"/>
  <c r="O398" i="39"/>
  <c r="O399" i="39"/>
  <c r="O400" i="39"/>
  <c r="O401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O461" i="39"/>
  <c r="O462" i="39"/>
  <c r="O463" i="39"/>
  <c r="O464" i="39"/>
  <c r="O29" i="39"/>
  <c r="P18" i="39"/>
  <c r="P17" i="39"/>
  <c r="P16" i="39"/>
  <c r="P15" i="39"/>
  <c r="P14" i="39"/>
  <c r="P13" i="39"/>
  <c r="P12" i="39"/>
  <c r="P11" i="39"/>
  <c r="P9" i="39"/>
  <c r="P8" i="39"/>
  <c r="P7" i="39"/>
  <c r="P6" i="39"/>
  <c r="P5" i="39"/>
  <c r="P4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K17" i="39"/>
  <c r="D30" i="1" l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K184" i="39" l="1"/>
  <c r="K464" i="39" l="1"/>
  <c r="K463" i="39"/>
  <c r="K462" i="39"/>
  <c r="K461" i="39"/>
  <c r="K460" i="39"/>
  <c r="K459" i="39"/>
  <c r="K458" i="39"/>
  <c r="K457" i="39"/>
  <c r="K456" i="39"/>
  <c r="K455" i="39"/>
  <c r="K454" i="39"/>
  <c r="K453" i="39"/>
  <c r="K452" i="39"/>
  <c r="K451" i="39"/>
  <c r="K450" i="39"/>
  <c r="K449" i="39"/>
  <c r="K448" i="39"/>
  <c r="K447" i="39"/>
  <c r="K446" i="39"/>
  <c r="K445" i="39"/>
  <c r="K444" i="39"/>
  <c r="K443" i="39"/>
  <c r="K442" i="39"/>
  <c r="K441" i="39"/>
  <c r="K440" i="39"/>
  <c r="K439" i="39"/>
  <c r="K438" i="39"/>
  <c r="K437" i="39"/>
  <c r="K436" i="39"/>
  <c r="K435" i="39"/>
  <c r="K434" i="39"/>
  <c r="K433" i="39"/>
  <c r="K432" i="39"/>
  <c r="K431" i="39"/>
  <c r="K430" i="39"/>
  <c r="K429" i="39"/>
  <c r="K428" i="39"/>
  <c r="K427" i="39"/>
  <c r="K426" i="39"/>
  <c r="K425" i="39"/>
  <c r="K424" i="39"/>
  <c r="K423" i="39"/>
  <c r="K422" i="39"/>
  <c r="K421" i="39"/>
  <c r="K420" i="39"/>
  <c r="K419" i="39"/>
  <c r="K418" i="39"/>
  <c r="K417" i="39"/>
  <c r="K416" i="39"/>
  <c r="K415" i="39"/>
  <c r="K414" i="39"/>
  <c r="K413" i="39"/>
  <c r="K412" i="39"/>
  <c r="K411" i="39"/>
  <c r="K410" i="39"/>
  <c r="K409" i="39"/>
  <c r="K408" i="39"/>
  <c r="K407" i="39"/>
  <c r="K406" i="39"/>
  <c r="K405" i="39"/>
  <c r="K404" i="39"/>
  <c r="K403" i="39"/>
  <c r="K402" i="39"/>
  <c r="K401" i="39"/>
  <c r="K400" i="39"/>
  <c r="K399" i="39"/>
  <c r="K398" i="39"/>
  <c r="K397" i="39"/>
  <c r="K396" i="39"/>
  <c r="K395" i="39"/>
  <c r="K394" i="39"/>
  <c r="K393" i="39"/>
  <c r="K392" i="39"/>
  <c r="K391" i="39"/>
  <c r="K390" i="39"/>
  <c r="K389" i="39"/>
  <c r="K388" i="39"/>
  <c r="K387" i="39"/>
  <c r="K386" i="39"/>
  <c r="K385" i="39"/>
  <c r="K384" i="39"/>
  <c r="K383" i="39"/>
  <c r="K382" i="39"/>
  <c r="K381" i="39"/>
  <c r="K380" i="39"/>
  <c r="K379" i="39"/>
  <c r="K378" i="39"/>
  <c r="K377" i="39"/>
  <c r="K376" i="39"/>
  <c r="K375" i="39"/>
  <c r="K374" i="39"/>
  <c r="K373" i="39"/>
  <c r="K372" i="39"/>
  <c r="K371" i="39"/>
  <c r="K370" i="39"/>
  <c r="K369" i="39"/>
  <c r="K368" i="39"/>
  <c r="K367" i="39"/>
  <c r="K366" i="39"/>
  <c r="K365" i="39"/>
  <c r="K364" i="39"/>
  <c r="K363" i="39"/>
  <c r="K362" i="39"/>
  <c r="K361" i="39"/>
  <c r="K360" i="39"/>
  <c r="K359" i="39"/>
  <c r="K358" i="39"/>
  <c r="K357" i="39"/>
  <c r="K356" i="39"/>
  <c r="K352" i="39"/>
  <c r="K351" i="39"/>
  <c r="K350" i="39"/>
  <c r="K349" i="39"/>
  <c r="K348" i="39"/>
  <c r="K347" i="39"/>
  <c r="K346" i="39"/>
  <c r="K345" i="39"/>
  <c r="K344" i="39"/>
  <c r="K343" i="39"/>
  <c r="K342" i="39"/>
  <c r="K341" i="39"/>
  <c r="K340" i="39"/>
  <c r="K339" i="39"/>
  <c r="K338" i="39"/>
  <c r="K337" i="39"/>
  <c r="K336" i="39"/>
  <c r="K335" i="39"/>
  <c r="K334" i="39"/>
  <c r="K333" i="39"/>
  <c r="K332" i="39"/>
  <c r="K331" i="39"/>
  <c r="K330" i="39"/>
  <c r="K329" i="39"/>
  <c r="K328" i="39"/>
  <c r="K327" i="39"/>
  <c r="K326" i="39"/>
  <c r="K325" i="39"/>
  <c r="K324" i="39"/>
  <c r="K323" i="39"/>
  <c r="K322" i="39"/>
  <c r="K321" i="39"/>
  <c r="K320" i="39"/>
  <c r="K319" i="39"/>
  <c r="K318" i="39"/>
  <c r="K317" i="39"/>
  <c r="K316" i="39"/>
  <c r="K315" i="39"/>
  <c r="K314" i="39"/>
  <c r="K313" i="39"/>
  <c r="K312" i="39"/>
  <c r="K311" i="39"/>
  <c r="K310" i="39"/>
  <c r="K309" i="39"/>
  <c r="K308" i="39"/>
  <c r="K307" i="39"/>
  <c r="K306" i="39"/>
  <c r="K305" i="39"/>
  <c r="K304" i="39"/>
  <c r="K303" i="39"/>
  <c r="K302" i="39"/>
  <c r="K301" i="39"/>
  <c r="K300" i="39"/>
  <c r="K298" i="39"/>
  <c r="K297" i="39"/>
  <c r="K296" i="39"/>
  <c r="K295" i="39"/>
  <c r="K294" i="39"/>
  <c r="K293" i="39"/>
  <c r="K292" i="39"/>
  <c r="K291" i="39"/>
  <c r="K290" i="39"/>
  <c r="K289" i="39"/>
  <c r="K288" i="39"/>
  <c r="K287" i="39"/>
  <c r="K286" i="39"/>
  <c r="K285" i="39"/>
  <c r="K284" i="39"/>
  <c r="K283" i="39"/>
  <c r="K282" i="39"/>
  <c r="K281" i="39"/>
  <c r="K280" i="39"/>
  <c r="K279" i="39"/>
  <c r="K278" i="39"/>
  <c r="K277" i="39"/>
  <c r="K276" i="39"/>
  <c r="K275" i="39"/>
  <c r="K274" i="39"/>
  <c r="K273" i="39"/>
  <c r="K272" i="39"/>
  <c r="K271" i="39"/>
  <c r="K270" i="39"/>
  <c r="K269" i="39"/>
  <c r="K268" i="39"/>
  <c r="K267" i="39"/>
  <c r="K266" i="39"/>
  <c r="K265" i="39"/>
  <c r="K264" i="39"/>
  <c r="K263" i="39"/>
  <c r="K262" i="39"/>
  <c r="K261" i="39"/>
  <c r="K260" i="39"/>
  <c r="K259" i="39"/>
  <c r="K258" i="39"/>
  <c r="K257" i="39"/>
  <c r="K256" i="39"/>
  <c r="K255" i="39"/>
  <c r="K254" i="39"/>
  <c r="K253" i="39"/>
  <c r="K252" i="39"/>
  <c r="K251" i="39"/>
  <c r="K250" i="39"/>
  <c r="K249" i="39"/>
  <c r="K248" i="39"/>
  <c r="K247" i="39"/>
  <c r="K246" i="39"/>
  <c r="K245" i="39"/>
  <c r="K244" i="39"/>
  <c r="K243" i="39"/>
  <c r="K242" i="39"/>
  <c r="K241" i="39"/>
  <c r="K240" i="39"/>
  <c r="K239" i="39"/>
  <c r="K238" i="39"/>
  <c r="K237" i="39"/>
  <c r="K236" i="39"/>
  <c r="K235" i="39"/>
  <c r="K234" i="39"/>
  <c r="K233" i="39"/>
  <c r="K232" i="39"/>
  <c r="K231" i="39"/>
  <c r="K230" i="39"/>
  <c r="K229" i="39"/>
  <c r="K228" i="39"/>
  <c r="K227" i="39"/>
  <c r="K226" i="39"/>
  <c r="K225" i="39"/>
  <c r="K224" i="39"/>
  <c r="K223" i="39"/>
  <c r="K222" i="39"/>
  <c r="K221" i="39"/>
  <c r="K220" i="39"/>
  <c r="K219" i="39"/>
  <c r="K218" i="39"/>
  <c r="K217" i="39"/>
  <c r="K216" i="39"/>
  <c r="K215" i="39"/>
  <c r="K214" i="39"/>
  <c r="K213" i="39"/>
  <c r="K212" i="39"/>
  <c r="K211" i="39"/>
  <c r="K210" i="39"/>
  <c r="K209" i="39"/>
  <c r="K208" i="39"/>
  <c r="K207" i="39"/>
  <c r="K206" i="39"/>
  <c r="K205" i="39"/>
  <c r="K204" i="39"/>
  <c r="K203" i="39"/>
  <c r="K202" i="39"/>
  <c r="K201" i="39"/>
  <c r="K200" i="39"/>
  <c r="K199" i="39"/>
  <c r="K198" i="39"/>
  <c r="K197" i="39"/>
  <c r="K196" i="39"/>
  <c r="K195" i="39"/>
  <c r="K194" i="39"/>
  <c r="K193" i="39"/>
  <c r="K192" i="39"/>
  <c r="K191" i="39"/>
  <c r="K190" i="39"/>
  <c r="K189" i="39"/>
  <c r="K188" i="39"/>
  <c r="K187" i="39"/>
  <c r="K186" i="39"/>
  <c r="K185" i="39"/>
  <c r="K183" i="39"/>
  <c r="K182" i="39"/>
  <c r="K181" i="39"/>
  <c r="K180" i="39"/>
  <c r="K179" i="39"/>
  <c r="K178" i="39"/>
  <c r="K177" i="39"/>
  <c r="K176" i="39"/>
  <c r="K175" i="39"/>
  <c r="K174" i="39"/>
  <c r="K173" i="39"/>
  <c r="K172" i="39"/>
  <c r="K171" i="39"/>
  <c r="K170" i="39"/>
  <c r="K169" i="39"/>
  <c r="K168" i="39"/>
  <c r="K167" i="39"/>
  <c r="K166" i="39"/>
  <c r="K165" i="39"/>
  <c r="K164" i="39"/>
  <c r="K163" i="39"/>
  <c r="K162" i="39"/>
  <c r="K161" i="39"/>
  <c r="K160" i="39"/>
  <c r="K159" i="39"/>
  <c r="K158" i="39"/>
  <c r="K157" i="39"/>
  <c r="K156" i="39"/>
  <c r="K155" i="39"/>
  <c r="K154" i="39"/>
  <c r="K153" i="39"/>
  <c r="K152" i="39"/>
  <c r="K151" i="39"/>
  <c r="K150" i="39"/>
  <c r="K149" i="39"/>
  <c r="K148" i="39"/>
  <c r="K147" i="39"/>
  <c r="K146" i="39"/>
  <c r="K145" i="39"/>
  <c r="K144" i="39"/>
  <c r="K143" i="39"/>
  <c r="K142" i="39"/>
  <c r="K141" i="39"/>
  <c r="K140" i="39"/>
  <c r="K139" i="39"/>
  <c r="K138" i="39"/>
  <c r="K137" i="39"/>
  <c r="K136" i="39"/>
  <c r="K135" i="39"/>
  <c r="K134" i="39"/>
  <c r="K133" i="39"/>
  <c r="K132" i="39"/>
  <c r="K131" i="39"/>
  <c r="K128" i="39"/>
  <c r="K127" i="39"/>
  <c r="K126" i="39"/>
  <c r="K125" i="39"/>
  <c r="K124" i="39"/>
  <c r="K123" i="39"/>
  <c r="K122" i="39"/>
  <c r="K121" i="39"/>
  <c r="K120" i="39"/>
  <c r="K119" i="39"/>
  <c r="K118" i="39"/>
  <c r="K117" i="39"/>
  <c r="K116" i="39"/>
  <c r="K115" i="39"/>
  <c r="K114" i="39"/>
  <c r="K113" i="39"/>
  <c r="K112" i="39"/>
  <c r="K111" i="39"/>
  <c r="K110" i="39"/>
  <c r="K109" i="39"/>
  <c r="K108" i="39"/>
  <c r="K107" i="39"/>
  <c r="K106" i="39"/>
  <c r="K105" i="39"/>
  <c r="K101" i="39"/>
  <c r="K100" i="39"/>
  <c r="K99" i="39"/>
  <c r="K98" i="39"/>
  <c r="K97" i="39"/>
  <c r="K96" i="39"/>
  <c r="K95" i="39"/>
  <c r="K94" i="39"/>
  <c r="K93" i="39"/>
  <c r="K92" i="39"/>
  <c r="K91" i="39"/>
  <c r="K90" i="39"/>
  <c r="K89" i="39"/>
  <c r="K88" i="39"/>
  <c r="K87" i="39"/>
  <c r="K86" i="39"/>
  <c r="K85" i="39"/>
  <c r="K84" i="39"/>
  <c r="K83" i="39"/>
  <c r="K82" i="39"/>
  <c r="K81" i="39"/>
  <c r="K80" i="39"/>
  <c r="K79" i="39"/>
  <c r="K78" i="39"/>
  <c r="K77" i="39"/>
  <c r="K76" i="39"/>
  <c r="K75" i="39"/>
  <c r="K74" i="39"/>
  <c r="K73" i="39"/>
  <c r="K72" i="39"/>
  <c r="K71" i="39"/>
  <c r="K70" i="39"/>
  <c r="K69" i="39"/>
  <c r="K68" i="39"/>
  <c r="K67" i="39"/>
  <c r="K66" i="39"/>
  <c r="K65" i="39"/>
  <c r="K64" i="39"/>
  <c r="K63" i="39"/>
  <c r="K62" i="39"/>
  <c r="K61" i="39"/>
  <c r="K60" i="39"/>
  <c r="K59" i="39"/>
  <c r="K58" i="39"/>
  <c r="K57" i="39"/>
  <c r="K56" i="39"/>
  <c r="K55" i="39"/>
  <c r="K54" i="39"/>
  <c r="K53" i="39"/>
  <c r="K52" i="39"/>
  <c r="K51" i="39"/>
  <c r="K50" i="39"/>
  <c r="K49" i="39"/>
  <c r="K48" i="39"/>
  <c r="K47" i="39"/>
  <c r="K46" i="39"/>
  <c r="K45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L2" i="39" l="1"/>
  <c r="G354" i="39" l="1"/>
  <c r="G355" i="39"/>
  <c r="G353" i="39"/>
  <c r="G102" i="39"/>
  <c r="G19" i="39"/>
  <c r="G130" i="39"/>
  <c r="G104" i="39"/>
  <c r="G129" i="39"/>
  <c r="G103" i="39"/>
  <c r="G441" i="39"/>
  <c r="G337" i="39"/>
  <c r="G266" i="39"/>
  <c r="G216" i="39"/>
  <c r="G163" i="39"/>
  <c r="G55" i="39"/>
  <c r="G46" i="39"/>
  <c r="G436" i="39"/>
  <c r="G45" i="39"/>
  <c r="G333" i="39"/>
  <c r="G209" i="39"/>
  <c r="G433" i="39"/>
  <c r="G430" i="39"/>
  <c r="G257" i="39"/>
  <c r="G157" i="39"/>
  <c r="G423" i="39"/>
  <c r="G255" i="39"/>
  <c r="G326" i="39"/>
  <c r="G408" i="39"/>
  <c r="G191" i="39"/>
  <c r="G190" i="39"/>
  <c r="G403" i="39"/>
  <c r="G244" i="39"/>
  <c r="G316" i="39"/>
  <c r="G182" i="39"/>
  <c r="G179" i="39"/>
  <c r="G229" i="39"/>
  <c r="G176" i="39"/>
  <c r="G440" i="39"/>
  <c r="G336" i="39"/>
  <c r="G265" i="39"/>
  <c r="G215" i="39"/>
  <c r="G162" i="39"/>
  <c r="G53" i="39"/>
  <c r="G161" i="39"/>
  <c r="G334" i="39"/>
  <c r="G160" i="39"/>
  <c r="G434" i="39"/>
  <c r="G159" i="39"/>
  <c r="G258" i="39"/>
  <c r="G195" i="39"/>
  <c r="G328" i="39"/>
  <c r="G410" i="39"/>
  <c r="G409" i="39"/>
  <c r="G192" i="39"/>
  <c r="G324" i="39"/>
  <c r="G150" i="39"/>
  <c r="G187" i="39"/>
  <c r="G312" i="39"/>
  <c r="G286" i="39"/>
  <c r="G437" i="39"/>
  <c r="G335" i="39"/>
  <c r="G261" i="39"/>
  <c r="G214" i="39"/>
  <c r="G210" i="39"/>
  <c r="G41" i="39"/>
  <c r="G158" i="39"/>
  <c r="G40" i="39"/>
  <c r="G33" i="39"/>
  <c r="G256" i="39"/>
  <c r="G196" i="39"/>
  <c r="G156" i="39"/>
  <c r="G155" i="39"/>
  <c r="G194" i="39"/>
  <c r="G193" i="39"/>
  <c r="G152" i="39"/>
  <c r="G247" i="39"/>
  <c r="G149" i="39"/>
  <c r="G245" i="39"/>
  <c r="G148" i="39"/>
  <c r="G241" i="39"/>
  <c r="G399" i="39"/>
  <c r="G184" i="39"/>
  <c r="G134" i="39"/>
  <c r="G371" i="39"/>
  <c r="G65" i="39"/>
  <c r="G338" i="39"/>
  <c r="G260" i="39"/>
  <c r="G332" i="39"/>
  <c r="G331" i="39"/>
  <c r="G197" i="39"/>
  <c r="G426" i="39"/>
  <c r="G411" i="39"/>
  <c r="G407" i="39"/>
  <c r="G323" i="39"/>
  <c r="G188" i="39"/>
  <c r="G231" i="39"/>
  <c r="G101" i="39"/>
  <c r="G86" i="39"/>
  <c r="G220" i="39"/>
  <c r="G259" i="39"/>
  <c r="G154" i="39"/>
  <c r="G250" i="39"/>
  <c r="G151" i="39"/>
  <c r="G138" i="39"/>
  <c r="G235" i="39"/>
  <c r="G178" i="39"/>
  <c r="G204" i="39"/>
  <c r="G330" i="39"/>
  <c r="G329" i="39"/>
  <c r="G327" i="39"/>
  <c r="G153" i="39"/>
  <c r="G325" i="39"/>
  <c r="G248" i="39"/>
  <c r="G322" i="39"/>
  <c r="G186" i="39"/>
  <c r="G315" i="39"/>
  <c r="G234" i="39"/>
  <c r="G233" i="39"/>
  <c r="G124" i="39"/>
  <c r="G370" i="39"/>
  <c r="G275" i="39"/>
  <c r="G272" i="39"/>
  <c r="G219" i="39"/>
  <c r="G268" i="39"/>
  <c r="G164" i="39"/>
  <c r="G251" i="39"/>
  <c r="G249" i="39"/>
  <c r="G352" i="39"/>
  <c r="G454" i="39"/>
  <c r="G63" i="39"/>
  <c r="G246" i="39"/>
  <c r="G183" i="39"/>
  <c r="G287" i="39"/>
  <c r="G223" i="39"/>
  <c r="G406" i="39"/>
  <c r="G321" i="39"/>
  <c r="G238" i="39"/>
  <c r="G314" i="39"/>
  <c r="G177" i="39"/>
  <c r="G173" i="39"/>
  <c r="G351" i="39"/>
  <c r="G450" i="39"/>
  <c r="G189" i="39"/>
  <c r="G319" i="39"/>
  <c r="G236" i="39"/>
  <c r="G311" i="39"/>
  <c r="G456" i="39"/>
  <c r="G169" i="39"/>
  <c r="G137" i="39"/>
  <c r="G225" i="39"/>
  <c r="G171" i="39"/>
  <c r="G237" i="39"/>
  <c r="G395" i="39"/>
  <c r="G181" i="39"/>
  <c r="G230" i="39"/>
  <c r="G120" i="39"/>
  <c r="G226" i="39"/>
  <c r="G99" i="39"/>
  <c r="G222" i="39"/>
  <c r="G144" i="39"/>
  <c r="G127" i="39"/>
  <c r="G232" i="39"/>
  <c r="G123" i="39"/>
  <c r="G310" i="39"/>
  <c r="G105" i="39"/>
  <c r="G64" i="39"/>
  <c r="G217" i="39"/>
  <c r="G320" i="39"/>
  <c r="G318" i="39"/>
  <c r="G125" i="39"/>
  <c r="G121" i="39"/>
  <c r="G174" i="39"/>
  <c r="G167" i="39"/>
  <c r="G405" i="39"/>
  <c r="G185" i="39"/>
  <c r="G317" i="39"/>
  <c r="G313" i="39"/>
  <c r="G464" i="39"/>
  <c r="G463" i="39"/>
  <c r="G462" i="39"/>
  <c r="G347" i="39"/>
  <c r="G271" i="39"/>
  <c r="G61" i="39"/>
  <c r="G398" i="39"/>
  <c r="G397" i="39"/>
  <c r="G175" i="39"/>
  <c r="G172" i="39"/>
  <c r="G168" i="39"/>
  <c r="G401" i="39"/>
  <c r="G385" i="39"/>
  <c r="G373" i="39"/>
  <c r="G285" i="39"/>
  <c r="G392" i="39"/>
  <c r="G100" i="39"/>
  <c r="G339" i="39"/>
  <c r="G396" i="39"/>
  <c r="G388" i="39"/>
  <c r="G221" i="39"/>
  <c r="G128" i="39"/>
  <c r="G389" i="39"/>
  <c r="G180" i="39"/>
  <c r="G218" i="39"/>
  <c r="G58" i="39"/>
  <c r="G391" i="39"/>
  <c r="G227" i="39"/>
  <c r="G393" i="39"/>
  <c r="G228" i="39"/>
  <c r="G457" i="39"/>
  <c r="G170" i="39"/>
  <c r="G345" i="39"/>
  <c r="G166" i="39"/>
  <c r="G96" i="39"/>
  <c r="G270" i="39"/>
  <c r="G165" i="39"/>
  <c r="G453" i="39"/>
  <c r="G459" i="39"/>
  <c r="G356" i="39"/>
  <c r="G274" i="39"/>
  <c r="G449" i="39"/>
  <c r="G60" i="39"/>
  <c r="G446" i="39"/>
  <c r="G460" i="39"/>
  <c r="G277" i="39"/>
  <c r="G273" i="39"/>
  <c r="G224" i="39"/>
  <c r="G452" i="39"/>
  <c r="G267" i="39"/>
  <c r="G344" i="39"/>
  <c r="R18" i="39"/>
  <c r="R15" i="39"/>
  <c r="R14" i="39"/>
  <c r="K18" i="39"/>
  <c r="K16" i="39"/>
  <c r="K15" i="39"/>
  <c r="K14" i="39"/>
  <c r="K13" i="39"/>
  <c r="K12" i="39"/>
  <c r="K11" i="39"/>
  <c r="K10" i="39"/>
  <c r="K9" i="39"/>
  <c r="K8" i="39"/>
  <c r="K7" i="39"/>
  <c r="K6" i="39"/>
  <c r="K5" i="39"/>
  <c r="K4" i="39"/>
  <c r="A2" i="39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G4" i="1"/>
  <c r="G5" i="39" l="1"/>
  <c r="G7" i="39"/>
  <c r="G10" i="39"/>
  <c r="G11" i="39"/>
  <c r="G12" i="39"/>
  <c r="G8" i="39"/>
  <c r="G13" i="39"/>
  <c r="C5" i="1"/>
  <c r="R141" i="1" l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H4" i="1"/>
  <c r="S5" i="1" l="1"/>
</calcChain>
</file>

<file path=xl/sharedStrings.xml><?xml version="1.0" encoding="utf-8"?>
<sst xmlns="http://schemas.openxmlformats.org/spreadsheetml/2006/main" count="2213" uniqueCount="1622">
  <si>
    <t>BRN #</t>
    <phoneticPr fontId="18"/>
  </si>
  <si>
    <r>
      <t>X [1000MVA</t>
    </r>
    <r>
      <rPr>
        <sz val="11"/>
        <color theme="1"/>
        <rFont val="ＭＳ Ｐゴシック"/>
        <family val="2"/>
        <charset val="128"/>
      </rPr>
      <t>ベース</t>
    </r>
    <r>
      <rPr>
        <sz val="11"/>
        <color theme="1"/>
        <rFont val="Times New Roman"/>
        <family val="1"/>
      </rPr>
      <t>]</t>
    </r>
    <phoneticPr fontId="18"/>
  </si>
  <si>
    <t>Distance[km]</t>
  </si>
  <si>
    <t>Minimum Capacity [GW]</t>
  </si>
  <si>
    <t>Maximum Capacity [GW]</t>
  </si>
  <si>
    <t>Loss</t>
    <phoneticPr fontId="18"/>
  </si>
  <si>
    <t>Node1</t>
    <phoneticPr fontId="18"/>
  </si>
  <si>
    <t>Node2</t>
    <phoneticPr fontId="18"/>
  </si>
  <si>
    <t>Number of Branches</t>
    <phoneticPr fontId="18"/>
  </si>
  <si>
    <t>Unit Construction Cost for Upper [Yen/kW/km]</t>
    <phoneticPr fontId="18"/>
  </si>
  <si>
    <t>Tohoku</t>
    <phoneticPr fontId="18"/>
  </si>
  <si>
    <t>CheckSum</t>
    <phoneticPr fontId="18"/>
  </si>
  <si>
    <t>The Number of Time Steps per Day</t>
    <phoneticPr fontId="18"/>
  </si>
  <si>
    <t>The Number of Days per Year</t>
    <phoneticPr fontId="18"/>
  </si>
  <si>
    <t>The Beginning Day</t>
    <phoneticPr fontId="18"/>
  </si>
  <si>
    <t>The Ending Day</t>
    <phoneticPr fontId="18"/>
  </si>
  <si>
    <t>Capacity Reserve Ratio</t>
    <phoneticPr fontId="18"/>
  </si>
  <si>
    <t>Annual Interest Rate</t>
    <phoneticPr fontId="18"/>
  </si>
  <si>
    <t>Salvage Value Rate</t>
    <phoneticPr fontId="18"/>
  </si>
  <si>
    <t xml:space="preserve">scale </t>
    <phoneticPr fontId="18"/>
  </si>
  <si>
    <t>Hokkaido</t>
    <phoneticPr fontId="18"/>
  </si>
  <si>
    <t>Kanto</t>
    <phoneticPr fontId="18"/>
  </si>
  <si>
    <t>Chubu</t>
    <phoneticPr fontId="18"/>
  </si>
  <si>
    <t>Hokuriku</t>
    <phoneticPr fontId="18"/>
  </si>
  <si>
    <t>Kansai</t>
    <phoneticPr fontId="18"/>
  </si>
  <si>
    <t>Shikoku</t>
    <phoneticPr fontId="18"/>
  </si>
  <si>
    <t>Chugoku</t>
    <phoneticPr fontId="18"/>
  </si>
  <si>
    <t>BRN NAME</t>
    <phoneticPr fontId="18"/>
  </si>
  <si>
    <t>Number of Areas</t>
    <phoneticPr fontId="18"/>
  </si>
  <si>
    <r>
      <rPr>
        <sz val="11"/>
        <color theme="1"/>
        <rFont val="ＭＳ Ｐ明朝"/>
        <family val="1"/>
        <charset val="128"/>
      </rPr>
      <t>←</t>
    </r>
    <r>
      <rPr>
        <sz val="11"/>
        <color theme="1"/>
        <rFont val="Times New Roman"/>
        <family val="1"/>
      </rPr>
      <t>SNSP</t>
    </r>
    <phoneticPr fontId="18"/>
  </si>
  <si>
    <t>MAX δ</t>
    <phoneticPr fontId="18"/>
  </si>
  <si>
    <t>System Settings</t>
    <phoneticPr fontId="18"/>
  </si>
  <si>
    <t>Number of Nodes</t>
    <phoneticPr fontId="18"/>
  </si>
  <si>
    <t>Area Selection</t>
    <phoneticPr fontId="18"/>
  </si>
  <si>
    <r>
      <t>Carbon Limit [Mt-CO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/year]</t>
    </r>
    <phoneticPr fontId="18"/>
  </si>
  <si>
    <t>Maximum Flow1</t>
    <phoneticPr fontId="18"/>
  </si>
  <si>
    <t>Maximum Flow2</t>
    <phoneticPr fontId="18"/>
  </si>
  <si>
    <t>Time Slots Aggregation Number (Divisor of 24)</t>
    <phoneticPr fontId="18"/>
  </si>
  <si>
    <t>January</t>
    <phoneticPr fontId="18"/>
  </si>
  <si>
    <t>February</t>
    <phoneticPr fontId="18"/>
  </si>
  <si>
    <t>March</t>
    <phoneticPr fontId="18"/>
  </si>
  <si>
    <t>April</t>
    <phoneticPr fontId="18"/>
  </si>
  <si>
    <t>May</t>
    <phoneticPr fontId="18"/>
  </si>
  <si>
    <t>June</t>
    <phoneticPr fontId="18"/>
  </si>
  <si>
    <t>July</t>
    <phoneticPr fontId="18"/>
  </si>
  <si>
    <t>August</t>
    <phoneticPr fontId="18"/>
  </si>
  <si>
    <t>September</t>
    <phoneticPr fontId="18"/>
  </si>
  <si>
    <t>October</t>
    <phoneticPr fontId="18"/>
  </si>
  <si>
    <t>November</t>
    <phoneticPr fontId="18"/>
  </si>
  <si>
    <t>December</t>
    <phoneticPr fontId="18"/>
  </si>
  <si>
    <t>Synthetic Oil Production Minimum Level [Mtoe/year]</t>
    <phoneticPr fontId="18"/>
  </si>
  <si>
    <t>Synthetic Oil Production Maximum Level [Mtoe/year]</t>
    <phoneticPr fontId="18"/>
  </si>
  <si>
    <t>Fixed Assets Tax Rate</t>
    <phoneticPr fontId="18"/>
  </si>
  <si>
    <r>
      <t>Carbon Tax [kYen/t-CO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phoneticPr fontId="18"/>
  </si>
  <si>
    <t>Maximum No. of Extreme Points of Convex Hull</t>
    <phoneticPr fontId="18"/>
  </si>
  <si>
    <t>Maximum No. of Cutting Planes</t>
    <phoneticPr fontId="18"/>
  </si>
  <si>
    <t>西当別変電所</t>
  </si>
  <si>
    <t>西野変電所</t>
  </si>
  <si>
    <t>西双葉開閉所</t>
  </si>
  <si>
    <t>南早来変電所</t>
  </si>
  <si>
    <t>苗穂変電所</t>
  </si>
  <si>
    <t>西札幌変電所</t>
  </si>
  <si>
    <t>双葉開閉所</t>
  </si>
  <si>
    <t>西室蘭開閉所</t>
  </si>
  <si>
    <t>室蘭変電所</t>
  </si>
  <si>
    <t>南九条変電所</t>
  </si>
  <si>
    <t>西小樽変電所</t>
  </si>
  <si>
    <t>苫小牧変電所</t>
  </si>
  <si>
    <t>追分開閉所</t>
  </si>
  <si>
    <t>恵庭変電所</t>
  </si>
  <si>
    <t>南札幌変電所</t>
  </si>
  <si>
    <t>北江別変電所</t>
  </si>
  <si>
    <t>北斗変換所</t>
  </si>
  <si>
    <t>大野変電所</t>
  </si>
  <si>
    <t>旭川嵐山開閉所</t>
  </si>
  <si>
    <t>旭川変電所</t>
  </si>
  <si>
    <t>西名寄変電所</t>
  </si>
  <si>
    <t>西旭川変電所</t>
  </si>
  <si>
    <t>西滝川変電所</t>
  </si>
  <si>
    <t>北新得変電所</t>
  </si>
  <si>
    <t>岩清水開閉所</t>
  </si>
  <si>
    <t>北芽室変電所</t>
  </si>
  <si>
    <t>西音更変電所</t>
  </si>
  <si>
    <t>宇円別変電所</t>
  </si>
  <si>
    <t>東釧路変電所</t>
  </si>
  <si>
    <t>西春別変電所</t>
  </si>
  <si>
    <t>電発函館変換所</t>
  </si>
  <si>
    <t>上北変電所</t>
  </si>
  <si>
    <t>岩手変電所</t>
  </si>
  <si>
    <t>宮城変電所</t>
  </si>
  <si>
    <t>西仙台変電所</t>
  </si>
  <si>
    <t>南相馬変電所</t>
  </si>
  <si>
    <t>青森変電所</t>
  </si>
  <si>
    <t>能代変電所</t>
  </si>
  <si>
    <t>秋田変電所</t>
  </si>
  <si>
    <t>雫石開閉所</t>
  </si>
  <si>
    <t>羽後変電所</t>
  </si>
  <si>
    <t>水沢変電所</t>
  </si>
  <si>
    <t>新庄変電所</t>
  </si>
  <si>
    <t>西山形変電所</t>
  </si>
  <si>
    <t>仙台変電所</t>
  </si>
  <si>
    <t>東仙台変電所</t>
  </si>
  <si>
    <t>越後開閉所</t>
  </si>
  <si>
    <t>米沢変電所</t>
  </si>
  <si>
    <t>福島変電所</t>
  </si>
  <si>
    <t>北新潟変電所</t>
  </si>
  <si>
    <t>新潟変電所</t>
  </si>
  <si>
    <t>中越変電所</t>
  </si>
  <si>
    <t>本名変電所</t>
  </si>
  <si>
    <t>須賀川変電所</t>
  </si>
  <si>
    <t>いわき変電所</t>
  </si>
  <si>
    <t>新福島変電所</t>
  </si>
  <si>
    <t>信濃川変電所</t>
  </si>
  <si>
    <t>東上越変電所</t>
  </si>
  <si>
    <t>南いわき開閉所</t>
  </si>
  <si>
    <t>新いわき開閉所</t>
  </si>
  <si>
    <t>東群馬変電所</t>
  </si>
  <si>
    <t>新今市開閉所</t>
  </si>
  <si>
    <t>新茂木変電所</t>
  </si>
  <si>
    <t>新筑波変電所</t>
  </si>
  <si>
    <t>新栃木変電所</t>
  </si>
  <si>
    <t>那珂変電所</t>
  </si>
  <si>
    <t>新古河変電所</t>
  </si>
  <si>
    <t>新新田変電所</t>
  </si>
  <si>
    <t>新木更津変電所</t>
  </si>
  <si>
    <t>房総変電所</t>
  </si>
  <si>
    <t>新京葉変電所</t>
  </si>
  <si>
    <t>新佐原変電所</t>
  </si>
  <si>
    <t>鹿島変電所</t>
  </si>
  <si>
    <t>新野田変電所</t>
  </si>
  <si>
    <t>北東京変電所</t>
  </si>
  <si>
    <t>北葛飾変電所</t>
  </si>
  <si>
    <t>新坂戸変電所</t>
  </si>
  <si>
    <t>西群馬開閉所</t>
  </si>
  <si>
    <t>新岡部変電所</t>
  </si>
  <si>
    <t>東毛変電所</t>
  </si>
  <si>
    <t>新秩父開閉所</t>
  </si>
  <si>
    <t>北熊谷変電所</t>
  </si>
  <si>
    <t>西毛変電所</t>
  </si>
  <si>
    <t>新富士変電所</t>
  </si>
  <si>
    <t>新榛名変電所</t>
  </si>
  <si>
    <t>新所沢変電所</t>
  </si>
  <si>
    <t>新秦野変電所</t>
  </si>
  <si>
    <t>北相模変電所</t>
  </si>
  <si>
    <t>新多摩変電所</t>
  </si>
  <si>
    <t>新飯能変電所</t>
  </si>
  <si>
    <t>青梅変電所</t>
  </si>
  <si>
    <t>西東京変電所</t>
  </si>
  <si>
    <t>港北変電所</t>
  </si>
  <si>
    <t>北多摩変電所</t>
  </si>
  <si>
    <t>東新宿変電所</t>
  </si>
  <si>
    <t>新宿変電所</t>
  </si>
  <si>
    <t>城南変電所</t>
  </si>
  <si>
    <t>多摩変電所</t>
  </si>
  <si>
    <t>京浜変電所</t>
  </si>
  <si>
    <t>西横浜変電所</t>
  </si>
  <si>
    <t>南川崎変電所</t>
  </si>
  <si>
    <t>池上変電所</t>
  </si>
  <si>
    <t>中東京変電所</t>
  </si>
  <si>
    <t>南狭山変電所</t>
  </si>
  <si>
    <t>新座変電所</t>
  </si>
  <si>
    <t>練馬変電所</t>
  </si>
  <si>
    <t>豊島変電所</t>
  </si>
  <si>
    <t>水道橋変電所</t>
  </si>
  <si>
    <t>南川越変電所</t>
  </si>
  <si>
    <t>上尾変電所</t>
  </si>
  <si>
    <t>北与野変電所</t>
  </si>
  <si>
    <t>西越谷変電所</t>
  </si>
  <si>
    <t>京北変電所</t>
  </si>
  <si>
    <t>東内幸町変電所</t>
  </si>
  <si>
    <t>高輪変電所</t>
  </si>
  <si>
    <t>上野変電所</t>
  </si>
  <si>
    <t>永代橋変電所</t>
  </si>
  <si>
    <t>新豊洲変電所</t>
  </si>
  <si>
    <t>江東変電所</t>
  </si>
  <si>
    <t>葛南変電所</t>
  </si>
  <si>
    <t>世田谷変電所</t>
  </si>
  <si>
    <t>東京中線</t>
  </si>
  <si>
    <t>新所沢線</t>
  </si>
  <si>
    <t>港北線</t>
  </si>
  <si>
    <t>江東線</t>
  </si>
  <si>
    <t>新信濃変電所</t>
  </si>
  <si>
    <t>三重開閉所</t>
  </si>
  <si>
    <t>岐阜開閉所</t>
  </si>
  <si>
    <t>西部変電所</t>
  </si>
  <si>
    <t>北部変電所</t>
  </si>
  <si>
    <t>愛知変電所</t>
  </si>
  <si>
    <t>東部変電所</t>
  </si>
  <si>
    <t>南福光連係所</t>
  </si>
  <si>
    <t>豊根開閉所</t>
  </si>
  <si>
    <t>東栄変電所</t>
  </si>
  <si>
    <t>新三河変電所</t>
  </si>
  <si>
    <t>南信変電所</t>
  </si>
  <si>
    <t>信濃変電所</t>
  </si>
  <si>
    <t>駿遠変電所</t>
  </si>
  <si>
    <t>静岡変電所</t>
  </si>
  <si>
    <t>鈴鹿開閉所</t>
  </si>
  <si>
    <t>伊勢開閉所</t>
  </si>
  <si>
    <t>南勢変電所</t>
  </si>
  <si>
    <t>中勢変電所</t>
  </si>
  <si>
    <t>西名古屋変電所</t>
  </si>
  <si>
    <t>亀山変電所</t>
  </si>
  <si>
    <t>西尾張変電所</t>
  </si>
  <si>
    <t>川越変電所</t>
  </si>
  <si>
    <t>海部開閉所</t>
  </si>
  <si>
    <t>牛島町変電所</t>
  </si>
  <si>
    <t>名城変電所</t>
  </si>
  <si>
    <t>松ヶ枝変電所</t>
  </si>
  <si>
    <t>西濃開閉所</t>
  </si>
  <si>
    <t>中濃変電所</t>
  </si>
  <si>
    <t>犬山変電所</t>
  </si>
  <si>
    <t>馬瀬一変電所</t>
  </si>
  <si>
    <t>馬瀬変電所</t>
  </si>
  <si>
    <t>高根変電所</t>
  </si>
  <si>
    <t>中信変電所</t>
  </si>
  <si>
    <t>東信変電所</t>
  </si>
  <si>
    <t>新北信変電所</t>
  </si>
  <si>
    <t>佐久変電所</t>
  </si>
  <si>
    <t>電名変電所</t>
  </si>
  <si>
    <t>瀬戸変電所</t>
  </si>
  <si>
    <t>北豊田変電所</t>
  </si>
  <si>
    <t>東浦開閉所</t>
  </si>
  <si>
    <t>東名古屋分岐点</t>
  </si>
  <si>
    <t>知多火力変電所</t>
  </si>
  <si>
    <t>梅森開閉所</t>
  </si>
  <si>
    <t>金山変電所</t>
  </si>
  <si>
    <t>南武平町変電所</t>
  </si>
  <si>
    <t>下広井変電所</t>
  </si>
  <si>
    <t>東海変電所</t>
  </si>
  <si>
    <t>知多第二変電所</t>
  </si>
  <si>
    <t>佐久間FC</t>
  </si>
  <si>
    <t>川根変電所</t>
  </si>
  <si>
    <t>東名古屋変電所</t>
  </si>
  <si>
    <t>三河変電所</t>
  </si>
  <si>
    <t>額田開閉所</t>
  </si>
  <si>
    <t>幸田変電所</t>
  </si>
  <si>
    <t>碧南変電所</t>
  </si>
  <si>
    <t>湖西変電所</t>
  </si>
  <si>
    <t>田原変電所</t>
  </si>
  <si>
    <t>遠江変電所</t>
  </si>
  <si>
    <t>浜岡原子力</t>
  </si>
  <si>
    <t>新佐倉変電所</t>
  </si>
  <si>
    <t>駿河変電所</t>
  </si>
  <si>
    <t>東清水変電所</t>
  </si>
  <si>
    <t>静岡東分岐点</t>
  </si>
  <si>
    <t>静岡西分岐点</t>
  </si>
  <si>
    <t>飛騨変換所</t>
  </si>
  <si>
    <t>越前変電所</t>
  </si>
  <si>
    <t>加賀変電所</t>
  </si>
  <si>
    <t>中能登変電所</t>
  </si>
  <si>
    <t>南福光変電所</t>
  </si>
  <si>
    <t>東金津変電所</t>
  </si>
  <si>
    <t>新福井変電所</t>
  </si>
  <si>
    <t>城端開閉所</t>
  </si>
  <si>
    <t>新富山変電所</t>
  </si>
  <si>
    <t>南条変電所</t>
  </si>
  <si>
    <t>北摂変電所</t>
  </si>
  <si>
    <t>西播変電所</t>
  </si>
  <si>
    <t>猪名川変電所</t>
  </si>
  <si>
    <t>京北開閉所</t>
  </si>
  <si>
    <t>西京都変電所</t>
  </si>
  <si>
    <t>能勢変電所</t>
  </si>
  <si>
    <t>新生駒変電所</t>
  </si>
  <si>
    <t>東近江開閉所</t>
  </si>
  <si>
    <t>南京都変電所</t>
  </si>
  <si>
    <t>山崎開閉所</t>
  </si>
  <si>
    <t>大河内発電所</t>
  </si>
  <si>
    <t>新綾部変電所</t>
  </si>
  <si>
    <t>東大和開閉所</t>
  </si>
  <si>
    <t>紀北変換所</t>
  </si>
  <si>
    <t>１３４Ｔ（北大和線）</t>
  </si>
  <si>
    <t>信貴変電所</t>
  </si>
  <si>
    <t>姫路変電所</t>
  </si>
  <si>
    <t>神戸変電所</t>
  </si>
  <si>
    <t>４２Ｔ（北神線）</t>
  </si>
  <si>
    <t>西神戸変電所</t>
  </si>
  <si>
    <t>新加古川変電所</t>
  </si>
  <si>
    <t>伊丹変電所</t>
  </si>
  <si>
    <t>新神戸変電所</t>
  </si>
  <si>
    <t>宝塚開閉所</t>
  </si>
  <si>
    <t>西大阪変電所</t>
  </si>
  <si>
    <t>北大阪変電所</t>
  </si>
  <si>
    <t>１７Ｔ（北大阪線）</t>
  </si>
  <si>
    <t>淀川変電所</t>
  </si>
  <si>
    <t>喜線山発電所</t>
  </si>
  <si>
    <t>湖南変電所</t>
  </si>
  <si>
    <t>栗東変電所</t>
  </si>
  <si>
    <t>甲賀変電所</t>
  </si>
  <si>
    <t>枚方変電所（洛南）</t>
  </si>
  <si>
    <t>枚方変電所</t>
  </si>
  <si>
    <t>新寝屋川変電所</t>
  </si>
  <si>
    <t>東大阪変電所</t>
  </si>
  <si>
    <t>南河内変電所</t>
  </si>
  <si>
    <t>泉南変電所</t>
  </si>
  <si>
    <t>金剛開閉所</t>
  </si>
  <si>
    <t>南大阪変電所</t>
  </si>
  <si>
    <t>湖東変電所</t>
  </si>
  <si>
    <t>北葛城変電所</t>
  </si>
  <si>
    <t>小曽根変電所</t>
  </si>
  <si>
    <t>北豊中変電所</t>
  </si>
  <si>
    <t>紀の川変電所</t>
  </si>
  <si>
    <t>東大阪線分岐点</t>
  </si>
  <si>
    <t>東予変電所</t>
  </si>
  <si>
    <t>川内変電所</t>
  </si>
  <si>
    <t>讃岐変電所</t>
  </si>
  <si>
    <t>阿波変電所</t>
  </si>
  <si>
    <t>阿南変換所</t>
  </si>
  <si>
    <t>大洲変電所</t>
  </si>
  <si>
    <t>松山変電所</t>
  </si>
  <si>
    <t>北松山変電所</t>
  </si>
  <si>
    <t>西条変電所</t>
  </si>
  <si>
    <t>本川変電所</t>
  </si>
  <si>
    <t>高知変電所</t>
  </si>
  <si>
    <t>新改変電所</t>
  </si>
  <si>
    <t>井川変電所</t>
  </si>
  <si>
    <t>三島変電所</t>
  </si>
  <si>
    <t>香川変電所</t>
  </si>
  <si>
    <t>麻変電所</t>
  </si>
  <si>
    <t>高松変電所</t>
  </si>
  <si>
    <t>鳴門変電所</t>
  </si>
  <si>
    <t>大川変電所</t>
  </si>
  <si>
    <t>国府変電所</t>
  </si>
  <si>
    <t>新山口（変）</t>
  </si>
  <si>
    <t>西島根（変）</t>
  </si>
  <si>
    <t>日野（変）</t>
  </si>
  <si>
    <t>東山口（変）</t>
  </si>
  <si>
    <t>新西広島（変）</t>
  </si>
  <si>
    <t>新広島（変）</t>
  </si>
  <si>
    <t>東岡山（変）</t>
  </si>
  <si>
    <t>北松江（変）</t>
  </si>
  <si>
    <t>山口（変）</t>
  </si>
  <si>
    <t>南山口（変）</t>
  </si>
  <si>
    <t>広島中央（変）</t>
  </si>
  <si>
    <t>作木（変）</t>
  </si>
  <si>
    <t>広島（変）</t>
  </si>
  <si>
    <t>黒瀬（変）</t>
  </si>
  <si>
    <t>北尾道（変）</t>
  </si>
  <si>
    <t>新倉敷（変）</t>
  </si>
  <si>
    <t>岡山（変）</t>
  </si>
  <si>
    <t>松江（変）</t>
  </si>
  <si>
    <t>新鳥取（変）</t>
  </si>
  <si>
    <t>山口幹線</t>
  </si>
  <si>
    <t>広島西幹線</t>
  </si>
  <si>
    <t>山陰幹線</t>
  </si>
  <si>
    <t>広島東幹線</t>
  </si>
  <si>
    <t>岡山幹線</t>
  </si>
  <si>
    <t>北九州変電所</t>
  </si>
  <si>
    <t>豊前変電所</t>
  </si>
  <si>
    <t>中央変電所</t>
  </si>
  <si>
    <t>東九州変電所</t>
  </si>
  <si>
    <t>西九州変電所</t>
  </si>
  <si>
    <t>熊本変電所</t>
  </si>
  <si>
    <t>中九州変電所</t>
  </si>
  <si>
    <t>南九州変電所</t>
  </si>
  <si>
    <t>宮崎変電所</t>
  </si>
  <si>
    <t>西谷変電所</t>
  </si>
  <si>
    <t>到津変電所</t>
  </si>
  <si>
    <t>西大分変電所</t>
  </si>
  <si>
    <t>大分変電所</t>
  </si>
  <si>
    <t>東大分変電所</t>
  </si>
  <si>
    <t>山家変電所</t>
  </si>
  <si>
    <t>東福岡変電所</t>
  </si>
  <si>
    <t>住吉変電所</t>
  </si>
  <si>
    <t>唐津変電所</t>
  </si>
  <si>
    <t>武雄変電所</t>
  </si>
  <si>
    <t>東佐世保変電所</t>
  </si>
  <si>
    <t>長崎変電所</t>
  </si>
  <si>
    <t>諫早変電所</t>
  </si>
  <si>
    <t>木佐木変電所</t>
  </si>
  <si>
    <t>鳥栖変電所</t>
  </si>
  <si>
    <t>三池変電所</t>
  </si>
  <si>
    <t>南熊本変電所</t>
  </si>
  <si>
    <t>日田変電所</t>
  </si>
  <si>
    <t>人吉変電所</t>
  </si>
  <si>
    <t>八代変電所</t>
  </si>
  <si>
    <t>鹿児島変電所</t>
  </si>
  <si>
    <t>高野開閉所</t>
  </si>
  <si>
    <t>霧島変電所</t>
  </si>
  <si>
    <t>都城変電所</t>
  </si>
  <si>
    <t>大隅変電所</t>
  </si>
  <si>
    <t>海崎変電所</t>
  </si>
  <si>
    <t>西福岡変電所</t>
  </si>
  <si>
    <t>南宮崎変電所</t>
  </si>
  <si>
    <t>久留米変電所</t>
  </si>
  <si>
    <t>南福岡変電所</t>
  </si>
  <si>
    <t>北佐賀変電所</t>
  </si>
  <si>
    <t>速見変電所</t>
  </si>
  <si>
    <t>伊都変電所</t>
  </si>
  <si>
    <t>弓削変電所</t>
  </si>
  <si>
    <t>北本連系線</t>
  </si>
  <si>
    <t>相馬双葉幹線</t>
  </si>
  <si>
    <t>南福光連系所</t>
  </si>
  <si>
    <t>越前嶺南線</t>
  </si>
  <si>
    <t>三重東近江線</t>
  </si>
  <si>
    <t>阿南紀北直流幹線</t>
  </si>
  <si>
    <t>本四連系線</t>
  </si>
  <si>
    <t>山崎智頭線</t>
  </si>
  <si>
    <t>西播岡山線</t>
  </si>
  <si>
    <t>関門連系線</t>
  </si>
  <si>
    <t>東清水FC</t>
  </si>
  <si>
    <t>北本連系線2</t>
  </si>
  <si>
    <t>道央北幹線</t>
  </si>
  <si>
    <t>道央西幹線</t>
  </si>
  <si>
    <t>道央南幹線</t>
  </si>
  <si>
    <t>道央東幹線</t>
  </si>
  <si>
    <t>苗穂北線</t>
  </si>
  <si>
    <t>篠路線</t>
  </si>
  <si>
    <t>西札幌線</t>
  </si>
  <si>
    <t>室蘭西幹線1</t>
  </si>
  <si>
    <t>室蘭西幹線2</t>
  </si>
  <si>
    <t>室蘭西幹線3</t>
  </si>
  <si>
    <t>室蘭西幹線4</t>
  </si>
  <si>
    <t>南九条線</t>
  </si>
  <si>
    <t>西小樽線</t>
  </si>
  <si>
    <t>双葉幹線</t>
  </si>
  <si>
    <t>室蘭東幹線</t>
  </si>
  <si>
    <t>追分線</t>
  </si>
  <si>
    <t>追分恵庭線</t>
  </si>
  <si>
    <t>恵庭南札線</t>
  </si>
  <si>
    <t>南札幌幹線</t>
  </si>
  <si>
    <t>北江別線</t>
  </si>
  <si>
    <t>道南幹線</t>
  </si>
  <si>
    <t>大野線</t>
  </si>
  <si>
    <t>函館幹線</t>
  </si>
  <si>
    <t>道北幹線</t>
  </si>
  <si>
    <t>旭川南線</t>
  </si>
  <si>
    <t>名寄幹線1</t>
  </si>
  <si>
    <t>名寄幹線2</t>
  </si>
  <si>
    <t>旭川幹線</t>
  </si>
  <si>
    <t>狩勝幹線</t>
  </si>
  <si>
    <t>新得追分線</t>
  </si>
  <si>
    <t>日高幹線</t>
  </si>
  <si>
    <t>岩松西線</t>
  </si>
  <si>
    <t>西音更線</t>
  </si>
  <si>
    <t>道東幹線</t>
  </si>
  <si>
    <t>釧路北線</t>
  </si>
  <si>
    <t>西春別線</t>
  </si>
  <si>
    <t>北本七飯線</t>
  </si>
  <si>
    <t>北斗幹線</t>
  </si>
  <si>
    <t>十和田幹線</t>
  </si>
  <si>
    <t>北上幹線</t>
  </si>
  <si>
    <t>青葉幹線</t>
  </si>
  <si>
    <t>北青幹線</t>
  </si>
  <si>
    <t>北奥幹線</t>
  </si>
  <si>
    <t>北部幹線</t>
  </si>
  <si>
    <t>大潟幹線</t>
  </si>
  <si>
    <t>秋盛幹線</t>
  </si>
  <si>
    <t>岩手幹線</t>
  </si>
  <si>
    <t>秋田幹線</t>
  </si>
  <si>
    <t>早池峰幹線</t>
  </si>
  <si>
    <t>奥羽幹線</t>
  </si>
  <si>
    <t>水沢幹線</t>
  </si>
  <si>
    <t>陸羽幹線</t>
  </si>
  <si>
    <t>山形幹線</t>
  </si>
  <si>
    <t>宮城幹線</t>
  </si>
  <si>
    <t>新仙台火力Ａ線</t>
  </si>
  <si>
    <t>朝日幹線</t>
  </si>
  <si>
    <t>蔵王幹線</t>
  </si>
  <si>
    <t>吾妻幹線</t>
  </si>
  <si>
    <t>北新幹線</t>
  </si>
  <si>
    <t>五頭幹線</t>
  </si>
  <si>
    <t>中越幹線</t>
  </si>
  <si>
    <t>新潟幹線</t>
  </si>
  <si>
    <t>相福幹線</t>
  </si>
  <si>
    <t>阿武隈幹線</t>
  </si>
  <si>
    <t>勿来幹線</t>
  </si>
  <si>
    <t>いわき幹線</t>
  </si>
  <si>
    <t>東上越幹線</t>
  </si>
  <si>
    <t>（信濃川本名線）</t>
  </si>
  <si>
    <t>今別青森線</t>
  </si>
  <si>
    <t>川内線</t>
  </si>
  <si>
    <t>南いわき幹線</t>
  </si>
  <si>
    <t>新いわき線</t>
  </si>
  <si>
    <t>福島幹線（中）</t>
  </si>
  <si>
    <t>福島東幹線（里）</t>
  </si>
  <si>
    <t>新茂木線</t>
  </si>
  <si>
    <t>那珂線</t>
  </si>
  <si>
    <t>福島幹線（里）</t>
  </si>
  <si>
    <t>中栃木線</t>
  </si>
  <si>
    <t>新栃木線</t>
  </si>
  <si>
    <t>君津線</t>
  </si>
  <si>
    <t>北千葉線</t>
  </si>
  <si>
    <t>印旛線</t>
  </si>
  <si>
    <t>香取線</t>
  </si>
  <si>
    <t>鹿島線</t>
  </si>
  <si>
    <t>新筑波線</t>
  </si>
  <si>
    <t>東京東線</t>
  </si>
  <si>
    <t>東京北線</t>
  </si>
  <si>
    <t>北葛飾線</t>
  </si>
  <si>
    <t>新古河線</t>
  </si>
  <si>
    <t>河北線1,2L</t>
  </si>
  <si>
    <t>河北線3,4L</t>
  </si>
  <si>
    <t>東群馬幹線</t>
  </si>
  <si>
    <t>新赤城線（他社）</t>
  </si>
  <si>
    <t>新新田線</t>
  </si>
  <si>
    <t>東毛線　（他社）</t>
  </si>
  <si>
    <t>新坂戸線（他社）</t>
  </si>
  <si>
    <t>新岡部線</t>
  </si>
  <si>
    <t>北熊谷線</t>
  </si>
  <si>
    <t>児玉線</t>
  </si>
  <si>
    <t>西群馬幹線</t>
  </si>
  <si>
    <t>新吾妻線</t>
  </si>
  <si>
    <t>西上武幹線</t>
  </si>
  <si>
    <t>新榛名線</t>
  </si>
  <si>
    <t>新秦野線</t>
  </si>
  <si>
    <t>佐久間東幹中線（中）（他社）</t>
  </si>
  <si>
    <t>新多摩線</t>
  </si>
  <si>
    <t>新秩父線</t>
  </si>
  <si>
    <t>新所沢線1</t>
  </si>
  <si>
    <t>青梅線</t>
  </si>
  <si>
    <t>東京西線</t>
  </si>
  <si>
    <t>港北線1</t>
  </si>
  <si>
    <t>西北線</t>
  </si>
  <si>
    <t>東新宿線</t>
  </si>
  <si>
    <t>新宿線</t>
  </si>
  <si>
    <t>新宿城南線</t>
  </si>
  <si>
    <t>西南多摩線（他社）</t>
  </si>
  <si>
    <t>佐久間東幹線（里）（他社）</t>
  </si>
  <si>
    <t>秦浜線</t>
  </si>
  <si>
    <t>京浜線1,2L</t>
  </si>
  <si>
    <t>京浜線3,4L</t>
  </si>
  <si>
    <t>南川崎線</t>
  </si>
  <si>
    <t>南池上線</t>
  </si>
  <si>
    <t>中沢線1,2L</t>
  </si>
  <si>
    <t>中沢線3,4L</t>
  </si>
  <si>
    <t>南狭山線</t>
  </si>
  <si>
    <t>新座線</t>
  </si>
  <si>
    <t>北武蔵野線</t>
  </si>
  <si>
    <t>城北線</t>
  </si>
  <si>
    <t>水道橋線</t>
  </si>
  <si>
    <t>東新宿水道橋線</t>
  </si>
  <si>
    <t>坂戸川越線（他社）</t>
  </si>
  <si>
    <t>西南川越線（他社）</t>
  </si>
  <si>
    <t>東京中線1</t>
  </si>
  <si>
    <t>北与野線</t>
  </si>
  <si>
    <t>西越谷線</t>
  </si>
  <si>
    <t>春日部線</t>
  </si>
  <si>
    <t>豊島線</t>
  </si>
  <si>
    <t>東内幸町線</t>
  </si>
  <si>
    <t>高輪線</t>
  </si>
  <si>
    <t>上野線</t>
  </si>
  <si>
    <t>上野水道橋線</t>
  </si>
  <si>
    <t>墨東線</t>
  </si>
  <si>
    <t>新豊洲線</t>
  </si>
  <si>
    <t>江東線1</t>
  </si>
  <si>
    <t>城南線</t>
  </si>
  <si>
    <t>葛南世田谷線</t>
  </si>
  <si>
    <t>世田谷線</t>
  </si>
  <si>
    <t>豊洲内幸町線</t>
  </si>
  <si>
    <t>豊洲永代橋線</t>
  </si>
  <si>
    <t>上尾線</t>
  </si>
  <si>
    <t>新所沢線2</t>
  </si>
  <si>
    <t>（新所沢線分岐）</t>
  </si>
  <si>
    <t>東京中線2</t>
  </si>
  <si>
    <t>港北線分岐線</t>
  </si>
  <si>
    <t>港北線2</t>
  </si>
  <si>
    <t>江東線分岐線</t>
  </si>
  <si>
    <t>江東線2</t>
  </si>
  <si>
    <t>安雲幹線</t>
  </si>
  <si>
    <t>三岐幹線</t>
  </si>
  <si>
    <t>三重連絡線</t>
  </si>
  <si>
    <t>西部幹線</t>
  </si>
  <si>
    <t>愛岐幹線</t>
  </si>
  <si>
    <t>東部幹線</t>
  </si>
  <si>
    <t>岐阜連絡</t>
  </si>
  <si>
    <t>越美幹線1</t>
  </si>
  <si>
    <t>豊根幹線</t>
  </si>
  <si>
    <t>東栄幹線</t>
  </si>
  <si>
    <t>新三河幹線</t>
  </si>
  <si>
    <t>豊根連絡線</t>
  </si>
  <si>
    <t>南信幹線</t>
  </si>
  <si>
    <t>信濃幹線</t>
  </si>
  <si>
    <t>駿遠幹線</t>
  </si>
  <si>
    <t>静岡幹線</t>
  </si>
  <si>
    <t>静岡連絡線</t>
  </si>
  <si>
    <t>鈴鹿幹線</t>
  </si>
  <si>
    <t>伊勢幹線</t>
  </si>
  <si>
    <t>伊勢南勢線</t>
  </si>
  <si>
    <t>伊勢中勢線</t>
  </si>
  <si>
    <t>尾鷲伊勢線</t>
  </si>
  <si>
    <t>西部西名古屋線</t>
  </si>
  <si>
    <t>亀山西名古屋線</t>
  </si>
  <si>
    <t>中勢亀山線</t>
  </si>
  <si>
    <t>西部西尾張線</t>
  </si>
  <si>
    <t>西名古屋西尾張線</t>
  </si>
  <si>
    <t>川越火力線</t>
  </si>
  <si>
    <t>西尾張海部線</t>
  </si>
  <si>
    <t>海部牛島町線</t>
  </si>
  <si>
    <t>名城松ヶ枝線</t>
  </si>
  <si>
    <t>西濃西部線</t>
  </si>
  <si>
    <t>北部西濃線</t>
  </si>
  <si>
    <t>北部中濃線</t>
  </si>
  <si>
    <t>中濃犬山線</t>
  </si>
  <si>
    <t>馬瀬北部線</t>
  </si>
  <si>
    <t>高根馬瀬線</t>
  </si>
  <si>
    <t>高根中信線</t>
  </si>
  <si>
    <t>信濃中信線</t>
  </si>
  <si>
    <t>信濃東信線</t>
  </si>
  <si>
    <t>東信新北信線</t>
  </si>
  <si>
    <t>佐久幹線</t>
  </si>
  <si>
    <t>佐久間西幹里線</t>
  </si>
  <si>
    <t>愛知分岐線</t>
  </si>
  <si>
    <t>犬山電名線</t>
  </si>
  <si>
    <t>電名瀬戸線</t>
  </si>
  <si>
    <t>愛知瀬戸線</t>
  </si>
  <si>
    <t>瀬戸北豊田線</t>
  </si>
  <si>
    <t>東浦北豊田線</t>
  </si>
  <si>
    <t>東名古屋分岐線</t>
  </si>
  <si>
    <t>知多火力東浦線</t>
  </si>
  <si>
    <t>東部北豊田線</t>
  </si>
  <si>
    <t>北豊田梅森線</t>
  </si>
  <si>
    <t>梅森金山線</t>
  </si>
  <si>
    <t>金山松ヶ枝線</t>
  </si>
  <si>
    <t>南武平町松ヶ枝線</t>
  </si>
  <si>
    <t>下広井南武平町線</t>
  </si>
  <si>
    <t>東海松ヶ枝線+東海下広井線</t>
  </si>
  <si>
    <t>知多第二東海線</t>
  </si>
  <si>
    <t>佐久間西幹山線</t>
  </si>
  <si>
    <t>佐久間川根線</t>
  </si>
  <si>
    <t>東名古屋東部線</t>
  </si>
  <si>
    <t>知多火力線</t>
  </si>
  <si>
    <t>三河線</t>
  </si>
  <si>
    <t>額田三河線</t>
  </si>
  <si>
    <t>東部額田線</t>
  </si>
  <si>
    <t>額田幸田線</t>
  </si>
  <si>
    <t>幸田新三河線</t>
  </si>
  <si>
    <t>幸田碧南線</t>
  </si>
  <si>
    <t>湖西三河線</t>
  </si>
  <si>
    <t>田原湖西線</t>
  </si>
  <si>
    <t>三河遠江線</t>
  </si>
  <si>
    <t>遠江駿遠線</t>
  </si>
  <si>
    <t>浜岡駿遠線</t>
  </si>
  <si>
    <t>浜岡新佐倉線</t>
  </si>
  <si>
    <t>駿遠駿河線</t>
  </si>
  <si>
    <t>駿河東清水線</t>
  </si>
  <si>
    <t>牛島町名城線</t>
  </si>
  <si>
    <t>静岡東分岐線</t>
  </si>
  <si>
    <t>静岡西分岐線</t>
  </si>
  <si>
    <t>越美幹線2</t>
  </si>
  <si>
    <t>加賀幹線</t>
  </si>
  <si>
    <t>能登幹線</t>
  </si>
  <si>
    <t>能越幹線</t>
  </si>
  <si>
    <t>加賀福光線</t>
  </si>
  <si>
    <t>加賀東金津線</t>
  </si>
  <si>
    <t>東金津新福井線</t>
  </si>
  <si>
    <t>越前線</t>
  </si>
  <si>
    <t>中央幹線</t>
  </si>
  <si>
    <t>新富山幹線</t>
  </si>
  <si>
    <t>南条越前線</t>
  </si>
  <si>
    <t>播磨線</t>
  </si>
  <si>
    <t>東播線</t>
  </si>
  <si>
    <t>丹波線</t>
  </si>
  <si>
    <t>能勢線</t>
  </si>
  <si>
    <t>北河内線</t>
  </si>
  <si>
    <t>南近江線</t>
  </si>
  <si>
    <t>山城北線</t>
  </si>
  <si>
    <t>山城東線</t>
  </si>
  <si>
    <t>播磨中央線</t>
  </si>
  <si>
    <t>播磨西線</t>
  </si>
  <si>
    <t>播磨北線</t>
  </si>
  <si>
    <t>大河内線</t>
  </si>
  <si>
    <t>新綾部線</t>
  </si>
  <si>
    <t>若狭幹線（山）</t>
  </si>
  <si>
    <t>北近江線</t>
  </si>
  <si>
    <t>若狭幹線（里）</t>
  </si>
  <si>
    <t>丹後幹線</t>
  </si>
  <si>
    <t>南大和線</t>
  </si>
  <si>
    <t>北大和線1</t>
  </si>
  <si>
    <t>山城南支線</t>
  </si>
  <si>
    <t>信貴線</t>
  </si>
  <si>
    <t>西播線</t>
  </si>
  <si>
    <t>北神線（北摂?４２Ｔ）</t>
  </si>
  <si>
    <t>北神線（４２Ｔ?神戸）</t>
  </si>
  <si>
    <t>西神支線</t>
  </si>
  <si>
    <t>西神戸線</t>
  </si>
  <si>
    <t>新加古川伊丹線</t>
  </si>
  <si>
    <t>六甲線</t>
  </si>
  <si>
    <t>宝塚線</t>
  </si>
  <si>
    <t>伊丹線</t>
  </si>
  <si>
    <t>新神戸線</t>
  </si>
  <si>
    <t>西大阪線</t>
  </si>
  <si>
    <t>北大阪線1</t>
  </si>
  <si>
    <t>西大阪東支線</t>
  </si>
  <si>
    <t>西京都線</t>
  </si>
  <si>
    <t>淀川線</t>
  </si>
  <si>
    <t>喜撰山線</t>
  </si>
  <si>
    <t>湖南線</t>
  </si>
  <si>
    <t>栗東線</t>
  </si>
  <si>
    <t>甲賀線</t>
  </si>
  <si>
    <t>南京都線1</t>
  </si>
  <si>
    <t>東大阪線1</t>
  </si>
  <si>
    <t>新生駒線</t>
  </si>
  <si>
    <t>東大阪新生駒線</t>
  </si>
  <si>
    <t>泉南東大阪線（東大阪?１０９Ｔ）</t>
  </si>
  <si>
    <t>泉南東大阪線（１０９Ｔ?泉南）</t>
  </si>
  <si>
    <t>南大阪線</t>
  </si>
  <si>
    <t>湖東線</t>
  </si>
  <si>
    <t>北葛城線</t>
  </si>
  <si>
    <t>西大阪小曽根線</t>
  </si>
  <si>
    <t>北豊中線</t>
  </si>
  <si>
    <t>北和泉線</t>
  </si>
  <si>
    <t>南和泉線</t>
  </si>
  <si>
    <t>金剛線</t>
  </si>
  <si>
    <t>紀北線</t>
  </si>
  <si>
    <t>東大阪線2</t>
  </si>
  <si>
    <t>南京都線2</t>
  </si>
  <si>
    <t>北大和線2</t>
  </si>
  <si>
    <t>北大阪線2</t>
  </si>
  <si>
    <t>四国中央中幹線</t>
  </si>
  <si>
    <t>四国中央東幹線</t>
  </si>
  <si>
    <t>阿波幹線</t>
  </si>
  <si>
    <t>南阿波幹線</t>
  </si>
  <si>
    <t>広見線</t>
  </si>
  <si>
    <t>大洲北幹線・大洲南幹線</t>
  </si>
  <si>
    <t>松山幹線</t>
  </si>
  <si>
    <t>松山西線</t>
  </si>
  <si>
    <t>松山東線</t>
  </si>
  <si>
    <t>川内幹線</t>
  </si>
  <si>
    <t>西条線</t>
  </si>
  <si>
    <t>本川線</t>
  </si>
  <si>
    <t>高知幹線</t>
  </si>
  <si>
    <t>新改高知線</t>
  </si>
  <si>
    <t>新改幹線</t>
  </si>
  <si>
    <t>三島西線</t>
  </si>
  <si>
    <t>三島東線</t>
  </si>
  <si>
    <t>吉野川線</t>
  </si>
  <si>
    <t>香川線</t>
  </si>
  <si>
    <t>麻線</t>
  </si>
  <si>
    <t>高松線</t>
  </si>
  <si>
    <t>讃岐鳴門線</t>
  </si>
  <si>
    <t>大川支線</t>
  </si>
  <si>
    <t>阿波鳴門線</t>
  </si>
  <si>
    <t>阿波国府線</t>
  </si>
  <si>
    <t>中国中幹線（フェンス管理箇所）</t>
  </si>
  <si>
    <t>中国東幹線（フェンス管理箇所）</t>
  </si>
  <si>
    <t>新山口幹線（フェンス管理箇所）</t>
  </si>
  <si>
    <t>東山口幹線（フェンス管理箇所）</t>
  </si>
  <si>
    <t>西島根幹線</t>
  </si>
  <si>
    <t>新西広島幹線（フェンス管理箇所）</t>
  </si>
  <si>
    <t>新広島幹線（フェンス管理箇所）</t>
  </si>
  <si>
    <t>新岡山幹線（フェンス管理箇所）</t>
  </si>
  <si>
    <t>北松江幹線</t>
  </si>
  <si>
    <t>日野幹線</t>
  </si>
  <si>
    <t>新山口連絡線</t>
  </si>
  <si>
    <t>山口幹線1</t>
  </si>
  <si>
    <t>南山口支線</t>
  </si>
  <si>
    <t>東山口連絡線</t>
  </si>
  <si>
    <t>広島西幹線1</t>
  </si>
  <si>
    <t>広島中央線</t>
  </si>
  <si>
    <t>作木支線</t>
  </si>
  <si>
    <t>新広島連絡線（フェンス管理箇所も含む）</t>
  </si>
  <si>
    <t>黒瀬幹線</t>
  </si>
  <si>
    <t>北尾道支線</t>
  </si>
  <si>
    <t>新岡山連絡線</t>
  </si>
  <si>
    <t>井原連絡線</t>
  </si>
  <si>
    <t>笠岡幹線</t>
  </si>
  <si>
    <t>岡山幹線1</t>
  </si>
  <si>
    <t>新倉敷支線</t>
  </si>
  <si>
    <t>東岡山連絡線</t>
  </si>
  <si>
    <t>松江連絡線</t>
  </si>
  <si>
    <t>新鳥取連絡線</t>
  </si>
  <si>
    <t>広島東幹線1</t>
  </si>
  <si>
    <t>広島東幹線2</t>
  </si>
  <si>
    <t>山陰幹線1</t>
  </si>
  <si>
    <t>山陰幹線2</t>
  </si>
  <si>
    <t>山口幹線2</t>
  </si>
  <si>
    <t>広島西幹線2</t>
  </si>
  <si>
    <t>岡山幹線2</t>
  </si>
  <si>
    <t>北九州幹線</t>
  </si>
  <si>
    <t>豊前北幹線</t>
  </si>
  <si>
    <t>豊前西幹線</t>
  </si>
  <si>
    <t>東九州幹線</t>
  </si>
  <si>
    <t>脊振幹線</t>
  </si>
  <si>
    <t>佐賀幹線</t>
  </si>
  <si>
    <t>玄海幹線２Ｌ南線</t>
  </si>
  <si>
    <t>熊本幹線</t>
  </si>
  <si>
    <t>中九州幹線</t>
  </si>
  <si>
    <t>南九州幹線</t>
  </si>
  <si>
    <t>宮崎幹線</t>
  </si>
  <si>
    <t>槻田線</t>
  </si>
  <si>
    <t>西谷線</t>
  </si>
  <si>
    <t>北九州豊前線</t>
  </si>
  <si>
    <t>上津役線</t>
  </si>
  <si>
    <t>西谷門司線</t>
  </si>
  <si>
    <t>苅田分岐線</t>
  </si>
  <si>
    <t>到津線</t>
  </si>
  <si>
    <t>大分北線</t>
  </si>
  <si>
    <t>大分南線</t>
  </si>
  <si>
    <t>東大分線</t>
  </si>
  <si>
    <t>山家線</t>
  </si>
  <si>
    <t>筑豊線</t>
  </si>
  <si>
    <t>山家東福岡線</t>
  </si>
  <si>
    <t>東福岡住吉線</t>
  </si>
  <si>
    <t>唐津西九州線</t>
  </si>
  <si>
    <t>武雄線</t>
  </si>
  <si>
    <t>松島火力線北線</t>
  </si>
  <si>
    <t>長崎幹線</t>
  </si>
  <si>
    <t>諫早分岐線</t>
  </si>
  <si>
    <t>鳥栖木佐木線</t>
  </si>
  <si>
    <t>脊振鳥栖線</t>
  </si>
  <si>
    <t>木佐木三池線</t>
  </si>
  <si>
    <t>熊本南熊本線</t>
  </si>
  <si>
    <t>熊本日田線</t>
  </si>
  <si>
    <t>中九州南熊本線</t>
  </si>
  <si>
    <t>鹿児島北線</t>
  </si>
  <si>
    <t>八代分岐線</t>
  </si>
  <si>
    <t>鹿児島南線</t>
  </si>
  <si>
    <t>高野線</t>
  </si>
  <si>
    <t>霧島分岐線</t>
  </si>
  <si>
    <t>都城線</t>
  </si>
  <si>
    <t>大隅線</t>
  </si>
  <si>
    <t>南宮崎線</t>
  </si>
  <si>
    <t>海崎線</t>
  </si>
  <si>
    <t>脊振西福岡線</t>
  </si>
  <si>
    <t>宮崎分岐線</t>
  </si>
  <si>
    <t>久留米分岐線</t>
  </si>
  <si>
    <t>中央南福岡線</t>
  </si>
  <si>
    <t>北佐賀木佐木線</t>
  </si>
  <si>
    <t>速見分岐線</t>
  </si>
  <si>
    <t>脊振伊都線</t>
  </si>
  <si>
    <t>弓削分岐線</t>
  </si>
  <si>
    <t>送電容量とりあえず１</t>
    <rPh sb="0" eb="2">
      <t>ソウデン</t>
    </rPh>
    <rPh sb="2" eb="4">
      <t>ヨウリョウ</t>
    </rPh>
    <phoneticPr fontId="18"/>
  </si>
  <si>
    <t>Kyusyu</t>
    <phoneticPr fontId="18"/>
  </si>
  <si>
    <t>２倍</t>
    <rPh sb="1" eb="2">
      <t>バイ</t>
    </rPh>
    <phoneticPr fontId="18"/>
  </si>
  <si>
    <t>石巻変電所</t>
    <phoneticPr fontId="18"/>
  </si>
  <si>
    <t>広見変電所</t>
    <phoneticPr fontId="18"/>
  </si>
  <si>
    <t>新小野田</t>
    <rPh sb="0" eb="1">
      <t>シン</t>
    </rPh>
    <rPh sb="1" eb="4">
      <t>オノダ</t>
    </rPh>
    <phoneticPr fontId="18"/>
  </si>
  <si>
    <t>柳内火力</t>
    <rPh sb="0" eb="2">
      <t>ヤナイ</t>
    </rPh>
    <rPh sb="2" eb="4">
      <t>カリョク</t>
    </rPh>
    <phoneticPr fontId="18"/>
  </si>
  <si>
    <t>新岩国</t>
    <rPh sb="0" eb="3">
      <t>シンイワクニ</t>
    </rPh>
    <phoneticPr fontId="18"/>
  </si>
  <si>
    <t>阿南火力発電所経由</t>
    <rPh sb="0" eb="2">
      <t>アナン</t>
    </rPh>
    <rPh sb="2" eb="4">
      <t>カリョク</t>
    </rPh>
    <rPh sb="4" eb="6">
      <t>ハツデン</t>
    </rPh>
    <rPh sb="6" eb="7">
      <t>ショ</t>
    </rPh>
    <rPh sb="7" eb="9">
      <t>ケイユ</t>
    </rPh>
    <phoneticPr fontId="18"/>
  </si>
  <si>
    <t>Node2-&gt;Node1</t>
    <phoneticPr fontId="18"/>
  </si>
  <si>
    <t>Node1-&gt;Node2</t>
    <phoneticPr fontId="18"/>
  </si>
  <si>
    <t>(0:Ignored, 1:Normal, 2:Aggregated)</t>
    <phoneticPr fontId="18"/>
  </si>
  <si>
    <t>今別変換所</t>
    <phoneticPr fontId="18"/>
  </si>
  <si>
    <t>新佐原線</t>
    <rPh sb="0" eb="1">
      <t>シン</t>
    </rPh>
    <rPh sb="1" eb="3">
      <t>サハラ</t>
    </rPh>
    <rPh sb="3" eb="4">
      <t>セン</t>
    </rPh>
    <phoneticPr fontId="18"/>
  </si>
  <si>
    <t>新京葉線</t>
    <rPh sb="0" eb="1">
      <t>シン</t>
    </rPh>
    <rPh sb="1" eb="3">
      <t>ケイヨウ</t>
    </rPh>
    <rPh sb="3" eb="4">
      <t>セン</t>
    </rPh>
    <phoneticPr fontId="18"/>
  </si>
  <si>
    <t>中国西幹線（フェンス管理箇所）</t>
  </si>
  <si>
    <t>常磐幹線</t>
    <phoneticPr fontId="18"/>
  </si>
  <si>
    <t>鳴瀬幹線</t>
    <phoneticPr fontId="18"/>
  </si>
  <si>
    <t>仙台幹線</t>
    <phoneticPr fontId="18"/>
  </si>
  <si>
    <t>飯豊幹線</t>
    <phoneticPr fontId="18"/>
  </si>
  <si>
    <t>東北幹線</t>
    <phoneticPr fontId="18"/>
  </si>
  <si>
    <t>LFC Control Reserve Market Fee [Yen/kW]</t>
    <phoneticPr fontId="18"/>
  </si>
  <si>
    <r>
      <rPr>
        <sz val="11"/>
        <color theme="1"/>
        <rFont val="ＭＳ Ｐ明朝"/>
        <family val="1"/>
        <charset val="128"/>
      </rPr>
      <t>新信濃</t>
    </r>
    <r>
      <rPr>
        <sz val="11"/>
        <color theme="1"/>
        <rFont val="Times New Roman"/>
        <family val="1"/>
      </rPr>
      <t>1FC</t>
    </r>
    <phoneticPr fontId="18"/>
  </si>
  <si>
    <r>
      <rPr>
        <sz val="11"/>
        <color theme="1"/>
        <rFont val="ＭＳ Ｐ明朝"/>
        <family val="1"/>
        <charset val="128"/>
      </rPr>
      <t>新信濃</t>
    </r>
    <r>
      <rPr>
        <sz val="11"/>
        <color theme="1"/>
        <rFont val="Times New Roman"/>
        <family val="1"/>
      </rPr>
      <t>2FC</t>
    </r>
    <phoneticPr fontId="18"/>
  </si>
  <si>
    <t>北海道-&gt;東北</t>
    <rPh sb="0" eb="3">
      <t>ホッカイドウ</t>
    </rPh>
    <rPh sb="5" eb="7">
      <t>トウホク</t>
    </rPh>
    <phoneticPr fontId="18"/>
  </si>
  <si>
    <t>東北-&gt;東京</t>
    <rPh sb="0" eb="2">
      <t>トウホク</t>
    </rPh>
    <rPh sb="4" eb="6">
      <t>トウキョウ</t>
    </rPh>
    <phoneticPr fontId="18"/>
  </si>
  <si>
    <t>中部-&gt;北陸</t>
    <rPh sb="0" eb="2">
      <t>チュウブ</t>
    </rPh>
    <rPh sb="4" eb="6">
      <t>ホクリク</t>
    </rPh>
    <phoneticPr fontId="18"/>
  </si>
  <si>
    <t>北陸-&gt;関西</t>
    <rPh sb="0" eb="2">
      <t>ホクリク</t>
    </rPh>
    <rPh sb="4" eb="6">
      <t>カンサイ</t>
    </rPh>
    <phoneticPr fontId="18"/>
  </si>
  <si>
    <t>中部-&gt;関西</t>
    <rPh sb="0" eb="2">
      <t>チュウブ</t>
    </rPh>
    <rPh sb="4" eb="6">
      <t>カンサイ</t>
    </rPh>
    <phoneticPr fontId="18"/>
  </si>
  <si>
    <t>関西-&gt;四国</t>
    <rPh sb="0" eb="2">
      <t>カンサイ</t>
    </rPh>
    <rPh sb="4" eb="6">
      <t>シコク</t>
    </rPh>
    <phoneticPr fontId="18"/>
  </si>
  <si>
    <t>四国-&gt;中国</t>
    <rPh sb="0" eb="2">
      <t>シコク</t>
    </rPh>
    <rPh sb="4" eb="6">
      <t>チュウゴク</t>
    </rPh>
    <phoneticPr fontId="18"/>
  </si>
  <si>
    <t>関西-&gt;中国</t>
    <rPh sb="0" eb="2">
      <t>カンサイ</t>
    </rPh>
    <rPh sb="4" eb="6">
      <t>チュウゴク</t>
    </rPh>
    <phoneticPr fontId="18"/>
  </si>
  <si>
    <t>中国-&gt;九州</t>
    <rPh sb="0" eb="2">
      <t>チュウゴク</t>
    </rPh>
    <rPh sb="4" eb="6">
      <t>キュウシュウ</t>
    </rPh>
    <phoneticPr fontId="18"/>
  </si>
  <si>
    <t>東京-&gt;中部</t>
    <rPh sb="0" eb="2">
      <t>トウキョウ</t>
    </rPh>
    <rPh sb="4" eb="6">
      <t>チュウブ</t>
    </rPh>
    <phoneticPr fontId="18"/>
  </si>
  <si>
    <t>智頭（変）</t>
    <phoneticPr fontId="18"/>
  </si>
  <si>
    <t>新岡山（変）</t>
    <phoneticPr fontId="18"/>
  </si>
  <si>
    <t>新徳山（変）</t>
    <phoneticPr fontId="18"/>
  </si>
  <si>
    <t>井原（開）</t>
    <phoneticPr fontId="18"/>
  </si>
  <si>
    <t>笠岡（変）</t>
    <phoneticPr fontId="18"/>
  </si>
  <si>
    <t>1200 yen/kW/km</t>
    <phoneticPr fontId="18"/>
  </si>
  <si>
    <t>kW</t>
    <phoneticPr fontId="18"/>
  </si>
  <si>
    <t>km</t>
    <phoneticPr fontId="18"/>
  </si>
  <si>
    <t>yen</t>
    <phoneticPr fontId="18"/>
  </si>
  <si>
    <t>耐用年数</t>
    <rPh sb="0" eb="2">
      <t>タイヨウ</t>
    </rPh>
    <rPh sb="2" eb="4">
      <t>ネンスウ</t>
    </rPh>
    <phoneticPr fontId="18"/>
  </si>
  <si>
    <t>Construction Cost [kYen/kW]</t>
    <phoneticPr fontId="18"/>
  </si>
  <si>
    <t>北海道→東北</t>
    <rPh sb="0" eb="3">
      <t>ホッカイドウ</t>
    </rPh>
    <rPh sb="4" eb="6">
      <t>トウホク</t>
    </rPh>
    <phoneticPr fontId="18"/>
  </si>
  <si>
    <t>北海道→東京</t>
    <rPh sb="0" eb="3">
      <t>ホッカイドウ</t>
    </rPh>
    <rPh sb="4" eb="6">
      <t>トウキョウ</t>
    </rPh>
    <phoneticPr fontId="18"/>
  </si>
  <si>
    <t>四国→九州</t>
    <rPh sb="0" eb="2">
      <t>シコク</t>
    </rPh>
    <rPh sb="3" eb="5">
      <t>キュウシュウ</t>
    </rPh>
    <phoneticPr fontId="18"/>
  </si>
  <si>
    <t>関西→九州</t>
    <rPh sb="0" eb="2">
      <t>カンサイ</t>
    </rPh>
    <rPh sb="3" eb="5">
      <t>キュウシュウ</t>
    </rPh>
    <phoneticPr fontId="18"/>
  </si>
  <si>
    <t>v1</t>
    <phoneticPr fontId="18"/>
  </si>
  <si>
    <t>v2</t>
    <phoneticPr fontId="18"/>
  </si>
  <si>
    <t>v3</t>
    <phoneticPr fontId="18"/>
  </si>
  <si>
    <t>GW</t>
    <phoneticPr fontId="18"/>
  </si>
  <si>
    <t>10^8yen/ 2GW/km</t>
    <phoneticPr fontId="18"/>
  </si>
  <si>
    <t>nfu</t>
  </si>
  <si>
    <t>nfu</t>
    <phoneticPr fontId="18"/>
  </si>
  <si>
    <t>msb</t>
  </si>
  <si>
    <t>msb</t>
    <phoneticPr fontId="18"/>
  </si>
  <si>
    <t>nab</t>
  </si>
  <si>
    <t>nab</t>
    <phoneticPr fontId="18"/>
  </si>
  <si>
    <t>nsn</t>
  </si>
  <si>
    <t>nsn</t>
    <phoneticPr fontId="18"/>
  </si>
  <si>
    <t>nfb</t>
  </si>
  <si>
    <t>nfb</t>
    <phoneticPr fontId="18"/>
  </si>
  <si>
    <t>neh</t>
  </si>
  <si>
    <t>neh</t>
    <phoneticPr fontId="18"/>
  </si>
  <si>
    <t>shr</t>
  </si>
  <si>
    <t>shr</t>
    <phoneticPr fontId="18"/>
  </si>
  <si>
    <t>nsp</t>
  </si>
  <si>
    <t>nsp</t>
    <phoneticPr fontId="18"/>
  </si>
  <si>
    <t>ftb</t>
  </si>
  <si>
    <t>ftb</t>
    <phoneticPr fontId="18"/>
  </si>
  <si>
    <t>nmr</t>
  </si>
  <si>
    <t>nmr</t>
    <phoneticPr fontId="18"/>
  </si>
  <si>
    <t>mrn</t>
  </si>
  <si>
    <t>mrn</t>
    <phoneticPr fontId="18"/>
  </si>
  <si>
    <t>mkj</t>
  </si>
  <si>
    <t>mkj</t>
    <phoneticPr fontId="18"/>
  </si>
  <si>
    <t>not</t>
  </si>
  <si>
    <t>not</t>
    <phoneticPr fontId="18"/>
  </si>
  <si>
    <t>tmk</t>
  </si>
  <si>
    <t>tmk</t>
    <phoneticPr fontId="18"/>
  </si>
  <si>
    <t>tib</t>
  </si>
  <si>
    <t>tib</t>
    <phoneticPr fontId="18"/>
  </si>
  <si>
    <t>eni</t>
  </si>
  <si>
    <t>eni</t>
    <phoneticPr fontId="18"/>
  </si>
  <si>
    <t>msp</t>
  </si>
  <si>
    <t>msp</t>
    <phoneticPr fontId="18"/>
  </si>
  <si>
    <t>keb</t>
  </si>
  <si>
    <t>keb</t>
    <phoneticPr fontId="18"/>
  </si>
  <si>
    <t>hkt</t>
  </si>
  <si>
    <t>hkt</t>
    <phoneticPr fontId="18"/>
  </si>
  <si>
    <t>oon</t>
  </si>
  <si>
    <t>oon</t>
    <phoneticPr fontId="18"/>
  </si>
  <si>
    <t>ksh</t>
  </si>
  <si>
    <t>ksh</t>
    <phoneticPr fontId="18"/>
  </si>
  <si>
    <t>ary</t>
  </si>
  <si>
    <t>ary</t>
    <phoneticPr fontId="18"/>
  </si>
  <si>
    <t>akw</t>
  </si>
  <si>
    <t>akw</t>
    <phoneticPr fontId="18"/>
  </si>
  <si>
    <t>nny</t>
  </si>
  <si>
    <t>nny</t>
    <phoneticPr fontId="18"/>
  </si>
  <si>
    <t>nas</t>
  </si>
  <si>
    <t>nas</t>
    <phoneticPr fontId="18"/>
  </si>
  <si>
    <t>ntk</t>
  </si>
  <si>
    <t>ntk</t>
    <phoneticPr fontId="18"/>
  </si>
  <si>
    <t>kar</t>
  </si>
  <si>
    <t>kar</t>
    <phoneticPr fontId="18"/>
  </si>
  <si>
    <t>ism</t>
  </si>
  <si>
    <t>ism</t>
    <phoneticPr fontId="18"/>
  </si>
  <si>
    <t>kmm</t>
  </si>
  <si>
    <t>kmm</t>
    <phoneticPr fontId="18"/>
  </si>
  <si>
    <t>nos</t>
  </si>
  <si>
    <t>nos</t>
    <phoneticPr fontId="18"/>
  </si>
  <si>
    <t>umb</t>
  </si>
  <si>
    <t>umb</t>
    <phoneticPr fontId="18"/>
  </si>
  <si>
    <t>hks</t>
  </si>
  <si>
    <t>hks</t>
    <phoneticPr fontId="18"/>
  </si>
  <si>
    <t>nhb</t>
  </si>
  <si>
    <t>nhb</t>
    <phoneticPr fontId="18"/>
  </si>
  <si>
    <t>hkd</t>
  </si>
  <si>
    <t>hkd</t>
    <phoneticPr fontId="18"/>
  </si>
  <si>
    <t>uwk</t>
  </si>
  <si>
    <t>uwk</t>
    <phoneticPr fontId="18"/>
  </si>
  <si>
    <t>iwt</t>
  </si>
  <si>
    <t>iwt</t>
    <phoneticPr fontId="18"/>
  </si>
  <si>
    <t>myg</t>
  </si>
  <si>
    <t>myg</t>
    <phoneticPr fontId="18"/>
  </si>
  <si>
    <t>msm</t>
  </si>
  <si>
    <t>msm</t>
    <phoneticPr fontId="18"/>
  </si>
  <si>
    <t>aom</t>
  </si>
  <si>
    <t>aom</t>
    <phoneticPr fontId="18"/>
  </si>
  <si>
    <t>nsr</t>
  </si>
  <si>
    <t>nsr</t>
    <phoneticPr fontId="18"/>
  </si>
  <si>
    <t>akt</t>
  </si>
  <si>
    <t>akt</t>
    <phoneticPr fontId="18"/>
  </si>
  <si>
    <t>szk</t>
  </si>
  <si>
    <t>szk</t>
    <phoneticPr fontId="18"/>
  </si>
  <si>
    <t>ugo</t>
  </si>
  <si>
    <t>ugo</t>
    <phoneticPr fontId="18"/>
  </si>
  <si>
    <t>mzs</t>
  </si>
  <si>
    <t>mzs</t>
    <phoneticPr fontId="18"/>
  </si>
  <si>
    <t>snj</t>
  </si>
  <si>
    <t>snj</t>
    <phoneticPr fontId="18"/>
  </si>
  <si>
    <t>nyg</t>
  </si>
  <si>
    <t>nyg</t>
    <phoneticPr fontId="18"/>
  </si>
  <si>
    <t>sdi</t>
  </si>
  <si>
    <t>sdi</t>
    <phoneticPr fontId="18"/>
  </si>
  <si>
    <t>hsd</t>
  </si>
  <si>
    <t>hsd</t>
    <phoneticPr fontId="18"/>
  </si>
  <si>
    <t>ecg</t>
  </si>
  <si>
    <t>ecg</t>
    <phoneticPr fontId="18"/>
  </si>
  <si>
    <t>yzw</t>
  </si>
  <si>
    <t>yzw</t>
    <phoneticPr fontId="18"/>
  </si>
  <si>
    <t>fks</t>
  </si>
  <si>
    <t>fks</t>
    <phoneticPr fontId="18"/>
  </si>
  <si>
    <t>kng</t>
  </si>
  <si>
    <t>kng</t>
    <phoneticPr fontId="18"/>
  </si>
  <si>
    <t>ngt</t>
  </si>
  <si>
    <t>ngt</t>
    <phoneticPr fontId="18"/>
  </si>
  <si>
    <t>tye</t>
  </si>
  <si>
    <t>tye</t>
    <phoneticPr fontId="18"/>
  </si>
  <si>
    <t>hnn</t>
  </si>
  <si>
    <t>hnn</t>
    <phoneticPr fontId="18"/>
  </si>
  <si>
    <t>skg</t>
  </si>
  <si>
    <t>skg</t>
    <phoneticPr fontId="18"/>
  </si>
  <si>
    <t>iwk</t>
  </si>
  <si>
    <t>iwk</t>
    <phoneticPr fontId="18"/>
  </si>
  <si>
    <t>sfk</t>
  </si>
  <si>
    <t>sfk</t>
    <phoneticPr fontId="18"/>
  </si>
  <si>
    <t>snn</t>
  </si>
  <si>
    <t>snn</t>
    <phoneticPr fontId="18"/>
  </si>
  <si>
    <t>hje</t>
  </si>
  <si>
    <t>hje</t>
    <phoneticPr fontId="18"/>
  </si>
  <si>
    <t>miw</t>
  </si>
  <si>
    <t>miw</t>
    <phoneticPr fontId="18"/>
  </si>
  <si>
    <t>ibt</t>
  </si>
  <si>
    <t>ibt</t>
    <phoneticPr fontId="18"/>
  </si>
  <si>
    <t>siw</t>
  </si>
  <si>
    <t>siw</t>
    <phoneticPr fontId="18"/>
  </si>
  <si>
    <t>hgm</t>
  </si>
  <si>
    <t>hgm</t>
    <phoneticPr fontId="18"/>
  </si>
  <si>
    <t>sii</t>
  </si>
  <si>
    <t>sii</t>
    <phoneticPr fontId="18"/>
  </si>
  <si>
    <t>smg</t>
  </si>
  <si>
    <t>smg</t>
    <phoneticPr fontId="18"/>
  </si>
  <si>
    <t>stb</t>
  </si>
  <si>
    <t>stb</t>
    <phoneticPr fontId="18"/>
  </si>
  <si>
    <t>stg</t>
  </si>
  <si>
    <t>stg</t>
    <phoneticPr fontId="18"/>
  </si>
  <si>
    <t>nka</t>
  </si>
  <si>
    <t>nka</t>
    <phoneticPr fontId="18"/>
  </si>
  <si>
    <t>sko</t>
  </si>
  <si>
    <t>sko</t>
    <phoneticPr fontId="18"/>
  </si>
  <si>
    <t>shn</t>
  </si>
  <si>
    <t>shn</t>
    <phoneticPr fontId="18"/>
  </si>
  <si>
    <t>sks</t>
  </si>
  <si>
    <t>sks</t>
    <phoneticPr fontId="18"/>
  </si>
  <si>
    <t>bsu</t>
  </si>
  <si>
    <t>bsu</t>
    <phoneticPr fontId="18"/>
  </si>
  <si>
    <t>sky</t>
  </si>
  <si>
    <t>sky</t>
    <phoneticPr fontId="18"/>
  </si>
  <si>
    <t>ssh</t>
  </si>
  <si>
    <t>ssh</t>
    <phoneticPr fontId="18"/>
  </si>
  <si>
    <t>ksm</t>
  </si>
  <si>
    <t>ksm</t>
    <phoneticPr fontId="18"/>
  </si>
  <si>
    <t>snd</t>
  </si>
  <si>
    <t>snd</t>
    <phoneticPr fontId="18"/>
  </si>
  <si>
    <t>ktk</t>
  </si>
  <si>
    <t>ktk</t>
    <phoneticPr fontId="18"/>
  </si>
  <si>
    <t>kkt</t>
  </si>
  <si>
    <t>kkt</t>
    <phoneticPr fontId="18"/>
  </si>
  <si>
    <t>ssd</t>
  </si>
  <si>
    <t>ssd</t>
    <phoneticPr fontId="18"/>
  </si>
  <si>
    <t>ngm</t>
  </si>
  <si>
    <t>ngm</t>
    <phoneticPr fontId="18"/>
  </si>
  <si>
    <t>sob</t>
  </si>
  <si>
    <t>sob</t>
    <phoneticPr fontId="18"/>
  </si>
  <si>
    <t>tmo</t>
  </si>
  <si>
    <t>tmo</t>
    <phoneticPr fontId="18"/>
  </si>
  <si>
    <t>stt</t>
  </si>
  <si>
    <t>stt</t>
    <phoneticPr fontId="18"/>
  </si>
  <si>
    <t>kkm</t>
  </si>
  <si>
    <t>kkm</t>
    <phoneticPr fontId="18"/>
  </si>
  <si>
    <t>ssm</t>
  </si>
  <si>
    <t>ssm</t>
    <phoneticPr fontId="18"/>
  </si>
  <si>
    <t>kfj</t>
  </si>
  <si>
    <t>kfj</t>
    <phoneticPr fontId="18"/>
  </si>
  <si>
    <t>stk</t>
  </si>
  <si>
    <t>stk</t>
    <phoneticPr fontId="18"/>
  </si>
  <si>
    <t>htn</t>
  </si>
  <si>
    <t>htn</t>
    <phoneticPr fontId="18"/>
  </si>
  <si>
    <t>ksg</t>
  </si>
  <si>
    <t>ksg</t>
    <phoneticPr fontId="18"/>
  </si>
  <si>
    <t>stm</t>
  </si>
  <si>
    <t>stm</t>
    <phoneticPr fontId="18"/>
  </si>
  <si>
    <t>oum</t>
  </si>
  <si>
    <t>oum</t>
    <phoneticPr fontId="18"/>
  </si>
  <si>
    <t>kbk</t>
  </si>
  <si>
    <t>kbk</t>
    <phoneticPr fontId="18"/>
  </si>
  <si>
    <t>ktm</t>
  </si>
  <si>
    <t>ktm</t>
    <phoneticPr fontId="18"/>
  </si>
  <si>
    <t>hsh</t>
  </si>
  <si>
    <t>hsh</t>
    <phoneticPr fontId="18"/>
  </si>
  <si>
    <t>shi</t>
  </si>
  <si>
    <t>shi</t>
    <phoneticPr fontId="18"/>
  </si>
  <si>
    <t>jyo</t>
  </si>
  <si>
    <t>jyo</t>
    <phoneticPr fontId="18"/>
  </si>
  <si>
    <t>tam</t>
  </si>
  <si>
    <t>tam</t>
    <phoneticPr fontId="18"/>
  </si>
  <si>
    <t>keh</t>
  </si>
  <si>
    <t>keh</t>
    <phoneticPr fontId="18"/>
  </si>
  <si>
    <t>nyo</t>
  </si>
  <si>
    <t>nyo</t>
    <phoneticPr fontId="18"/>
  </si>
  <si>
    <t>mks</t>
  </si>
  <si>
    <t>mks</t>
    <phoneticPr fontId="18"/>
  </si>
  <si>
    <t>ikg</t>
  </si>
  <si>
    <t>ikg</t>
    <phoneticPr fontId="18"/>
  </si>
  <si>
    <t>nto</t>
  </si>
  <si>
    <t>nto</t>
    <phoneticPr fontId="18"/>
  </si>
  <si>
    <t>mhy</t>
  </si>
  <si>
    <t>mhy</t>
    <phoneticPr fontId="18"/>
  </si>
  <si>
    <t>niz</t>
  </si>
  <si>
    <t>niz</t>
    <phoneticPr fontId="18"/>
  </si>
  <si>
    <t>ner</t>
  </si>
  <si>
    <t>ner</t>
    <phoneticPr fontId="18"/>
  </si>
  <si>
    <t>tos</t>
  </si>
  <si>
    <t>tos</t>
    <phoneticPr fontId="18"/>
  </si>
  <si>
    <t>sui</t>
  </si>
  <si>
    <t>sui</t>
    <phoneticPr fontId="18"/>
  </si>
  <si>
    <t>mkw</t>
  </si>
  <si>
    <t>mkw</t>
    <phoneticPr fontId="18"/>
  </si>
  <si>
    <t>kmo</t>
  </si>
  <si>
    <t>kmo</t>
    <phoneticPr fontId="18"/>
  </si>
  <si>
    <t>kyn</t>
  </si>
  <si>
    <t>kyn</t>
    <phoneticPr fontId="18"/>
  </si>
  <si>
    <t>neg</t>
  </si>
  <si>
    <t>neg</t>
    <phoneticPr fontId="18"/>
  </si>
  <si>
    <t>khi</t>
  </si>
  <si>
    <t>khi</t>
    <phoneticPr fontId="18"/>
  </si>
  <si>
    <t>hgu</t>
  </si>
  <si>
    <t>hgu</t>
    <phoneticPr fontId="18"/>
  </si>
  <si>
    <t>tkn</t>
  </si>
  <si>
    <t>tkn</t>
    <phoneticPr fontId="18"/>
  </si>
  <si>
    <t>tkw</t>
  </si>
  <si>
    <t>tkw</t>
    <phoneticPr fontId="18"/>
  </si>
  <si>
    <t>uen</t>
  </si>
  <si>
    <t>uen</t>
    <phoneticPr fontId="18"/>
  </si>
  <si>
    <t>edb</t>
  </si>
  <si>
    <t>edb</t>
    <phoneticPr fontId="18"/>
  </si>
  <si>
    <t>sts</t>
  </si>
  <si>
    <t>sts</t>
    <phoneticPr fontId="18"/>
  </si>
  <si>
    <t>kto</t>
  </si>
  <si>
    <t>kto</t>
    <phoneticPr fontId="18"/>
  </si>
  <si>
    <t>kts</t>
  </si>
  <si>
    <t>kts</t>
    <phoneticPr fontId="18"/>
  </si>
  <si>
    <t>set</t>
  </si>
  <si>
    <t>set</t>
    <phoneticPr fontId="18"/>
  </si>
  <si>
    <t>荏田変電所</t>
    <phoneticPr fontId="18"/>
  </si>
  <si>
    <t>eda</t>
  </si>
  <si>
    <t>eda</t>
    <phoneticPr fontId="18"/>
  </si>
  <si>
    <t>tky</t>
  </si>
  <si>
    <t>tky</t>
    <phoneticPr fontId="18"/>
  </si>
  <si>
    <t>stz</t>
  </si>
  <si>
    <t>stz</t>
    <phoneticPr fontId="18"/>
  </si>
  <si>
    <t>ktu</t>
  </si>
  <si>
    <t>ktu</t>
    <phoneticPr fontId="18"/>
  </si>
  <si>
    <t>ssi</t>
  </si>
  <si>
    <t>ssi</t>
    <phoneticPr fontId="18"/>
  </si>
  <si>
    <t>mie</t>
  </si>
  <si>
    <t>mie</t>
    <phoneticPr fontId="18"/>
  </si>
  <si>
    <t>gif</t>
  </si>
  <si>
    <t>gif</t>
    <phoneticPr fontId="18"/>
  </si>
  <si>
    <t>nsb</t>
  </si>
  <si>
    <t>nsb</t>
    <phoneticPr fontId="18"/>
  </si>
  <si>
    <t>ktb</t>
  </si>
  <si>
    <t>ktb</t>
    <phoneticPr fontId="18"/>
  </si>
  <si>
    <t>aic</t>
  </si>
  <si>
    <t>aic</t>
    <phoneticPr fontId="18"/>
  </si>
  <si>
    <t>tub</t>
  </si>
  <si>
    <t>tub</t>
    <phoneticPr fontId="18"/>
  </si>
  <si>
    <t>mfm</t>
  </si>
  <si>
    <t>mfm</t>
    <phoneticPr fontId="18"/>
  </si>
  <si>
    <t>tyn</t>
  </si>
  <si>
    <t>tyn</t>
    <phoneticPr fontId="18"/>
  </si>
  <si>
    <t>hse</t>
  </si>
  <si>
    <t>hse</t>
    <phoneticPr fontId="18"/>
  </si>
  <si>
    <t>ssg</t>
  </si>
  <si>
    <t>ssg</t>
    <phoneticPr fontId="18"/>
  </si>
  <si>
    <t>nns</t>
  </si>
  <si>
    <t>nns</t>
    <phoneticPr fontId="18"/>
  </si>
  <si>
    <t>sne</t>
  </si>
  <si>
    <t>sne</t>
    <phoneticPr fontId="18"/>
  </si>
  <si>
    <t>szo</t>
  </si>
  <si>
    <t>szo</t>
    <phoneticPr fontId="18"/>
  </si>
  <si>
    <t>ise</t>
  </si>
  <si>
    <t>ise</t>
    <phoneticPr fontId="18"/>
  </si>
  <si>
    <t>mis</t>
  </si>
  <si>
    <t>mis</t>
    <phoneticPr fontId="18"/>
  </si>
  <si>
    <t>nks</t>
  </si>
  <si>
    <t>nks</t>
    <phoneticPr fontId="18"/>
  </si>
  <si>
    <t>mta</t>
  </si>
  <si>
    <t>mta</t>
    <phoneticPr fontId="18"/>
  </si>
  <si>
    <t>nng</t>
  </si>
  <si>
    <t>nng</t>
    <phoneticPr fontId="18"/>
  </si>
  <si>
    <t>kym</t>
  </si>
  <si>
    <t>kym</t>
    <phoneticPr fontId="18"/>
  </si>
  <si>
    <t>now</t>
  </si>
  <si>
    <t>now</t>
    <phoneticPr fontId="18"/>
  </si>
  <si>
    <t>kge</t>
  </si>
  <si>
    <t>kge</t>
    <phoneticPr fontId="18"/>
  </si>
  <si>
    <t>kib</t>
  </si>
  <si>
    <t>kib</t>
    <phoneticPr fontId="18"/>
  </si>
  <si>
    <t>gyu</t>
  </si>
  <si>
    <t>gyu</t>
    <phoneticPr fontId="18"/>
  </si>
  <si>
    <t>mjy</t>
  </si>
  <si>
    <t>mjy</t>
    <phoneticPr fontId="18"/>
  </si>
  <si>
    <t>mge</t>
  </si>
  <si>
    <t>mge</t>
    <phoneticPr fontId="18"/>
  </si>
  <si>
    <t>nkn</t>
  </si>
  <si>
    <t>nkn</t>
    <phoneticPr fontId="18"/>
  </si>
  <si>
    <t>iym</t>
  </si>
  <si>
    <t>iym</t>
    <phoneticPr fontId="18"/>
  </si>
  <si>
    <t>ums</t>
  </si>
  <si>
    <t>ums</t>
    <phoneticPr fontId="18"/>
  </si>
  <si>
    <t>uma</t>
  </si>
  <si>
    <t>uma</t>
    <phoneticPr fontId="18"/>
  </si>
  <si>
    <t>tsn</t>
  </si>
  <si>
    <t>tsn</t>
    <phoneticPr fontId="18"/>
  </si>
  <si>
    <t>sku</t>
  </si>
  <si>
    <t>sku</t>
    <phoneticPr fontId="18"/>
  </si>
  <si>
    <t>den</t>
  </si>
  <si>
    <t>den</t>
    <phoneticPr fontId="18"/>
  </si>
  <si>
    <t>kty</t>
  </si>
  <si>
    <t>kty</t>
    <phoneticPr fontId="18"/>
  </si>
  <si>
    <t>tur</t>
  </si>
  <si>
    <t>tur</t>
    <phoneticPr fontId="18"/>
  </si>
  <si>
    <t>hng</t>
  </si>
  <si>
    <t>hng</t>
    <phoneticPr fontId="18"/>
  </si>
  <si>
    <t>tta</t>
  </si>
  <si>
    <t>tta</t>
    <phoneticPr fontId="18"/>
  </si>
  <si>
    <t>ume</t>
  </si>
  <si>
    <t>ume</t>
    <phoneticPr fontId="18"/>
  </si>
  <si>
    <t>mhm</t>
  </si>
  <si>
    <t>mhm</t>
    <phoneticPr fontId="18"/>
  </si>
  <si>
    <t>tka</t>
  </si>
  <si>
    <t>tka</t>
    <phoneticPr fontId="18"/>
  </si>
  <si>
    <t>tin</t>
  </si>
  <si>
    <t>tin</t>
    <phoneticPr fontId="18"/>
  </si>
  <si>
    <t>skf</t>
  </si>
  <si>
    <t>skf</t>
    <phoneticPr fontId="18"/>
  </si>
  <si>
    <t>kwn</t>
  </si>
  <si>
    <t>kwn</t>
    <phoneticPr fontId="18"/>
  </si>
  <si>
    <t>hna</t>
  </si>
  <si>
    <t>hna</t>
    <phoneticPr fontId="18"/>
  </si>
  <si>
    <t>htd</t>
  </si>
  <si>
    <t>htd</t>
    <phoneticPr fontId="18"/>
  </si>
  <si>
    <t>kou</t>
  </si>
  <si>
    <t>kou</t>
    <phoneticPr fontId="18"/>
  </si>
  <si>
    <t>knn</t>
  </si>
  <si>
    <t>knn</t>
    <phoneticPr fontId="18"/>
  </si>
  <si>
    <t>kns</t>
  </si>
  <si>
    <t>kns</t>
    <phoneticPr fontId="18"/>
  </si>
  <si>
    <t>thr</t>
  </si>
  <si>
    <t>thr</t>
    <phoneticPr fontId="18"/>
  </si>
  <si>
    <t>toe</t>
  </si>
  <si>
    <t>toe</t>
    <phoneticPr fontId="18"/>
  </si>
  <si>
    <t>hmo</t>
  </si>
  <si>
    <t>hmo</t>
    <phoneticPr fontId="18"/>
  </si>
  <si>
    <t>ssk</t>
  </si>
  <si>
    <t>ssk</t>
    <phoneticPr fontId="18"/>
  </si>
  <si>
    <t>srg</t>
  </si>
  <si>
    <t>srg</t>
    <phoneticPr fontId="18"/>
  </si>
  <si>
    <t>his</t>
  </si>
  <si>
    <t>his</t>
    <phoneticPr fontId="18"/>
  </si>
  <si>
    <t>szh</t>
  </si>
  <si>
    <t>szh</t>
    <phoneticPr fontId="18"/>
  </si>
  <si>
    <t>szn</t>
  </si>
  <si>
    <t>szn</t>
    <phoneticPr fontId="18"/>
  </si>
  <si>
    <t>hid</t>
  </si>
  <si>
    <t>hid</t>
    <phoneticPr fontId="18"/>
  </si>
  <si>
    <t>ech</t>
  </si>
  <si>
    <t>ech</t>
    <phoneticPr fontId="18"/>
  </si>
  <si>
    <t>kga</t>
  </si>
  <si>
    <t>kga</t>
    <phoneticPr fontId="18"/>
  </si>
  <si>
    <t>nnt</t>
  </si>
  <si>
    <t>nnt</t>
    <phoneticPr fontId="18"/>
  </si>
  <si>
    <t>hkn</t>
  </si>
  <si>
    <t>hkn</t>
    <phoneticPr fontId="18"/>
  </si>
  <si>
    <t>jbt</t>
  </si>
  <si>
    <t>jbt</t>
    <phoneticPr fontId="18"/>
  </si>
  <si>
    <t>sty</t>
  </si>
  <si>
    <t>sty</t>
    <phoneticPr fontId="18"/>
  </si>
  <si>
    <t>nnj</t>
  </si>
  <si>
    <t>nnj</t>
    <phoneticPr fontId="18"/>
  </si>
  <si>
    <t>ing</t>
  </si>
  <si>
    <t>ing</t>
    <phoneticPr fontId="18"/>
  </si>
  <si>
    <t>nkt</t>
  </si>
  <si>
    <t>nkt</t>
    <phoneticPr fontId="18"/>
  </si>
  <si>
    <t>nse</t>
  </si>
  <si>
    <t>nse</t>
    <phoneticPr fontId="18"/>
  </si>
  <si>
    <t>ikm</t>
  </si>
  <si>
    <t>ikm</t>
    <phoneticPr fontId="18"/>
  </si>
  <si>
    <t>hom</t>
  </si>
  <si>
    <t>hom</t>
    <phoneticPr fontId="18"/>
  </si>
  <si>
    <t>mky</t>
  </si>
  <si>
    <t>mky</t>
    <phoneticPr fontId="18"/>
  </si>
  <si>
    <t>yzk</t>
  </si>
  <si>
    <t>yzk</t>
    <phoneticPr fontId="18"/>
  </si>
  <si>
    <t>okc</t>
  </si>
  <si>
    <t>okc</t>
    <phoneticPr fontId="18"/>
  </si>
  <si>
    <t>ayb</t>
  </si>
  <si>
    <t>ayb</t>
    <phoneticPr fontId="18"/>
  </si>
  <si>
    <t>ryn</t>
  </si>
  <si>
    <t>ryn</t>
    <phoneticPr fontId="18"/>
  </si>
  <si>
    <t>ymt</t>
  </si>
  <si>
    <t>ymt</t>
    <phoneticPr fontId="18"/>
  </si>
  <si>
    <t>kya</t>
  </si>
  <si>
    <t>kya</t>
    <phoneticPr fontId="18"/>
  </si>
  <si>
    <t>sgi</t>
  </si>
  <si>
    <t>sgi</t>
    <phoneticPr fontId="18"/>
  </si>
  <si>
    <t>hmj</t>
  </si>
  <si>
    <t>hmj</t>
    <phoneticPr fontId="18"/>
  </si>
  <si>
    <t>kub</t>
  </si>
  <si>
    <t>kub</t>
    <phoneticPr fontId="18"/>
  </si>
  <si>
    <t>ksi</t>
  </si>
  <si>
    <t>ksi</t>
    <phoneticPr fontId="18"/>
  </si>
  <si>
    <t>nkb</t>
  </si>
  <si>
    <t>nkb</t>
    <phoneticPr fontId="18"/>
  </si>
  <si>
    <t>kkg</t>
  </si>
  <si>
    <t>kkg</t>
    <phoneticPr fontId="18"/>
  </si>
  <si>
    <t>itn</t>
  </si>
  <si>
    <t>itn</t>
    <phoneticPr fontId="18"/>
  </si>
  <si>
    <t>tkr</t>
  </si>
  <si>
    <t>tkr</t>
    <phoneticPr fontId="18"/>
  </si>
  <si>
    <t>oos</t>
  </si>
  <si>
    <t>oos</t>
    <phoneticPr fontId="18"/>
  </si>
  <si>
    <t>kos</t>
  </si>
  <si>
    <t>kos</t>
    <phoneticPr fontId="18"/>
  </si>
  <si>
    <t>ost</t>
  </si>
  <si>
    <t>ost</t>
    <phoneticPr fontId="18"/>
  </si>
  <si>
    <t>ydg</t>
  </si>
  <si>
    <t>ydg</t>
    <phoneticPr fontId="18"/>
  </si>
  <si>
    <t>ksy</t>
  </si>
  <si>
    <t>ksy</t>
    <phoneticPr fontId="18"/>
  </si>
  <si>
    <t>khg</t>
  </si>
  <si>
    <t>khg</t>
    <phoneticPr fontId="18"/>
  </si>
  <si>
    <t>kog</t>
  </si>
  <si>
    <t>kog</t>
    <phoneticPr fontId="18"/>
  </si>
  <si>
    <t>mai</t>
  </si>
  <si>
    <t>mai</t>
    <phoneticPr fontId="18"/>
  </si>
  <si>
    <t>mkt</t>
  </si>
  <si>
    <t>mkt</t>
    <phoneticPr fontId="18"/>
  </si>
  <si>
    <t>hos</t>
  </si>
  <si>
    <t>hos</t>
    <phoneticPr fontId="18"/>
  </si>
  <si>
    <t>mku</t>
  </si>
  <si>
    <t>mku</t>
    <phoneticPr fontId="18"/>
  </si>
  <si>
    <t>moo</t>
  </si>
  <si>
    <t>moo</t>
    <phoneticPr fontId="18"/>
  </si>
  <si>
    <t>kzn</t>
  </si>
  <si>
    <t>kzn</t>
    <phoneticPr fontId="18"/>
  </si>
  <si>
    <t>knk</t>
  </si>
  <si>
    <t>knk</t>
    <phoneticPr fontId="18"/>
  </si>
  <si>
    <t>osb</t>
  </si>
  <si>
    <t>osb</t>
    <phoneticPr fontId="18"/>
  </si>
  <si>
    <t>tuy</t>
  </si>
  <si>
    <t>tuy</t>
    <phoneticPr fontId="18"/>
  </si>
  <si>
    <t>kuc</t>
  </si>
  <si>
    <t>kuc</t>
    <phoneticPr fontId="18"/>
  </si>
  <si>
    <t>snk</t>
  </si>
  <si>
    <t>snk</t>
    <phoneticPr fontId="18"/>
  </si>
  <si>
    <t>awa</t>
  </si>
  <si>
    <t>awa</t>
    <phoneticPr fontId="18"/>
  </si>
  <si>
    <t>ana</t>
  </si>
  <si>
    <t>ana</t>
    <phoneticPr fontId="18"/>
  </si>
  <si>
    <t>hir</t>
  </si>
  <si>
    <t>hir</t>
    <phoneticPr fontId="18"/>
  </si>
  <si>
    <t>mty</t>
  </si>
  <si>
    <t>mty</t>
    <phoneticPr fontId="18"/>
  </si>
  <si>
    <t>kmt</t>
  </si>
  <si>
    <t>kmt</t>
    <phoneticPr fontId="18"/>
  </si>
  <si>
    <t>hkw</t>
  </si>
  <si>
    <t>hkw</t>
    <phoneticPr fontId="18"/>
  </si>
  <si>
    <t>ska</t>
  </si>
  <si>
    <t>ska</t>
    <phoneticPr fontId="18"/>
  </si>
  <si>
    <t>ikw</t>
  </si>
  <si>
    <t>ikw</t>
    <phoneticPr fontId="18"/>
  </si>
  <si>
    <t>kgw</t>
  </si>
  <si>
    <t>kgw</t>
    <phoneticPr fontId="18"/>
  </si>
  <si>
    <t>asa</t>
  </si>
  <si>
    <t>asa</t>
    <phoneticPr fontId="18"/>
  </si>
  <si>
    <t>tak</t>
  </si>
  <si>
    <t>tak</t>
    <phoneticPr fontId="18"/>
  </si>
  <si>
    <t>nrt</t>
  </si>
  <si>
    <t>nrt</t>
    <phoneticPr fontId="18"/>
  </si>
  <si>
    <t>ook</t>
  </si>
  <si>
    <t>ook</t>
    <phoneticPr fontId="18"/>
  </si>
  <si>
    <t>kun</t>
  </si>
  <si>
    <t>kun</t>
    <phoneticPr fontId="18"/>
  </si>
  <si>
    <t>sym</t>
  </si>
  <si>
    <t>sym</t>
    <phoneticPr fontId="18"/>
  </si>
  <si>
    <t>ssn</t>
  </si>
  <si>
    <t>ssn</t>
    <phoneticPr fontId="18"/>
  </si>
  <si>
    <t>hno</t>
  </si>
  <si>
    <t>hno</t>
    <phoneticPr fontId="18"/>
  </si>
  <si>
    <t>cht</t>
  </si>
  <si>
    <t>cht</t>
    <phoneticPr fontId="18"/>
  </si>
  <si>
    <t>ymg</t>
  </si>
  <si>
    <t>ymg</t>
    <phoneticPr fontId="18"/>
  </si>
  <si>
    <t>hsm</t>
  </si>
  <si>
    <t>hsm</t>
    <phoneticPr fontId="18"/>
  </si>
  <si>
    <t>shm</t>
  </si>
  <si>
    <t>shm</t>
    <phoneticPr fontId="18"/>
  </si>
  <si>
    <t>sok</t>
  </si>
  <si>
    <t>sok</t>
    <phoneticPr fontId="18"/>
  </si>
  <si>
    <t>hok</t>
  </si>
  <si>
    <t>hok</t>
    <phoneticPr fontId="18"/>
  </si>
  <si>
    <t>kme</t>
  </si>
  <si>
    <t>kme</t>
    <phoneticPr fontId="18"/>
  </si>
  <si>
    <t>hty</t>
  </si>
  <si>
    <t>hty</t>
    <phoneticPr fontId="18"/>
  </si>
  <si>
    <t>tkg</t>
  </si>
  <si>
    <t>tkg</t>
    <phoneticPr fontId="18"/>
  </si>
  <si>
    <t>hrs</t>
  </si>
  <si>
    <t>hrs</t>
    <phoneticPr fontId="18"/>
  </si>
  <si>
    <t>krs</t>
  </si>
  <si>
    <t>krs</t>
    <phoneticPr fontId="18"/>
  </si>
  <si>
    <t>onm</t>
  </si>
  <si>
    <t>onm</t>
    <phoneticPr fontId="18"/>
  </si>
  <si>
    <t>ihr</t>
  </si>
  <si>
    <t>ihr</t>
    <phoneticPr fontId="18"/>
  </si>
  <si>
    <t>kso</t>
  </si>
  <si>
    <t>kso</t>
    <phoneticPr fontId="18"/>
  </si>
  <si>
    <t>ksk</t>
  </si>
  <si>
    <t>ksk</t>
    <phoneticPr fontId="18"/>
  </si>
  <si>
    <t>okm</t>
  </si>
  <si>
    <t>okm</t>
    <phoneticPr fontId="18"/>
  </si>
  <si>
    <t>mte</t>
  </si>
  <si>
    <t>mte</t>
    <phoneticPr fontId="18"/>
  </si>
  <si>
    <t>ttr</t>
  </si>
  <si>
    <t>ttr</t>
    <phoneticPr fontId="18"/>
  </si>
  <si>
    <t>ygc</t>
  </si>
  <si>
    <t>ygc</t>
    <phoneticPr fontId="18"/>
  </si>
  <si>
    <t>sni</t>
  </si>
  <si>
    <t>sni</t>
    <phoneticPr fontId="18"/>
  </si>
  <si>
    <t>hhi</t>
  </si>
  <si>
    <t>hhi</t>
    <phoneticPr fontId="18"/>
  </si>
  <si>
    <t>oky</t>
  </si>
  <si>
    <t>oky</t>
    <phoneticPr fontId="18"/>
  </si>
  <si>
    <t>脊振変電所</t>
    <phoneticPr fontId="18"/>
  </si>
  <si>
    <t>sfr</t>
  </si>
  <si>
    <t>sfr</t>
    <phoneticPr fontId="18"/>
  </si>
  <si>
    <t>kky</t>
  </si>
  <si>
    <t>kky</t>
    <phoneticPr fontId="18"/>
  </si>
  <si>
    <t>tme</t>
  </si>
  <si>
    <t>tme</t>
    <phoneticPr fontId="18"/>
  </si>
  <si>
    <t>cho</t>
  </si>
  <si>
    <t>cho</t>
    <phoneticPr fontId="18"/>
  </si>
  <si>
    <t>hky</t>
  </si>
  <si>
    <t>hky</t>
    <phoneticPr fontId="18"/>
  </si>
  <si>
    <t>ksu</t>
  </si>
  <si>
    <t>ksu</t>
    <phoneticPr fontId="18"/>
  </si>
  <si>
    <t>myz</t>
  </si>
  <si>
    <t>myz</t>
    <phoneticPr fontId="18"/>
  </si>
  <si>
    <t>nsy</t>
  </si>
  <si>
    <t>nsy</t>
    <phoneticPr fontId="18"/>
  </si>
  <si>
    <t>槻田開閉所</t>
    <phoneticPr fontId="18"/>
  </si>
  <si>
    <t>tkd</t>
  </si>
  <si>
    <t>tkd</t>
    <phoneticPr fontId="18"/>
  </si>
  <si>
    <t>上津役変電所</t>
    <phoneticPr fontId="18"/>
  </si>
  <si>
    <t>uty</t>
  </si>
  <si>
    <t>uty</t>
    <phoneticPr fontId="18"/>
  </si>
  <si>
    <t>門司変電所</t>
    <phoneticPr fontId="18"/>
  </si>
  <si>
    <t>mje</t>
  </si>
  <si>
    <t>mje</t>
    <phoneticPr fontId="18"/>
  </si>
  <si>
    <t>苅田変電所</t>
    <phoneticPr fontId="18"/>
  </si>
  <si>
    <t>knd</t>
  </si>
  <si>
    <t>knd</t>
    <phoneticPr fontId="18"/>
  </si>
  <si>
    <t>tsu</t>
  </si>
  <si>
    <t>tsu</t>
    <phoneticPr fontId="18"/>
  </si>
  <si>
    <t>noi</t>
  </si>
  <si>
    <t>noi</t>
    <phoneticPr fontId="18"/>
  </si>
  <si>
    <t>ooi</t>
  </si>
  <si>
    <t>ooi</t>
    <phoneticPr fontId="18"/>
  </si>
  <si>
    <t>hoi</t>
  </si>
  <si>
    <t>hoi</t>
    <phoneticPr fontId="18"/>
  </si>
  <si>
    <t>fko</t>
  </si>
  <si>
    <t>fko</t>
    <phoneticPr fontId="18"/>
  </si>
  <si>
    <t>筑豊変電所</t>
    <phoneticPr fontId="18"/>
  </si>
  <si>
    <t>tkh</t>
  </si>
  <si>
    <t>tkh</t>
    <phoneticPr fontId="18"/>
  </si>
  <si>
    <t>sys</t>
  </si>
  <si>
    <t>sys</t>
    <phoneticPr fontId="18"/>
  </si>
  <si>
    <t>tko</t>
  </si>
  <si>
    <t>tko</t>
    <phoneticPr fontId="18"/>
  </si>
  <si>
    <t>ssb</t>
  </si>
  <si>
    <t>ssb</t>
    <phoneticPr fontId="18"/>
  </si>
  <si>
    <t>ngs</t>
  </si>
  <si>
    <t>ngs</t>
    <phoneticPr fontId="18"/>
  </si>
  <si>
    <t>iba</t>
  </si>
  <si>
    <t>iba</t>
    <phoneticPr fontId="18"/>
  </si>
  <si>
    <t>tsr</t>
  </si>
  <si>
    <t>tsr</t>
    <phoneticPr fontId="18"/>
  </si>
  <si>
    <t>mkm</t>
  </si>
  <si>
    <t>mkm</t>
    <phoneticPr fontId="18"/>
  </si>
  <si>
    <t>hta</t>
  </si>
  <si>
    <t>hta</t>
    <phoneticPr fontId="18"/>
  </si>
  <si>
    <t>ysr</t>
  </si>
  <si>
    <t>ysr</t>
    <phoneticPr fontId="18"/>
  </si>
  <si>
    <t>kgs</t>
  </si>
  <si>
    <t>kgs</t>
    <phoneticPr fontId="18"/>
  </si>
  <si>
    <t>tsi</t>
  </si>
  <si>
    <t>tsi</t>
    <phoneticPr fontId="18"/>
  </si>
  <si>
    <t>mmi</t>
  </si>
  <si>
    <t>mmi</t>
    <phoneticPr fontId="18"/>
  </si>
  <si>
    <t>krm</t>
  </si>
  <si>
    <t>krm</t>
    <phoneticPr fontId="18"/>
  </si>
  <si>
    <t>sag</t>
  </si>
  <si>
    <t>sag</t>
    <phoneticPr fontId="18"/>
  </si>
  <si>
    <t>hay</t>
  </si>
  <si>
    <t>hay</t>
    <phoneticPr fontId="18"/>
  </si>
  <si>
    <t>ito</t>
  </si>
  <si>
    <t>ito</t>
    <phoneticPr fontId="18"/>
  </si>
  <si>
    <t>ymi</t>
  </si>
  <si>
    <t>ymi</t>
    <phoneticPr fontId="18"/>
  </si>
  <si>
    <t>nno</t>
  </si>
  <si>
    <t>nno</t>
    <phoneticPr fontId="18"/>
  </si>
  <si>
    <t>篠路変電所</t>
    <phoneticPr fontId="18"/>
  </si>
  <si>
    <t>sno</t>
  </si>
  <si>
    <t>sno</t>
    <phoneticPr fontId="18"/>
  </si>
  <si>
    <t>北七飯変電所</t>
    <phoneticPr fontId="18"/>
  </si>
  <si>
    <t>nne</t>
  </si>
  <si>
    <t>nne</t>
    <phoneticPr fontId="18"/>
  </si>
  <si>
    <t>ntw</t>
  </si>
  <si>
    <t>ntw</t>
    <phoneticPr fontId="18"/>
  </si>
  <si>
    <t>isz</t>
  </si>
  <si>
    <t>isz</t>
    <phoneticPr fontId="18"/>
  </si>
  <si>
    <t>kum</t>
  </si>
  <si>
    <t>kum</t>
    <phoneticPr fontId="18"/>
  </si>
  <si>
    <t>hkr</t>
  </si>
  <si>
    <t>hkr</t>
    <phoneticPr fontId="18"/>
  </si>
  <si>
    <t>nsd</t>
  </si>
  <si>
    <t>nsd</t>
    <phoneticPr fontId="18"/>
  </si>
  <si>
    <t>sma</t>
  </si>
  <si>
    <t>sma</t>
    <phoneticPr fontId="18"/>
  </si>
  <si>
    <t>nya</t>
  </si>
  <si>
    <t>nya</t>
    <phoneticPr fontId="18"/>
  </si>
  <si>
    <t>kni</t>
  </si>
  <si>
    <t>kni</t>
    <phoneticPr fontId="18"/>
  </si>
  <si>
    <t>sfu</t>
  </si>
  <si>
    <t>sfu</t>
    <phoneticPr fontId="18"/>
  </si>
  <si>
    <t>sng</t>
  </si>
  <si>
    <t>sng</t>
    <phoneticPr fontId="18"/>
  </si>
  <si>
    <t>sar</t>
  </si>
  <si>
    <t>sar</t>
    <phoneticPr fontId="18"/>
  </si>
  <si>
    <t>ksz</t>
  </si>
  <si>
    <t>ksz</t>
    <phoneticPr fontId="18"/>
  </si>
  <si>
    <t>kta</t>
  </si>
  <si>
    <t>kta</t>
    <phoneticPr fontId="18"/>
  </si>
  <si>
    <t>han</t>
  </si>
  <si>
    <t>han</t>
    <phoneticPr fontId="18"/>
  </si>
  <si>
    <t>kbo</t>
  </si>
  <si>
    <t>kbo</t>
    <phoneticPr fontId="18"/>
  </si>
  <si>
    <t>kws</t>
  </si>
  <si>
    <t>kws</t>
    <phoneticPr fontId="18"/>
  </si>
  <si>
    <t>kwg</t>
  </si>
  <si>
    <t>kwg</t>
    <phoneticPr fontId="18"/>
  </si>
  <si>
    <t>kot</t>
  </si>
  <si>
    <t>kot</t>
    <phoneticPr fontId="18"/>
  </si>
  <si>
    <t>ktn</t>
  </si>
  <si>
    <t>ktn</t>
    <phoneticPr fontId="18"/>
  </si>
  <si>
    <t>sgy</t>
  </si>
  <si>
    <t>sgy</t>
    <phoneticPr fontId="18"/>
  </si>
  <si>
    <t>fkm</t>
  </si>
  <si>
    <t>fkm</t>
    <phoneticPr fontId="18"/>
  </si>
  <si>
    <t>szu</t>
  </si>
  <si>
    <t>szu</t>
    <phoneticPr fontId="18"/>
  </si>
  <si>
    <t>nak</t>
  </si>
  <si>
    <t>nak</t>
    <phoneticPr fontId="18"/>
  </si>
  <si>
    <t>kam</t>
  </si>
  <si>
    <t>kam</t>
    <phoneticPr fontId="18"/>
  </si>
  <si>
    <t>tke</t>
  </si>
  <si>
    <t>tke</t>
    <phoneticPr fontId="18"/>
  </si>
  <si>
    <t>tyt</t>
  </si>
  <si>
    <t>tyt</t>
    <phoneticPr fontId="18"/>
  </si>
  <si>
    <t>kna</t>
  </si>
  <si>
    <t>kna</t>
    <phoneticPr fontId="18"/>
  </si>
  <si>
    <t>sto</t>
  </si>
  <si>
    <t>sto</t>
    <phoneticPr fontId="18"/>
  </si>
  <si>
    <t>nba</t>
  </si>
  <si>
    <t>nba</t>
    <phoneticPr fontId="18"/>
  </si>
  <si>
    <t>kki</t>
  </si>
  <si>
    <t>kki</t>
    <phoneticPr fontId="18"/>
  </si>
  <si>
    <t>ktg</t>
  </si>
  <si>
    <t>ktg</t>
    <phoneticPr fontId="18"/>
  </si>
  <si>
    <t>kbe</t>
  </si>
  <si>
    <t>kbe</t>
    <phoneticPr fontId="18"/>
  </si>
  <si>
    <t>osu</t>
  </si>
  <si>
    <t>osu</t>
    <phoneticPr fontId="18"/>
  </si>
  <si>
    <t>noa</t>
  </si>
  <si>
    <t>noa</t>
    <phoneticPr fontId="18"/>
  </si>
  <si>
    <t>kse</t>
  </si>
  <si>
    <t>kse</t>
    <phoneticPr fontId="18"/>
  </si>
  <si>
    <t>kon</t>
  </si>
  <si>
    <t>kon</t>
    <phoneticPr fontId="18"/>
  </si>
  <si>
    <t>kwu</t>
  </si>
  <si>
    <t>kwu</t>
    <phoneticPr fontId="18"/>
  </si>
  <si>
    <t>san</t>
  </si>
  <si>
    <t>san</t>
    <phoneticPr fontId="18"/>
  </si>
  <si>
    <t>njo</t>
  </si>
  <si>
    <t>njo</t>
    <phoneticPr fontId="18"/>
  </si>
  <si>
    <t>hmg</t>
  </si>
  <si>
    <t>hmg</t>
    <phoneticPr fontId="18"/>
  </si>
  <si>
    <t>shs</t>
  </si>
  <si>
    <t>shs</t>
    <phoneticPr fontId="18"/>
  </si>
  <si>
    <t>mya</t>
  </si>
  <si>
    <t>mya</t>
    <phoneticPr fontId="18"/>
  </si>
  <si>
    <t>hto</t>
  </si>
  <si>
    <t>hto</t>
    <phoneticPr fontId="18"/>
  </si>
  <si>
    <t>kus</t>
  </si>
  <si>
    <t>kus</t>
    <phoneticPr fontId="18"/>
  </si>
  <si>
    <t>sin</t>
  </si>
  <si>
    <t>sin</t>
    <phoneticPr fontId="18"/>
  </si>
  <si>
    <t>mfk</t>
  </si>
  <si>
    <t>mfk</t>
    <phoneticPr fontId="18"/>
  </si>
  <si>
    <t>ksa</t>
  </si>
  <si>
    <t>ksa</t>
    <phoneticPr fontId="18"/>
  </si>
  <si>
    <t>東北→東京</t>
    <rPh sb="0" eb="2">
      <t>トウホク</t>
    </rPh>
    <rPh sb="3" eb="5">
      <t>トウキョウ</t>
    </rPh>
    <phoneticPr fontId="18"/>
  </si>
  <si>
    <t>福島幹線（北）</t>
    <rPh sb="0" eb="2">
      <t>フクシマ</t>
    </rPh>
    <rPh sb="2" eb="4">
      <t>カンセン</t>
    </rPh>
    <rPh sb="5" eb="6">
      <t>キタ</t>
    </rPh>
    <phoneticPr fontId="18"/>
  </si>
  <si>
    <t>福島幹線（北東）</t>
    <rPh sb="0" eb="2">
      <t>フクシマ</t>
    </rPh>
    <rPh sb="2" eb="4">
      <t>カンセン</t>
    </rPh>
    <rPh sb="5" eb="6">
      <t>キタ</t>
    </rPh>
    <rPh sb="6" eb="7">
      <t>ヒガシ</t>
    </rPh>
    <phoneticPr fontId="18"/>
  </si>
  <si>
    <t>kzk</t>
    <phoneticPr fontId="18"/>
  </si>
  <si>
    <t>柏崎刈羽原子力</t>
    <rPh sb="0" eb="2">
      <t>カシワザキ</t>
    </rPh>
    <rPh sb="2" eb="4">
      <t>カリワ</t>
    </rPh>
    <rPh sb="4" eb="7">
      <t>ゲンシリョク</t>
    </rPh>
    <phoneticPr fontId="18"/>
  </si>
  <si>
    <t>fkn</t>
    <phoneticPr fontId="18"/>
  </si>
  <si>
    <t>南新潟幹線</t>
    <rPh sb="0" eb="1">
      <t>ミナミ</t>
    </rPh>
    <rPh sb="1" eb="3">
      <t>ニイガタ</t>
    </rPh>
    <rPh sb="3" eb="5">
      <t>カンセン</t>
    </rPh>
    <phoneticPr fontId="18"/>
  </si>
  <si>
    <t>新新潟幹線</t>
    <rPh sb="0" eb="1">
      <t>シン</t>
    </rPh>
    <rPh sb="1" eb="3">
      <t>ニイガタ</t>
    </rPh>
    <rPh sb="3" eb="5">
      <t>カンセン</t>
    </rPh>
    <phoneticPr fontId="18"/>
  </si>
  <si>
    <t>富岡線</t>
    <rPh sb="0" eb="2">
      <t>トミオカ</t>
    </rPh>
    <rPh sb="2" eb="3">
      <t>セン</t>
    </rPh>
    <phoneticPr fontId="18"/>
  </si>
  <si>
    <t>Code1</t>
    <phoneticPr fontId="18"/>
  </si>
  <si>
    <t>Code2</t>
    <phoneticPr fontId="18"/>
  </si>
  <si>
    <t>舞鶴火力</t>
    <rPh sb="0" eb="2">
      <t>マイヅル</t>
    </rPh>
    <rPh sb="2" eb="4">
      <t>カリョク</t>
    </rPh>
    <phoneticPr fontId="18"/>
  </si>
  <si>
    <t>mdk</t>
    <phoneticPr fontId="18"/>
  </si>
  <si>
    <t>東京→関西（日本海）</t>
    <rPh sb="0" eb="2">
      <t>トウキョウ</t>
    </rPh>
    <rPh sb="3" eb="5">
      <t>カンサイ</t>
    </rPh>
    <rPh sb="6" eb="8">
      <t>ニホン</t>
    </rPh>
    <rPh sb="8" eb="9">
      <t>カイ</t>
    </rPh>
    <phoneticPr fontId="18"/>
  </si>
  <si>
    <t>東京→関西（太平洋）</t>
    <rPh sb="0" eb="2">
      <t>トウキョウ</t>
    </rPh>
    <rPh sb="3" eb="5">
      <t>カンサイ</t>
    </rPh>
    <rPh sb="6" eb="9">
      <t>タイヘイヨウ</t>
    </rPh>
    <phoneticPr fontId="18"/>
  </si>
  <si>
    <t>尾鷲三田変電所</t>
    <phoneticPr fontId="18"/>
  </si>
  <si>
    <t>39.81344155846961, 140.08600868575846</t>
    <phoneticPr fontId="18"/>
  </si>
  <si>
    <t>37.421658772924616, 138.5955646412592</t>
    <phoneticPr fontId="18"/>
  </si>
  <si>
    <t>ika</t>
    <phoneticPr fontId="18"/>
  </si>
  <si>
    <t>伊方原子力</t>
    <rPh sb="0" eb="2">
      <t>イカタ</t>
    </rPh>
    <rPh sb="2" eb="5">
      <t>ゲンシリョク</t>
    </rPh>
    <phoneticPr fontId="18"/>
  </si>
  <si>
    <t>四国中央西幹線</t>
    <rPh sb="0" eb="2">
      <t>シコク</t>
    </rPh>
    <rPh sb="2" eb="4">
      <t>チュウオウ</t>
    </rPh>
    <rPh sb="4" eb="5">
      <t>ニシ</t>
    </rPh>
    <rPh sb="5" eb="7">
      <t>カンセン</t>
    </rPh>
    <phoneticPr fontId="18"/>
  </si>
  <si>
    <t>伊方北幹線</t>
    <rPh sb="0" eb="2">
      <t>イカタ</t>
    </rPh>
    <rPh sb="2" eb="3">
      <t>キタ</t>
    </rPh>
    <rPh sb="3" eb="5">
      <t>カンセン</t>
    </rPh>
    <phoneticPr fontId="18"/>
  </si>
  <si>
    <t>伊方南幹線</t>
    <rPh sb="0" eb="2">
      <t>イカタ</t>
    </rPh>
    <rPh sb="2" eb="3">
      <t>ミナミ</t>
    </rPh>
    <rPh sb="3" eb="5">
      <t>カンセン</t>
    </rPh>
    <phoneticPr fontId="18"/>
  </si>
  <si>
    <t>35.5029669878051, 135.39713661369862</t>
    <phoneticPr fontId="18"/>
  </si>
  <si>
    <t>35.40066582144089, 139.2250703092658</t>
    <phoneticPr fontId="18"/>
  </si>
  <si>
    <t>34.071374924761415, 136.17701106893637</t>
    <phoneticPr fontId="18"/>
  </si>
  <si>
    <t>O&amp;M rate</t>
    <phoneticPr fontId="18"/>
  </si>
  <si>
    <t>舞鶴火力線</t>
    <rPh sb="0" eb="2">
      <t>マイヅル</t>
    </rPh>
    <rPh sb="2" eb="4">
      <t>カリョク</t>
    </rPh>
    <rPh sb="4" eb="5">
      <t>セン</t>
    </rPh>
    <phoneticPr fontId="18"/>
  </si>
  <si>
    <t>均等化年経費率</t>
    <rPh sb="0" eb="3">
      <t>キントウカ</t>
    </rPh>
    <rPh sb="3" eb="4">
      <t>ネン</t>
    </rPh>
    <rPh sb="4" eb="6">
      <t>ケイヒ</t>
    </rPh>
    <rPh sb="6" eb="7">
      <t>リツ</t>
    </rPh>
    <phoneticPr fontId="18"/>
  </si>
  <si>
    <t>関西→四国</t>
    <rPh sb="0" eb="2">
      <t>カンサイ</t>
    </rPh>
    <rPh sb="3" eb="5">
      <t>シコク</t>
    </rPh>
    <phoneticPr fontId="18"/>
  </si>
  <si>
    <t>旧福島第二原子力</t>
    <rPh sb="0" eb="1">
      <t>キュウ</t>
    </rPh>
    <rPh sb="3" eb="5">
      <t>ダイニ</t>
    </rPh>
    <rPh sb="5" eb="8">
      <t>ゲンシリョク</t>
    </rPh>
    <phoneticPr fontId="18"/>
  </si>
  <si>
    <t>東京→中部（柏崎）</t>
    <rPh sb="0" eb="2">
      <t>トウキョウ</t>
    </rPh>
    <rPh sb="3" eb="5">
      <t>チュウブ</t>
    </rPh>
    <rPh sb="6" eb="7">
      <t>カシワ</t>
    </rPh>
    <rPh sb="7" eb="8">
      <t>ザキ</t>
    </rPh>
    <phoneticPr fontId="18"/>
  </si>
  <si>
    <t>東京→中部</t>
    <rPh sb="0" eb="2">
      <t>トウキョウ</t>
    </rPh>
    <rPh sb="3" eb="5">
      <t>チュウブ</t>
    </rPh>
    <phoneticPr fontId="18"/>
  </si>
  <si>
    <t>嶺南変電所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</si>
</sst>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[$¥-411]#,##0.00_);\([$¥-411]#,##0.00\)"/>
  </numFmts>
  <fonts count="3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b/>
      <sz val="14"/>
      <color rgb="FFFF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ＭＳ Ｐ明朝"/>
      <family val="1"/>
      <charset val="128"/>
    </font>
    <font>
      <sz val="8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0"/>
      <color theme="1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0" borderId="0" xfId="0" applyFont="1" applyFill="1" applyBorder="1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0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>
      <alignment vertical="center"/>
    </xf>
    <xf numFmtId="0" fontId="23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vertical="center"/>
    </xf>
    <xf numFmtId="0" fontId="21" fillId="0" borderId="21" xfId="0" applyFont="1" applyBorder="1" applyAlignment="1">
      <alignment horizontal="center" vertical="center"/>
    </xf>
    <xf numFmtId="0" fontId="21" fillId="0" borderId="10" xfId="0" applyFont="1" applyFill="1" applyBorder="1">
      <alignment vertical="center"/>
    </xf>
    <xf numFmtId="0" fontId="26" fillId="0" borderId="0" xfId="0" applyFont="1">
      <alignment vertical="center"/>
    </xf>
    <xf numFmtId="0" fontId="21" fillId="0" borderId="13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15" xfId="0" applyFont="1" applyBorder="1">
      <alignment vertical="center"/>
    </xf>
    <xf numFmtId="0" fontId="21" fillId="0" borderId="14" xfId="0" applyFont="1" applyFill="1" applyBorder="1">
      <alignment vertical="center"/>
    </xf>
    <xf numFmtId="0" fontId="21" fillId="0" borderId="19" xfId="0" applyFont="1" applyFill="1" applyBorder="1">
      <alignment vertical="center"/>
    </xf>
    <xf numFmtId="0" fontId="24" fillId="0" borderId="0" xfId="0" applyFont="1">
      <alignment vertical="center"/>
    </xf>
    <xf numFmtId="0" fontId="21" fillId="34" borderId="0" xfId="0" applyFont="1" applyFill="1">
      <alignment vertical="center"/>
    </xf>
    <xf numFmtId="0" fontId="24" fillId="0" borderId="14" xfId="0" applyFont="1" applyBorder="1">
      <alignment vertical="center"/>
    </xf>
    <xf numFmtId="0" fontId="21" fillId="35" borderId="10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vertical="center"/>
    </xf>
    <xf numFmtId="0" fontId="21" fillId="35" borderId="10" xfId="0" applyFont="1" applyFill="1" applyBorder="1">
      <alignment vertical="center"/>
    </xf>
    <xf numFmtId="0" fontId="21" fillId="0" borderId="17" xfId="0" applyFont="1" applyFill="1" applyBorder="1">
      <alignment vertical="center"/>
    </xf>
    <xf numFmtId="0" fontId="21" fillId="34" borderId="10" xfId="0" applyFont="1" applyFill="1" applyBorder="1" applyAlignment="1">
      <alignment vertical="center"/>
    </xf>
    <xf numFmtId="0" fontId="21" fillId="34" borderId="10" xfId="0" applyFont="1" applyFill="1" applyBorder="1">
      <alignment vertical="center"/>
    </xf>
    <xf numFmtId="0" fontId="21" fillId="0" borderId="23" xfId="0" applyFont="1" applyFill="1" applyBorder="1">
      <alignment vertical="center"/>
    </xf>
    <xf numFmtId="0" fontId="21" fillId="0" borderId="24" xfId="0" applyFont="1" applyFill="1" applyBorder="1">
      <alignment vertical="center"/>
    </xf>
    <xf numFmtId="0" fontId="21" fillId="0" borderId="25" xfId="0" applyFont="1" applyFill="1" applyBorder="1">
      <alignment vertical="center"/>
    </xf>
    <xf numFmtId="0" fontId="21" fillId="36" borderId="20" xfId="0" applyFont="1" applyFill="1" applyBorder="1">
      <alignment vertical="center"/>
    </xf>
    <xf numFmtId="0" fontId="21" fillId="36" borderId="21" xfId="0" applyFont="1" applyFill="1" applyBorder="1">
      <alignment vertical="center"/>
    </xf>
    <xf numFmtId="0" fontId="21" fillId="37" borderId="10" xfId="0" applyFont="1" applyFill="1" applyBorder="1">
      <alignment vertical="center"/>
    </xf>
    <xf numFmtId="0" fontId="21" fillId="37" borderId="14" xfId="0" applyFont="1" applyFill="1" applyBorder="1">
      <alignment vertical="center"/>
    </xf>
    <xf numFmtId="0" fontId="21" fillId="37" borderId="16" xfId="0" applyFont="1" applyFill="1" applyBorder="1">
      <alignment vertical="center"/>
    </xf>
    <xf numFmtId="0" fontId="21" fillId="0" borderId="10" xfId="0" applyFont="1" applyBorder="1" applyAlignment="1">
      <alignment horizontal="right" vertical="center"/>
    </xf>
    <xf numFmtId="0" fontId="28" fillId="0" borderId="10" xfId="0" applyFont="1" applyBorder="1">
      <alignment vertical="center"/>
    </xf>
    <xf numFmtId="0" fontId="21" fillId="0" borderId="12" xfId="0" applyFont="1" applyBorder="1">
      <alignment vertical="center"/>
    </xf>
    <xf numFmtId="0" fontId="21" fillId="33" borderId="14" xfId="0" applyFont="1" applyFill="1" applyBorder="1">
      <alignment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1" fillId="0" borderId="28" xfId="0" applyFont="1" applyBorder="1">
      <alignment vertical="center"/>
    </xf>
    <xf numFmtId="0" fontId="21" fillId="0" borderId="12" xfId="0" applyFont="1" applyFill="1" applyBorder="1">
      <alignment vertical="center"/>
    </xf>
    <xf numFmtId="0" fontId="21" fillId="37" borderId="29" xfId="0" applyFont="1" applyFill="1" applyBorder="1">
      <alignment vertical="center"/>
    </xf>
    <xf numFmtId="0" fontId="21" fillId="37" borderId="30" xfId="0" applyFont="1" applyFill="1" applyBorder="1">
      <alignment vertical="center"/>
    </xf>
    <xf numFmtId="0" fontId="21" fillId="0" borderId="30" xfId="0" applyFont="1" applyFill="1" applyBorder="1">
      <alignment vertical="center"/>
    </xf>
    <xf numFmtId="0" fontId="21" fillId="0" borderId="31" xfId="0" applyFont="1" applyFill="1" applyBorder="1">
      <alignment vertical="center"/>
    </xf>
    <xf numFmtId="0" fontId="21" fillId="34" borderId="26" xfId="0" applyFont="1" applyFill="1" applyBorder="1">
      <alignment vertical="center"/>
    </xf>
    <xf numFmtId="0" fontId="21" fillId="34" borderId="28" xfId="0" applyFont="1" applyFill="1" applyBorder="1" applyAlignment="1">
      <alignment horizontal="center" vertical="center"/>
    </xf>
    <xf numFmtId="0" fontId="21" fillId="33" borderId="10" xfId="0" applyFont="1" applyFill="1" applyBorder="1">
      <alignment vertical="center"/>
    </xf>
    <xf numFmtId="0" fontId="21" fillId="0" borderId="11" xfId="0" applyFont="1" applyBorder="1">
      <alignment vertical="center"/>
    </xf>
    <xf numFmtId="0" fontId="21" fillId="33" borderId="16" xfId="0" applyFont="1" applyFill="1" applyBorder="1">
      <alignment vertical="center"/>
    </xf>
    <xf numFmtId="0" fontId="21" fillId="0" borderId="32" xfId="0" applyFont="1" applyBorder="1" applyAlignment="1">
      <alignment horizontal="center" vertical="center"/>
    </xf>
    <xf numFmtId="0" fontId="24" fillId="35" borderId="10" xfId="0" applyFont="1" applyFill="1" applyBorder="1">
      <alignment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vertical="center"/>
    </xf>
    <xf numFmtId="0" fontId="24" fillId="0" borderId="10" xfId="0" applyFont="1" applyFill="1" applyBorder="1">
      <alignment vertical="center"/>
    </xf>
    <xf numFmtId="0" fontId="21" fillId="37" borderId="10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vertical="center"/>
    </xf>
    <xf numFmtId="0" fontId="29" fillId="0" borderId="0" xfId="0" applyFont="1">
      <alignment vertical="center"/>
    </xf>
    <xf numFmtId="0" fontId="21" fillId="0" borderId="0" xfId="0" applyFont="1" applyFill="1">
      <alignment vertical="center"/>
    </xf>
    <xf numFmtId="0" fontId="24" fillId="0" borderId="0" xfId="0" applyFont="1" applyBorder="1">
      <alignment vertical="center"/>
    </xf>
    <xf numFmtId="0" fontId="29" fillId="37" borderId="0" xfId="0" applyFont="1" applyFill="1">
      <alignment vertical="center"/>
    </xf>
    <xf numFmtId="0" fontId="30" fillId="0" borderId="0" xfId="0" applyFont="1" applyAlignment="1">
      <alignment horizontal="center" vertical="center" wrapText="1"/>
    </xf>
    <xf numFmtId="0" fontId="21" fillId="38" borderId="10" xfId="0" applyFont="1" applyFill="1" applyBorder="1">
      <alignment vertical="center"/>
    </xf>
    <xf numFmtId="0" fontId="21" fillId="38" borderId="10" xfId="0" applyFont="1" applyFill="1" applyBorder="1" applyAlignment="1">
      <alignment vertical="center"/>
    </xf>
    <xf numFmtId="0" fontId="31" fillId="0" borderId="10" xfId="0" applyFont="1" applyFill="1" applyBorder="1">
      <alignment vertical="center"/>
    </xf>
    <xf numFmtId="3" fontId="21" fillId="34" borderId="10" xfId="0" applyNumberFormat="1" applyFont="1" applyFill="1" applyBorder="1" applyAlignment="1">
      <alignment vertical="center"/>
    </xf>
    <xf numFmtId="0" fontId="21" fillId="38" borderId="10" xfId="0" applyFont="1" applyFill="1" applyBorder="1" applyAlignment="1">
      <alignment horizontal="right" vertical="center"/>
    </xf>
    <xf numFmtId="0" fontId="21" fillId="34" borderId="10" xfId="0" applyFont="1" applyFill="1" applyBorder="1" applyAlignment="1">
      <alignment horizontal="right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37" borderId="34" xfId="0" applyFont="1" applyFill="1" applyBorder="1">
      <alignment vertical="center"/>
    </xf>
    <xf numFmtId="0" fontId="21" fillId="0" borderId="33" xfId="0" applyFont="1" applyBorder="1">
      <alignment vertical="center"/>
    </xf>
    <xf numFmtId="176" fontId="21" fillId="35" borderId="10" xfId="0" applyNumberFormat="1" applyFont="1" applyFill="1" applyBorder="1" applyAlignment="1">
      <alignment vertical="center"/>
    </xf>
    <xf numFmtId="176" fontId="21" fillId="34" borderId="10" xfId="0" applyNumberFormat="1" applyFont="1" applyFill="1" applyBorder="1" applyAlignment="1">
      <alignment vertical="center"/>
    </xf>
    <xf numFmtId="176" fontId="21" fillId="34" borderId="14" xfId="0" applyNumberFormat="1" applyFont="1" applyFill="1" applyBorder="1" applyAlignment="1">
      <alignment vertical="center"/>
    </xf>
    <xf numFmtId="176" fontId="21" fillId="35" borderId="10" xfId="0" applyNumberFormat="1" applyFont="1" applyFill="1" applyBorder="1">
      <alignment vertical="center"/>
    </xf>
    <xf numFmtId="176" fontId="21" fillId="35" borderId="33" xfId="0" applyNumberFormat="1" applyFont="1" applyFill="1" applyBorder="1" applyAlignment="1">
      <alignment vertical="center"/>
    </xf>
    <xf numFmtId="0" fontId="0" fillId="37" borderId="0" xfId="0" applyFill="1">
      <alignment vertical="center"/>
    </xf>
    <xf numFmtId="0" fontId="21" fillId="37" borderId="0" xfId="0" applyFont="1" applyFill="1" applyBorder="1">
      <alignment vertical="center"/>
    </xf>
    <xf numFmtId="0" fontId="24" fillId="0" borderId="14" xfId="0" applyFont="1" applyFill="1" applyBorder="1">
      <alignment vertical="center"/>
    </xf>
    <xf numFmtId="177" fontId="21" fillId="0" borderId="0" xfId="47" applyNumberFormat="1" applyFont="1">
      <alignment vertical="center"/>
    </xf>
    <xf numFmtId="177" fontId="21" fillId="0" borderId="0" xfId="0" applyNumberFormat="1" applyFo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4" fillId="40" borderId="10" xfId="0" applyFont="1" applyFill="1" applyBorder="1">
      <alignment vertical="center"/>
    </xf>
    <xf numFmtId="0" fontId="24" fillId="0" borderId="21" xfId="0" applyFont="1" applyBorder="1">
      <alignment vertical="center"/>
    </xf>
    <xf numFmtId="0" fontId="21" fillId="0" borderId="21" xfId="0" applyFont="1" applyBorder="1">
      <alignment vertical="center"/>
    </xf>
    <xf numFmtId="0" fontId="32" fillId="0" borderId="13" xfId="0" applyFont="1" applyBorder="1" applyAlignment="1"/>
    <xf numFmtId="0" fontId="32" fillId="0" borderId="10" xfId="0" applyFont="1" applyBorder="1" applyAlignment="1"/>
    <xf numFmtId="0" fontId="24" fillId="0" borderId="35" xfId="0" applyFont="1" applyBorder="1">
      <alignment vertical="center"/>
    </xf>
    <xf numFmtId="0" fontId="21" fillId="0" borderId="36" xfId="0" applyFont="1" applyBorder="1">
      <alignment vertical="center"/>
    </xf>
    <xf numFmtId="0" fontId="32" fillId="0" borderId="15" xfId="0" applyFont="1" applyBorder="1" applyAlignment="1"/>
    <xf numFmtId="0" fontId="32" fillId="0" borderId="19" xfId="0" applyFont="1" applyBorder="1" applyAlignment="1"/>
    <xf numFmtId="0" fontId="24" fillId="39" borderId="10" xfId="0" applyFont="1" applyFill="1" applyBorder="1">
      <alignment vertical="center"/>
    </xf>
    <xf numFmtId="0" fontId="21" fillId="41" borderId="10" xfId="0" applyFont="1" applyFill="1" applyBorder="1" applyAlignment="1">
      <alignment vertical="center"/>
    </xf>
    <xf numFmtId="0" fontId="21" fillId="41" borderId="10" xfId="0" applyFont="1" applyFill="1" applyBorder="1">
      <alignment vertical="center"/>
    </xf>
    <xf numFmtId="0" fontId="21" fillId="0" borderId="22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24" fillId="0" borderId="0" xfId="0" applyFont="1" applyFill="1">
      <alignment vertical="center"/>
    </xf>
  </cellXfs>
  <cellStyles count="48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7" builtinId="6"/>
    <cellStyle name="桁区切り 2" xfId="4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/>
    <cellStyle name="標準 2 2" xfId="43"/>
    <cellStyle name="標準 2 3" xfId="45"/>
    <cellStyle name="標準 3" xfId="44"/>
    <cellStyle name="良い" xfId="6" builtinId="26" customBuiltin="1"/>
  </cellStyles>
  <dxfs count="7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605118</xdr:colOff>
      <xdr:row>47</xdr:row>
      <xdr:rowOff>134470</xdr:rowOff>
    </xdr:from>
    <xdr:to>
      <xdr:col>33</xdr:col>
      <xdr:colOff>525961</xdr:colOff>
      <xdr:row>84</xdr:row>
      <xdr:rowOff>32362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6589" y="9222441"/>
          <a:ext cx="10174224" cy="6946392"/>
        </a:xfrm>
        <a:prstGeom prst="rect">
          <a:avLst/>
        </a:prstGeom>
      </xdr:spPr>
    </xdr:pic>
    <xdr:clientData/>
  </xdr:twoCellAnchor>
  <xdr:twoCellAnchor editAs="oneCell">
    <xdr:from>
      <xdr:col>19</xdr:col>
      <xdr:colOff>67235</xdr:colOff>
      <xdr:row>11</xdr:row>
      <xdr:rowOff>44824</xdr:rowOff>
    </xdr:from>
    <xdr:to>
      <xdr:col>33</xdr:col>
      <xdr:colOff>615248</xdr:colOff>
      <xdr:row>47</xdr:row>
      <xdr:rowOff>66160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7917" y="2124636"/>
          <a:ext cx="9207919" cy="647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360"/>
  <sheetViews>
    <sheetView tabSelected="1" topLeftCell="A4" zoomScale="140" zoomScaleNormal="140" workbookViewId="0">
      <selection activeCell="D7" sqref="D7"/>
    </sheetView>
  </sheetViews>
  <sheetFormatPr defaultColWidth="9" defaultRowHeight="15" x14ac:dyDescent="0.15"/>
  <cols>
    <col min="1" max="1" width="9" style="1"/>
    <col min="2" max="2" width="42.625" style="1" customWidth="1"/>
    <col min="3" max="3" width="6.5" style="1" bestFit="1" customWidth="1"/>
    <col min="4" max="5" width="8.625" style="1" customWidth="1"/>
    <col min="6" max="6" width="9" style="1"/>
    <col min="7" max="7" width="14.625" style="1" bestFit="1" customWidth="1"/>
    <col min="8" max="8" width="16.125" style="1" bestFit="1" customWidth="1"/>
    <col min="9" max="17" width="4.625" style="1" customWidth="1"/>
    <col min="18" max="18" width="10" style="1" bestFit="1" customWidth="1"/>
    <col min="19" max="29" width="9" style="1"/>
    <col min="30" max="30" width="9" style="1" customWidth="1"/>
    <col min="31" max="16384" width="9" style="1"/>
  </cols>
  <sheetData>
    <row r="1" spans="1:38" ht="15.75" thickBot="1" x14ac:dyDescent="0.2">
      <c r="W1" s="1">
        <v>6</v>
      </c>
      <c r="X1" s="1">
        <v>47</v>
      </c>
      <c r="Y1" s="1">
        <v>73</v>
      </c>
      <c r="Z1" s="1">
        <v>99</v>
      </c>
      <c r="AA1" s="1">
        <v>176</v>
      </c>
      <c r="AB1" s="1">
        <v>207</v>
      </c>
      <c r="AC1" s="1">
        <v>226</v>
      </c>
      <c r="AD1" s="1">
        <v>227</v>
      </c>
      <c r="AE1" s="1">
        <v>273</v>
      </c>
      <c r="AF1" s="1">
        <v>279</v>
      </c>
      <c r="AG1" s="1">
        <v>325</v>
      </c>
    </row>
    <row r="2" spans="1:38" ht="19.5" thickBot="1" x14ac:dyDescent="0.2">
      <c r="A2" s="12"/>
      <c r="D2"/>
      <c r="H2" s="31" t="s">
        <v>33</v>
      </c>
      <c r="I2" s="30">
        <v>1</v>
      </c>
      <c r="J2" s="30">
        <v>1</v>
      </c>
      <c r="K2" s="30">
        <v>1</v>
      </c>
      <c r="L2" s="30">
        <v>1</v>
      </c>
      <c r="M2" s="30">
        <v>1</v>
      </c>
      <c r="N2" s="30">
        <v>1</v>
      </c>
      <c r="O2" s="30">
        <v>1</v>
      </c>
      <c r="P2" s="30">
        <v>1</v>
      </c>
      <c r="Q2" s="30">
        <v>1</v>
      </c>
      <c r="R2" s="1" t="s">
        <v>832</v>
      </c>
    </row>
    <row r="3" spans="1:38" ht="15.75" thickBot="1" x14ac:dyDescent="0.2">
      <c r="B3" s="97" t="s">
        <v>31</v>
      </c>
      <c r="C3" s="97"/>
      <c r="G3" s="5" t="s">
        <v>32</v>
      </c>
      <c r="H3" s="5" t="s">
        <v>28</v>
      </c>
      <c r="I3" s="27">
        <v>-1</v>
      </c>
      <c r="J3" s="28">
        <v>-1</v>
      </c>
      <c r="K3" s="28">
        <v>-1</v>
      </c>
      <c r="L3" s="28">
        <v>-1</v>
      </c>
      <c r="M3" s="28">
        <v>-1</v>
      </c>
      <c r="N3" s="28">
        <v>-1</v>
      </c>
      <c r="O3" s="28">
        <v>-1</v>
      </c>
      <c r="P3" s="28">
        <v>-1</v>
      </c>
      <c r="Q3" s="29">
        <v>-1</v>
      </c>
      <c r="R3" s="1" t="s">
        <v>29</v>
      </c>
    </row>
    <row r="4" spans="1:38" ht="15.75" thickBot="1" x14ac:dyDescent="0.2">
      <c r="B4" s="7" t="s">
        <v>12</v>
      </c>
      <c r="C4" s="11">
        <v>24</v>
      </c>
      <c r="G4" s="47">
        <f>ROWS(ANR)</f>
        <v>356</v>
      </c>
      <c r="H4" s="48">
        <f>COLUMNS(ANR)</f>
        <v>9</v>
      </c>
      <c r="I4" s="39" t="s">
        <v>20</v>
      </c>
      <c r="J4" s="40" t="s">
        <v>10</v>
      </c>
      <c r="K4" s="40" t="s">
        <v>21</v>
      </c>
      <c r="L4" s="40" t="s">
        <v>22</v>
      </c>
      <c r="M4" s="40" t="s">
        <v>23</v>
      </c>
      <c r="N4" s="40" t="s">
        <v>24</v>
      </c>
      <c r="O4" s="40" t="s">
        <v>25</v>
      </c>
      <c r="P4" s="40" t="s">
        <v>26</v>
      </c>
      <c r="Q4" s="41" t="s">
        <v>822</v>
      </c>
      <c r="R4" s="1" t="s">
        <v>11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8" x14ac:dyDescent="0.15">
      <c r="B5" s="7" t="s">
        <v>13</v>
      </c>
      <c r="C5" s="11">
        <f>SUM(NMD)</f>
        <v>365</v>
      </c>
      <c r="E5" s="50">
        <v>0</v>
      </c>
      <c r="F5" s="1" t="s">
        <v>880</v>
      </c>
      <c r="G5" s="50">
        <v>0</v>
      </c>
      <c r="H5" s="37" t="s">
        <v>56</v>
      </c>
      <c r="I5" s="43">
        <v>1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42">
        <v>0</v>
      </c>
      <c r="R5" s="19">
        <f>SUM(I5:Q5)</f>
        <v>1</v>
      </c>
      <c r="S5" s="1">
        <f>SUM(R5:R360)</f>
        <v>356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8" x14ac:dyDescent="0.15">
      <c r="B6" s="7" t="s">
        <v>14</v>
      </c>
      <c r="C6" s="11">
        <v>91</v>
      </c>
      <c r="D6" s="2"/>
      <c r="E6" s="13">
        <v>1</v>
      </c>
      <c r="F6" s="1" t="s">
        <v>1487</v>
      </c>
      <c r="G6" s="13">
        <v>1</v>
      </c>
      <c r="H6" s="14" t="s">
        <v>57</v>
      </c>
      <c r="I6" s="44">
        <v>1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6">
        <v>0</v>
      </c>
      <c r="R6" s="19">
        <f t="shared" ref="R6:R70" si="0">SUM(I6:Q6)</f>
        <v>1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8" x14ac:dyDescent="0.15">
      <c r="B7" s="7" t="s">
        <v>15</v>
      </c>
      <c r="C7" s="32">
        <v>272</v>
      </c>
      <c r="D7" s="2"/>
      <c r="E7" s="13">
        <v>2</v>
      </c>
      <c r="F7" s="1" t="s">
        <v>884</v>
      </c>
      <c r="G7" s="13">
        <v>2</v>
      </c>
      <c r="H7" s="14" t="s">
        <v>58</v>
      </c>
      <c r="I7" s="44">
        <v>1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6">
        <v>0</v>
      </c>
      <c r="R7" s="19">
        <f t="shared" si="0"/>
        <v>1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8" ht="16.5" x14ac:dyDescent="0.15">
      <c r="B8" s="7" t="s">
        <v>53</v>
      </c>
      <c r="C8" s="11">
        <v>0</v>
      </c>
      <c r="D8" s="80">
        <v>0</v>
      </c>
      <c r="E8" s="13">
        <v>3</v>
      </c>
      <c r="F8" s="1" t="s">
        <v>878</v>
      </c>
      <c r="G8" s="13">
        <v>3</v>
      </c>
      <c r="H8" s="14" t="s">
        <v>59</v>
      </c>
      <c r="I8" s="44">
        <v>1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6">
        <v>0</v>
      </c>
      <c r="R8" s="19">
        <f t="shared" si="0"/>
        <v>1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8" ht="16.5" x14ac:dyDescent="0.15">
      <c r="B9" s="7" t="s">
        <v>34</v>
      </c>
      <c r="C9" s="11">
        <v>0</v>
      </c>
      <c r="D9" s="79">
        <v>10</v>
      </c>
      <c r="E9" s="13">
        <v>4</v>
      </c>
      <c r="F9" s="1" t="s">
        <v>886</v>
      </c>
      <c r="G9" s="13">
        <v>4</v>
      </c>
      <c r="H9" s="14" t="s">
        <v>60</v>
      </c>
      <c r="I9" s="44">
        <v>1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6">
        <v>0</v>
      </c>
      <c r="R9" s="19">
        <f t="shared" si="0"/>
        <v>1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8" x14ac:dyDescent="0.15">
      <c r="B10" s="7" t="s">
        <v>50</v>
      </c>
      <c r="C10" s="7">
        <v>0</v>
      </c>
      <c r="D10"/>
      <c r="E10" s="13">
        <v>5</v>
      </c>
      <c r="F10" s="1" t="s">
        <v>1490</v>
      </c>
      <c r="G10" s="13">
        <v>5</v>
      </c>
      <c r="H10" s="20" t="s">
        <v>1488</v>
      </c>
      <c r="I10" s="44">
        <v>1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6">
        <v>0</v>
      </c>
      <c r="R10" s="19">
        <f t="shared" si="0"/>
        <v>1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L10" s="1">
        <f>484*0.74</f>
        <v>358.15999999999997</v>
      </c>
    </row>
    <row r="11" spans="1:38" x14ac:dyDescent="0.15">
      <c r="B11" s="7" t="s">
        <v>51</v>
      </c>
      <c r="C11" s="7">
        <v>-1</v>
      </c>
      <c r="D11"/>
      <c r="E11" s="13">
        <v>6</v>
      </c>
      <c r="F11" s="1" t="s">
        <v>890</v>
      </c>
      <c r="G11" s="13">
        <v>6</v>
      </c>
      <c r="H11" s="14" t="s">
        <v>61</v>
      </c>
      <c r="I11" s="44">
        <v>1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6">
        <v>0</v>
      </c>
      <c r="R11" s="19">
        <f t="shared" si="0"/>
        <v>1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8" x14ac:dyDescent="0.15">
      <c r="B12" s="7" t="s">
        <v>16</v>
      </c>
      <c r="C12" s="11">
        <v>0.08</v>
      </c>
      <c r="D12"/>
      <c r="E12" s="13">
        <v>7</v>
      </c>
      <c r="F12" s="1" t="s">
        <v>892</v>
      </c>
      <c r="G12" s="13">
        <v>7</v>
      </c>
      <c r="H12" s="14" t="s">
        <v>62</v>
      </c>
      <c r="I12" s="44">
        <v>1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6">
        <v>0</v>
      </c>
      <c r="R12" s="19">
        <f t="shared" si="0"/>
        <v>1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8" x14ac:dyDescent="0.15">
      <c r="B13" s="7" t="s">
        <v>17</v>
      </c>
      <c r="C13" s="11">
        <v>0.03</v>
      </c>
      <c r="D13"/>
      <c r="E13" s="13">
        <v>8</v>
      </c>
      <c r="F13" s="1" t="s">
        <v>894</v>
      </c>
      <c r="G13" s="13">
        <v>8</v>
      </c>
      <c r="H13" s="14" t="s">
        <v>63</v>
      </c>
      <c r="I13" s="44">
        <v>1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6">
        <v>0</v>
      </c>
      <c r="R13" s="19">
        <f t="shared" si="0"/>
        <v>1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8" x14ac:dyDescent="0.15">
      <c r="B14" s="7" t="s">
        <v>52</v>
      </c>
      <c r="C14" s="11">
        <v>1.4E-2</v>
      </c>
      <c r="D14"/>
      <c r="E14" s="13">
        <v>9</v>
      </c>
      <c r="F14" s="1" t="s">
        <v>896</v>
      </c>
      <c r="G14" s="13">
        <v>9</v>
      </c>
      <c r="H14" s="14" t="s">
        <v>64</v>
      </c>
      <c r="I14" s="44">
        <v>1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6">
        <v>0</v>
      </c>
      <c r="R14" s="19">
        <f t="shared" si="0"/>
        <v>1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8" x14ac:dyDescent="0.15">
      <c r="B15" s="7" t="s">
        <v>18</v>
      </c>
      <c r="C15" s="11">
        <v>0</v>
      </c>
      <c r="D15"/>
      <c r="E15" s="13">
        <v>10</v>
      </c>
      <c r="F15" s="1" t="s">
        <v>898</v>
      </c>
      <c r="G15" s="13">
        <v>10</v>
      </c>
      <c r="H15" s="20" t="s">
        <v>65</v>
      </c>
      <c r="I15" s="44">
        <v>1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6">
        <v>0</v>
      </c>
      <c r="R15" s="19">
        <f t="shared" si="0"/>
        <v>1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8" x14ac:dyDescent="0.15">
      <c r="B16" s="11" t="s">
        <v>19</v>
      </c>
      <c r="C16" s="11">
        <v>1000</v>
      </c>
      <c r="D16"/>
      <c r="E16" s="13">
        <v>11</v>
      </c>
      <c r="F16" s="1" t="s">
        <v>900</v>
      </c>
      <c r="G16" s="13">
        <v>11</v>
      </c>
      <c r="H16" s="14" t="s">
        <v>66</v>
      </c>
      <c r="I16" s="44">
        <v>1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6">
        <v>0</v>
      </c>
      <c r="R16" s="19">
        <f t="shared" si="0"/>
        <v>1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2:35" x14ac:dyDescent="0.15">
      <c r="B17" s="7" t="s">
        <v>37</v>
      </c>
      <c r="C17" s="72">
        <v>3</v>
      </c>
      <c r="D17"/>
      <c r="E17" s="13">
        <v>12</v>
      </c>
      <c r="F17" s="1" t="s">
        <v>902</v>
      </c>
      <c r="G17" s="13">
        <v>12</v>
      </c>
      <c r="H17" s="14" t="s">
        <v>67</v>
      </c>
      <c r="I17" s="44">
        <v>1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6">
        <v>0</v>
      </c>
      <c r="R17" s="19">
        <f t="shared" si="0"/>
        <v>1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2:35" x14ac:dyDescent="0.15">
      <c r="B18" s="7" t="s">
        <v>55</v>
      </c>
      <c r="C18" s="7">
        <v>200</v>
      </c>
      <c r="D18"/>
      <c r="E18" s="13">
        <v>13</v>
      </c>
      <c r="F18" s="1" t="s">
        <v>904</v>
      </c>
      <c r="G18" s="13">
        <v>13</v>
      </c>
      <c r="H18" s="14" t="s">
        <v>68</v>
      </c>
      <c r="I18" s="44">
        <v>1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6">
        <v>0</v>
      </c>
      <c r="R18" s="19">
        <f t="shared" si="0"/>
        <v>1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2:35" x14ac:dyDescent="0.15">
      <c r="B19" s="7" t="s">
        <v>54</v>
      </c>
      <c r="C19" s="7">
        <v>200</v>
      </c>
      <c r="D19"/>
      <c r="E19" s="13">
        <v>14</v>
      </c>
      <c r="F19" s="1" t="s">
        <v>906</v>
      </c>
      <c r="G19" s="13">
        <v>14</v>
      </c>
      <c r="H19" s="14" t="s">
        <v>69</v>
      </c>
      <c r="I19" s="44">
        <v>1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6">
        <v>0</v>
      </c>
      <c r="R19" s="19">
        <f t="shared" si="0"/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2:35" x14ac:dyDescent="0.15">
      <c r="B20" s="7" t="s">
        <v>842</v>
      </c>
      <c r="C20" s="73">
        <v>0.01</v>
      </c>
      <c r="D20"/>
      <c r="E20" s="13">
        <v>15</v>
      </c>
      <c r="F20" s="1" t="s">
        <v>908</v>
      </c>
      <c r="G20" s="13">
        <v>15</v>
      </c>
      <c r="H20" s="14" t="s">
        <v>70</v>
      </c>
      <c r="I20" s="44">
        <v>1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6">
        <v>0</v>
      </c>
      <c r="R20" s="19">
        <f t="shared" si="0"/>
        <v>1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2:35" x14ac:dyDescent="0.15">
      <c r="D21"/>
      <c r="E21" s="13">
        <v>16</v>
      </c>
      <c r="F21" s="1" t="s">
        <v>910</v>
      </c>
      <c r="G21" s="13">
        <v>16</v>
      </c>
      <c r="H21" s="14" t="s">
        <v>71</v>
      </c>
      <c r="I21" s="44">
        <v>1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6">
        <v>0</v>
      </c>
      <c r="R21" s="19">
        <f t="shared" si="0"/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2:35" x14ac:dyDescent="0.15">
      <c r="D22"/>
      <c r="E22" s="13">
        <v>17</v>
      </c>
      <c r="F22" s="1" t="s">
        <v>912</v>
      </c>
      <c r="G22" s="13">
        <v>17</v>
      </c>
      <c r="H22" s="14" t="s">
        <v>72</v>
      </c>
      <c r="I22" s="44">
        <v>1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6">
        <v>0</v>
      </c>
      <c r="R22" s="19">
        <f t="shared" si="0"/>
        <v>1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2:35" x14ac:dyDescent="0.15">
      <c r="D23"/>
      <c r="E23" s="13">
        <v>18</v>
      </c>
      <c r="F23" s="1" t="s">
        <v>914</v>
      </c>
      <c r="G23" s="13">
        <v>18</v>
      </c>
      <c r="H23" s="14" t="s">
        <v>73</v>
      </c>
      <c r="I23" s="44">
        <v>1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6">
        <v>0</v>
      </c>
      <c r="R23" s="19">
        <f t="shared" si="0"/>
        <v>1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2:35" x14ac:dyDescent="0.15">
      <c r="D24"/>
      <c r="E24" s="13">
        <v>19</v>
      </c>
      <c r="F24" s="1" t="s">
        <v>1493</v>
      </c>
      <c r="G24" s="13">
        <v>19</v>
      </c>
      <c r="H24" s="20" t="s">
        <v>1491</v>
      </c>
      <c r="I24" s="44">
        <v>1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6">
        <v>0</v>
      </c>
      <c r="R24" s="19">
        <f t="shared" si="0"/>
        <v>1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2:35" x14ac:dyDescent="0.15">
      <c r="D25"/>
      <c r="E25" s="13">
        <v>20</v>
      </c>
      <c r="F25" s="1" t="s">
        <v>918</v>
      </c>
      <c r="G25" s="13">
        <v>20</v>
      </c>
      <c r="H25" s="14" t="s">
        <v>74</v>
      </c>
      <c r="I25" s="44">
        <v>1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6">
        <v>0</v>
      </c>
      <c r="R25" s="19">
        <f t="shared" si="0"/>
        <v>1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2:35" x14ac:dyDescent="0.15">
      <c r="D26"/>
      <c r="E26" s="13">
        <v>21</v>
      </c>
      <c r="F26" s="1" t="s">
        <v>920</v>
      </c>
      <c r="G26" s="13">
        <v>21</v>
      </c>
      <c r="H26" s="14" t="s">
        <v>75</v>
      </c>
      <c r="I26" s="44">
        <v>1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6">
        <v>0</v>
      </c>
      <c r="R26" s="19">
        <f t="shared" si="0"/>
        <v>1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2:35" x14ac:dyDescent="0.15">
      <c r="D27"/>
      <c r="E27" s="13">
        <v>22</v>
      </c>
      <c r="F27" s="1" t="s">
        <v>922</v>
      </c>
      <c r="G27" s="13">
        <v>22</v>
      </c>
      <c r="H27" s="14" t="s">
        <v>76</v>
      </c>
      <c r="I27" s="44">
        <v>1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6">
        <v>0</v>
      </c>
      <c r="R27" s="19">
        <f t="shared" si="0"/>
        <v>1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2:35" x14ac:dyDescent="0.15">
      <c r="D28"/>
      <c r="E28" s="13">
        <v>23</v>
      </c>
      <c r="F28" s="1" t="s">
        <v>924</v>
      </c>
      <c r="G28" s="13">
        <v>23</v>
      </c>
      <c r="H28" s="14" t="s">
        <v>77</v>
      </c>
      <c r="I28" s="44">
        <v>1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6">
        <v>0</v>
      </c>
      <c r="R28" s="19">
        <f t="shared" si="0"/>
        <v>1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2:35" x14ac:dyDescent="0.15">
      <c r="D29"/>
      <c r="E29" s="13">
        <v>24</v>
      </c>
      <c r="F29" s="1" t="s">
        <v>1495</v>
      </c>
      <c r="G29" s="13">
        <v>24</v>
      </c>
      <c r="H29" s="14" t="s">
        <v>78</v>
      </c>
      <c r="I29" s="44">
        <v>1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6">
        <v>0</v>
      </c>
      <c r="R29" s="19">
        <f t="shared" si="0"/>
        <v>1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2:35" x14ac:dyDescent="0.15">
      <c r="B30" s="35" t="s">
        <v>38</v>
      </c>
      <c r="C30" s="7">
        <v>31</v>
      </c>
      <c r="D30">
        <f>D29+C30</f>
        <v>31</v>
      </c>
      <c r="E30" s="13">
        <v>25</v>
      </c>
      <c r="F30" s="1" t="s">
        <v>928</v>
      </c>
      <c r="G30" s="13">
        <v>25</v>
      </c>
      <c r="H30" s="14" t="s">
        <v>79</v>
      </c>
      <c r="I30" s="44">
        <v>1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6">
        <v>0</v>
      </c>
      <c r="R30" s="19">
        <f t="shared" si="0"/>
        <v>1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2:35" x14ac:dyDescent="0.15">
      <c r="B31" s="35" t="s">
        <v>39</v>
      </c>
      <c r="C31" s="36">
        <v>28</v>
      </c>
      <c r="D31">
        <f t="shared" ref="D31:D41" si="1">D30+C31</f>
        <v>59</v>
      </c>
      <c r="E31" s="13">
        <v>26</v>
      </c>
      <c r="F31" s="1" t="s">
        <v>1497</v>
      </c>
      <c r="G31" s="13">
        <v>26</v>
      </c>
      <c r="H31" s="14" t="s">
        <v>80</v>
      </c>
      <c r="I31" s="44">
        <v>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6">
        <v>0</v>
      </c>
      <c r="R31" s="19">
        <f t="shared" si="0"/>
        <v>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2:35" x14ac:dyDescent="0.15">
      <c r="B32" s="35" t="s">
        <v>40</v>
      </c>
      <c r="C32" s="7">
        <v>31</v>
      </c>
      <c r="D32">
        <f t="shared" si="1"/>
        <v>90</v>
      </c>
      <c r="E32" s="13">
        <v>27</v>
      </c>
      <c r="F32" s="1" t="s">
        <v>932</v>
      </c>
      <c r="G32" s="13">
        <v>27</v>
      </c>
      <c r="H32" s="14" t="s">
        <v>81</v>
      </c>
      <c r="I32" s="44">
        <v>1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6">
        <v>0</v>
      </c>
      <c r="R32" s="19">
        <f t="shared" si="0"/>
        <v>1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2:35" x14ac:dyDescent="0.15">
      <c r="B33" s="35" t="s">
        <v>41</v>
      </c>
      <c r="C33" s="7">
        <v>30</v>
      </c>
      <c r="D33">
        <f t="shared" si="1"/>
        <v>120</v>
      </c>
      <c r="E33" s="13">
        <v>28</v>
      </c>
      <c r="F33" s="1" t="s">
        <v>934</v>
      </c>
      <c r="G33" s="13">
        <v>28</v>
      </c>
      <c r="H33" s="14" t="s">
        <v>82</v>
      </c>
      <c r="I33" s="44">
        <v>1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6">
        <v>0</v>
      </c>
      <c r="R33" s="19">
        <f t="shared" si="0"/>
        <v>1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2:35" x14ac:dyDescent="0.15">
      <c r="B34" s="35" t="s">
        <v>42</v>
      </c>
      <c r="C34" s="7">
        <v>31</v>
      </c>
      <c r="D34">
        <f t="shared" si="1"/>
        <v>151</v>
      </c>
      <c r="E34" s="13">
        <v>29</v>
      </c>
      <c r="F34" s="1" t="s">
        <v>936</v>
      </c>
      <c r="G34" s="13">
        <v>29</v>
      </c>
      <c r="H34" s="14" t="s">
        <v>83</v>
      </c>
      <c r="I34" s="44">
        <v>1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6">
        <v>0</v>
      </c>
      <c r="R34" s="19">
        <f t="shared" si="0"/>
        <v>1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2:35" x14ac:dyDescent="0.15">
      <c r="B35" s="35" t="s">
        <v>43</v>
      </c>
      <c r="C35" s="7">
        <v>30</v>
      </c>
      <c r="D35">
        <f t="shared" si="1"/>
        <v>181</v>
      </c>
      <c r="E35" s="13">
        <v>30</v>
      </c>
      <c r="F35" s="1" t="s">
        <v>1501</v>
      </c>
      <c r="G35" s="13">
        <v>30</v>
      </c>
      <c r="H35" s="14" t="s">
        <v>84</v>
      </c>
      <c r="I35" s="44">
        <v>1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6">
        <v>0</v>
      </c>
      <c r="R35" s="19">
        <f t="shared" si="0"/>
        <v>1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2:35" x14ac:dyDescent="0.15">
      <c r="B36" s="35" t="s">
        <v>44</v>
      </c>
      <c r="C36" s="7">
        <v>31</v>
      </c>
      <c r="D36">
        <f t="shared" si="1"/>
        <v>212</v>
      </c>
      <c r="E36" s="13">
        <v>31</v>
      </c>
      <c r="F36" s="1" t="s">
        <v>940</v>
      </c>
      <c r="G36" s="13">
        <v>31</v>
      </c>
      <c r="H36" s="14" t="s">
        <v>85</v>
      </c>
      <c r="I36" s="44">
        <v>1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6">
        <v>0</v>
      </c>
      <c r="R36" s="19">
        <f t="shared" si="0"/>
        <v>1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2:35" x14ac:dyDescent="0.15">
      <c r="B37" s="35" t="s">
        <v>45</v>
      </c>
      <c r="C37" s="7">
        <v>31</v>
      </c>
      <c r="D37">
        <f t="shared" si="1"/>
        <v>243</v>
      </c>
      <c r="E37" s="13">
        <v>32</v>
      </c>
      <c r="F37" s="1" t="s">
        <v>942</v>
      </c>
      <c r="G37" s="13">
        <v>32</v>
      </c>
      <c r="H37" s="14" t="s">
        <v>86</v>
      </c>
      <c r="I37" s="44">
        <v>1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6">
        <v>0</v>
      </c>
      <c r="R37" s="19">
        <f t="shared" si="0"/>
        <v>1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2:35" x14ac:dyDescent="0.15">
      <c r="B38" s="35" t="s">
        <v>46</v>
      </c>
      <c r="C38" s="7">
        <v>30</v>
      </c>
      <c r="D38">
        <f t="shared" si="1"/>
        <v>273</v>
      </c>
      <c r="E38" s="13">
        <v>33</v>
      </c>
      <c r="F38" s="1" t="s">
        <v>944</v>
      </c>
      <c r="G38" s="13">
        <v>33</v>
      </c>
      <c r="H38" s="14" t="s">
        <v>87</v>
      </c>
      <c r="I38" s="45">
        <v>0</v>
      </c>
      <c r="J38" s="32">
        <v>1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6">
        <v>0</v>
      </c>
      <c r="R38" s="19">
        <f t="shared" si="0"/>
        <v>1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2:35" x14ac:dyDescent="0.15">
      <c r="B39" s="35" t="s">
        <v>47</v>
      </c>
      <c r="C39" s="7">
        <v>31</v>
      </c>
      <c r="D39">
        <f t="shared" si="1"/>
        <v>304</v>
      </c>
      <c r="E39" s="13">
        <v>34</v>
      </c>
      <c r="F39" s="1" t="s">
        <v>946</v>
      </c>
      <c r="G39" s="13">
        <v>34</v>
      </c>
      <c r="H39" s="14" t="s">
        <v>88</v>
      </c>
      <c r="I39" s="45">
        <v>0</v>
      </c>
      <c r="J39" s="32">
        <v>1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6">
        <v>0</v>
      </c>
      <c r="R39" s="19">
        <f t="shared" si="0"/>
        <v>1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2:35" x14ac:dyDescent="0.15">
      <c r="B40" s="35" t="s">
        <v>48</v>
      </c>
      <c r="C40" s="7">
        <v>30</v>
      </c>
      <c r="D40">
        <f t="shared" si="1"/>
        <v>334</v>
      </c>
      <c r="E40" s="13">
        <v>35</v>
      </c>
      <c r="F40" s="1" t="s">
        <v>948</v>
      </c>
      <c r="G40" s="13">
        <v>35</v>
      </c>
      <c r="H40" s="14" t="s">
        <v>89</v>
      </c>
      <c r="I40" s="45">
        <v>0</v>
      </c>
      <c r="J40" s="32">
        <v>1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6">
        <v>0</v>
      </c>
      <c r="R40" s="19">
        <f t="shared" si="0"/>
        <v>1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2:35" x14ac:dyDescent="0.15">
      <c r="B41" s="35" t="s">
        <v>49</v>
      </c>
      <c r="C41" s="7">
        <v>31</v>
      </c>
      <c r="D41">
        <f t="shared" si="1"/>
        <v>365</v>
      </c>
      <c r="E41" s="13">
        <v>36</v>
      </c>
      <c r="F41" s="1" t="s">
        <v>1503</v>
      </c>
      <c r="G41" s="13">
        <v>36</v>
      </c>
      <c r="H41" s="14" t="s">
        <v>90</v>
      </c>
      <c r="I41" s="45">
        <v>0</v>
      </c>
      <c r="J41" s="32">
        <v>1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6">
        <v>0</v>
      </c>
      <c r="R41" s="19">
        <f t="shared" si="0"/>
        <v>1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2:35" x14ac:dyDescent="0.15">
      <c r="E42" s="13">
        <v>37</v>
      </c>
      <c r="F42" s="1" t="s">
        <v>1505</v>
      </c>
      <c r="G42" s="13">
        <v>37</v>
      </c>
      <c r="H42" s="14" t="s">
        <v>91</v>
      </c>
      <c r="I42" s="45">
        <v>0</v>
      </c>
      <c r="J42" s="32">
        <v>1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6">
        <v>0</v>
      </c>
      <c r="R42" s="19">
        <f t="shared" si="0"/>
        <v>1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2:35" x14ac:dyDescent="0.15">
      <c r="E43" s="13">
        <v>38</v>
      </c>
      <c r="F43" s="1" t="s">
        <v>952</v>
      </c>
      <c r="G43" s="13">
        <v>38</v>
      </c>
      <c r="H43" s="14" t="s">
        <v>92</v>
      </c>
      <c r="I43" s="45">
        <v>0</v>
      </c>
      <c r="J43" s="32">
        <v>1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6">
        <v>0</v>
      </c>
      <c r="R43" s="19">
        <f t="shared" si="0"/>
        <v>1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 x14ac:dyDescent="0.15">
      <c r="E44" s="13">
        <v>39</v>
      </c>
      <c r="F44" s="1" t="s">
        <v>954</v>
      </c>
      <c r="G44" s="13">
        <v>39</v>
      </c>
      <c r="H44" s="14" t="s">
        <v>93</v>
      </c>
      <c r="I44" s="45">
        <v>0</v>
      </c>
      <c r="J44" s="32">
        <v>1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6">
        <v>0</v>
      </c>
      <c r="R44" s="19">
        <f t="shared" si="0"/>
        <v>1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 x14ac:dyDescent="0.15">
      <c r="E45" s="13">
        <v>40</v>
      </c>
      <c r="F45" s="1" t="s">
        <v>956</v>
      </c>
      <c r="G45" s="13">
        <v>40</v>
      </c>
      <c r="H45" s="14" t="s">
        <v>94</v>
      </c>
      <c r="I45" s="45">
        <v>0</v>
      </c>
      <c r="J45" s="32">
        <v>1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6">
        <v>0</v>
      </c>
      <c r="R45" s="19">
        <f t="shared" si="0"/>
        <v>1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 x14ac:dyDescent="0.15">
      <c r="E46" s="13">
        <v>41</v>
      </c>
      <c r="F46" s="1" t="s">
        <v>958</v>
      </c>
      <c r="G46" s="13">
        <v>41</v>
      </c>
      <c r="H46" s="14" t="s">
        <v>95</v>
      </c>
      <c r="I46" s="45">
        <v>0</v>
      </c>
      <c r="J46" s="32">
        <v>1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6">
        <v>0</v>
      </c>
      <c r="R46" s="19">
        <f t="shared" si="0"/>
        <v>1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 x14ac:dyDescent="0.15">
      <c r="E47" s="13">
        <v>42</v>
      </c>
      <c r="F47" s="1" t="s">
        <v>960</v>
      </c>
      <c r="G47" s="13">
        <v>42</v>
      </c>
      <c r="H47" s="14" t="s">
        <v>96</v>
      </c>
      <c r="I47" s="45">
        <v>0</v>
      </c>
      <c r="J47" s="32">
        <v>1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6">
        <v>0</v>
      </c>
      <c r="R47" s="19">
        <f t="shared" si="0"/>
        <v>1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 x14ac:dyDescent="0.15">
      <c r="E48" s="13">
        <v>43</v>
      </c>
      <c r="F48" s="1" t="s">
        <v>962</v>
      </c>
      <c r="G48" s="13">
        <v>43</v>
      </c>
      <c r="H48" s="14" t="s">
        <v>97</v>
      </c>
      <c r="I48" s="45">
        <v>0</v>
      </c>
      <c r="J48" s="32">
        <v>1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6">
        <v>0</v>
      </c>
      <c r="R48" s="19">
        <f t="shared" si="0"/>
        <v>1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5:35" x14ac:dyDescent="0.15">
      <c r="E49" s="13">
        <v>44</v>
      </c>
      <c r="F49" s="1" t="s">
        <v>964</v>
      </c>
      <c r="G49" s="13">
        <v>44</v>
      </c>
      <c r="H49" s="14" t="s">
        <v>98</v>
      </c>
      <c r="I49" s="45">
        <v>0</v>
      </c>
      <c r="J49" s="32">
        <v>1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6">
        <v>0</v>
      </c>
      <c r="R49" s="19">
        <f t="shared" si="0"/>
        <v>1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5:35" x14ac:dyDescent="0.15">
      <c r="E50" s="13">
        <v>45</v>
      </c>
      <c r="F50" s="1" t="s">
        <v>1507</v>
      </c>
      <c r="G50" s="13">
        <v>45</v>
      </c>
      <c r="H50" s="14" t="s">
        <v>99</v>
      </c>
      <c r="I50" s="45">
        <v>0</v>
      </c>
      <c r="J50" s="32">
        <v>1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6">
        <v>0</v>
      </c>
      <c r="R50" s="19">
        <f t="shared" si="0"/>
        <v>1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5:35" x14ac:dyDescent="0.15">
      <c r="E51" s="13">
        <v>46</v>
      </c>
      <c r="F51" s="1" t="s">
        <v>930</v>
      </c>
      <c r="G51" s="13">
        <v>46</v>
      </c>
      <c r="H51" s="20" t="s">
        <v>824</v>
      </c>
      <c r="I51" s="45">
        <v>0</v>
      </c>
      <c r="J51" s="32">
        <v>1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6">
        <v>0</v>
      </c>
      <c r="R51" s="19">
        <f t="shared" si="0"/>
        <v>1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5:35" x14ac:dyDescent="0.15">
      <c r="E52" s="13">
        <v>47</v>
      </c>
      <c r="F52" s="1" t="s">
        <v>968</v>
      </c>
      <c r="G52" s="13">
        <v>47</v>
      </c>
      <c r="H52" s="14" t="s">
        <v>100</v>
      </c>
      <c r="I52" s="45">
        <v>0</v>
      </c>
      <c r="J52" s="32">
        <v>1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6">
        <v>0</v>
      </c>
      <c r="R52" s="19">
        <f t="shared" si="0"/>
        <v>1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5:35" x14ac:dyDescent="0.15">
      <c r="E53" s="13">
        <v>48</v>
      </c>
      <c r="F53" s="1" t="s">
        <v>970</v>
      </c>
      <c r="G53" s="13">
        <v>48</v>
      </c>
      <c r="H53" s="14" t="s">
        <v>101</v>
      </c>
      <c r="I53" s="45">
        <v>0</v>
      </c>
      <c r="J53" s="32">
        <v>1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6">
        <v>0</v>
      </c>
      <c r="R53" s="19">
        <f t="shared" si="0"/>
        <v>1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5:35" x14ac:dyDescent="0.15">
      <c r="E54" s="13">
        <v>49</v>
      </c>
      <c r="F54" s="1" t="s">
        <v>972</v>
      </c>
      <c r="G54" s="13">
        <v>49</v>
      </c>
      <c r="H54" s="14" t="s">
        <v>102</v>
      </c>
      <c r="I54" s="45">
        <v>0</v>
      </c>
      <c r="J54" s="32">
        <v>1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6">
        <v>0</v>
      </c>
      <c r="R54" s="19">
        <f t="shared" si="0"/>
        <v>1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5:35" x14ac:dyDescent="0.15">
      <c r="E55" s="13">
        <v>50</v>
      </c>
      <c r="F55" s="1" t="s">
        <v>974</v>
      </c>
      <c r="G55" s="13">
        <v>50</v>
      </c>
      <c r="H55" s="14" t="s">
        <v>103</v>
      </c>
      <c r="I55" s="45">
        <v>0</v>
      </c>
      <c r="J55" s="32">
        <v>1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6">
        <v>0</v>
      </c>
      <c r="R55" s="19">
        <f t="shared" si="0"/>
        <v>1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5:35" x14ac:dyDescent="0.15">
      <c r="E56" s="13">
        <v>51</v>
      </c>
      <c r="F56" s="1" t="s">
        <v>976</v>
      </c>
      <c r="G56" s="13">
        <v>51</v>
      </c>
      <c r="H56" s="14" t="s">
        <v>104</v>
      </c>
      <c r="I56" s="45">
        <v>0</v>
      </c>
      <c r="J56" s="32">
        <v>1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6">
        <v>0</v>
      </c>
      <c r="R56" s="19">
        <f t="shared" si="0"/>
        <v>1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5:35" x14ac:dyDescent="0.15">
      <c r="E57" s="13">
        <v>52</v>
      </c>
      <c r="F57" s="1" t="s">
        <v>1509</v>
      </c>
      <c r="G57" s="13">
        <v>52</v>
      </c>
      <c r="H57" s="14" t="s">
        <v>105</v>
      </c>
      <c r="I57" s="45">
        <v>0</v>
      </c>
      <c r="J57" s="32">
        <v>1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6">
        <v>0</v>
      </c>
      <c r="R57" s="19">
        <f t="shared" si="0"/>
        <v>1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5:35" x14ac:dyDescent="0.15">
      <c r="E58" s="13">
        <v>53</v>
      </c>
      <c r="F58" s="1" t="s">
        <v>980</v>
      </c>
      <c r="G58" s="13">
        <v>53</v>
      </c>
      <c r="H58" s="14" t="s">
        <v>106</v>
      </c>
      <c r="I58" s="45">
        <v>0</v>
      </c>
      <c r="J58" s="32">
        <v>1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6">
        <v>0</v>
      </c>
      <c r="R58" s="19">
        <f t="shared" si="0"/>
        <v>1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5:35" x14ac:dyDescent="0.15">
      <c r="E59" s="13">
        <v>54</v>
      </c>
      <c r="F59" s="1" t="s">
        <v>982</v>
      </c>
      <c r="G59" s="13">
        <v>54</v>
      </c>
      <c r="H59" s="14" t="s">
        <v>107</v>
      </c>
      <c r="I59" s="45">
        <v>0</v>
      </c>
      <c r="J59" s="32">
        <v>1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6">
        <v>0</v>
      </c>
      <c r="R59" s="19">
        <f t="shared" si="0"/>
        <v>1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5:35" x14ac:dyDescent="0.15">
      <c r="E60" s="13">
        <v>55</v>
      </c>
      <c r="F60" s="1" t="s">
        <v>984</v>
      </c>
      <c r="G60" s="13">
        <v>55</v>
      </c>
      <c r="H60" s="14" t="s">
        <v>108</v>
      </c>
      <c r="I60" s="45">
        <v>0</v>
      </c>
      <c r="J60" s="32">
        <v>1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6">
        <v>0</v>
      </c>
      <c r="R60" s="19">
        <f t="shared" si="0"/>
        <v>1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5:35" x14ac:dyDescent="0.15">
      <c r="E61" s="13">
        <v>56</v>
      </c>
      <c r="F61" s="1" t="s">
        <v>986</v>
      </c>
      <c r="G61" s="13">
        <v>56</v>
      </c>
      <c r="H61" s="14" t="s">
        <v>109</v>
      </c>
      <c r="I61" s="45">
        <v>0</v>
      </c>
      <c r="J61" s="32">
        <v>1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6">
        <v>0</v>
      </c>
      <c r="R61" s="19">
        <f t="shared" si="0"/>
        <v>1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5:35" x14ac:dyDescent="0.15">
      <c r="E62" s="13">
        <v>57</v>
      </c>
      <c r="F62" s="1" t="s">
        <v>988</v>
      </c>
      <c r="G62" s="13">
        <v>57</v>
      </c>
      <c r="H62" s="14" t="s">
        <v>110</v>
      </c>
      <c r="I62" s="45">
        <v>0</v>
      </c>
      <c r="J62" s="32">
        <v>1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6">
        <v>0</v>
      </c>
      <c r="R62" s="19">
        <f t="shared" si="0"/>
        <v>1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5:35" x14ac:dyDescent="0.15">
      <c r="E63" s="13">
        <v>59</v>
      </c>
      <c r="F63" s="1" t="s">
        <v>1513</v>
      </c>
      <c r="G63" s="13">
        <v>58</v>
      </c>
      <c r="H63" s="14" t="s">
        <v>112</v>
      </c>
      <c r="I63" s="45">
        <v>0</v>
      </c>
      <c r="J63" s="32">
        <v>1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6">
        <v>0</v>
      </c>
      <c r="R63" s="19">
        <f t="shared" si="0"/>
        <v>1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5:35" x14ac:dyDescent="0.15">
      <c r="E64" s="13">
        <v>60</v>
      </c>
      <c r="F64" s="1" t="s">
        <v>994</v>
      </c>
      <c r="G64" s="13">
        <v>59</v>
      </c>
      <c r="H64" s="14" t="s">
        <v>113</v>
      </c>
      <c r="I64" s="45">
        <v>0</v>
      </c>
      <c r="J64" s="32">
        <v>1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6">
        <v>0</v>
      </c>
      <c r="R64" s="19">
        <f t="shared" si="0"/>
        <v>1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5:35" x14ac:dyDescent="0.15">
      <c r="E65" s="13">
        <v>62</v>
      </c>
      <c r="F65" s="1" t="s">
        <v>998</v>
      </c>
      <c r="G65" s="13">
        <v>60</v>
      </c>
      <c r="H65" s="20" t="s">
        <v>833</v>
      </c>
      <c r="I65" s="45">
        <v>0</v>
      </c>
      <c r="J65" s="32">
        <v>1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6">
        <v>0</v>
      </c>
      <c r="R65" s="19">
        <f t="shared" si="0"/>
        <v>1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5:35" x14ac:dyDescent="0.15">
      <c r="E66" s="13"/>
      <c r="F66" s="1" t="s">
        <v>1593</v>
      </c>
      <c r="G66" s="13">
        <v>61</v>
      </c>
      <c r="H66" s="20" t="s">
        <v>1618</v>
      </c>
      <c r="I66" s="45">
        <v>0</v>
      </c>
      <c r="J66" s="11">
        <v>0</v>
      </c>
      <c r="K66" s="32">
        <v>1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6">
        <v>0</v>
      </c>
      <c r="R66" s="19">
        <f t="shared" si="0"/>
        <v>1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5:35" x14ac:dyDescent="0.15">
      <c r="E67" s="13">
        <v>58</v>
      </c>
      <c r="F67" s="1" t="s">
        <v>1511</v>
      </c>
      <c r="G67" s="13">
        <v>62</v>
      </c>
      <c r="H67" s="14" t="s">
        <v>111</v>
      </c>
      <c r="I67" s="45">
        <v>0</v>
      </c>
      <c r="J67" s="11">
        <v>0</v>
      </c>
      <c r="K67" s="32">
        <v>1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6">
        <v>0</v>
      </c>
      <c r="R67" s="19">
        <f t="shared" ref="R67:R68" si="2">SUM(I67:Q67)</f>
        <v>1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5:35" x14ac:dyDescent="0.15">
      <c r="E68" s="13">
        <v>61</v>
      </c>
      <c r="F68" s="1" t="s">
        <v>996</v>
      </c>
      <c r="G68" s="13">
        <v>63</v>
      </c>
      <c r="H68" s="14" t="s">
        <v>114</v>
      </c>
      <c r="I68" s="45">
        <v>0</v>
      </c>
      <c r="J68" s="49">
        <v>0</v>
      </c>
      <c r="K68" s="32">
        <v>1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6">
        <v>0</v>
      </c>
      <c r="R68" s="19">
        <f t="shared" si="2"/>
        <v>1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5:35" x14ac:dyDescent="0.15">
      <c r="E69" s="13">
        <v>63</v>
      </c>
      <c r="F69" s="1" t="s">
        <v>1000</v>
      </c>
      <c r="G69" s="13">
        <v>64</v>
      </c>
      <c r="H69" s="14" t="s">
        <v>115</v>
      </c>
      <c r="I69" s="45">
        <v>0</v>
      </c>
      <c r="J69" s="11">
        <v>0</v>
      </c>
      <c r="K69" s="32">
        <v>1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6">
        <v>0</v>
      </c>
      <c r="R69" s="19">
        <f t="shared" si="0"/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5:35" x14ac:dyDescent="0.15">
      <c r="E70" s="13">
        <v>64</v>
      </c>
      <c r="F70" s="1" t="s">
        <v>1002</v>
      </c>
      <c r="G70" s="13">
        <v>65</v>
      </c>
      <c r="H70" s="14" t="s">
        <v>116</v>
      </c>
      <c r="I70" s="45">
        <v>0</v>
      </c>
      <c r="J70" s="11">
        <v>0</v>
      </c>
      <c r="K70" s="32">
        <v>1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6">
        <v>0</v>
      </c>
      <c r="R70" s="19">
        <f t="shared" si="0"/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5:35" x14ac:dyDescent="0.15">
      <c r="E71" s="13">
        <v>65</v>
      </c>
      <c r="F71" s="1" t="s">
        <v>1004</v>
      </c>
      <c r="G71" s="13">
        <v>66</v>
      </c>
      <c r="H71" s="14" t="s">
        <v>117</v>
      </c>
      <c r="I71" s="45">
        <v>0</v>
      </c>
      <c r="J71" s="11">
        <v>0</v>
      </c>
      <c r="K71" s="32">
        <v>1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6">
        <v>0</v>
      </c>
      <c r="R71" s="19">
        <f t="shared" ref="R71:R135" si="3">SUM(I71:Q71)</f>
        <v>1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5:35" x14ac:dyDescent="0.15">
      <c r="E72" s="13">
        <v>66</v>
      </c>
      <c r="F72" s="1" t="s">
        <v>1006</v>
      </c>
      <c r="G72" s="13">
        <v>67</v>
      </c>
      <c r="H72" s="14" t="s">
        <v>118</v>
      </c>
      <c r="I72" s="45">
        <v>0</v>
      </c>
      <c r="J72" s="11">
        <v>0</v>
      </c>
      <c r="K72" s="32">
        <v>1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6">
        <v>0</v>
      </c>
      <c r="R72" s="19">
        <f t="shared" si="3"/>
        <v>1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5:35" x14ac:dyDescent="0.15">
      <c r="E73" s="13">
        <v>67</v>
      </c>
      <c r="F73" s="1" t="s">
        <v>1008</v>
      </c>
      <c r="G73" s="13">
        <v>68</v>
      </c>
      <c r="H73" s="14" t="s">
        <v>119</v>
      </c>
      <c r="I73" s="45">
        <v>0</v>
      </c>
      <c r="J73" s="11">
        <v>0</v>
      </c>
      <c r="K73" s="32">
        <v>1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6">
        <v>0</v>
      </c>
      <c r="R73" s="19">
        <f t="shared" si="3"/>
        <v>1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5:35" x14ac:dyDescent="0.15">
      <c r="E74" s="13">
        <v>68</v>
      </c>
      <c r="F74" s="1" t="s">
        <v>1010</v>
      </c>
      <c r="G74" s="13">
        <v>69</v>
      </c>
      <c r="H74" s="14" t="s">
        <v>120</v>
      </c>
      <c r="I74" s="45">
        <v>0</v>
      </c>
      <c r="J74" s="11">
        <v>0</v>
      </c>
      <c r="K74" s="32">
        <v>1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6">
        <v>0</v>
      </c>
      <c r="R74" s="19">
        <f t="shared" si="3"/>
        <v>1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5:35" x14ac:dyDescent="0.15">
      <c r="E75" s="13">
        <v>69</v>
      </c>
      <c r="F75" s="1" t="s">
        <v>1012</v>
      </c>
      <c r="G75" s="13">
        <v>70</v>
      </c>
      <c r="H75" s="14" t="s">
        <v>121</v>
      </c>
      <c r="I75" s="45">
        <v>0</v>
      </c>
      <c r="J75" s="11">
        <v>0</v>
      </c>
      <c r="K75" s="32">
        <v>1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6">
        <v>0</v>
      </c>
      <c r="R75" s="19">
        <f t="shared" si="3"/>
        <v>1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5:35" x14ac:dyDescent="0.15">
      <c r="E76" s="13">
        <v>70</v>
      </c>
      <c r="F76" s="1" t="s">
        <v>1014</v>
      </c>
      <c r="G76" s="13">
        <v>71</v>
      </c>
      <c r="H76" s="14" t="s">
        <v>122</v>
      </c>
      <c r="I76" s="45">
        <v>0</v>
      </c>
      <c r="J76" s="11">
        <v>0</v>
      </c>
      <c r="K76" s="32">
        <v>1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6">
        <v>0</v>
      </c>
      <c r="R76" s="19">
        <f t="shared" si="3"/>
        <v>1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5:35" x14ac:dyDescent="0.15">
      <c r="E77" s="13">
        <v>71</v>
      </c>
      <c r="F77" s="1" t="s">
        <v>1515</v>
      </c>
      <c r="G77" s="13">
        <v>72</v>
      </c>
      <c r="H77" s="14" t="s">
        <v>123</v>
      </c>
      <c r="I77" s="45">
        <v>0</v>
      </c>
      <c r="J77" s="11">
        <v>0</v>
      </c>
      <c r="K77" s="32">
        <v>1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6">
        <v>0</v>
      </c>
      <c r="R77" s="19">
        <f t="shared" si="3"/>
        <v>1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5:35" x14ac:dyDescent="0.15">
      <c r="E78" s="13">
        <v>72</v>
      </c>
      <c r="F78" s="1" t="s">
        <v>1517</v>
      </c>
      <c r="G78" s="13">
        <v>73</v>
      </c>
      <c r="H78" s="14" t="s">
        <v>124</v>
      </c>
      <c r="I78" s="45">
        <v>0</v>
      </c>
      <c r="J78" s="11">
        <v>0</v>
      </c>
      <c r="K78" s="32">
        <v>1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6">
        <v>0</v>
      </c>
      <c r="R78" s="19">
        <f t="shared" si="3"/>
        <v>1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5:35" x14ac:dyDescent="0.15">
      <c r="E79" s="13">
        <v>73</v>
      </c>
      <c r="F79" s="1" t="s">
        <v>1020</v>
      </c>
      <c r="G79" s="13">
        <v>74</v>
      </c>
      <c r="H79" s="14" t="s">
        <v>125</v>
      </c>
      <c r="I79" s="45">
        <v>0</v>
      </c>
      <c r="J79" s="11">
        <v>0</v>
      </c>
      <c r="K79" s="32">
        <v>1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6">
        <v>0</v>
      </c>
      <c r="R79" s="19">
        <f t="shared" si="3"/>
        <v>1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5:35" x14ac:dyDescent="0.15">
      <c r="E80" s="13">
        <v>74</v>
      </c>
      <c r="F80" s="1" t="s">
        <v>1022</v>
      </c>
      <c r="G80" s="13">
        <v>75</v>
      </c>
      <c r="H80" s="14" t="s">
        <v>126</v>
      </c>
      <c r="I80" s="45">
        <v>0</v>
      </c>
      <c r="J80" s="11">
        <v>0</v>
      </c>
      <c r="K80" s="32">
        <v>1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6">
        <v>0</v>
      </c>
      <c r="R80" s="19">
        <f t="shared" si="3"/>
        <v>1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5:35" x14ac:dyDescent="0.15">
      <c r="E81" s="13">
        <v>75</v>
      </c>
      <c r="F81" s="1" t="s">
        <v>1024</v>
      </c>
      <c r="G81" s="13">
        <v>76</v>
      </c>
      <c r="H81" s="14" t="s">
        <v>127</v>
      </c>
      <c r="I81" s="45">
        <v>0</v>
      </c>
      <c r="J81" s="11">
        <v>0</v>
      </c>
      <c r="K81" s="32">
        <v>1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6">
        <v>0</v>
      </c>
      <c r="R81" s="19">
        <f t="shared" si="3"/>
        <v>1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5:35" x14ac:dyDescent="0.15">
      <c r="E82" s="13">
        <v>76</v>
      </c>
      <c r="F82" s="1" t="s">
        <v>1026</v>
      </c>
      <c r="G82" s="13">
        <v>77</v>
      </c>
      <c r="H82" s="14" t="s">
        <v>128</v>
      </c>
      <c r="I82" s="45">
        <v>0</v>
      </c>
      <c r="J82" s="11">
        <v>0</v>
      </c>
      <c r="K82" s="32">
        <v>1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6">
        <v>0</v>
      </c>
      <c r="R82" s="19">
        <f t="shared" si="3"/>
        <v>1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5:35" x14ac:dyDescent="0.15">
      <c r="E83" s="13">
        <v>77</v>
      </c>
      <c r="F83" s="1" t="s">
        <v>1028</v>
      </c>
      <c r="G83" s="13">
        <v>78</v>
      </c>
      <c r="H83" s="14" t="s">
        <v>129</v>
      </c>
      <c r="I83" s="45">
        <v>0</v>
      </c>
      <c r="J83" s="11">
        <v>0</v>
      </c>
      <c r="K83" s="32">
        <v>1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6">
        <v>0</v>
      </c>
      <c r="R83" s="19">
        <f t="shared" si="3"/>
        <v>1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5:35" x14ac:dyDescent="0.15">
      <c r="E84" s="13">
        <v>78</v>
      </c>
      <c r="F84" s="1" t="s">
        <v>1030</v>
      </c>
      <c r="G84" s="13">
        <v>79</v>
      </c>
      <c r="H84" s="14" t="s">
        <v>130</v>
      </c>
      <c r="I84" s="45">
        <v>0</v>
      </c>
      <c r="J84" s="11">
        <v>0</v>
      </c>
      <c r="K84" s="32">
        <v>1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6">
        <v>0</v>
      </c>
      <c r="R84" s="19">
        <f t="shared" si="3"/>
        <v>1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5:35" x14ac:dyDescent="0.15">
      <c r="E85" s="13">
        <v>79</v>
      </c>
      <c r="F85" s="1" t="s">
        <v>1519</v>
      </c>
      <c r="G85" s="13">
        <v>80</v>
      </c>
      <c r="H85" s="14" t="s">
        <v>131</v>
      </c>
      <c r="I85" s="45">
        <v>0</v>
      </c>
      <c r="J85" s="11">
        <v>0</v>
      </c>
      <c r="K85" s="32">
        <v>1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6">
        <v>0</v>
      </c>
      <c r="R85" s="19">
        <f t="shared" si="3"/>
        <v>1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5:35" x14ac:dyDescent="0.15">
      <c r="E86" s="13">
        <v>80</v>
      </c>
      <c r="F86" s="1" t="s">
        <v>1034</v>
      </c>
      <c r="G86" s="13">
        <v>81</v>
      </c>
      <c r="H86" s="14" t="s">
        <v>132</v>
      </c>
      <c r="I86" s="45">
        <v>0</v>
      </c>
      <c r="J86" s="11">
        <v>0</v>
      </c>
      <c r="K86" s="32">
        <v>1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6">
        <v>0</v>
      </c>
      <c r="R86" s="19">
        <f t="shared" si="3"/>
        <v>1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5:35" x14ac:dyDescent="0.15">
      <c r="E87" s="13"/>
      <c r="F87" s="1" t="s">
        <v>1591</v>
      </c>
      <c r="G87" s="13">
        <v>82</v>
      </c>
      <c r="H87" s="20" t="s">
        <v>1592</v>
      </c>
      <c r="I87" s="45">
        <v>0</v>
      </c>
      <c r="J87" s="11">
        <v>0</v>
      </c>
      <c r="K87" s="32">
        <v>1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6">
        <v>0</v>
      </c>
      <c r="R87" s="19">
        <f t="shared" si="3"/>
        <v>1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5:35" x14ac:dyDescent="0.15">
      <c r="E88" s="13">
        <v>81</v>
      </c>
      <c r="F88" s="1" t="s">
        <v>1036</v>
      </c>
      <c r="G88" s="13">
        <v>83</v>
      </c>
      <c r="H88" s="14" t="s">
        <v>133</v>
      </c>
      <c r="I88" s="45">
        <v>0</v>
      </c>
      <c r="J88" s="11">
        <v>0</v>
      </c>
      <c r="K88" s="32">
        <v>1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6">
        <v>0</v>
      </c>
      <c r="R88" s="19">
        <f t="shared" si="3"/>
        <v>1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5:35" x14ac:dyDescent="0.15">
      <c r="E89" s="13">
        <v>82</v>
      </c>
      <c r="F89" s="1" t="s">
        <v>1038</v>
      </c>
      <c r="G89" s="13">
        <v>84</v>
      </c>
      <c r="H89" s="14" t="s">
        <v>134</v>
      </c>
      <c r="I89" s="45">
        <v>0</v>
      </c>
      <c r="J89" s="11">
        <v>0</v>
      </c>
      <c r="K89" s="32">
        <v>1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6">
        <v>0</v>
      </c>
      <c r="R89" s="19">
        <f t="shared" si="3"/>
        <v>1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5:35" x14ac:dyDescent="0.15">
      <c r="E90" s="13">
        <v>83</v>
      </c>
      <c r="F90" s="1" t="s">
        <v>1040</v>
      </c>
      <c r="G90" s="13">
        <v>85</v>
      </c>
      <c r="H90" s="14" t="s">
        <v>135</v>
      </c>
      <c r="I90" s="45">
        <v>0</v>
      </c>
      <c r="J90" s="11">
        <v>0</v>
      </c>
      <c r="K90" s="32">
        <v>1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6">
        <v>0</v>
      </c>
      <c r="R90" s="19">
        <f t="shared" si="3"/>
        <v>1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5:35" x14ac:dyDescent="0.15">
      <c r="E91" s="13">
        <v>84</v>
      </c>
      <c r="F91" s="1" t="s">
        <v>1042</v>
      </c>
      <c r="G91" s="13">
        <v>86</v>
      </c>
      <c r="H91" s="14" t="s">
        <v>136</v>
      </c>
      <c r="I91" s="45">
        <v>0</v>
      </c>
      <c r="J91" s="11">
        <v>0</v>
      </c>
      <c r="K91" s="32">
        <v>1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6">
        <v>0</v>
      </c>
      <c r="R91" s="19">
        <f t="shared" si="3"/>
        <v>1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5:35" x14ac:dyDescent="0.15">
      <c r="E92" s="13">
        <v>85</v>
      </c>
      <c r="F92" s="1" t="s">
        <v>1044</v>
      </c>
      <c r="G92" s="13">
        <v>87</v>
      </c>
      <c r="H92" s="14" t="s">
        <v>137</v>
      </c>
      <c r="I92" s="45">
        <v>0</v>
      </c>
      <c r="J92" s="11">
        <v>0</v>
      </c>
      <c r="K92" s="32">
        <v>1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6">
        <v>0</v>
      </c>
      <c r="R92" s="19">
        <f t="shared" si="3"/>
        <v>1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5:35" x14ac:dyDescent="0.15">
      <c r="E93" s="13">
        <v>86</v>
      </c>
      <c r="F93" s="1" t="s">
        <v>1046</v>
      </c>
      <c r="G93" s="13">
        <v>88</v>
      </c>
      <c r="H93" s="14" t="s">
        <v>138</v>
      </c>
      <c r="I93" s="45">
        <v>0</v>
      </c>
      <c r="J93" s="11">
        <v>0</v>
      </c>
      <c r="K93" s="32">
        <v>1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6">
        <v>0</v>
      </c>
      <c r="R93" s="19">
        <f t="shared" si="3"/>
        <v>1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5:35" x14ac:dyDescent="0.15">
      <c r="E94" s="13">
        <v>87</v>
      </c>
      <c r="F94" s="1" t="s">
        <v>1048</v>
      </c>
      <c r="G94" s="13">
        <v>89</v>
      </c>
      <c r="H94" s="14" t="s">
        <v>139</v>
      </c>
      <c r="I94" s="45">
        <v>0</v>
      </c>
      <c r="J94" s="11">
        <v>0</v>
      </c>
      <c r="K94" s="32">
        <v>1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6">
        <v>0</v>
      </c>
      <c r="R94" s="19">
        <f t="shared" si="3"/>
        <v>1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5:35" x14ac:dyDescent="0.15">
      <c r="E95" s="13">
        <v>88</v>
      </c>
      <c r="F95" s="1" t="s">
        <v>1016</v>
      </c>
      <c r="G95" s="13">
        <v>90</v>
      </c>
      <c r="H95" s="14" t="s">
        <v>140</v>
      </c>
      <c r="I95" s="45">
        <v>0</v>
      </c>
      <c r="J95" s="11">
        <v>0</v>
      </c>
      <c r="K95" s="32">
        <v>1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6">
        <v>0</v>
      </c>
      <c r="R95" s="19">
        <f t="shared" si="3"/>
        <v>1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5:35" x14ac:dyDescent="0.15">
      <c r="E96" s="13">
        <v>89</v>
      </c>
      <c r="F96" s="1" t="s">
        <v>1050</v>
      </c>
      <c r="G96" s="13">
        <v>91</v>
      </c>
      <c r="H96" s="14" t="s">
        <v>141</v>
      </c>
      <c r="I96" s="45">
        <v>0</v>
      </c>
      <c r="J96" s="11">
        <v>0</v>
      </c>
      <c r="K96" s="32">
        <v>1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6">
        <v>0</v>
      </c>
      <c r="R96" s="19">
        <f t="shared" si="3"/>
        <v>1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5:35" x14ac:dyDescent="0.15">
      <c r="E97" s="13">
        <v>90</v>
      </c>
      <c r="F97" s="1" t="s">
        <v>1052</v>
      </c>
      <c r="G97" s="13">
        <v>92</v>
      </c>
      <c r="H97" s="14" t="s">
        <v>142</v>
      </c>
      <c r="I97" s="45">
        <v>0</v>
      </c>
      <c r="J97" s="11">
        <v>0</v>
      </c>
      <c r="K97" s="32">
        <v>1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6">
        <v>0</v>
      </c>
      <c r="R97" s="19">
        <f t="shared" si="3"/>
        <v>1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5:35" x14ac:dyDescent="0.15">
      <c r="E98" s="13">
        <v>91</v>
      </c>
      <c r="F98" s="1" t="s">
        <v>1054</v>
      </c>
      <c r="G98" s="13">
        <v>93</v>
      </c>
      <c r="H98" s="14" t="s">
        <v>143</v>
      </c>
      <c r="I98" s="45">
        <v>0</v>
      </c>
      <c r="J98" s="11">
        <v>0</v>
      </c>
      <c r="K98" s="32">
        <v>1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6">
        <v>0</v>
      </c>
      <c r="R98" s="19">
        <f t="shared" si="3"/>
        <v>1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5:35" x14ac:dyDescent="0.15">
      <c r="E99" s="13">
        <v>92</v>
      </c>
      <c r="F99" s="1" t="s">
        <v>1056</v>
      </c>
      <c r="G99" s="13">
        <v>94</v>
      </c>
      <c r="H99" s="14" t="s">
        <v>144</v>
      </c>
      <c r="I99" s="45">
        <v>0</v>
      </c>
      <c r="J99" s="11">
        <v>0</v>
      </c>
      <c r="K99" s="32">
        <v>1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6">
        <v>0</v>
      </c>
      <c r="R99" s="19">
        <f t="shared" si="3"/>
        <v>1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5:35" x14ac:dyDescent="0.15">
      <c r="E100" s="13">
        <v>93</v>
      </c>
      <c r="F100" s="1" t="s">
        <v>1521</v>
      </c>
      <c r="G100" s="13">
        <v>95</v>
      </c>
      <c r="H100" s="14" t="s">
        <v>145</v>
      </c>
      <c r="I100" s="45">
        <v>0</v>
      </c>
      <c r="J100" s="11">
        <v>0</v>
      </c>
      <c r="K100" s="32">
        <v>1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6">
        <v>0</v>
      </c>
      <c r="R100" s="19">
        <f t="shared" si="3"/>
        <v>1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5:35" x14ac:dyDescent="0.15">
      <c r="E101" s="13">
        <v>94</v>
      </c>
      <c r="F101" s="1" t="s">
        <v>1058</v>
      </c>
      <c r="G101" s="13">
        <v>96</v>
      </c>
      <c r="H101" s="14" t="s">
        <v>146</v>
      </c>
      <c r="I101" s="45">
        <v>0</v>
      </c>
      <c r="J101" s="11">
        <v>0</v>
      </c>
      <c r="K101" s="32">
        <v>1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6">
        <v>0</v>
      </c>
      <c r="R101" s="19">
        <f t="shared" si="3"/>
        <v>1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5:35" x14ac:dyDescent="0.15">
      <c r="E102" s="13">
        <v>95</v>
      </c>
      <c r="F102" s="1" t="s">
        <v>926</v>
      </c>
      <c r="G102" s="13">
        <v>97</v>
      </c>
      <c r="H102" s="14" t="s">
        <v>147</v>
      </c>
      <c r="I102" s="45">
        <v>0</v>
      </c>
      <c r="J102" s="11">
        <v>0</v>
      </c>
      <c r="K102" s="32">
        <v>1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6">
        <v>0</v>
      </c>
      <c r="R102" s="19">
        <f t="shared" si="3"/>
        <v>1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5:35" x14ac:dyDescent="0.15">
      <c r="E103" s="13">
        <v>96</v>
      </c>
      <c r="F103" s="1" t="s">
        <v>1523</v>
      </c>
      <c r="G103" s="13">
        <v>98</v>
      </c>
      <c r="H103" s="14" t="s">
        <v>148</v>
      </c>
      <c r="I103" s="45">
        <v>0</v>
      </c>
      <c r="J103" s="11">
        <v>0</v>
      </c>
      <c r="K103" s="32">
        <v>1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6">
        <v>0</v>
      </c>
      <c r="R103" s="19">
        <f t="shared" si="3"/>
        <v>1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5:35" x14ac:dyDescent="0.15">
      <c r="E104" s="13">
        <v>97</v>
      </c>
      <c r="F104" s="1" t="s">
        <v>1062</v>
      </c>
      <c r="G104" s="13">
        <v>99</v>
      </c>
      <c r="H104" s="14" t="s">
        <v>149</v>
      </c>
      <c r="I104" s="45">
        <v>0</v>
      </c>
      <c r="J104" s="11">
        <v>0</v>
      </c>
      <c r="K104" s="32">
        <v>1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6">
        <v>0</v>
      </c>
      <c r="R104" s="19">
        <f t="shared" si="3"/>
        <v>1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5:35" x14ac:dyDescent="0.15">
      <c r="E105" s="13">
        <v>98</v>
      </c>
      <c r="F105" s="1" t="s">
        <v>1064</v>
      </c>
      <c r="G105" s="13">
        <v>100</v>
      </c>
      <c r="H105" s="14" t="s">
        <v>150</v>
      </c>
      <c r="I105" s="45">
        <v>0</v>
      </c>
      <c r="J105" s="11">
        <v>0</v>
      </c>
      <c r="K105" s="32">
        <v>1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6">
        <v>0</v>
      </c>
      <c r="R105" s="19">
        <f t="shared" si="3"/>
        <v>1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5:35" x14ac:dyDescent="0.15">
      <c r="E106" s="13">
        <v>99</v>
      </c>
      <c r="F106" s="1" t="s">
        <v>1066</v>
      </c>
      <c r="G106" s="13">
        <v>101</v>
      </c>
      <c r="H106" s="14" t="s">
        <v>151</v>
      </c>
      <c r="I106" s="45">
        <v>0</v>
      </c>
      <c r="J106" s="11">
        <v>0</v>
      </c>
      <c r="K106" s="32">
        <v>1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6">
        <v>0</v>
      </c>
      <c r="R106" s="19">
        <f t="shared" si="3"/>
        <v>1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5:35" x14ac:dyDescent="0.15">
      <c r="E107" s="13">
        <v>100</v>
      </c>
      <c r="F107" s="1" t="s">
        <v>1068</v>
      </c>
      <c r="G107" s="13">
        <v>102</v>
      </c>
      <c r="H107" s="14" t="s">
        <v>152</v>
      </c>
      <c r="I107" s="45">
        <v>0</v>
      </c>
      <c r="J107" s="11">
        <v>0</v>
      </c>
      <c r="K107" s="32">
        <v>1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6">
        <v>0</v>
      </c>
      <c r="R107" s="19">
        <f t="shared" si="3"/>
        <v>1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5:35" x14ac:dyDescent="0.15">
      <c r="E108" s="13">
        <v>101</v>
      </c>
      <c r="F108" s="1" t="s">
        <v>1070</v>
      </c>
      <c r="G108" s="13">
        <v>103</v>
      </c>
      <c r="H108" s="14" t="s">
        <v>153</v>
      </c>
      <c r="I108" s="45">
        <v>0</v>
      </c>
      <c r="J108" s="11">
        <v>0</v>
      </c>
      <c r="K108" s="32">
        <v>1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6">
        <v>0</v>
      </c>
      <c r="R108" s="19">
        <f t="shared" si="3"/>
        <v>1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5:35" x14ac:dyDescent="0.15">
      <c r="E109" s="13">
        <v>102</v>
      </c>
      <c r="F109" s="1" t="s">
        <v>1072</v>
      </c>
      <c r="G109" s="13">
        <v>104</v>
      </c>
      <c r="H109" s="14" t="s">
        <v>154</v>
      </c>
      <c r="I109" s="45">
        <v>0</v>
      </c>
      <c r="J109" s="11">
        <v>0</v>
      </c>
      <c r="K109" s="32">
        <v>1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6">
        <v>0</v>
      </c>
      <c r="R109" s="19">
        <f t="shared" si="3"/>
        <v>1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5:35" x14ac:dyDescent="0.15">
      <c r="E110" s="13">
        <v>103</v>
      </c>
      <c r="F110" s="1" t="s">
        <v>1074</v>
      </c>
      <c r="G110" s="13">
        <v>105</v>
      </c>
      <c r="H110" s="14" t="s">
        <v>155</v>
      </c>
      <c r="I110" s="45">
        <v>0</v>
      </c>
      <c r="J110" s="11">
        <v>0</v>
      </c>
      <c r="K110" s="32">
        <v>1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6">
        <v>0</v>
      </c>
      <c r="R110" s="19">
        <f t="shared" si="3"/>
        <v>1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5:35" x14ac:dyDescent="0.15">
      <c r="E111" s="13">
        <v>104</v>
      </c>
      <c r="F111" s="1" t="s">
        <v>1525</v>
      </c>
      <c r="G111" s="13">
        <v>106</v>
      </c>
      <c r="H111" s="14" t="s">
        <v>156</v>
      </c>
      <c r="I111" s="45">
        <v>0</v>
      </c>
      <c r="J111" s="11">
        <v>0</v>
      </c>
      <c r="K111" s="32">
        <v>1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6">
        <v>0</v>
      </c>
      <c r="R111" s="19">
        <f t="shared" si="3"/>
        <v>1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5:35" x14ac:dyDescent="0.15">
      <c r="E112" s="13">
        <v>105</v>
      </c>
      <c r="F112" s="1" t="s">
        <v>1078</v>
      </c>
      <c r="G112" s="13">
        <v>107</v>
      </c>
      <c r="H112" s="14" t="s">
        <v>157</v>
      </c>
      <c r="I112" s="45">
        <v>0</v>
      </c>
      <c r="J112" s="11">
        <v>0</v>
      </c>
      <c r="K112" s="32">
        <v>1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6">
        <v>0</v>
      </c>
      <c r="R112" s="19">
        <f t="shared" si="3"/>
        <v>1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5:35" x14ac:dyDescent="0.15">
      <c r="E113" s="13">
        <v>106</v>
      </c>
      <c r="F113" s="1" t="s">
        <v>1080</v>
      </c>
      <c r="G113" s="13">
        <v>108</v>
      </c>
      <c r="H113" s="14" t="s">
        <v>158</v>
      </c>
      <c r="I113" s="45">
        <v>0</v>
      </c>
      <c r="J113" s="11">
        <v>0</v>
      </c>
      <c r="K113" s="32">
        <v>1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6">
        <v>0</v>
      </c>
      <c r="R113" s="19">
        <f t="shared" si="3"/>
        <v>1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5:35" x14ac:dyDescent="0.15">
      <c r="E114" s="13">
        <v>107</v>
      </c>
      <c r="F114" s="1" t="s">
        <v>1082</v>
      </c>
      <c r="G114" s="13">
        <v>109</v>
      </c>
      <c r="H114" s="14" t="s">
        <v>159</v>
      </c>
      <c r="I114" s="45">
        <v>0</v>
      </c>
      <c r="J114" s="11">
        <v>0</v>
      </c>
      <c r="K114" s="32">
        <v>1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6">
        <v>0</v>
      </c>
      <c r="R114" s="19">
        <f t="shared" si="3"/>
        <v>1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5:35" x14ac:dyDescent="0.15">
      <c r="E115" s="13">
        <v>108</v>
      </c>
      <c r="F115" s="1" t="s">
        <v>1084</v>
      </c>
      <c r="G115" s="13">
        <v>110</v>
      </c>
      <c r="H115" s="14" t="s">
        <v>160</v>
      </c>
      <c r="I115" s="45">
        <v>0</v>
      </c>
      <c r="J115" s="11">
        <v>0</v>
      </c>
      <c r="K115" s="32">
        <v>1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6">
        <v>0</v>
      </c>
      <c r="R115" s="19">
        <f t="shared" si="3"/>
        <v>1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5:35" x14ac:dyDescent="0.15">
      <c r="E116" s="13">
        <v>109</v>
      </c>
      <c r="F116" s="1" t="s">
        <v>1086</v>
      </c>
      <c r="G116" s="13">
        <v>111</v>
      </c>
      <c r="H116" s="14" t="s">
        <v>161</v>
      </c>
      <c r="I116" s="45">
        <v>0</v>
      </c>
      <c r="J116" s="11">
        <v>0</v>
      </c>
      <c r="K116" s="32">
        <v>1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6">
        <v>0</v>
      </c>
      <c r="R116" s="19">
        <f t="shared" si="3"/>
        <v>1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5:35" x14ac:dyDescent="0.15">
      <c r="E117" s="13">
        <v>110</v>
      </c>
      <c r="F117" s="1" t="s">
        <v>1088</v>
      </c>
      <c r="G117" s="13">
        <v>112</v>
      </c>
      <c r="H117" s="14" t="s">
        <v>162</v>
      </c>
      <c r="I117" s="45">
        <v>0</v>
      </c>
      <c r="J117" s="11">
        <v>0</v>
      </c>
      <c r="K117" s="32">
        <v>1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6">
        <v>0</v>
      </c>
      <c r="R117" s="19">
        <f t="shared" si="3"/>
        <v>1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5:35" x14ac:dyDescent="0.15">
      <c r="E118" s="13">
        <v>111</v>
      </c>
      <c r="F118" s="1" t="s">
        <v>1090</v>
      </c>
      <c r="G118" s="13">
        <v>113</v>
      </c>
      <c r="H118" s="14" t="s">
        <v>163</v>
      </c>
      <c r="I118" s="45">
        <v>0</v>
      </c>
      <c r="J118" s="11">
        <v>0</v>
      </c>
      <c r="K118" s="32">
        <v>1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6">
        <v>0</v>
      </c>
      <c r="R118" s="19">
        <f t="shared" si="3"/>
        <v>1</v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5:35" x14ac:dyDescent="0.15">
      <c r="E119" s="13">
        <v>112</v>
      </c>
      <c r="F119" s="1" t="s">
        <v>1527</v>
      </c>
      <c r="G119" s="13">
        <v>114</v>
      </c>
      <c r="H119" s="14" t="s">
        <v>164</v>
      </c>
      <c r="I119" s="45">
        <v>0</v>
      </c>
      <c r="J119" s="11">
        <v>0</v>
      </c>
      <c r="K119" s="32">
        <v>1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6">
        <v>0</v>
      </c>
      <c r="R119" s="19">
        <f t="shared" si="3"/>
        <v>1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5:35" x14ac:dyDescent="0.15">
      <c r="E120" s="13">
        <v>113</v>
      </c>
      <c r="F120" s="1" t="s">
        <v>1094</v>
      </c>
      <c r="G120" s="13">
        <v>115</v>
      </c>
      <c r="H120" s="14" t="s">
        <v>165</v>
      </c>
      <c r="I120" s="45">
        <v>0</v>
      </c>
      <c r="J120" s="11">
        <v>0</v>
      </c>
      <c r="K120" s="32">
        <v>1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6">
        <v>0</v>
      </c>
      <c r="R120" s="19">
        <f t="shared" si="3"/>
        <v>1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5:35" x14ac:dyDescent="0.15">
      <c r="E121" s="13">
        <v>114</v>
      </c>
      <c r="F121" s="1" t="s">
        <v>1096</v>
      </c>
      <c r="G121" s="13">
        <v>116</v>
      </c>
      <c r="H121" s="14" t="s">
        <v>166</v>
      </c>
      <c r="I121" s="45">
        <v>0</v>
      </c>
      <c r="J121" s="11">
        <v>0</v>
      </c>
      <c r="K121" s="32">
        <v>1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6">
        <v>0</v>
      </c>
      <c r="R121" s="19">
        <f t="shared" si="3"/>
        <v>1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5:35" x14ac:dyDescent="0.15">
      <c r="E122" s="13">
        <v>115</v>
      </c>
      <c r="F122" s="1" t="s">
        <v>1098</v>
      </c>
      <c r="G122" s="13">
        <v>117</v>
      </c>
      <c r="H122" s="14" t="s">
        <v>167</v>
      </c>
      <c r="I122" s="45">
        <v>0</v>
      </c>
      <c r="J122" s="11">
        <v>0</v>
      </c>
      <c r="K122" s="32">
        <v>1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6">
        <v>0</v>
      </c>
      <c r="R122" s="19">
        <f t="shared" si="3"/>
        <v>1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5:35" x14ac:dyDescent="0.15">
      <c r="E123" s="13">
        <v>116</v>
      </c>
      <c r="F123" s="1" t="s">
        <v>1100</v>
      </c>
      <c r="G123" s="13">
        <v>118</v>
      </c>
      <c r="H123" s="14" t="s">
        <v>168</v>
      </c>
      <c r="I123" s="45">
        <v>0</v>
      </c>
      <c r="J123" s="11">
        <v>0</v>
      </c>
      <c r="K123" s="32">
        <v>1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6">
        <v>0</v>
      </c>
      <c r="R123" s="19">
        <f t="shared" si="3"/>
        <v>1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5:35" x14ac:dyDescent="0.15">
      <c r="E124" s="13">
        <v>117</v>
      </c>
      <c r="F124" s="1" t="s">
        <v>1102</v>
      </c>
      <c r="G124" s="13">
        <v>119</v>
      </c>
      <c r="H124" s="14" t="s">
        <v>169</v>
      </c>
      <c r="I124" s="45">
        <v>0</v>
      </c>
      <c r="J124" s="11">
        <v>0</v>
      </c>
      <c r="K124" s="32">
        <v>1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6">
        <v>0</v>
      </c>
      <c r="R124" s="19">
        <f t="shared" si="3"/>
        <v>1</v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5:35" x14ac:dyDescent="0.15">
      <c r="E125" s="13">
        <v>118</v>
      </c>
      <c r="F125" s="1" t="s">
        <v>1106</v>
      </c>
      <c r="G125" s="13">
        <v>120</v>
      </c>
      <c r="H125" s="14" t="s">
        <v>170</v>
      </c>
      <c r="I125" s="45">
        <v>0</v>
      </c>
      <c r="J125" s="11">
        <v>0</v>
      </c>
      <c r="K125" s="32">
        <v>1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6">
        <v>0</v>
      </c>
      <c r="R125" s="19">
        <f t="shared" si="3"/>
        <v>1</v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5:35" x14ac:dyDescent="0.15">
      <c r="E126" s="13">
        <v>119</v>
      </c>
      <c r="F126" s="1" t="s">
        <v>1108</v>
      </c>
      <c r="G126" s="13">
        <v>121</v>
      </c>
      <c r="H126" s="14" t="s">
        <v>171</v>
      </c>
      <c r="I126" s="45">
        <v>0</v>
      </c>
      <c r="J126" s="11">
        <v>0</v>
      </c>
      <c r="K126" s="32">
        <v>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6">
        <v>0</v>
      </c>
      <c r="R126" s="19">
        <f t="shared" si="3"/>
        <v>1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5:35" x14ac:dyDescent="0.15">
      <c r="E127" s="13">
        <v>120</v>
      </c>
      <c r="F127" s="1" t="s">
        <v>1110</v>
      </c>
      <c r="G127" s="13">
        <v>122</v>
      </c>
      <c r="H127" s="14" t="s">
        <v>172</v>
      </c>
      <c r="I127" s="45">
        <v>0</v>
      </c>
      <c r="J127" s="11">
        <v>0</v>
      </c>
      <c r="K127" s="32">
        <v>1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6">
        <v>0</v>
      </c>
      <c r="R127" s="19">
        <f t="shared" si="3"/>
        <v>1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5:35" x14ac:dyDescent="0.15">
      <c r="E128" s="13">
        <v>121</v>
      </c>
      <c r="F128" s="1" t="s">
        <v>1112</v>
      </c>
      <c r="G128" s="13">
        <v>123</v>
      </c>
      <c r="H128" s="14" t="s">
        <v>173</v>
      </c>
      <c r="I128" s="45">
        <v>0</v>
      </c>
      <c r="J128" s="11">
        <v>0</v>
      </c>
      <c r="K128" s="32">
        <v>1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6">
        <v>0</v>
      </c>
      <c r="R128" s="19">
        <f t="shared" si="3"/>
        <v>1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5:35" x14ac:dyDescent="0.15">
      <c r="E129" s="13">
        <v>122</v>
      </c>
      <c r="F129" s="1" t="s">
        <v>1529</v>
      </c>
      <c r="G129" s="13">
        <v>124</v>
      </c>
      <c r="H129" s="14" t="s">
        <v>174</v>
      </c>
      <c r="I129" s="45">
        <v>0</v>
      </c>
      <c r="J129" s="11">
        <v>0</v>
      </c>
      <c r="K129" s="32">
        <v>1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6">
        <v>0</v>
      </c>
      <c r="R129" s="19">
        <f t="shared" si="3"/>
        <v>1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5:35" x14ac:dyDescent="0.15">
      <c r="E130" s="13">
        <v>123</v>
      </c>
      <c r="F130" s="1" t="s">
        <v>1531</v>
      </c>
      <c r="G130" s="13">
        <v>125</v>
      </c>
      <c r="H130" s="14" t="s">
        <v>175</v>
      </c>
      <c r="I130" s="45">
        <v>0</v>
      </c>
      <c r="J130" s="11">
        <v>0</v>
      </c>
      <c r="K130" s="32">
        <v>1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6">
        <v>0</v>
      </c>
      <c r="R130" s="19">
        <f t="shared" si="3"/>
        <v>1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5:35" x14ac:dyDescent="0.15">
      <c r="E131" s="13">
        <v>124</v>
      </c>
      <c r="F131" s="1" t="s">
        <v>1533</v>
      </c>
      <c r="G131" s="13">
        <v>126</v>
      </c>
      <c r="H131" s="14" t="s">
        <v>176</v>
      </c>
      <c r="I131" s="45">
        <v>0</v>
      </c>
      <c r="J131" s="11">
        <v>0</v>
      </c>
      <c r="K131" s="32">
        <v>1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6">
        <v>0</v>
      </c>
      <c r="R131" s="19">
        <f t="shared" si="3"/>
        <v>1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5:35" x14ac:dyDescent="0.15">
      <c r="E132" s="13">
        <v>125</v>
      </c>
      <c r="F132" s="1" t="s">
        <v>1121</v>
      </c>
      <c r="G132" s="13">
        <v>127</v>
      </c>
      <c r="H132" s="20" t="s">
        <v>1119</v>
      </c>
      <c r="I132" s="45">
        <v>0</v>
      </c>
      <c r="J132" s="11">
        <v>0</v>
      </c>
      <c r="K132" s="32">
        <v>1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6">
        <v>0</v>
      </c>
      <c r="R132" s="19">
        <f t="shared" si="3"/>
        <v>1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5:35" x14ac:dyDescent="0.15">
      <c r="E133" s="13">
        <v>126</v>
      </c>
      <c r="F133" s="1" t="s">
        <v>1123</v>
      </c>
      <c r="G133" s="13">
        <v>128</v>
      </c>
      <c r="H133" s="14" t="s">
        <v>177</v>
      </c>
      <c r="I133" s="45">
        <v>0</v>
      </c>
      <c r="J133" s="11">
        <v>0</v>
      </c>
      <c r="K133" s="32">
        <v>1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6">
        <v>0</v>
      </c>
      <c r="R133" s="19">
        <f t="shared" si="3"/>
        <v>1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5:35" x14ac:dyDescent="0.15">
      <c r="E134" s="13">
        <v>127</v>
      </c>
      <c r="F134" s="1" t="s">
        <v>1125</v>
      </c>
      <c r="G134" s="13">
        <v>129</v>
      </c>
      <c r="H134" s="14" t="s">
        <v>178</v>
      </c>
      <c r="I134" s="45">
        <v>0</v>
      </c>
      <c r="J134" s="11">
        <v>0</v>
      </c>
      <c r="K134" s="32">
        <v>1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6">
        <v>0</v>
      </c>
      <c r="R134" s="19">
        <f t="shared" si="3"/>
        <v>1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5:35" x14ac:dyDescent="0.15">
      <c r="E135" s="13">
        <v>128</v>
      </c>
      <c r="F135" s="1" t="s">
        <v>1060</v>
      </c>
      <c r="G135" s="13">
        <v>130</v>
      </c>
      <c r="H135" s="14" t="s">
        <v>179</v>
      </c>
      <c r="I135" s="45">
        <v>0</v>
      </c>
      <c r="J135" s="11">
        <v>0</v>
      </c>
      <c r="K135" s="32">
        <v>1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6">
        <v>0</v>
      </c>
      <c r="R135" s="19">
        <f t="shared" si="3"/>
        <v>1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5:35" x14ac:dyDescent="0.15">
      <c r="E136" s="13">
        <v>129</v>
      </c>
      <c r="F136" s="1" t="s">
        <v>1127</v>
      </c>
      <c r="G136" s="13">
        <v>131</v>
      </c>
      <c r="H136" s="14" t="s">
        <v>180</v>
      </c>
      <c r="I136" s="45">
        <v>0</v>
      </c>
      <c r="J136" s="11">
        <v>0</v>
      </c>
      <c r="K136" s="32">
        <v>1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6">
        <v>0</v>
      </c>
      <c r="R136" s="19">
        <f t="shared" ref="R136:R199" si="4">SUM(I136:Q136)</f>
        <v>1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5:35" x14ac:dyDescent="0.15">
      <c r="E137" s="13">
        <v>130</v>
      </c>
      <c r="F137" s="1" t="s">
        <v>1129</v>
      </c>
      <c r="G137" s="13">
        <v>132</v>
      </c>
      <c r="H137" s="14" t="s">
        <v>181</v>
      </c>
      <c r="I137" s="45">
        <v>0</v>
      </c>
      <c r="J137" s="11">
        <v>0</v>
      </c>
      <c r="K137" s="32">
        <v>1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6">
        <v>0</v>
      </c>
      <c r="R137" s="19">
        <f t="shared" si="4"/>
        <v>1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5:35" x14ac:dyDescent="0.15">
      <c r="E138" s="13">
        <v>131</v>
      </c>
      <c r="F138" s="1" t="s">
        <v>1131</v>
      </c>
      <c r="G138" s="13">
        <v>133</v>
      </c>
      <c r="H138" s="14" t="s">
        <v>182</v>
      </c>
      <c r="I138" s="45">
        <v>0</v>
      </c>
      <c r="J138" s="11">
        <v>0</v>
      </c>
      <c r="K138" s="11">
        <v>0</v>
      </c>
      <c r="L138" s="32">
        <v>1</v>
      </c>
      <c r="M138" s="11">
        <v>0</v>
      </c>
      <c r="N138" s="11">
        <v>0</v>
      </c>
      <c r="O138" s="11">
        <v>0</v>
      </c>
      <c r="P138" s="11">
        <v>0</v>
      </c>
      <c r="Q138" s="16">
        <v>0</v>
      </c>
      <c r="R138" s="19">
        <f t="shared" si="4"/>
        <v>1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5:35" x14ac:dyDescent="0.15">
      <c r="E139" s="13">
        <v>132</v>
      </c>
      <c r="F139" s="1" t="s">
        <v>1133</v>
      </c>
      <c r="G139" s="13">
        <v>134</v>
      </c>
      <c r="H139" s="14" t="s">
        <v>183</v>
      </c>
      <c r="I139" s="45">
        <v>0</v>
      </c>
      <c r="J139" s="11">
        <v>0</v>
      </c>
      <c r="K139" s="11">
        <v>0</v>
      </c>
      <c r="L139" s="32">
        <v>1</v>
      </c>
      <c r="M139" s="11">
        <v>0</v>
      </c>
      <c r="N139" s="11">
        <v>0</v>
      </c>
      <c r="O139" s="11">
        <v>0</v>
      </c>
      <c r="P139" s="11">
        <v>0</v>
      </c>
      <c r="Q139" s="16">
        <v>0</v>
      </c>
      <c r="R139" s="19">
        <f t="shared" si="4"/>
        <v>1</v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5:35" x14ac:dyDescent="0.15">
      <c r="E140" s="13">
        <v>133</v>
      </c>
      <c r="F140" s="1" t="s">
        <v>1135</v>
      </c>
      <c r="G140" s="13">
        <v>135</v>
      </c>
      <c r="H140" s="14" t="s">
        <v>184</v>
      </c>
      <c r="I140" s="45">
        <v>0</v>
      </c>
      <c r="J140" s="11">
        <v>0</v>
      </c>
      <c r="K140" s="11">
        <v>0</v>
      </c>
      <c r="L140" s="32">
        <v>1</v>
      </c>
      <c r="M140" s="11">
        <v>0</v>
      </c>
      <c r="N140" s="11">
        <v>0</v>
      </c>
      <c r="O140" s="11">
        <v>0</v>
      </c>
      <c r="P140" s="11">
        <v>0</v>
      </c>
      <c r="Q140" s="16">
        <v>0</v>
      </c>
      <c r="R140" s="19">
        <f t="shared" si="4"/>
        <v>1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5:35" x14ac:dyDescent="0.15">
      <c r="E141" s="13">
        <v>134</v>
      </c>
      <c r="F141" s="1" t="s">
        <v>1137</v>
      </c>
      <c r="G141" s="13">
        <v>136</v>
      </c>
      <c r="H141" s="20" t="s">
        <v>185</v>
      </c>
      <c r="I141" s="45">
        <v>0</v>
      </c>
      <c r="J141" s="11">
        <v>0</v>
      </c>
      <c r="K141" s="11">
        <v>0</v>
      </c>
      <c r="L141" s="32">
        <v>1</v>
      </c>
      <c r="M141" s="11">
        <v>0</v>
      </c>
      <c r="N141" s="11">
        <v>0</v>
      </c>
      <c r="O141" s="11">
        <v>0</v>
      </c>
      <c r="P141" s="11">
        <v>0</v>
      </c>
      <c r="Q141" s="16">
        <v>0</v>
      </c>
      <c r="R141" s="19">
        <f t="shared" si="4"/>
        <v>1</v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5:35" x14ac:dyDescent="0.15">
      <c r="E142" s="13">
        <v>135</v>
      </c>
      <c r="F142" s="1" t="s">
        <v>1139</v>
      </c>
      <c r="G142" s="13">
        <v>137</v>
      </c>
      <c r="H142" s="14" t="s">
        <v>186</v>
      </c>
      <c r="I142" s="45">
        <v>0</v>
      </c>
      <c r="J142" s="11">
        <v>0</v>
      </c>
      <c r="K142" s="11">
        <v>0</v>
      </c>
      <c r="L142" s="32">
        <v>1</v>
      </c>
      <c r="M142" s="11">
        <v>0</v>
      </c>
      <c r="N142" s="11">
        <v>0</v>
      </c>
      <c r="O142" s="11">
        <v>0</v>
      </c>
      <c r="P142" s="11">
        <v>0</v>
      </c>
      <c r="Q142" s="16">
        <v>0</v>
      </c>
      <c r="R142" s="19">
        <f t="shared" si="4"/>
        <v>1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5:35" x14ac:dyDescent="0.15">
      <c r="E143" s="13">
        <v>136</v>
      </c>
      <c r="F143" s="1" t="s">
        <v>1141</v>
      </c>
      <c r="G143" s="13">
        <v>138</v>
      </c>
      <c r="H143" s="14" t="s">
        <v>187</v>
      </c>
      <c r="I143" s="45">
        <v>0</v>
      </c>
      <c r="J143" s="11">
        <v>0</v>
      </c>
      <c r="K143" s="11">
        <v>0</v>
      </c>
      <c r="L143" s="32">
        <v>1</v>
      </c>
      <c r="M143" s="11">
        <v>0</v>
      </c>
      <c r="N143" s="11">
        <v>0</v>
      </c>
      <c r="O143" s="11">
        <v>0</v>
      </c>
      <c r="P143" s="11">
        <v>0</v>
      </c>
      <c r="Q143" s="16">
        <v>0</v>
      </c>
      <c r="R143" s="19">
        <f t="shared" si="4"/>
        <v>1</v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5:35" x14ac:dyDescent="0.15">
      <c r="E144" s="13">
        <v>137</v>
      </c>
      <c r="F144" s="1" t="s">
        <v>1535</v>
      </c>
      <c r="G144" s="13">
        <v>139</v>
      </c>
      <c r="H144" s="14" t="s">
        <v>188</v>
      </c>
      <c r="I144" s="45">
        <v>0</v>
      </c>
      <c r="J144" s="11">
        <v>0</v>
      </c>
      <c r="K144" s="11">
        <v>0</v>
      </c>
      <c r="L144" s="32">
        <v>1</v>
      </c>
      <c r="M144" s="11">
        <v>0</v>
      </c>
      <c r="N144" s="11">
        <v>0</v>
      </c>
      <c r="O144" s="11">
        <v>0</v>
      </c>
      <c r="P144" s="11">
        <v>0</v>
      </c>
      <c r="Q144" s="16">
        <v>0</v>
      </c>
      <c r="R144" s="19">
        <f t="shared" si="4"/>
        <v>1</v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5:35" x14ac:dyDescent="0.15">
      <c r="E145" s="13">
        <v>138</v>
      </c>
      <c r="F145" s="1" t="s">
        <v>1145</v>
      </c>
      <c r="G145" s="13">
        <v>140</v>
      </c>
      <c r="H145" s="14" t="s">
        <v>189</v>
      </c>
      <c r="I145" s="45">
        <v>0</v>
      </c>
      <c r="J145" s="11">
        <v>0</v>
      </c>
      <c r="K145" s="11">
        <v>0</v>
      </c>
      <c r="L145" s="32">
        <v>1</v>
      </c>
      <c r="M145" s="11">
        <v>0</v>
      </c>
      <c r="N145" s="11">
        <v>0</v>
      </c>
      <c r="O145" s="11">
        <v>0</v>
      </c>
      <c r="P145" s="11">
        <v>0</v>
      </c>
      <c r="Q145" s="16">
        <v>0</v>
      </c>
      <c r="R145" s="19">
        <f t="shared" si="4"/>
        <v>1</v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5:35" x14ac:dyDescent="0.15">
      <c r="E146" s="13">
        <v>139</v>
      </c>
      <c r="F146" s="1" t="s">
        <v>1147</v>
      </c>
      <c r="G146" s="13">
        <v>141</v>
      </c>
      <c r="H146" s="14" t="s">
        <v>190</v>
      </c>
      <c r="I146" s="45">
        <v>0</v>
      </c>
      <c r="J146" s="11">
        <v>0</v>
      </c>
      <c r="K146" s="11">
        <v>0</v>
      </c>
      <c r="L146" s="32">
        <v>1</v>
      </c>
      <c r="M146" s="11">
        <v>0</v>
      </c>
      <c r="N146" s="11">
        <v>0</v>
      </c>
      <c r="O146" s="11">
        <v>0</v>
      </c>
      <c r="P146" s="11">
        <v>0</v>
      </c>
      <c r="Q146" s="16">
        <v>0</v>
      </c>
      <c r="R146" s="19">
        <f t="shared" si="4"/>
        <v>1</v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5:35" x14ac:dyDescent="0.15">
      <c r="E147" s="13">
        <v>140</v>
      </c>
      <c r="F147" s="1" t="s">
        <v>1149</v>
      </c>
      <c r="G147" s="13">
        <v>142</v>
      </c>
      <c r="H147" s="14" t="s">
        <v>191</v>
      </c>
      <c r="I147" s="45">
        <v>0</v>
      </c>
      <c r="J147" s="11">
        <v>0</v>
      </c>
      <c r="K147" s="11">
        <v>0</v>
      </c>
      <c r="L147" s="32">
        <v>1</v>
      </c>
      <c r="M147" s="11">
        <v>0</v>
      </c>
      <c r="N147" s="11">
        <v>0</v>
      </c>
      <c r="O147" s="11">
        <v>0</v>
      </c>
      <c r="P147" s="11">
        <v>0</v>
      </c>
      <c r="Q147" s="16">
        <v>0</v>
      </c>
      <c r="R147" s="19">
        <f t="shared" si="4"/>
        <v>1</v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5:35" x14ac:dyDescent="0.15">
      <c r="E148" s="13">
        <v>141</v>
      </c>
      <c r="F148" s="1" t="s">
        <v>1151</v>
      </c>
      <c r="G148" s="13">
        <v>143</v>
      </c>
      <c r="H148" s="14" t="s">
        <v>192</v>
      </c>
      <c r="I148" s="45">
        <v>0</v>
      </c>
      <c r="J148" s="11">
        <v>0</v>
      </c>
      <c r="K148" s="11">
        <v>0</v>
      </c>
      <c r="L148" s="32">
        <v>1</v>
      </c>
      <c r="M148" s="11">
        <v>0</v>
      </c>
      <c r="N148" s="11">
        <v>0</v>
      </c>
      <c r="O148" s="11">
        <v>0</v>
      </c>
      <c r="P148" s="11">
        <v>0</v>
      </c>
      <c r="Q148" s="16">
        <v>0</v>
      </c>
      <c r="R148" s="19">
        <f t="shared" si="4"/>
        <v>1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5:35" x14ac:dyDescent="0.15">
      <c r="E149" s="13">
        <v>142</v>
      </c>
      <c r="F149" s="1" t="s">
        <v>992</v>
      </c>
      <c r="G149" s="13">
        <v>144</v>
      </c>
      <c r="H149" s="14" t="s">
        <v>193</v>
      </c>
      <c r="I149" s="45">
        <v>0</v>
      </c>
      <c r="J149" s="11">
        <v>0</v>
      </c>
      <c r="K149" s="11">
        <v>0</v>
      </c>
      <c r="L149" s="32">
        <v>1</v>
      </c>
      <c r="M149" s="11">
        <v>0</v>
      </c>
      <c r="N149" s="11">
        <v>0</v>
      </c>
      <c r="O149" s="11">
        <v>0</v>
      </c>
      <c r="P149" s="11">
        <v>0</v>
      </c>
      <c r="Q149" s="16">
        <v>0</v>
      </c>
      <c r="R149" s="19">
        <f t="shared" si="4"/>
        <v>1</v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5:35" x14ac:dyDescent="0.15">
      <c r="E150" s="13">
        <v>143</v>
      </c>
      <c r="F150" s="1" t="s">
        <v>1153</v>
      </c>
      <c r="G150" s="13">
        <v>145</v>
      </c>
      <c r="H150" s="14" t="s">
        <v>194</v>
      </c>
      <c r="I150" s="45">
        <v>0</v>
      </c>
      <c r="J150" s="11">
        <v>0</v>
      </c>
      <c r="K150" s="11">
        <v>0</v>
      </c>
      <c r="L150" s="32">
        <v>1</v>
      </c>
      <c r="M150" s="11">
        <v>0</v>
      </c>
      <c r="N150" s="11">
        <v>0</v>
      </c>
      <c r="O150" s="11">
        <v>0</v>
      </c>
      <c r="P150" s="11">
        <v>0</v>
      </c>
      <c r="Q150" s="16">
        <v>0</v>
      </c>
      <c r="R150" s="19">
        <f t="shared" si="4"/>
        <v>1</v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5:35" x14ac:dyDescent="0.15">
      <c r="E151" s="13">
        <v>144</v>
      </c>
      <c r="F151" s="1" t="s">
        <v>1155</v>
      </c>
      <c r="G151" s="13">
        <v>146</v>
      </c>
      <c r="H151" s="14" t="s">
        <v>195</v>
      </c>
      <c r="I151" s="45">
        <v>0</v>
      </c>
      <c r="J151" s="11">
        <v>0</v>
      </c>
      <c r="K151" s="11">
        <v>0</v>
      </c>
      <c r="L151" s="32">
        <v>1</v>
      </c>
      <c r="M151" s="11">
        <v>0</v>
      </c>
      <c r="N151" s="11">
        <v>0</v>
      </c>
      <c r="O151" s="11">
        <v>0</v>
      </c>
      <c r="P151" s="11">
        <v>0</v>
      </c>
      <c r="Q151" s="16">
        <v>0</v>
      </c>
      <c r="R151" s="19">
        <f t="shared" si="4"/>
        <v>1</v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5:35" x14ac:dyDescent="0.15">
      <c r="E152" s="13">
        <v>145</v>
      </c>
      <c r="F152" s="1" t="s">
        <v>1537</v>
      </c>
      <c r="G152" s="13">
        <v>147</v>
      </c>
      <c r="H152" s="14" t="s">
        <v>196</v>
      </c>
      <c r="I152" s="45">
        <v>0</v>
      </c>
      <c r="J152" s="11">
        <v>0</v>
      </c>
      <c r="K152" s="11">
        <v>0</v>
      </c>
      <c r="L152" s="32">
        <v>1</v>
      </c>
      <c r="M152" s="11">
        <v>0</v>
      </c>
      <c r="N152" s="11">
        <v>0</v>
      </c>
      <c r="O152" s="11">
        <v>0</v>
      </c>
      <c r="P152" s="11">
        <v>0</v>
      </c>
      <c r="Q152" s="16">
        <v>0</v>
      </c>
      <c r="R152" s="19">
        <f t="shared" si="4"/>
        <v>1</v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5:35" x14ac:dyDescent="0.15">
      <c r="E153" s="13">
        <v>146</v>
      </c>
      <c r="F153" s="1" t="s">
        <v>1157</v>
      </c>
      <c r="G153" s="13">
        <v>148</v>
      </c>
      <c r="H153" s="14" t="s">
        <v>197</v>
      </c>
      <c r="I153" s="45">
        <v>0</v>
      </c>
      <c r="J153" s="11">
        <v>0</v>
      </c>
      <c r="K153" s="11">
        <v>0</v>
      </c>
      <c r="L153" s="32">
        <v>1</v>
      </c>
      <c r="M153" s="11">
        <v>0</v>
      </c>
      <c r="N153" s="11">
        <v>0</v>
      </c>
      <c r="O153" s="11">
        <v>0</v>
      </c>
      <c r="P153" s="11">
        <v>0</v>
      </c>
      <c r="Q153" s="16">
        <v>0</v>
      </c>
      <c r="R153" s="19">
        <f t="shared" si="4"/>
        <v>1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5:35" x14ac:dyDescent="0.15">
      <c r="E154" s="13">
        <v>147</v>
      </c>
      <c r="F154" s="1" t="s">
        <v>1159</v>
      </c>
      <c r="G154" s="13">
        <v>149</v>
      </c>
      <c r="H154" s="14" t="s">
        <v>198</v>
      </c>
      <c r="I154" s="45">
        <v>0</v>
      </c>
      <c r="J154" s="11">
        <v>0</v>
      </c>
      <c r="K154" s="11">
        <v>0</v>
      </c>
      <c r="L154" s="32">
        <v>1</v>
      </c>
      <c r="M154" s="11">
        <v>0</v>
      </c>
      <c r="N154" s="11">
        <v>0</v>
      </c>
      <c r="O154" s="11">
        <v>0</v>
      </c>
      <c r="P154" s="11">
        <v>0</v>
      </c>
      <c r="Q154" s="16">
        <v>0</v>
      </c>
      <c r="R154" s="19">
        <f t="shared" si="4"/>
        <v>1</v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5:35" x14ac:dyDescent="0.15">
      <c r="E155" s="13">
        <v>148</v>
      </c>
      <c r="F155" s="1" t="s">
        <v>1539</v>
      </c>
      <c r="G155" s="13">
        <v>150</v>
      </c>
      <c r="H155" s="14" t="s">
        <v>199</v>
      </c>
      <c r="I155" s="45">
        <v>0</v>
      </c>
      <c r="J155" s="11">
        <v>0</v>
      </c>
      <c r="K155" s="11">
        <v>0</v>
      </c>
      <c r="L155" s="32">
        <v>1</v>
      </c>
      <c r="M155" s="11">
        <v>0</v>
      </c>
      <c r="N155" s="11">
        <v>0</v>
      </c>
      <c r="O155" s="11">
        <v>0</v>
      </c>
      <c r="P155" s="11">
        <v>0</v>
      </c>
      <c r="Q155" s="16">
        <v>0</v>
      </c>
      <c r="R155" s="19">
        <f t="shared" si="4"/>
        <v>1</v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5:35" x14ac:dyDescent="0.15">
      <c r="E156" s="13">
        <v>149</v>
      </c>
      <c r="F156" s="1" t="s">
        <v>1163</v>
      </c>
      <c r="G156" s="13">
        <v>151</v>
      </c>
      <c r="H156" s="20" t="s">
        <v>1603</v>
      </c>
      <c r="I156" s="45">
        <v>0</v>
      </c>
      <c r="J156" s="11">
        <v>0</v>
      </c>
      <c r="K156" s="11">
        <v>0</v>
      </c>
      <c r="L156" s="32">
        <v>1</v>
      </c>
      <c r="M156" s="11">
        <v>0</v>
      </c>
      <c r="N156" s="11">
        <v>0</v>
      </c>
      <c r="O156" s="11">
        <v>0</v>
      </c>
      <c r="P156" s="11">
        <v>0</v>
      </c>
      <c r="Q156" s="16">
        <v>0</v>
      </c>
      <c r="R156" s="19">
        <f t="shared" si="4"/>
        <v>1</v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5:35" x14ac:dyDescent="0.15">
      <c r="E157" s="13">
        <v>150</v>
      </c>
      <c r="F157" s="1" t="s">
        <v>1165</v>
      </c>
      <c r="G157" s="13">
        <v>152</v>
      </c>
      <c r="H157" s="14" t="s">
        <v>200</v>
      </c>
      <c r="I157" s="45">
        <v>0</v>
      </c>
      <c r="J157" s="11">
        <v>0</v>
      </c>
      <c r="K157" s="11">
        <v>0</v>
      </c>
      <c r="L157" s="32">
        <v>1</v>
      </c>
      <c r="M157" s="11">
        <v>0</v>
      </c>
      <c r="N157" s="11">
        <v>0</v>
      </c>
      <c r="O157" s="11">
        <v>0</v>
      </c>
      <c r="P157" s="11">
        <v>0</v>
      </c>
      <c r="Q157" s="16">
        <v>0</v>
      </c>
      <c r="R157" s="19">
        <f t="shared" si="4"/>
        <v>1</v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5:35" x14ac:dyDescent="0.15">
      <c r="E158" s="13">
        <v>151</v>
      </c>
      <c r="F158" s="1" t="s">
        <v>1541</v>
      </c>
      <c r="G158" s="13">
        <v>153</v>
      </c>
      <c r="H158" s="14" t="s">
        <v>201</v>
      </c>
      <c r="I158" s="45">
        <v>0</v>
      </c>
      <c r="J158" s="11">
        <v>0</v>
      </c>
      <c r="K158" s="11">
        <v>0</v>
      </c>
      <c r="L158" s="32">
        <v>1</v>
      </c>
      <c r="M158" s="11">
        <v>0</v>
      </c>
      <c r="N158" s="11">
        <v>0</v>
      </c>
      <c r="O158" s="11">
        <v>0</v>
      </c>
      <c r="P158" s="11">
        <v>0</v>
      </c>
      <c r="Q158" s="16">
        <v>0</v>
      </c>
      <c r="R158" s="19">
        <f t="shared" si="4"/>
        <v>1</v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5:35" x14ac:dyDescent="0.15">
      <c r="E159" s="13">
        <v>152</v>
      </c>
      <c r="F159" s="1" t="s">
        <v>1169</v>
      </c>
      <c r="G159" s="13">
        <v>154</v>
      </c>
      <c r="H159" s="14" t="s">
        <v>202</v>
      </c>
      <c r="I159" s="45">
        <v>0</v>
      </c>
      <c r="J159" s="11">
        <v>0</v>
      </c>
      <c r="K159" s="11">
        <v>0</v>
      </c>
      <c r="L159" s="32">
        <v>1</v>
      </c>
      <c r="M159" s="11">
        <v>0</v>
      </c>
      <c r="N159" s="11">
        <v>0</v>
      </c>
      <c r="O159" s="11">
        <v>0</v>
      </c>
      <c r="P159" s="11">
        <v>0</v>
      </c>
      <c r="Q159" s="16">
        <v>0</v>
      </c>
      <c r="R159" s="19">
        <f t="shared" si="4"/>
        <v>1</v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5:35" x14ac:dyDescent="0.15">
      <c r="E160" s="13">
        <v>153</v>
      </c>
      <c r="F160" s="1" t="s">
        <v>1171</v>
      </c>
      <c r="G160" s="13">
        <v>155</v>
      </c>
      <c r="H160" s="14" t="s">
        <v>203</v>
      </c>
      <c r="I160" s="45">
        <v>0</v>
      </c>
      <c r="J160" s="11">
        <v>0</v>
      </c>
      <c r="K160" s="11">
        <v>0</v>
      </c>
      <c r="L160" s="32">
        <v>1</v>
      </c>
      <c r="M160" s="11">
        <v>0</v>
      </c>
      <c r="N160" s="11">
        <v>0</v>
      </c>
      <c r="O160" s="11">
        <v>0</v>
      </c>
      <c r="P160" s="11">
        <v>0</v>
      </c>
      <c r="Q160" s="16">
        <v>0</v>
      </c>
      <c r="R160" s="19">
        <f t="shared" si="4"/>
        <v>1</v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5:35" x14ac:dyDescent="0.15">
      <c r="E161" s="13">
        <v>154</v>
      </c>
      <c r="F161" s="1" t="s">
        <v>1173</v>
      </c>
      <c r="G161" s="13">
        <v>156</v>
      </c>
      <c r="H161" s="14" t="s">
        <v>204</v>
      </c>
      <c r="I161" s="45">
        <v>0</v>
      </c>
      <c r="J161" s="11">
        <v>0</v>
      </c>
      <c r="K161" s="11">
        <v>0</v>
      </c>
      <c r="L161" s="32">
        <v>1</v>
      </c>
      <c r="M161" s="11">
        <v>0</v>
      </c>
      <c r="N161" s="11">
        <v>0</v>
      </c>
      <c r="O161" s="11">
        <v>0</v>
      </c>
      <c r="P161" s="11">
        <v>0</v>
      </c>
      <c r="Q161" s="16">
        <v>0</v>
      </c>
      <c r="R161" s="19">
        <f t="shared" si="4"/>
        <v>1</v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5:35" x14ac:dyDescent="0.15">
      <c r="E162" s="13">
        <v>155</v>
      </c>
      <c r="F162" s="1" t="s">
        <v>1175</v>
      </c>
      <c r="G162" s="13">
        <v>157</v>
      </c>
      <c r="H162" s="14" t="s">
        <v>205</v>
      </c>
      <c r="I162" s="45">
        <v>0</v>
      </c>
      <c r="J162" s="11">
        <v>0</v>
      </c>
      <c r="K162" s="11">
        <v>0</v>
      </c>
      <c r="L162" s="32">
        <v>1</v>
      </c>
      <c r="M162" s="11">
        <v>0</v>
      </c>
      <c r="N162" s="11">
        <v>0</v>
      </c>
      <c r="O162" s="11">
        <v>0</v>
      </c>
      <c r="P162" s="11">
        <v>0</v>
      </c>
      <c r="Q162" s="16">
        <v>0</v>
      </c>
      <c r="R162" s="19">
        <f t="shared" si="4"/>
        <v>1</v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5:35" x14ac:dyDescent="0.15">
      <c r="E163" s="13">
        <v>156</v>
      </c>
      <c r="F163" s="1" t="s">
        <v>1177</v>
      </c>
      <c r="G163" s="13">
        <v>158</v>
      </c>
      <c r="H163" s="14" t="s">
        <v>206</v>
      </c>
      <c r="I163" s="45">
        <v>0</v>
      </c>
      <c r="J163" s="11">
        <v>0</v>
      </c>
      <c r="K163" s="11">
        <v>0</v>
      </c>
      <c r="L163" s="32">
        <v>1</v>
      </c>
      <c r="M163" s="11">
        <v>0</v>
      </c>
      <c r="N163" s="11">
        <v>0</v>
      </c>
      <c r="O163" s="11">
        <v>0</v>
      </c>
      <c r="P163" s="11">
        <v>0</v>
      </c>
      <c r="Q163" s="16">
        <v>0</v>
      </c>
      <c r="R163" s="19">
        <f t="shared" si="4"/>
        <v>1</v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5:35" x14ac:dyDescent="0.15">
      <c r="E164" s="13">
        <v>157</v>
      </c>
      <c r="F164" s="1" t="s">
        <v>1179</v>
      </c>
      <c r="G164" s="13">
        <v>159</v>
      </c>
      <c r="H164" s="14" t="s">
        <v>207</v>
      </c>
      <c r="I164" s="45">
        <v>0</v>
      </c>
      <c r="J164" s="11">
        <v>0</v>
      </c>
      <c r="K164" s="11">
        <v>0</v>
      </c>
      <c r="L164" s="32">
        <v>1</v>
      </c>
      <c r="M164" s="11">
        <v>0</v>
      </c>
      <c r="N164" s="11">
        <v>0</v>
      </c>
      <c r="O164" s="11">
        <v>0</v>
      </c>
      <c r="P164" s="11">
        <v>0</v>
      </c>
      <c r="Q164" s="16">
        <v>0</v>
      </c>
      <c r="R164" s="19">
        <f t="shared" si="4"/>
        <v>1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5:35" x14ac:dyDescent="0.15">
      <c r="E165" s="13">
        <v>158</v>
      </c>
      <c r="F165" s="1" t="s">
        <v>882</v>
      </c>
      <c r="G165" s="13">
        <v>160</v>
      </c>
      <c r="H165" s="14" t="s">
        <v>208</v>
      </c>
      <c r="I165" s="45">
        <v>0</v>
      </c>
      <c r="J165" s="11">
        <v>0</v>
      </c>
      <c r="K165" s="11">
        <v>0</v>
      </c>
      <c r="L165" s="32">
        <v>1</v>
      </c>
      <c r="M165" s="11">
        <v>0</v>
      </c>
      <c r="N165" s="11">
        <v>0</v>
      </c>
      <c r="O165" s="11">
        <v>0</v>
      </c>
      <c r="P165" s="11">
        <v>0</v>
      </c>
      <c r="Q165" s="16">
        <v>0</v>
      </c>
      <c r="R165" s="19">
        <f t="shared" si="4"/>
        <v>1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5:35" x14ac:dyDescent="0.15">
      <c r="E166" s="13">
        <v>159</v>
      </c>
      <c r="F166" s="1" t="s">
        <v>1181</v>
      </c>
      <c r="G166" s="13">
        <v>161</v>
      </c>
      <c r="H166" s="14" t="s">
        <v>209</v>
      </c>
      <c r="I166" s="45">
        <v>0</v>
      </c>
      <c r="J166" s="11">
        <v>0</v>
      </c>
      <c r="K166" s="11">
        <v>0</v>
      </c>
      <c r="L166" s="32">
        <v>1</v>
      </c>
      <c r="M166" s="11">
        <v>0</v>
      </c>
      <c r="N166" s="11">
        <v>0</v>
      </c>
      <c r="O166" s="11">
        <v>0</v>
      </c>
      <c r="P166" s="11">
        <v>0</v>
      </c>
      <c r="Q166" s="16">
        <v>0</v>
      </c>
      <c r="R166" s="19">
        <f t="shared" si="4"/>
        <v>1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5:35" x14ac:dyDescent="0.15">
      <c r="E167" s="13">
        <v>160</v>
      </c>
      <c r="F167" s="1" t="s">
        <v>1183</v>
      </c>
      <c r="G167" s="13">
        <v>162</v>
      </c>
      <c r="H167" s="14" t="s">
        <v>210</v>
      </c>
      <c r="I167" s="45">
        <v>0</v>
      </c>
      <c r="J167" s="11">
        <v>0</v>
      </c>
      <c r="K167" s="11">
        <v>0</v>
      </c>
      <c r="L167" s="32">
        <v>1</v>
      </c>
      <c r="M167" s="11">
        <v>0</v>
      </c>
      <c r="N167" s="11">
        <v>0</v>
      </c>
      <c r="O167" s="11">
        <v>0</v>
      </c>
      <c r="P167" s="11">
        <v>0</v>
      </c>
      <c r="Q167" s="16">
        <v>0</v>
      </c>
      <c r="R167" s="19">
        <f t="shared" si="4"/>
        <v>1</v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5:35" x14ac:dyDescent="0.15">
      <c r="E168" s="13">
        <v>161</v>
      </c>
      <c r="F168" s="1" t="s">
        <v>1185</v>
      </c>
      <c r="G168" s="13">
        <v>163</v>
      </c>
      <c r="H168" s="14" t="s">
        <v>211</v>
      </c>
      <c r="I168" s="45">
        <v>0</v>
      </c>
      <c r="J168" s="11">
        <v>0</v>
      </c>
      <c r="K168" s="11">
        <v>0</v>
      </c>
      <c r="L168" s="32">
        <v>1</v>
      </c>
      <c r="M168" s="11">
        <v>0</v>
      </c>
      <c r="N168" s="11">
        <v>0</v>
      </c>
      <c r="O168" s="11">
        <v>0</v>
      </c>
      <c r="P168" s="11">
        <v>0</v>
      </c>
      <c r="Q168" s="16">
        <v>0</v>
      </c>
      <c r="R168" s="19">
        <f t="shared" si="4"/>
        <v>1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5:35" x14ac:dyDescent="0.15">
      <c r="E169" s="13">
        <v>162</v>
      </c>
      <c r="F169" s="1" t="s">
        <v>1187</v>
      </c>
      <c r="G169" s="13">
        <v>164</v>
      </c>
      <c r="H169" s="14" t="s">
        <v>212</v>
      </c>
      <c r="I169" s="45">
        <v>0</v>
      </c>
      <c r="J169" s="11">
        <v>0</v>
      </c>
      <c r="K169" s="11">
        <v>0</v>
      </c>
      <c r="L169" s="32">
        <v>1</v>
      </c>
      <c r="M169" s="11">
        <v>0</v>
      </c>
      <c r="N169" s="11">
        <v>0</v>
      </c>
      <c r="O169" s="11">
        <v>0</v>
      </c>
      <c r="P169" s="11">
        <v>0</v>
      </c>
      <c r="Q169" s="16">
        <v>0</v>
      </c>
      <c r="R169" s="19">
        <f t="shared" si="4"/>
        <v>1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5:35" x14ac:dyDescent="0.15">
      <c r="E170" s="13">
        <v>163</v>
      </c>
      <c r="F170" s="1" t="s">
        <v>1543</v>
      </c>
      <c r="G170" s="13">
        <v>165</v>
      </c>
      <c r="H170" s="14" t="s">
        <v>213</v>
      </c>
      <c r="I170" s="45">
        <v>0</v>
      </c>
      <c r="J170" s="11">
        <v>0</v>
      </c>
      <c r="K170" s="11">
        <v>0</v>
      </c>
      <c r="L170" s="32">
        <v>1</v>
      </c>
      <c r="M170" s="11">
        <v>0</v>
      </c>
      <c r="N170" s="11">
        <v>0</v>
      </c>
      <c r="O170" s="11">
        <v>0</v>
      </c>
      <c r="P170" s="11">
        <v>0</v>
      </c>
      <c r="Q170" s="16">
        <v>0</v>
      </c>
      <c r="R170" s="19">
        <f t="shared" si="4"/>
        <v>1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5:35" x14ac:dyDescent="0.15">
      <c r="E171" s="13">
        <v>164</v>
      </c>
      <c r="F171" s="1" t="s">
        <v>1161</v>
      </c>
      <c r="G171" s="13">
        <v>166</v>
      </c>
      <c r="H171" s="14" t="s">
        <v>214</v>
      </c>
      <c r="I171" s="45">
        <v>0</v>
      </c>
      <c r="J171" s="11">
        <v>0</v>
      </c>
      <c r="K171" s="11">
        <v>0</v>
      </c>
      <c r="L171" s="32">
        <v>1</v>
      </c>
      <c r="M171" s="11">
        <v>0</v>
      </c>
      <c r="N171" s="11">
        <v>0</v>
      </c>
      <c r="O171" s="11">
        <v>0</v>
      </c>
      <c r="P171" s="11">
        <v>0</v>
      </c>
      <c r="Q171" s="16">
        <v>0</v>
      </c>
      <c r="R171" s="19">
        <f t="shared" si="4"/>
        <v>1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5:35" x14ac:dyDescent="0.15">
      <c r="E172" s="13">
        <v>165</v>
      </c>
      <c r="F172" s="1" t="s">
        <v>1189</v>
      </c>
      <c r="G172" s="13">
        <v>167</v>
      </c>
      <c r="H172" s="14" t="s">
        <v>215</v>
      </c>
      <c r="I172" s="45">
        <v>0</v>
      </c>
      <c r="J172" s="11">
        <v>0</v>
      </c>
      <c r="K172" s="11">
        <v>0</v>
      </c>
      <c r="L172" s="32">
        <v>1</v>
      </c>
      <c r="M172" s="11">
        <v>0</v>
      </c>
      <c r="N172" s="11">
        <v>0</v>
      </c>
      <c r="O172" s="11">
        <v>0</v>
      </c>
      <c r="P172" s="11">
        <v>0</v>
      </c>
      <c r="Q172" s="16">
        <v>0</v>
      </c>
      <c r="R172" s="19">
        <f t="shared" si="4"/>
        <v>1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5:35" x14ac:dyDescent="0.15">
      <c r="E173" s="13">
        <v>166</v>
      </c>
      <c r="F173" s="1" t="s">
        <v>1018</v>
      </c>
      <c r="G173" s="13">
        <v>168</v>
      </c>
      <c r="H173" s="14" t="s">
        <v>216</v>
      </c>
      <c r="I173" s="45">
        <v>0</v>
      </c>
      <c r="J173" s="11">
        <v>0</v>
      </c>
      <c r="K173" s="11">
        <v>0</v>
      </c>
      <c r="L173" s="32">
        <v>1</v>
      </c>
      <c r="M173" s="11">
        <v>0</v>
      </c>
      <c r="N173" s="11">
        <v>0</v>
      </c>
      <c r="O173" s="11">
        <v>0</v>
      </c>
      <c r="P173" s="11">
        <v>0</v>
      </c>
      <c r="Q173" s="16">
        <v>0</v>
      </c>
      <c r="R173" s="19">
        <f t="shared" si="4"/>
        <v>1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5:35" x14ac:dyDescent="0.15">
      <c r="E174" s="13">
        <v>167</v>
      </c>
      <c r="F174" s="1" t="s">
        <v>1191</v>
      </c>
      <c r="G174" s="13">
        <v>169</v>
      </c>
      <c r="H174" s="14" t="s">
        <v>217</v>
      </c>
      <c r="I174" s="45">
        <v>0</v>
      </c>
      <c r="J174" s="11">
        <v>0</v>
      </c>
      <c r="K174" s="11">
        <v>0</v>
      </c>
      <c r="L174" s="32">
        <v>1</v>
      </c>
      <c r="M174" s="11">
        <v>0</v>
      </c>
      <c r="N174" s="11">
        <v>0</v>
      </c>
      <c r="O174" s="11">
        <v>0</v>
      </c>
      <c r="P174" s="11">
        <v>0</v>
      </c>
      <c r="Q174" s="16">
        <v>0</v>
      </c>
      <c r="R174" s="19">
        <f t="shared" si="4"/>
        <v>1</v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5:35" x14ac:dyDescent="0.15">
      <c r="E175" s="13">
        <v>168</v>
      </c>
      <c r="F175" s="1" t="s">
        <v>1193</v>
      </c>
      <c r="G175" s="13">
        <v>170</v>
      </c>
      <c r="H175" s="14" t="s">
        <v>218</v>
      </c>
      <c r="I175" s="45">
        <v>0</v>
      </c>
      <c r="J175" s="11">
        <v>0</v>
      </c>
      <c r="K175" s="11">
        <v>0</v>
      </c>
      <c r="L175" s="32">
        <v>1</v>
      </c>
      <c r="M175" s="11">
        <v>0</v>
      </c>
      <c r="N175" s="11">
        <v>0</v>
      </c>
      <c r="O175" s="11">
        <v>0</v>
      </c>
      <c r="P175" s="11">
        <v>0</v>
      </c>
      <c r="Q175" s="16">
        <v>0</v>
      </c>
      <c r="R175" s="19">
        <f t="shared" si="4"/>
        <v>1</v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5:35" x14ac:dyDescent="0.15">
      <c r="E176" s="13">
        <v>169</v>
      </c>
      <c r="F176" s="1" t="s">
        <v>1118</v>
      </c>
      <c r="G176" s="13">
        <v>171</v>
      </c>
      <c r="H176" s="14" t="s">
        <v>219</v>
      </c>
      <c r="I176" s="45">
        <v>0</v>
      </c>
      <c r="J176" s="11">
        <v>0</v>
      </c>
      <c r="K176" s="11">
        <v>0</v>
      </c>
      <c r="L176" s="32">
        <v>1</v>
      </c>
      <c r="M176" s="11">
        <v>0</v>
      </c>
      <c r="N176" s="11">
        <v>0</v>
      </c>
      <c r="O176" s="11">
        <v>0</v>
      </c>
      <c r="P176" s="11">
        <v>0</v>
      </c>
      <c r="Q176" s="16">
        <v>0</v>
      </c>
      <c r="R176" s="19">
        <f t="shared" si="4"/>
        <v>1</v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5:35" x14ac:dyDescent="0.15">
      <c r="E177" s="13">
        <v>170</v>
      </c>
      <c r="F177" s="1" t="s">
        <v>1545</v>
      </c>
      <c r="G177" s="13">
        <v>172</v>
      </c>
      <c r="H177" s="14" t="s">
        <v>220</v>
      </c>
      <c r="I177" s="45">
        <v>0</v>
      </c>
      <c r="J177" s="11">
        <v>0</v>
      </c>
      <c r="K177" s="11">
        <v>0</v>
      </c>
      <c r="L177" s="32">
        <v>1</v>
      </c>
      <c r="M177" s="11">
        <v>0</v>
      </c>
      <c r="N177" s="11">
        <v>0</v>
      </c>
      <c r="O177" s="11">
        <v>0</v>
      </c>
      <c r="P177" s="11">
        <v>0</v>
      </c>
      <c r="Q177" s="16">
        <v>0</v>
      </c>
      <c r="R177" s="19">
        <f t="shared" si="4"/>
        <v>1</v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5:35" x14ac:dyDescent="0.15">
      <c r="E178" s="13">
        <v>171</v>
      </c>
      <c r="F178" s="1" t="s">
        <v>1197</v>
      </c>
      <c r="G178" s="13">
        <v>173</v>
      </c>
      <c r="H178" s="14" t="s">
        <v>221</v>
      </c>
      <c r="I178" s="45">
        <v>0</v>
      </c>
      <c r="J178" s="11">
        <v>0</v>
      </c>
      <c r="K178" s="11">
        <v>0</v>
      </c>
      <c r="L178" s="32">
        <v>1</v>
      </c>
      <c r="M178" s="11">
        <v>0</v>
      </c>
      <c r="N178" s="11">
        <v>0</v>
      </c>
      <c r="O178" s="11">
        <v>0</v>
      </c>
      <c r="P178" s="11">
        <v>0</v>
      </c>
      <c r="Q178" s="16">
        <v>0</v>
      </c>
      <c r="R178" s="19">
        <f t="shared" si="4"/>
        <v>1</v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5:35" x14ac:dyDescent="0.15">
      <c r="E179" s="13">
        <v>172</v>
      </c>
      <c r="F179" s="1" t="s">
        <v>1199</v>
      </c>
      <c r="G179" s="13">
        <v>174</v>
      </c>
      <c r="H179" s="14" t="s">
        <v>222</v>
      </c>
      <c r="I179" s="45">
        <v>0</v>
      </c>
      <c r="J179" s="11">
        <v>0</v>
      </c>
      <c r="K179" s="11">
        <v>0</v>
      </c>
      <c r="L179" s="32">
        <v>1</v>
      </c>
      <c r="M179" s="11">
        <v>0</v>
      </c>
      <c r="N179" s="11">
        <v>0</v>
      </c>
      <c r="O179" s="11">
        <v>0</v>
      </c>
      <c r="P179" s="11">
        <v>0</v>
      </c>
      <c r="Q179" s="16">
        <v>0</v>
      </c>
      <c r="R179" s="19">
        <f t="shared" si="4"/>
        <v>1</v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5:35" x14ac:dyDescent="0.15">
      <c r="E180" s="13">
        <v>173</v>
      </c>
      <c r="F180" s="1" t="s">
        <v>1201</v>
      </c>
      <c r="G180" s="13">
        <v>175</v>
      </c>
      <c r="H180" s="14" t="s">
        <v>223</v>
      </c>
      <c r="I180" s="45">
        <v>0</v>
      </c>
      <c r="J180" s="11">
        <v>0</v>
      </c>
      <c r="K180" s="11">
        <v>0</v>
      </c>
      <c r="L180" s="32">
        <v>1</v>
      </c>
      <c r="M180" s="11">
        <v>0</v>
      </c>
      <c r="N180" s="11">
        <v>0</v>
      </c>
      <c r="O180" s="11">
        <v>0</v>
      </c>
      <c r="P180" s="11">
        <v>0</v>
      </c>
      <c r="Q180" s="16">
        <v>0</v>
      </c>
      <c r="R180" s="19">
        <f t="shared" si="4"/>
        <v>1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5:35" x14ac:dyDescent="0.15">
      <c r="E181" s="13">
        <v>174</v>
      </c>
      <c r="F181" s="1" t="s">
        <v>1203</v>
      </c>
      <c r="G181" s="13">
        <v>176</v>
      </c>
      <c r="H181" s="14" t="s">
        <v>224</v>
      </c>
      <c r="I181" s="45">
        <v>0</v>
      </c>
      <c r="J181" s="11">
        <v>0</v>
      </c>
      <c r="K181" s="11">
        <v>0</v>
      </c>
      <c r="L181" s="32">
        <v>1</v>
      </c>
      <c r="M181" s="11">
        <v>0</v>
      </c>
      <c r="N181" s="11">
        <v>0</v>
      </c>
      <c r="O181" s="11">
        <v>0</v>
      </c>
      <c r="P181" s="11">
        <v>0</v>
      </c>
      <c r="Q181" s="16">
        <v>0</v>
      </c>
      <c r="R181" s="19">
        <f t="shared" si="4"/>
        <v>1</v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5:35" x14ac:dyDescent="0.15">
      <c r="E182" s="13">
        <v>175</v>
      </c>
      <c r="F182" s="1" t="s">
        <v>1167</v>
      </c>
      <c r="G182" s="13">
        <v>177</v>
      </c>
      <c r="H182" s="14" t="s">
        <v>225</v>
      </c>
      <c r="I182" s="45">
        <v>0</v>
      </c>
      <c r="J182" s="11">
        <v>0</v>
      </c>
      <c r="K182" s="11">
        <v>0</v>
      </c>
      <c r="L182" s="32">
        <v>1</v>
      </c>
      <c r="M182" s="11">
        <v>0</v>
      </c>
      <c r="N182" s="11">
        <v>0</v>
      </c>
      <c r="O182" s="11">
        <v>0</v>
      </c>
      <c r="P182" s="11">
        <v>0</v>
      </c>
      <c r="Q182" s="16">
        <v>0</v>
      </c>
      <c r="R182" s="19">
        <f t="shared" si="4"/>
        <v>1</v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5:35" x14ac:dyDescent="0.15">
      <c r="E183" s="13">
        <v>176</v>
      </c>
      <c r="F183" s="1" t="s">
        <v>1205</v>
      </c>
      <c r="G183" s="13">
        <v>178</v>
      </c>
      <c r="H183" s="14" t="s">
        <v>226</v>
      </c>
      <c r="I183" s="45">
        <v>0</v>
      </c>
      <c r="J183" s="11">
        <v>0</v>
      </c>
      <c r="K183" s="11">
        <v>0</v>
      </c>
      <c r="L183" s="32">
        <v>1</v>
      </c>
      <c r="M183" s="11">
        <v>0</v>
      </c>
      <c r="N183" s="11">
        <v>0</v>
      </c>
      <c r="O183" s="11">
        <v>0</v>
      </c>
      <c r="P183" s="11">
        <v>0</v>
      </c>
      <c r="Q183" s="16">
        <v>0</v>
      </c>
      <c r="R183" s="19">
        <f t="shared" si="4"/>
        <v>1</v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5:35" x14ac:dyDescent="0.15">
      <c r="E184" s="13">
        <v>177</v>
      </c>
      <c r="F184" s="1" t="s">
        <v>888</v>
      </c>
      <c r="G184" s="13">
        <v>179</v>
      </c>
      <c r="H184" s="14" t="s">
        <v>227</v>
      </c>
      <c r="I184" s="45">
        <v>0</v>
      </c>
      <c r="J184" s="11">
        <v>0</v>
      </c>
      <c r="K184" s="11">
        <v>0</v>
      </c>
      <c r="L184" s="32">
        <v>1</v>
      </c>
      <c r="M184" s="11">
        <v>0</v>
      </c>
      <c r="N184" s="11">
        <v>0</v>
      </c>
      <c r="O184" s="11">
        <v>0</v>
      </c>
      <c r="P184" s="11">
        <v>0</v>
      </c>
      <c r="Q184" s="16">
        <v>0</v>
      </c>
      <c r="R184" s="19">
        <f t="shared" si="4"/>
        <v>1</v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5:35" x14ac:dyDescent="0.15">
      <c r="E185" s="13">
        <v>178</v>
      </c>
      <c r="F185" s="1" t="s">
        <v>1207</v>
      </c>
      <c r="G185" s="13">
        <v>180</v>
      </c>
      <c r="H185" s="14" t="s">
        <v>228</v>
      </c>
      <c r="I185" s="45">
        <v>0</v>
      </c>
      <c r="J185" s="11">
        <v>0</v>
      </c>
      <c r="K185" s="11">
        <v>0</v>
      </c>
      <c r="L185" s="32">
        <v>1</v>
      </c>
      <c r="M185" s="11">
        <v>0</v>
      </c>
      <c r="N185" s="11">
        <v>0</v>
      </c>
      <c r="O185" s="11">
        <v>0</v>
      </c>
      <c r="P185" s="11">
        <v>0</v>
      </c>
      <c r="Q185" s="16">
        <v>0</v>
      </c>
      <c r="R185" s="19">
        <f t="shared" si="4"/>
        <v>1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5:35" x14ac:dyDescent="0.15">
      <c r="E186" s="13">
        <v>179</v>
      </c>
      <c r="F186" s="1" t="s">
        <v>1209</v>
      </c>
      <c r="G186" s="13">
        <v>181</v>
      </c>
      <c r="H186" s="14" t="s">
        <v>229</v>
      </c>
      <c r="I186" s="45">
        <v>0</v>
      </c>
      <c r="J186" s="11">
        <v>0</v>
      </c>
      <c r="K186" s="11">
        <v>0</v>
      </c>
      <c r="L186" s="32">
        <v>1</v>
      </c>
      <c r="M186" s="11">
        <v>0</v>
      </c>
      <c r="N186" s="11">
        <v>0</v>
      </c>
      <c r="O186" s="11">
        <v>0</v>
      </c>
      <c r="P186" s="11">
        <v>0</v>
      </c>
      <c r="Q186" s="16">
        <v>0</v>
      </c>
      <c r="R186" s="19">
        <f t="shared" si="4"/>
        <v>1</v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5:35" x14ac:dyDescent="0.15">
      <c r="E187" s="13">
        <v>180</v>
      </c>
      <c r="F187" s="1" t="s">
        <v>1211</v>
      </c>
      <c r="G187" s="13">
        <v>182</v>
      </c>
      <c r="H187" s="14" t="s">
        <v>230</v>
      </c>
      <c r="I187" s="45">
        <v>0</v>
      </c>
      <c r="J187" s="11">
        <v>0</v>
      </c>
      <c r="K187" s="11">
        <v>0</v>
      </c>
      <c r="L187" s="32">
        <v>1</v>
      </c>
      <c r="M187" s="11">
        <v>0</v>
      </c>
      <c r="N187" s="11">
        <v>0</v>
      </c>
      <c r="O187" s="11">
        <v>0</v>
      </c>
      <c r="P187" s="11">
        <v>0</v>
      </c>
      <c r="Q187" s="16">
        <v>0</v>
      </c>
      <c r="R187" s="19">
        <f t="shared" si="4"/>
        <v>1</v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5:35" x14ac:dyDescent="0.15">
      <c r="E188" s="13">
        <v>181</v>
      </c>
      <c r="F188" s="1" t="s">
        <v>1213</v>
      </c>
      <c r="G188" s="13">
        <v>183</v>
      </c>
      <c r="H188" s="14" t="s">
        <v>231</v>
      </c>
      <c r="I188" s="45">
        <v>0</v>
      </c>
      <c r="J188" s="11">
        <v>0</v>
      </c>
      <c r="K188" s="11">
        <v>0</v>
      </c>
      <c r="L188" s="32">
        <v>1</v>
      </c>
      <c r="M188" s="11">
        <v>0</v>
      </c>
      <c r="N188" s="11">
        <v>0</v>
      </c>
      <c r="O188" s="11">
        <v>0</v>
      </c>
      <c r="P188" s="11">
        <v>0</v>
      </c>
      <c r="Q188" s="16">
        <v>0</v>
      </c>
      <c r="R188" s="19">
        <f t="shared" si="4"/>
        <v>1</v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5:35" x14ac:dyDescent="0.15">
      <c r="E189" s="13">
        <v>182</v>
      </c>
      <c r="F189" s="1" t="s">
        <v>1215</v>
      </c>
      <c r="G189" s="13">
        <v>184</v>
      </c>
      <c r="H189" s="14" t="s">
        <v>232</v>
      </c>
      <c r="I189" s="45">
        <v>0</v>
      </c>
      <c r="J189" s="11">
        <v>0</v>
      </c>
      <c r="K189" s="11">
        <v>0</v>
      </c>
      <c r="L189" s="32">
        <v>1</v>
      </c>
      <c r="M189" s="11">
        <v>0</v>
      </c>
      <c r="N189" s="11">
        <v>0</v>
      </c>
      <c r="O189" s="11">
        <v>0</v>
      </c>
      <c r="P189" s="11">
        <v>0</v>
      </c>
      <c r="Q189" s="16">
        <v>0</v>
      </c>
      <c r="R189" s="19">
        <f t="shared" si="4"/>
        <v>1</v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5:35" x14ac:dyDescent="0.15">
      <c r="E190" s="13">
        <v>183</v>
      </c>
      <c r="F190" s="1" t="s">
        <v>1092</v>
      </c>
      <c r="G190" s="13">
        <v>185</v>
      </c>
      <c r="H190" s="14" t="s">
        <v>233</v>
      </c>
      <c r="I190" s="45">
        <v>0</v>
      </c>
      <c r="J190" s="11">
        <v>0</v>
      </c>
      <c r="K190" s="11">
        <v>0</v>
      </c>
      <c r="L190" s="32">
        <v>1</v>
      </c>
      <c r="M190" s="11">
        <v>0</v>
      </c>
      <c r="N190" s="11">
        <v>0</v>
      </c>
      <c r="O190" s="11">
        <v>0</v>
      </c>
      <c r="P190" s="11">
        <v>0</v>
      </c>
      <c r="Q190" s="16">
        <v>0</v>
      </c>
      <c r="R190" s="19">
        <f t="shared" si="4"/>
        <v>1</v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5:35" x14ac:dyDescent="0.15">
      <c r="E191" s="13">
        <v>184</v>
      </c>
      <c r="F191" s="1" t="s">
        <v>1217</v>
      </c>
      <c r="G191" s="13">
        <v>186</v>
      </c>
      <c r="H191" s="14" t="s">
        <v>234</v>
      </c>
      <c r="I191" s="45">
        <v>0</v>
      </c>
      <c r="J191" s="11">
        <v>0</v>
      </c>
      <c r="K191" s="11">
        <v>0</v>
      </c>
      <c r="L191" s="32">
        <v>1</v>
      </c>
      <c r="M191" s="11">
        <v>0</v>
      </c>
      <c r="N191" s="11">
        <v>0</v>
      </c>
      <c r="O191" s="11">
        <v>0</v>
      </c>
      <c r="P191" s="11">
        <v>0</v>
      </c>
      <c r="Q191" s="16">
        <v>0</v>
      </c>
      <c r="R191" s="19">
        <f t="shared" si="4"/>
        <v>1</v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5:35" x14ac:dyDescent="0.15">
      <c r="E192" s="13">
        <v>185</v>
      </c>
      <c r="F192" s="1" t="s">
        <v>1219</v>
      </c>
      <c r="G192" s="13">
        <v>187</v>
      </c>
      <c r="H192" s="14" t="s">
        <v>235</v>
      </c>
      <c r="I192" s="45">
        <v>0</v>
      </c>
      <c r="J192" s="11">
        <v>0</v>
      </c>
      <c r="K192" s="11">
        <v>0</v>
      </c>
      <c r="L192" s="32">
        <v>1</v>
      </c>
      <c r="M192" s="11">
        <v>0</v>
      </c>
      <c r="N192" s="11">
        <v>0</v>
      </c>
      <c r="O192" s="11">
        <v>0</v>
      </c>
      <c r="P192" s="11">
        <v>0</v>
      </c>
      <c r="Q192" s="16">
        <v>0</v>
      </c>
      <c r="R192" s="19">
        <f t="shared" si="4"/>
        <v>1</v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5:35" x14ac:dyDescent="0.15">
      <c r="E193" s="13">
        <v>186</v>
      </c>
      <c r="F193" s="1" t="s">
        <v>1547</v>
      </c>
      <c r="G193" s="13">
        <v>188</v>
      </c>
      <c r="H193" s="14" t="s">
        <v>236</v>
      </c>
      <c r="I193" s="45">
        <v>0</v>
      </c>
      <c r="J193" s="11">
        <v>0</v>
      </c>
      <c r="K193" s="11">
        <v>0</v>
      </c>
      <c r="L193" s="32">
        <v>1</v>
      </c>
      <c r="M193" s="11">
        <v>0</v>
      </c>
      <c r="N193" s="11">
        <v>0</v>
      </c>
      <c r="O193" s="11">
        <v>0</v>
      </c>
      <c r="P193" s="11">
        <v>0</v>
      </c>
      <c r="Q193" s="16">
        <v>0</v>
      </c>
      <c r="R193" s="19">
        <f t="shared" si="4"/>
        <v>1</v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5:35" x14ac:dyDescent="0.15">
      <c r="E194" s="13">
        <v>187</v>
      </c>
      <c r="F194" s="1" t="s">
        <v>1223</v>
      </c>
      <c r="G194" s="13">
        <v>189</v>
      </c>
      <c r="H194" s="14" t="s">
        <v>237</v>
      </c>
      <c r="I194" s="45">
        <v>0</v>
      </c>
      <c r="J194" s="11">
        <v>0</v>
      </c>
      <c r="K194" s="11">
        <v>0</v>
      </c>
      <c r="L194" s="32">
        <v>1</v>
      </c>
      <c r="M194" s="11">
        <v>0</v>
      </c>
      <c r="N194" s="11">
        <v>0</v>
      </c>
      <c r="O194" s="11">
        <v>0</v>
      </c>
      <c r="P194" s="11">
        <v>0</v>
      </c>
      <c r="Q194" s="16">
        <v>0</v>
      </c>
      <c r="R194" s="19">
        <f t="shared" si="4"/>
        <v>1</v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5:35" x14ac:dyDescent="0.15">
      <c r="E195" s="13">
        <v>188</v>
      </c>
      <c r="F195" s="1" t="s">
        <v>1225</v>
      </c>
      <c r="G195" s="13">
        <v>190</v>
      </c>
      <c r="H195" s="14" t="s">
        <v>238</v>
      </c>
      <c r="I195" s="45">
        <v>0</v>
      </c>
      <c r="J195" s="11">
        <v>0</v>
      </c>
      <c r="K195" s="11">
        <v>0</v>
      </c>
      <c r="L195" s="32">
        <v>1</v>
      </c>
      <c r="M195" s="11">
        <v>0</v>
      </c>
      <c r="N195" s="11">
        <v>0</v>
      </c>
      <c r="O195" s="11">
        <v>0</v>
      </c>
      <c r="P195" s="11">
        <v>0</v>
      </c>
      <c r="Q195" s="16">
        <v>0</v>
      </c>
      <c r="R195" s="19">
        <f t="shared" si="4"/>
        <v>1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5:35" x14ac:dyDescent="0.15">
      <c r="E196" s="13">
        <v>189</v>
      </c>
      <c r="F196" s="1" t="s">
        <v>1227</v>
      </c>
      <c r="G196" s="13">
        <v>191</v>
      </c>
      <c r="H196" s="14" t="s">
        <v>239</v>
      </c>
      <c r="I196" s="45">
        <v>0</v>
      </c>
      <c r="J196" s="11">
        <v>0</v>
      </c>
      <c r="K196" s="11">
        <v>0</v>
      </c>
      <c r="L196" s="32">
        <v>1</v>
      </c>
      <c r="M196" s="11">
        <v>0</v>
      </c>
      <c r="N196" s="11">
        <v>0</v>
      </c>
      <c r="O196" s="11">
        <v>0</v>
      </c>
      <c r="P196" s="11">
        <v>0</v>
      </c>
      <c r="Q196" s="16">
        <v>0</v>
      </c>
      <c r="R196" s="19">
        <f t="shared" si="4"/>
        <v>1</v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5:35" x14ac:dyDescent="0.15">
      <c r="E197" s="13">
        <v>190</v>
      </c>
      <c r="F197" s="1" t="s">
        <v>1229</v>
      </c>
      <c r="G197" s="13">
        <v>192</v>
      </c>
      <c r="H197" s="14" t="s">
        <v>240</v>
      </c>
      <c r="I197" s="45">
        <v>0</v>
      </c>
      <c r="J197" s="11">
        <v>0</v>
      </c>
      <c r="K197" s="11">
        <v>0</v>
      </c>
      <c r="L197" s="32">
        <v>1</v>
      </c>
      <c r="M197" s="11">
        <v>0</v>
      </c>
      <c r="N197" s="11">
        <v>0</v>
      </c>
      <c r="O197" s="11">
        <v>0</v>
      </c>
      <c r="P197" s="11">
        <v>0</v>
      </c>
      <c r="Q197" s="16">
        <v>0</v>
      </c>
      <c r="R197" s="19">
        <f t="shared" si="4"/>
        <v>1</v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5:35" x14ac:dyDescent="0.15">
      <c r="E198" s="13">
        <v>191</v>
      </c>
      <c r="F198" s="1" t="s">
        <v>1231</v>
      </c>
      <c r="G198" s="13">
        <v>193</v>
      </c>
      <c r="H198" s="14" t="s">
        <v>241</v>
      </c>
      <c r="I198" s="45">
        <v>0</v>
      </c>
      <c r="J198" s="11">
        <v>0</v>
      </c>
      <c r="K198" s="11">
        <v>0</v>
      </c>
      <c r="L198" s="32">
        <v>1</v>
      </c>
      <c r="M198" s="11">
        <v>0</v>
      </c>
      <c r="N198" s="11">
        <v>0</v>
      </c>
      <c r="O198" s="11">
        <v>0</v>
      </c>
      <c r="P198" s="11">
        <v>0</v>
      </c>
      <c r="Q198" s="16">
        <v>0</v>
      </c>
      <c r="R198" s="19">
        <f t="shared" si="4"/>
        <v>1</v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5:35" x14ac:dyDescent="0.15">
      <c r="E199" s="13">
        <v>192</v>
      </c>
      <c r="F199" s="1" t="s">
        <v>1233</v>
      </c>
      <c r="G199" s="13">
        <v>194</v>
      </c>
      <c r="H199" s="14" t="s">
        <v>242</v>
      </c>
      <c r="I199" s="45">
        <v>0</v>
      </c>
      <c r="J199" s="11">
        <v>0</v>
      </c>
      <c r="K199" s="11">
        <v>0</v>
      </c>
      <c r="L199" s="32">
        <v>1</v>
      </c>
      <c r="M199" s="11">
        <v>0</v>
      </c>
      <c r="N199" s="11">
        <v>0</v>
      </c>
      <c r="O199" s="11">
        <v>0</v>
      </c>
      <c r="P199" s="11">
        <v>0</v>
      </c>
      <c r="Q199" s="16">
        <v>0</v>
      </c>
      <c r="R199" s="19">
        <f t="shared" si="4"/>
        <v>1</v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5:35" x14ac:dyDescent="0.15">
      <c r="E200" s="13">
        <v>193</v>
      </c>
      <c r="F200" s="1" t="s">
        <v>1235</v>
      </c>
      <c r="G200" s="13">
        <v>195</v>
      </c>
      <c r="H200" s="14" t="s">
        <v>243</v>
      </c>
      <c r="I200" s="45">
        <v>0</v>
      </c>
      <c r="J200" s="11">
        <v>0</v>
      </c>
      <c r="K200" s="11">
        <v>0</v>
      </c>
      <c r="L200" s="32">
        <v>1</v>
      </c>
      <c r="M200" s="11">
        <v>0</v>
      </c>
      <c r="N200" s="11">
        <v>0</v>
      </c>
      <c r="O200" s="11">
        <v>0</v>
      </c>
      <c r="P200" s="11">
        <v>0</v>
      </c>
      <c r="Q200" s="16">
        <v>0</v>
      </c>
      <c r="R200" s="19">
        <f t="shared" ref="R200:R264" si="5">SUM(I200:Q200)</f>
        <v>1</v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5:35" x14ac:dyDescent="0.15">
      <c r="E201" s="13">
        <v>194</v>
      </c>
      <c r="F201" s="1" t="s">
        <v>1237</v>
      </c>
      <c r="G201" s="13">
        <v>196</v>
      </c>
      <c r="H201" s="14" t="s">
        <v>244</v>
      </c>
      <c r="I201" s="45">
        <v>0</v>
      </c>
      <c r="J201" s="11">
        <v>0</v>
      </c>
      <c r="K201" s="11">
        <v>0</v>
      </c>
      <c r="L201" s="32">
        <v>1</v>
      </c>
      <c r="M201" s="11">
        <v>0</v>
      </c>
      <c r="N201" s="11">
        <v>0</v>
      </c>
      <c r="O201" s="11">
        <v>0</v>
      </c>
      <c r="P201" s="11">
        <v>0</v>
      </c>
      <c r="Q201" s="16">
        <v>0</v>
      </c>
      <c r="R201" s="19">
        <f t="shared" si="5"/>
        <v>1</v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5:35" x14ac:dyDescent="0.15">
      <c r="E202" s="13">
        <v>195</v>
      </c>
      <c r="F202" s="1" t="s">
        <v>1239</v>
      </c>
      <c r="G202" s="13">
        <v>197</v>
      </c>
      <c r="H202" s="14" t="s">
        <v>245</v>
      </c>
      <c r="I202" s="45">
        <v>0</v>
      </c>
      <c r="J202" s="11">
        <v>0</v>
      </c>
      <c r="K202" s="11">
        <v>0</v>
      </c>
      <c r="L202" s="32">
        <v>1</v>
      </c>
      <c r="M202" s="11">
        <v>0</v>
      </c>
      <c r="N202" s="11">
        <v>0</v>
      </c>
      <c r="O202" s="11">
        <v>0</v>
      </c>
      <c r="P202" s="11">
        <v>0</v>
      </c>
      <c r="Q202" s="16">
        <v>0</v>
      </c>
      <c r="R202" s="19">
        <f t="shared" si="5"/>
        <v>1</v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5:35" x14ac:dyDescent="0.15">
      <c r="E203" s="13">
        <v>196</v>
      </c>
      <c r="F203" s="1" t="s">
        <v>1241</v>
      </c>
      <c r="G203" s="13">
        <v>198</v>
      </c>
      <c r="H203" s="14" t="s">
        <v>246</v>
      </c>
      <c r="I203" s="45">
        <v>0</v>
      </c>
      <c r="J203" s="11">
        <v>0</v>
      </c>
      <c r="K203" s="11">
        <v>0</v>
      </c>
      <c r="L203" s="32">
        <v>1</v>
      </c>
      <c r="M203" s="11">
        <v>0</v>
      </c>
      <c r="N203" s="11">
        <v>0</v>
      </c>
      <c r="O203" s="11">
        <v>0</v>
      </c>
      <c r="P203" s="11">
        <v>0</v>
      </c>
      <c r="Q203" s="16">
        <v>0</v>
      </c>
      <c r="R203" s="19">
        <f t="shared" si="5"/>
        <v>1</v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5:35" x14ac:dyDescent="0.15">
      <c r="E204" s="13">
        <v>197</v>
      </c>
      <c r="F204" s="1" t="s">
        <v>1243</v>
      </c>
      <c r="G204" s="13">
        <v>199</v>
      </c>
      <c r="H204" s="14" t="s">
        <v>247</v>
      </c>
      <c r="I204" s="45">
        <v>0</v>
      </c>
      <c r="J204" s="11">
        <v>0</v>
      </c>
      <c r="K204" s="11">
        <v>0</v>
      </c>
      <c r="L204" s="11">
        <v>0</v>
      </c>
      <c r="M204" s="32">
        <v>1</v>
      </c>
      <c r="N204" s="11">
        <v>0</v>
      </c>
      <c r="O204" s="11">
        <v>0</v>
      </c>
      <c r="P204" s="11">
        <v>0</v>
      </c>
      <c r="Q204" s="16">
        <v>0</v>
      </c>
      <c r="R204" s="19">
        <f t="shared" si="5"/>
        <v>1</v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5:35" x14ac:dyDescent="0.15">
      <c r="E205" s="13">
        <v>198</v>
      </c>
      <c r="F205" s="1" t="s">
        <v>1245</v>
      </c>
      <c r="G205" s="13">
        <v>200</v>
      </c>
      <c r="H205" s="14" t="s">
        <v>248</v>
      </c>
      <c r="I205" s="45">
        <v>0</v>
      </c>
      <c r="J205" s="11">
        <v>0</v>
      </c>
      <c r="K205" s="11">
        <v>0</v>
      </c>
      <c r="L205" s="11">
        <v>0</v>
      </c>
      <c r="M205" s="32">
        <v>1</v>
      </c>
      <c r="N205" s="11">
        <v>0</v>
      </c>
      <c r="O205" s="11">
        <v>0</v>
      </c>
      <c r="P205" s="11">
        <v>0</v>
      </c>
      <c r="Q205" s="16">
        <v>0</v>
      </c>
      <c r="R205" s="19">
        <f t="shared" si="5"/>
        <v>1</v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5:35" x14ac:dyDescent="0.15">
      <c r="E206" s="13">
        <v>199</v>
      </c>
      <c r="F206" s="1" t="s">
        <v>1247</v>
      </c>
      <c r="G206" s="13">
        <v>201</v>
      </c>
      <c r="H206" s="14" t="s">
        <v>249</v>
      </c>
      <c r="I206" s="45">
        <v>0</v>
      </c>
      <c r="J206" s="11">
        <v>0</v>
      </c>
      <c r="K206" s="11">
        <v>0</v>
      </c>
      <c r="L206" s="11">
        <v>0</v>
      </c>
      <c r="M206" s="32">
        <v>1</v>
      </c>
      <c r="N206" s="11">
        <v>0</v>
      </c>
      <c r="O206" s="11">
        <v>0</v>
      </c>
      <c r="P206" s="11">
        <v>0</v>
      </c>
      <c r="Q206" s="16">
        <v>0</v>
      </c>
      <c r="R206" s="19">
        <f t="shared" si="5"/>
        <v>1</v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5:35" x14ac:dyDescent="0.15">
      <c r="E207" s="13">
        <v>200</v>
      </c>
      <c r="F207" s="1" t="s">
        <v>1143</v>
      </c>
      <c r="G207" s="13">
        <v>202</v>
      </c>
      <c r="H207" s="14" t="s">
        <v>250</v>
      </c>
      <c r="I207" s="45">
        <v>0</v>
      </c>
      <c r="J207" s="11">
        <v>0</v>
      </c>
      <c r="K207" s="11">
        <v>0</v>
      </c>
      <c r="L207" s="11">
        <v>0</v>
      </c>
      <c r="M207" s="32">
        <v>1</v>
      </c>
      <c r="N207" s="11">
        <v>0</v>
      </c>
      <c r="O207" s="11">
        <v>0</v>
      </c>
      <c r="P207" s="11">
        <v>0</v>
      </c>
      <c r="Q207" s="16">
        <v>0</v>
      </c>
      <c r="R207" s="19">
        <f t="shared" si="5"/>
        <v>1</v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5:35" x14ac:dyDescent="0.15">
      <c r="E208" s="13">
        <v>201</v>
      </c>
      <c r="F208" s="1" t="s">
        <v>1249</v>
      </c>
      <c r="G208" s="13">
        <v>203</v>
      </c>
      <c r="H208" s="14" t="s">
        <v>251</v>
      </c>
      <c r="I208" s="45">
        <v>0</v>
      </c>
      <c r="J208" s="11">
        <v>0</v>
      </c>
      <c r="K208" s="11">
        <v>0</v>
      </c>
      <c r="L208" s="11">
        <v>0</v>
      </c>
      <c r="M208" s="32">
        <v>1</v>
      </c>
      <c r="N208" s="11">
        <v>0</v>
      </c>
      <c r="O208" s="11">
        <v>0</v>
      </c>
      <c r="P208" s="11">
        <v>0</v>
      </c>
      <c r="Q208" s="16">
        <v>0</v>
      </c>
      <c r="R208" s="19">
        <f t="shared" si="5"/>
        <v>1</v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5:35" x14ac:dyDescent="0.15">
      <c r="E209" s="13">
        <v>202</v>
      </c>
      <c r="F209" s="1" t="s">
        <v>990</v>
      </c>
      <c r="G209" s="13">
        <v>204</v>
      </c>
      <c r="H209" s="14" t="s">
        <v>252</v>
      </c>
      <c r="I209" s="45">
        <v>0</v>
      </c>
      <c r="J209" s="11">
        <v>0</v>
      </c>
      <c r="K209" s="11">
        <v>0</v>
      </c>
      <c r="L209" s="11">
        <v>0</v>
      </c>
      <c r="M209" s="32">
        <v>1</v>
      </c>
      <c r="N209" s="11">
        <v>0</v>
      </c>
      <c r="O209" s="11">
        <v>0</v>
      </c>
      <c r="P209" s="11">
        <v>0</v>
      </c>
      <c r="Q209" s="16">
        <v>0</v>
      </c>
      <c r="R209" s="19">
        <f t="shared" si="5"/>
        <v>1</v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5:35" x14ac:dyDescent="0.15">
      <c r="E210" s="13">
        <v>203</v>
      </c>
      <c r="F210" s="1" t="s">
        <v>1251</v>
      </c>
      <c r="G210" s="13">
        <v>205</v>
      </c>
      <c r="H210" s="14" t="s">
        <v>253</v>
      </c>
      <c r="I210" s="45">
        <v>0</v>
      </c>
      <c r="J210" s="11">
        <v>0</v>
      </c>
      <c r="K210" s="11">
        <v>0</v>
      </c>
      <c r="L210" s="11">
        <v>0</v>
      </c>
      <c r="M210" s="32">
        <v>1</v>
      </c>
      <c r="N210" s="11">
        <v>0</v>
      </c>
      <c r="O210" s="11">
        <v>0</v>
      </c>
      <c r="P210" s="11">
        <v>0</v>
      </c>
      <c r="Q210" s="16">
        <v>0</v>
      </c>
      <c r="R210" s="19">
        <f t="shared" si="5"/>
        <v>1</v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5:35" x14ac:dyDescent="0.15">
      <c r="E211" s="13">
        <v>204</v>
      </c>
      <c r="F211" s="1" t="s">
        <v>1549</v>
      </c>
      <c r="G211" s="13">
        <v>206</v>
      </c>
      <c r="H211" s="14" t="s">
        <v>254</v>
      </c>
      <c r="I211" s="45">
        <v>0</v>
      </c>
      <c r="J211" s="11">
        <v>0</v>
      </c>
      <c r="K211" s="11">
        <v>0</v>
      </c>
      <c r="L211" s="11">
        <v>0</v>
      </c>
      <c r="M211" s="32">
        <v>1</v>
      </c>
      <c r="N211" s="11">
        <v>0</v>
      </c>
      <c r="O211" s="11">
        <v>0</v>
      </c>
      <c r="P211" s="11">
        <v>0</v>
      </c>
      <c r="Q211" s="16">
        <v>0</v>
      </c>
      <c r="R211" s="19">
        <f t="shared" si="5"/>
        <v>1</v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5:35" x14ac:dyDescent="0.15">
      <c r="E212" s="13">
        <v>205</v>
      </c>
      <c r="F212" s="1" t="s">
        <v>1255</v>
      </c>
      <c r="G212" s="13">
        <v>207</v>
      </c>
      <c r="H212" s="14" t="s">
        <v>255</v>
      </c>
      <c r="I212" s="45">
        <v>0</v>
      </c>
      <c r="J212" s="11">
        <v>0</v>
      </c>
      <c r="K212" s="11">
        <v>0</v>
      </c>
      <c r="L212" s="11">
        <v>0</v>
      </c>
      <c r="M212" s="32">
        <v>1</v>
      </c>
      <c r="N212" s="11">
        <v>0</v>
      </c>
      <c r="O212" s="11">
        <v>0</v>
      </c>
      <c r="P212" s="11">
        <v>0</v>
      </c>
      <c r="Q212" s="16">
        <v>0</v>
      </c>
      <c r="R212" s="19">
        <f t="shared" si="5"/>
        <v>1</v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5:35" x14ac:dyDescent="0.15">
      <c r="E213" s="13">
        <v>206</v>
      </c>
      <c r="F213" s="1" t="s">
        <v>938</v>
      </c>
      <c r="G213" s="13">
        <v>208</v>
      </c>
      <c r="H213" s="14" t="s">
        <v>256</v>
      </c>
      <c r="I213" s="45">
        <v>0</v>
      </c>
      <c r="J213" s="11">
        <v>0</v>
      </c>
      <c r="K213" s="11">
        <v>0</v>
      </c>
      <c r="L213" s="11">
        <v>0</v>
      </c>
      <c r="M213" s="11">
        <v>0</v>
      </c>
      <c r="N213" s="32">
        <v>1</v>
      </c>
      <c r="O213" s="11">
        <v>0</v>
      </c>
      <c r="P213" s="11">
        <v>0</v>
      </c>
      <c r="Q213" s="16">
        <v>0</v>
      </c>
      <c r="R213" s="19">
        <f t="shared" si="5"/>
        <v>1</v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5:35" x14ac:dyDescent="0.15">
      <c r="E214" s="13">
        <v>207</v>
      </c>
      <c r="F214" s="1" t="s">
        <v>1551</v>
      </c>
      <c r="G214" s="13">
        <v>209</v>
      </c>
      <c r="H214" s="14" t="s">
        <v>257</v>
      </c>
      <c r="I214" s="45">
        <v>0</v>
      </c>
      <c r="J214" s="11">
        <v>0</v>
      </c>
      <c r="K214" s="11">
        <v>0</v>
      </c>
      <c r="L214" s="11">
        <v>0</v>
      </c>
      <c r="M214" s="11">
        <v>0</v>
      </c>
      <c r="N214" s="32">
        <v>1</v>
      </c>
      <c r="O214" s="11">
        <v>0</v>
      </c>
      <c r="P214" s="11">
        <v>0</v>
      </c>
      <c r="Q214" s="16">
        <v>0</v>
      </c>
      <c r="R214" s="19">
        <f t="shared" si="5"/>
        <v>1</v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5:35" x14ac:dyDescent="0.15">
      <c r="E215" s="13">
        <v>208</v>
      </c>
      <c r="F215" s="1" t="s">
        <v>1257</v>
      </c>
      <c r="G215" s="13">
        <v>210</v>
      </c>
      <c r="H215" s="14" t="s">
        <v>258</v>
      </c>
      <c r="I215" s="45">
        <v>0</v>
      </c>
      <c r="J215" s="11">
        <v>0</v>
      </c>
      <c r="K215" s="11">
        <v>0</v>
      </c>
      <c r="L215" s="11">
        <v>0</v>
      </c>
      <c r="M215" s="11">
        <v>0</v>
      </c>
      <c r="N215" s="32">
        <v>1</v>
      </c>
      <c r="O215" s="11">
        <v>0</v>
      </c>
      <c r="P215" s="11">
        <v>0</v>
      </c>
      <c r="Q215" s="16">
        <v>0</v>
      </c>
      <c r="R215" s="19">
        <f t="shared" si="5"/>
        <v>1</v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5:35" x14ac:dyDescent="0.15">
      <c r="E216" s="13">
        <v>209</v>
      </c>
      <c r="F216" s="1" t="s">
        <v>1553</v>
      </c>
      <c r="G216" s="13">
        <v>211</v>
      </c>
      <c r="H216" s="14" t="s">
        <v>259</v>
      </c>
      <c r="I216" s="45">
        <v>0</v>
      </c>
      <c r="J216" s="11">
        <v>0</v>
      </c>
      <c r="K216" s="11">
        <v>0</v>
      </c>
      <c r="L216" s="11">
        <v>0</v>
      </c>
      <c r="M216" s="11">
        <v>0</v>
      </c>
      <c r="N216" s="32">
        <v>1</v>
      </c>
      <c r="O216" s="11">
        <v>0</v>
      </c>
      <c r="P216" s="11">
        <v>0</v>
      </c>
      <c r="Q216" s="16">
        <v>0</v>
      </c>
      <c r="R216" s="19">
        <f t="shared" si="5"/>
        <v>1</v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5:35" x14ac:dyDescent="0.15">
      <c r="E217" s="13">
        <v>210</v>
      </c>
      <c r="F217" s="1" t="s">
        <v>1259</v>
      </c>
      <c r="G217" s="13">
        <v>212</v>
      </c>
      <c r="H217" s="14" t="s">
        <v>260</v>
      </c>
      <c r="I217" s="45">
        <v>0</v>
      </c>
      <c r="J217" s="11">
        <v>0</v>
      </c>
      <c r="K217" s="11">
        <v>0</v>
      </c>
      <c r="L217" s="11">
        <v>0</v>
      </c>
      <c r="M217" s="11">
        <v>0</v>
      </c>
      <c r="N217" s="32">
        <v>1</v>
      </c>
      <c r="O217" s="11">
        <v>0</v>
      </c>
      <c r="P217" s="11">
        <v>0</v>
      </c>
      <c r="Q217" s="16">
        <v>0</v>
      </c>
      <c r="R217" s="19">
        <f t="shared" si="5"/>
        <v>1</v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5:35" x14ac:dyDescent="0.15">
      <c r="E218" s="13">
        <v>211</v>
      </c>
      <c r="F218" s="1" t="s">
        <v>1261</v>
      </c>
      <c r="G218" s="13">
        <v>213</v>
      </c>
      <c r="H218" s="14" t="s">
        <v>261</v>
      </c>
      <c r="I218" s="45">
        <v>0</v>
      </c>
      <c r="J218" s="11">
        <v>0</v>
      </c>
      <c r="K218" s="11">
        <v>0</v>
      </c>
      <c r="L218" s="11">
        <v>0</v>
      </c>
      <c r="M218" s="11">
        <v>0</v>
      </c>
      <c r="N218" s="32">
        <v>1</v>
      </c>
      <c r="O218" s="11">
        <v>0</v>
      </c>
      <c r="P218" s="11">
        <v>0</v>
      </c>
      <c r="Q218" s="16">
        <v>0</v>
      </c>
      <c r="R218" s="19">
        <f t="shared" si="5"/>
        <v>1</v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5:35" x14ac:dyDescent="0.15">
      <c r="E219" s="13">
        <v>212</v>
      </c>
      <c r="F219" s="1" t="s">
        <v>1263</v>
      </c>
      <c r="G219" s="13">
        <v>214</v>
      </c>
      <c r="H219" s="14" t="s">
        <v>262</v>
      </c>
      <c r="I219" s="45">
        <v>0</v>
      </c>
      <c r="J219" s="11">
        <v>0</v>
      </c>
      <c r="K219" s="11">
        <v>0</v>
      </c>
      <c r="L219" s="11">
        <v>0</v>
      </c>
      <c r="M219" s="11">
        <v>0</v>
      </c>
      <c r="N219" s="32">
        <v>1</v>
      </c>
      <c r="O219" s="11">
        <v>0</v>
      </c>
      <c r="P219" s="11">
        <v>0</v>
      </c>
      <c r="Q219" s="16">
        <v>0</v>
      </c>
      <c r="R219" s="19">
        <f t="shared" si="5"/>
        <v>1</v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5:35" x14ac:dyDescent="0.15">
      <c r="E220" s="13">
        <v>213</v>
      </c>
      <c r="F220" s="1" t="s">
        <v>1265</v>
      </c>
      <c r="G220" s="13">
        <v>215</v>
      </c>
      <c r="H220" s="14" t="s">
        <v>263</v>
      </c>
      <c r="I220" s="45">
        <v>0</v>
      </c>
      <c r="J220" s="11">
        <v>0</v>
      </c>
      <c r="K220" s="11">
        <v>0</v>
      </c>
      <c r="L220" s="11">
        <v>0</v>
      </c>
      <c r="M220" s="11">
        <v>0</v>
      </c>
      <c r="N220" s="32">
        <v>1</v>
      </c>
      <c r="O220" s="11">
        <v>0</v>
      </c>
      <c r="P220" s="11">
        <v>0</v>
      </c>
      <c r="Q220" s="16">
        <v>0</v>
      </c>
      <c r="R220" s="19">
        <f t="shared" si="5"/>
        <v>1</v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5:35" x14ac:dyDescent="0.15">
      <c r="E221" s="13">
        <v>214</v>
      </c>
      <c r="F221" s="1" t="s">
        <v>1267</v>
      </c>
      <c r="G221" s="13">
        <v>216</v>
      </c>
      <c r="H221" s="14" t="s">
        <v>264</v>
      </c>
      <c r="I221" s="45">
        <v>0</v>
      </c>
      <c r="J221" s="11">
        <v>0</v>
      </c>
      <c r="K221" s="11">
        <v>0</v>
      </c>
      <c r="L221" s="11">
        <v>0</v>
      </c>
      <c r="M221" s="11">
        <v>0</v>
      </c>
      <c r="N221" s="32">
        <v>1</v>
      </c>
      <c r="O221" s="11">
        <v>0</v>
      </c>
      <c r="P221" s="11">
        <v>0</v>
      </c>
      <c r="Q221" s="16">
        <v>0</v>
      </c>
      <c r="R221" s="19">
        <f t="shared" si="5"/>
        <v>1</v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5:35" x14ac:dyDescent="0.15">
      <c r="E222" s="13">
        <v>215</v>
      </c>
      <c r="F222" s="1" t="s">
        <v>1269</v>
      </c>
      <c r="G222" s="13">
        <v>217</v>
      </c>
      <c r="H222" s="14" t="s">
        <v>265</v>
      </c>
      <c r="I222" s="45">
        <v>0</v>
      </c>
      <c r="J222" s="11">
        <v>0</v>
      </c>
      <c r="K222" s="11">
        <v>0</v>
      </c>
      <c r="L222" s="11">
        <v>0</v>
      </c>
      <c r="M222" s="11">
        <v>0</v>
      </c>
      <c r="N222" s="32">
        <v>1</v>
      </c>
      <c r="O222" s="11">
        <v>0</v>
      </c>
      <c r="P222" s="11">
        <v>0</v>
      </c>
      <c r="Q222" s="16">
        <v>0</v>
      </c>
      <c r="R222" s="19">
        <f t="shared" si="5"/>
        <v>1</v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5:35" x14ac:dyDescent="0.15">
      <c r="E223" s="13">
        <v>216</v>
      </c>
      <c r="F223" s="1" t="s">
        <v>1271</v>
      </c>
      <c r="G223" s="13">
        <v>218</v>
      </c>
      <c r="H223" s="14" t="s">
        <v>266</v>
      </c>
      <c r="I223" s="45">
        <v>0</v>
      </c>
      <c r="J223" s="11">
        <v>0</v>
      </c>
      <c r="K223" s="11">
        <v>0</v>
      </c>
      <c r="L223" s="11">
        <v>0</v>
      </c>
      <c r="M223" s="11">
        <v>0</v>
      </c>
      <c r="N223" s="32">
        <v>1</v>
      </c>
      <c r="O223" s="11">
        <v>0</v>
      </c>
      <c r="P223" s="11">
        <v>0</v>
      </c>
      <c r="Q223" s="16">
        <v>0</v>
      </c>
      <c r="R223" s="19">
        <f t="shared" si="5"/>
        <v>1</v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5:35" x14ac:dyDescent="0.15">
      <c r="E224" s="13"/>
      <c r="F224" s="1" t="s">
        <v>1600</v>
      </c>
      <c r="G224" s="13">
        <v>219</v>
      </c>
      <c r="H224" s="20" t="s">
        <v>1599</v>
      </c>
      <c r="I224" s="45">
        <v>0</v>
      </c>
      <c r="J224" s="11">
        <v>0</v>
      </c>
      <c r="K224" s="11">
        <v>0</v>
      </c>
      <c r="L224" s="11">
        <v>0</v>
      </c>
      <c r="M224" s="11">
        <v>0</v>
      </c>
      <c r="N224" s="32">
        <v>1</v>
      </c>
      <c r="O224" s="11">
        <v>0</v>
      </c>
      <c r="P224" s="11">
        <v>0</v>
      </c>
      <c r="Q224" s="16">
        <v>0</v>
      </c>
      <c r="R224" s="19">
        <f t="shared" si="5"/>
        <v>1</v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5:35" x14ac:dyDescent="0.15">
      <c r="E225" s="13">
        <v>217</v>
      </c>
      <c r="F225" s="1" t="s">
        <v>1273</v>
      </c>
      <c r="G225" s="13">
        <v>220</v>
      </c>
      <c r="H225" s="14" t="s">
        <v>267</v>
      </c>
      <c r="I225" s="45">
        <v>0</v>
      </c>
      <c r="J225" s="11">
        <v>0</v>
      </c>
      <c r="K225" s="11">
        <v>0</v>
      </c>
      <c r="L225" s="11">
        <v>0</v>
      </c>
      <c r="M225" s="11">
        <v>0</v>
      </c>
      <c r="N225" s="32">
        <v>1</v>
      </c>
      <c r="O225" s="11">
        <v>0</v>
      </c>
      <c r="P225" s="11">
        <v>0</v>
      </c>
      <c r="Q225" s="16">
        <v>0</v>
      </c>
      <c r="R225" s="19">
        <f t="shared" si="5"/>
        <v>1</v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5:35" x14ac:dyDescent="0.15">
      <c r="E226" s="13">
        <v>218</v>
      </c>
      <c r="F226" s="1" t="s">
        <v>1275</v>
      </c>
      <c r="G226" s="13">
        <v>221</v>
      </c>
      <c r="H226" s="20" t="s">
        <v>1621</v>
      </c>
      <c r="I226" s="45">
        <v>0</v>
      </c>
      <c r="J226" s="11">
        <v>0</v>
      </c>
      <c r="K226" s="11">
        <v>0</v>
      </c>
      <c r="L226" s="11">
        <v>0</v>
      </c>
      <c r="M226" s="11">
        <v>0</v>
      </c>
      <c r="N226" s="32">
        <v>1</v>
      </c>
      <c r="O226" s="11">
        <v>0</v>
      </c>
      <c r="P226" s="11">
        <v>0</v>
      </c>
      <c r="Q226" s="16">
        <v>0</v>
      </c>
      <c r="R226" s="19">
        <f t="shared" si="5"/>
        <v>1</v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5:35" x14ac:dyDescent="0.15">
      <c r="E227" s="13">
        <v>219</v>
      </c>
      <c r="F227" s="1" t="s">
        <v>1277</v>
      </c>
      <c r="G227" s="13">
        <v>222</v>
      </c>
      <c r="H227" s="14" t="s">
        <v>268</v>
      </c>
      <c r="I227" s="45">
        <v>0</v>
      </c>
      <c r="J227" s="11">
        <v>0</v>
      </c>
      <c r="K227" s="11">
        <v>0</v>
      </c>
      <c r="L227" s="11">
        <v>0</v>
      </c>
      <c r="M227" s="11">
        <v>0</v>
      </c>
      <c r="N227" s="32">
        <v>1</v>
      </c>
      <c r="O227" s="11">
        <v>0</v>
      </c>
      <c r="P227" s="11">
        <v>0</v>
      </c>
      <c r="Q227" s="16">
        <v>0</v>
      </c>
      <c r="R227" s="19">
        <f t="shared" si="5"/>
        <v>1</v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5:35" x14ac:dyDescent="0.15">
      <c r="E228" s="13">
        <v>220</v>
      </c>
      <c r="F228" s="1" t="s">
        <v>1032</v>
      </c>
      <c r="G228" s="13">
        <v>223</v>
      </c>
      <c r="H228" s="14" t="s">
        <v>269</v>
      </c>
      <c r="I228" s="45">
        <v>0</v>
      </c>
      <c r="J228" s="11">
        <v>0</v>
      </c>
      <c r="K228" s="11">
        <v>0</v>
      </c>
      <c r="L228" s="11">
        <v>0</v>
      </c>
      <c r="M228" s="11">
        <v>0</v>
      </c>
      <c r="N228" s="32">
        <v>1</v>
      </c>
      <c r="O228" s="11">
        <v>0</v>
      </c>
      <c r="P228" s="11">
        <v>0</v>
      </c>
      <c r="Q228" s="16">
        <v>0</v>
      </c>
      <c r="R228" s="19">
        <f t="shared" si="5"/>
        <v>1</v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5:35" x14ac:dyDescent="0.15">
      <c r="E229" s="13">
        <v>221</v>
      </c>
      <c r="F229" s="1" t="s">
        <v>1279</v>
      </c>
      <c r="G229" s="13">
        <v>224</v>
      </c>
      <c r="H229" s="14" t="s">
        <v>270</v>
      </c>
      <c r="I229" s="45">
        <v>0</v>
      </c>
      <c r="J229" s="11">
        <v>0</v>
      </c>
      <c r="K229" s="11">
        <v>0</v>
      </c>
      <c r="L229" s="11">
        <v>0</v>
      </c>
      <c r="M229" s="11">
        <v>0</v>
      </c>
      <c r="N229" s="32">
        <v>1</v>
      </c>
      <c r="O229" s="11">
        <v>0</v>
      </c>
      <c r="P229" s="11">
        <v>0</v>
      </c>
      <c r="Q229" s="16">
        <v>0</v>
      </c>
      <c r="R229" s="19">
        <f t="shared" si="5"/>
        <v>1</v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5:35" x14ac:dyDescent="0.15">
      <c r="E230" s="13">
        <v>222</v>
      </c>
      <c r="F230" s="1" t="s">
        <v>1281</v>
      </c>
      <c r="G230" s="13">
        <v>225</v>
      </c>
      <c r="H230" s="14" t="s">
        <v>271</v>
      </c>
      <c r="I230" s="45">
        <v>0</v>
      </c>
      <c r="J230" s="11">
        <v>0</v>
      </c>
      <c r="K230" s="11">
        <v>0</v>
      </c>
      <c r="L230" s="11">
        <v>0</v>
      </c>
      <c r="M230" s="11">
        <v>0</v>
      </c>
      <c r="N230" s="32">
        <v>1</v>
      </c>
      <c r="O230" s="11">
        <v>0</v>
      </c>
      <c r="P230" s="11">
        <v>0</v>
      </c>
      <c r="Q230" s="16">
        <v>0</v>
      </c>
      <c r="R230" s="19">
        <f t="shared" si="5"/>
        <v>1</v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5:35" x14ac:dyDescent="0.15">
      <c r="E231" s="13">
        <v>223</v>
      </c>
      <c r="F231" s="1" t="s">
        <v>1283</v>
      </c>
      <c r="G231" s="13">
        <v>226</v>
      </c>
      <c r="H231" s="14" t="s">
        <v>272</v>
      </c>
      <c r="I231" s="45">
        <v>0</v>
      </c>
      <c r="J231" s="11">
        <v>0</v>
      </c>
      <c r="K231" s="11">
        <v>0</v>
      </c>
      <c r="L231" s="11">
        <v>0</v>
      </c>
      <c r="M231" s="11">
        <v>0</v>
      </c>
      <c r="N231" s="32">
        <v>1</v>
      </c>
      <c r="O231" s="11">
        <v>0</v>
      </c>
      <c r="P231" s="11">
        <v>0</v>
      </c>
      <c r="Q231" s="16">
        <v>0</v>
      </c>
      <c r="R231" s="19">
        <f t="shared" si="5"/>
        <v>1</v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5:35" x14ac:dyDescent="0.15">
      <c r="E232" s="13">
        <v>224</v>
      </c>
      <c r="F232" s="1" t="s">
        <v>1557</v>
      </c>
      <c r="G232" s="13">
        <v>227</v>
      </c>
      <c r="H232" s="14" t="s">
        <v>273</v>
      </c>
      <c r="I232" s="45">
        <v>0</v>
      </c>
      <c r="J232" s="11">
        <v>0</v>
      </c>
      <c r="K232" s="11">
        <v>0</v>
      </c>
      <c r="L232" s="11">
        <v>0</v>
      </c>
      <c r="M232" s="11">
        <v>0</v>
      </c>
      <c r="N232" s="32">
        <v>1</v>
      </c>
      <c r="O232" s="11">
        <v>0</v>
      </c>
      <c r="P232" s="11">
        <v>0</v>
      </c>
      <c r="Q232" s="16">
        <v>0</v>
      </c>
      <c r="R232" s="19">
        <f t="shared" si="5"/>
        <v>1</v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5:35" x14ac:dyDescent="0.15">
      <c r="E233" s="13">
        <v>225</v>
      </c>
      <c r="F233" s="1" t="s">
        <v>1287</v>
      </c>
      <c r="G233" s="13">
        <v>228</v>
      </c>
      <c r="H233" s="14" t="s">
        <v>274</v>
      </c>
      <c r="I233" s="45">
        <v>0</v>
      </c>
      <c r="J233" s="11">
        <v>0</v>
      </c>
      <c r="K233" s="11">
        <v>0</v>
      </c>
      <c r="L233" s="11">
        <v>0</v>
      </c>
      <c r="M233" s="11">
        <v>0</v>
      </c>
      <c r="N233" s="32">
        <v>1</v>
      </c>
      <c r="O233" s="11">
        <v>0</v>
      </c>
      <c r="P233" s="11">
        <v>0</v>
      </c>
      <c r="Q233" s="16">
        <v>0</v>
      </c>
      <c r="R233" s="19">
        <f t="shared" si="5"/>
        <v>1</v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5:35" x14ac:dyDescent="0.15">
      <c r="E234" s="13">
        <v>226</v>
      </c>
      <c r="F234" s="1" t="s">
        <v>1289</v>
      </c>
      <c r="G234" s="13">
        <v>229</v>
      </c>
      <c r="H234" s="14" t="s">
        <v>275</v>
      </c>
      <c r="I234" s="45">
        <v>0</v>
      </c>
      <c r="J234" s="11">
        <v>0</v>
      </c>
      <c r="K234" s="11">
        <v>0</v>
      </c>
      <c r="L234" s="11">
        <v>0</v>
      </c>
      <c r="M234" s="11">
        <v>0</v>
      </c>
      <c r="N234" s="32">
        <v>1</v>
      </c>
      <c r="O234" s="11">
        <v>0</v>
      </c>
      <c r="P234" s="11">
        <v>0</v>
      </c>
      <c r="Q234" s="16">
        <v>0</v>
      </c>
      <c r="R234" s="19">
        <f t="shared" si="5"/>
        <v>1</v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5:35" x14ac:dyDescent="0.15">
      <c r="E235" s="13">
        <v>227</v>
      </c>
      <c r="F235" s="1" t="s">
        <v>1291</v>
      </c>
      <c r="G235" s="13">
        <v>230</v>
      </c>
      <c r="H235" s="14" t="s">
        <v>276</v>
      </c>
      <c r="I235" s="45">
        <v>0</v>
      </c>
      <c r="J235" s="11">
        <v>0</v>
      </c>
      <c r="K235" s="11">
        <v>0</v>
      </c>
      <c r="L235" s="11">
        <v>0</v>
      </c>
      <c r="M235" s="11">
        <v>0</v>
      </c>
      <c r="N235" s="32">
        <v>1</v>
      </c>
      <c r="O235" s="11">
        <v>0</v>
      </c>
      <c r="P235" s="11">
        <v>0</v>
      </c>
      <c r="Q235" s="16">
        <v>0</v>
      </c>
      <c r="R235" s="19">
        <f t="shared" si="5"/>
        <v>1</v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5:35" x14ac:dyDescent="0.15">
      <c r="E236" s="13">
        <v>228</v>
      </c>
      <c r="F236" s="1" t="s">
        <v>1293</v>
      </c>
      <c r="G236" s="13">
        <v>231</v>
      </c>
      <c r="H236" s="14" t="s">
        <v>277</v>
      </c>
      <c r="I236" s="45">
        <v>0</v>
      </c>
      <c r="J236" s="11">
        <v>0</v>
      </c>
      <c r="K236" s="11">
        <v>0</v>
      </c>
      <c r="L236" s="11">
        <v>0</v>
      </c>
      <c r="M236" s="11">
        <v>0</v>
      </c>
      <c r="N236" s="32">
        <v>1</v>
      </c>
      <c r="O236" s="11">
        <v>0</v>
      </c>
      <c r="P236" s="11">
        <v>0</v>
      </c>
      <c r="Q236" s="16">
        <v>0</v>
      </c>
      <c r="R236" s="19">
        <f t="shared" si="5"/>
        <v>1</v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5:35" x14ac:dyDescent="0.15">
      <c r="E237" s="13">
        <v>229</v>
      </c>
      <c r="F237" s="1" t="s">
        <v>1285</v>
      </c>
      <c r="G237" s="13">
        <v>232</v>
      </c>
      <c r="H237" s="14" t="s">
        <v>278</v>
      </c>
      <c r="I237" s="45">
        <v>0</v>
      </c>
      <c r="J237" s="11">
        <v>0</v>
      </c>
      <c r="K237" s="11">
        <v>0</v>
      </c>
      <c r="L237" s="11">
        <v>0</v>
      </c>
      <c r="M237" s="11">
        <v>0</v>
      </c>
      <c r="N237" s="32">
        <v>1</v>
      </c>
      <c r="O237" s="11">
        <v>0</v>
      </c>
      <c r="P237" s="11">
        <v>0</v>
      </c>
      <c r="Q237" s="16">
        <v>0</v>
      </c>
      <c r="R237" s="19">
        <f t="shared" si="5"/>
        <v>1</v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5:35" x14ac:dyDescent="0.15">
      <c r="E238" s="13">
        <v>230</v>
      </c>
      <c r="F238" s="1" t="s">
        <v>1295</v>
      </c>
      <c r="G238" s="13">
        <v>233</v>
      </c>
      <c r="H238" s="14" t="s">
        <v>279</v>
      </c>
      <c r="I238" s="45">
        <v>0</v>
      </c>
      <c r="J238" s="11">
        <v>0</v>
      </c>
      <c r="K238" s="11">
        <v>0</v>
      </c>
      <c r="L238" s="11">
        <v>0</v>
      </c>
      <c r="M238" s="11">
        <v>0</v>
      </c>
      <c r="N238" s="32">
        <v>1</v>
      </c>
      <c r="O238" s="11">
        <v>0</v>
      </c>
      <c r="P238" s="11">
        <v>0</v>
      </c>
      <c r="Q238" s="16">
        <v>0</v>
      </c>
      <c r="R238" s="19">
        <f t="shared" si="5"/>
        <v>1</v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5:35" x14ac:dyDescent="0.15">
      <c r="E239" s="13">
        <v>231</v>
      </c>
      <c r="F239" s="1" t="s">
        <v>1561</v>
      </c>
      <c r="G239" s="13">
        <v>234</v>
      </c>
      <c r="H239" s="14" t="s">
        <v>280</v>
      </c>
      <c r="I239" s="45">
        <v>0</v>
      </c>
      <c r="J239" s="11">
        <v>0</v>
      </c>
      <c r="K239" s="11">
        <v>0</v>
      </c>
      <c r="L239" s="11">
        <v>0</v>
      </c>
      <c r="M239" s="11">
        <v>0</v>
      </c>
      <c r="N239" s="32">
        <v>1</v>
      </c>
      <c r="O239" s="11">
        <v>0</v>
      </c>
      <c r="P239" s="11">
        <v>0</v>
      </c>
      <c r="Q239" s="16">
        <v>0</v>
      </c>
      <c r="R239" s="19">
        <f t="shared" si="5"/>
        <v>1</v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5:35" x14ac:dyDescent="0.15">
      <c r="E240" s="13">
        <v>232</v>
      </c>
      <c r="F240" s="1" t="s">
        <v>1299</v>
      </c>
      <c r="G240" s="13">
        <v>235</v>
      </c>
      <c r="H240" s="14" t="s">
        <v>281</v>
      </c>
      <c r="I240" s="45">
        <v>0</v>
      </c>
      <c r="J240" s="11">
        <v>0</v>
      </c>
      <c r="K240" s="11">
        <v>0</v>
      </c>
      <c r="L240" s="11">
        <v>0</v>
      </c>
      <c r="M240" s="11">
        <v>0</v>
      </c>
      <c r="N240" s="32">
        <v>1</v>
      </c>
      <c r="O240" s="11">
        <v>0</v>
      </c>
      <c r="P240" s="11">
        <v>0</v>
      </c>
      <c r="Q240" s="16">
        <v>0</v>
      </c>
      <c r="R240" s="19">
        <f t="shared" si="5"/>
        <v>1</v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5:35" x14ac:dyDescent="0.15">
      <c r="E241" s="13">
        <v>233</v>
      </c>
      <c r="F241" s="1" t="s">
        <v>1301</v>
      </c>
      <c r="G241" s="13">
        <v>236</v>
      </c>
      <c r="H241" s="14" t="s">
        <v>282</v>
      </c>
      <c r="I241" s="45">
        <v>0</v>
      </c>
      <c r="J241" s="11">
        <v>0</v>
      </c>
      <c r="K241" s="11">
        <v>0</v>
      </c>
      <c r="L241" s="11">
        <v>0</v>
      </c>
      <c r="M241" s="11">
        <v>0</v>
      </c>
      <c r="N241" s="32">
        <v>1</v>
      </c>
      <c r="O241" s="11">
        <v>0</v>
      </c>
      <c r="P241" s="11">
        <v>0</v>
      </c>
      <c r="Q241" s="16">
        <v>0</v>
      </c>
      <c r="R241" s="19">
        <f t="shared" si="5"/>
        <v>1</v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5:35" x14ac:dyDescent="0.15">
      <c r="E242" s="13">
        <v>234</v>
      </c>
      <c r="F242" s="1" t="s">
        <v>1303</v>
      </c>
      <c r="G242" s="13">
        <v>237</v>
      </c>
      <c r="H242" s="14" t="s">
        <v>283</v>
      </c>
      <c r="I242" s="45">
        <v>0</v>
      </c>
      <c r="J242" s="11">
        <v>0</v>
      </c>
      <c r="K242" s="11">
        <v>0</v>
      </c>
      <c r="L242" s="11">
        <v>0</v>
      </c>
      <c r="M242" s="11">
        <v>0</v>
      </c>
      <c r="N242" s="32">
        <v>1</v>
      </c>
      <c r="O242" s="11">
        <v>0</v>
      </c>
      <c r="P242" s="11">
        <v>0</v>
      </c>
      <c r="Q242" s="16">
        <v>0</v>
      </c>
      <c r="R242" s="19">
        <f t="shared" si="5"/>
        <v>1</v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5:35" x14ac:dyDescent="0.15">
      <c r="E243" s="13">
        <v>235</v>
      </c>
      <c r="F243" s="1" t="s">
        <v>1563</v>
      </c>
      <c r="G243" s="13">
        <v>238</v>
      </c>
      <c r="H243" s="14" t="s">
        <v>284</v>
      </c>
      <c r="I243" s="45">
        <v>0</v>
      </c>
      <c r="J243" s="11">
        <v>0</v>
      </c>
      <c r="K243" s="11">
        <v>0</v>
      </c>
      <c r="L243" s="11">
        <v>0</v>
      </c>
      <c r="M243" s="11">
        <v>0</v>
      </c>
      <c r="N243" s="32">
        <v>1</v>
      </c>
      <c r="O243" s="11">
        <v>0</v>
      </c>
      <c r="P243" s="11">
        <v>0</v>
      </c>
      <c r="Q243" s="16">
        <v>0</v>
      </c>
      <c r="R243" s="19">
        <f t="shared" si="5"/>
        <v>1</v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5:35" x14ac:dyDescent="0.15">
      <c r="E244" s="13">
        <v>236</v>
      </c>
      <c r="F244" s="1" t="s">
        <v>1565</v>
      </c>
      <c r="G244" s="13">
        <v>239</v>
      </c>
      <c r="H244" s="14" t="s">
        <v>285</v>
      </c>
      <c r="I244" s="45">
        <v>0</v>
      </c>
      <c r="J244" s="11">
        <v>0</v>
      </c>
      <c r="K244" s="11">
        <v>0</v>
      </c>
      <c r="L244" s="11">
        <v>0</v>
      </c>
      <c r="M244" s="11">
        <v>0</v>
      </c>
      <c r="N244" s="32">
        <v>1</v>
      </c>
      <c r="O244" s="11">
        <v>0</v>
      </c>
      <c r="P244" s="11">
        <v>0</v>
      </c>
      <c r="Q244" s="16">
        <v>0</v>
      </c>
      <c r="R244" s="19">
        <f t="shared" si="5"/>
        <v>1</v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5:35" x14ac:dyDescent="0.15">
      <c r="E245" s="13">
        <v>237</v>
      </c>
      <c r="F245" s="1" t="s">
        <v>1307</v>
      </c>
      <c r="G245" s="13">
        <v>240</v>
      </c>
      <c r="H245" s="14" t="s">
        <v>286</v>
      </c>
      <c r="I245" s="45">
        <v>0</v>
      </c>
      <c r="J245" s="11">
        <v>0</v>
      </c>
      <c r="K245" s="11">
        <v>0</v>
      </c>
      <c r="L245" s="11">
        <v>0</v>
      </c>
      <c r="M245" s="11">
        <v>0</v>
      </c>
      <c r="N245" s="32">
        <v>1</v>
      </c>
      <c r="O245" s="11">
        <v>0</v>
      </c>
      <c r="P245" s="11">
        <v>0</v>
      </c>
      <c r="Q245" s="16">
        <v>0</v>
      </c>
      <c r="R245" s="19">
        <f t="shared" si="5"/>
        <v>1</v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5:35" x14ac:dyDescent="0.15">
      <c r="E246" s="13">
        <v>238</v>
      </c>
      <c r="F246" s="1" t="s">
        <v>1309</v>
      </c>
      <c r="G246" s="13">
        <v>241</v>
      </c>
      <c r="H246" s="14" t="s">
        <v>287</v>
      </c>
      <c r="I246" s="45">
        <v>0</v>
      </c>
      <c r="J246" s="11">
        <v>0</v>
      </c>
      <c r="K246" s="11">
        <v>0</v>
      </c>
      <c r="L246" s="11">
        <v>0</v>
      </c>
      <c r="M246" s="11">
        <v>0</v>
      </c>
      <c r="N246" s="32">
        <v>1</v>
      </c>
      <c r="O246" s="11">
        <v>0</v>
      </c>
      <c r="P246" s="11">
        <v>0</v>
      </c>
      <c r="Q246" s="16">
        <v>0</v>
      </c>
      <c r="R246" s="19">
        <f t="shared" si="5"/>
        <v>1</v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5:35" x14ac:dyDescent="0.15">
      <c r="E247" s="13">
        <v>239</v>
      </c>
      <c r="F247" s="1" t="s">
        <v>1311</v>
      </c>
      <c r="G247" s="13">
        <v>242</v>
      </c>
      <c r="H247" s="14" t="s">
        <v>288</v>
      </c>
      <c r="I247" s="45">
        <v>0</v>
      </c>
      <c r="J247" s="11">
        <v>0</v>
      </c>
      <c r="K247" s="11">
        <v>0</v>
      </c>
      <c r="L247" s="11">
        <v>0</v>
      </c>
      <c r="M247" s="11">
        <v>0</v>
      </c>
      <c r="N247" s="32">
        <v>1</v>
      </c>
      <c r="O247" s="11">
        <v>0</v>
      </c>
      <c r="P247" s="11">
        <v>0</v>
      </c>
      <c r="Q247" s="16">
        <v>0</v>
      </c>
      <c r="R247" s="19">
        <f t="shared" si="5"/>
        <v>1</v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5:35" x14ac:dyDescent="0.15">
      <c r="E248" s="13">
        <v>240</v>
      </c>
      <c r="F248" s="1" t="s">
        <v>1313</v>
      </c>
      <c r="G248" s="13">
        <v>243</v>
      </c>
      <c r="H248" s="14" t="s">
        <v>289</v>
      </c>
      <c r="I248" s="45">
        <v>0</v>
      </c>
      <c r="J248" s="11">
        <v>0</v>
      </c>
      <c r="K248" s="11">
        <v>0</v>
      </c>
      <c r="L248" s="11">
        <v>0</v>
      </c>
      <c r="M248" s="11">
        <v>0</v>
      </c>
      <c r="N248" s="32">
        <v>1</v>
      </c>
      <c r="O248" s="11">
        <v>0</v>
      </c>
      <c r="P248" s="11">
        <v>0</v>
      </c>
      <c r="Q248" s="16">
        <v>0</v>
      </c>
      <c r="R248" s="19">
        <f t="shared" si="5"/>
        <v>1</v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5:35" x14ac:dyDescent="0.15">
      <c r="E249" s="13">
        <v>241</v>
      </c>
      <c r="F249" s="1" t="s">
        <v>966</v>
      </c>
      <c r="G249" s="13">
        <v>244</v>
      </c>
      <c r="H249" s="14" t="s">
        <v>290</v>
      </c>
      <c r="I249" s="45">
        <v>0</v>
      </c>
      <c r="J249" s="11">
        <v>0</v>
      </c>
      <c r="K249" s="11">
        <v>0</v>
      </c>
      <c r="L249" s="11">
        <v>0</v>
      </c>
      <c r="M249" s="11">
        <v>0</v>
      </c>
      <c r="N249" s="32">
        <v>1</v>
      </c>
      <c r="O249" s="11">
        <v>0</v>
      </c>
      <c r="P249" s="11">
        <v>0</v>
      </c>
      <c r="Q249" s="16">
        <v>0</v>
      </c>
      <c r="R249" s="19">
        <f t="shared" si="5"/>
        <v>1</v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5:35" x14ac:dyDescent="0.15">
      <c r="E250" s="13">
        <v>242</v>
      </c>
      <c r="F250" s="1" t="s">
        <v>1315</v>
      </c>
      <c r="G250" s="13">
        <v>245</v>
      </c>
      <c r="H250" s="14" t="s">
        <v>291</v>
      </c>
      <c r="I250" s="45">
        <v>0</v>
      </c>
      <c r="J250" s="11">
        <v>0</v>
      </c>
      <c r="K250" s="11">
        <v>0</v>
      </c>
      <c r="L250" s="11">
        <v>0</v>
      </c>
      <c r="M250" s="11">
        <v>0</v>
      </c>
      <c r="N250" s="32">
        <v>1</v>
      </c>
      <c r="O250" s="11">
        <v>0</v>
      </c>
      <c r="P250" s="11">
        <v>0</v>
      </c>
      <c r="Q250" s="16">
        <v>0</v>
      </c>
      <c r="R250" s="19">
        <f t="shared" si="5"/>
        <v>1</v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5:35" x14ac:dyDescent="0.15">
      <c r="E251" s="13">
        <v>243</v>
      </c>
      <c r="F251" s="1" t="s">
        <v>1317</v>
      </c>
      <c r="G251" s="13">
        <v>246</v>
      </c>
      <c r="H251" s="14" t="s">
        <v>292</v>
      </c>
      <c r="I251" s="45">
        <v>0</v>
      </c>
      <c r="J251" s="11">
        <v>0</v>
      </c>
      <c r="K251" s="11">
        <v>0</v>
      </c>
      <c r="L251" s="11">
        <v>0</v>
      </c>
      <c r="M251" s="11">
        <v>0</v>
      </c>
      <c r="N251" s="32">
        <v>1</v>
      </c>
      <c r="O251" s="11">
        <v>0</v>
      </c>
      <c r="P251" s="11">
        <v>0</v>
      </c>
      <c r="Q251" s="16">
        <v>0</v>
      </c>
      <c r="R251" s="19">
        <f t="shared" si="5"/>
        <v>1</v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spans="5:35" x14ac:dyDescent="0.15">
      <c r="E252" s="13">
        <v>244</v>
      </c>
      <c r="F252" s="1" t="s">
        <v>1221</v>
      </c>
      <c r="G252" s="13">
        <v>247</v>
      </c>
      <c r="H252" s="14" t="s">
        <v>293</v>
      </c>
      <c r="I252" s="45">
        <v>0</v>
      </c>
      <c r="J252" s="11">
        <v>0</v>
      </c>
      <c r="K252" s="11">
        <v>0</v>
      </c>
      <c r="L252" s="11">
        <v>0</v>
      </c>
      <c r="M252" s="11">
        <v>0</v>
      </c>
      <c r="N252" s="32">
        <v>1</v>
      </c>
      <c r="O252" s="11">
        <v>0</v>
      </c>
      <c r="P252" s="11">
        <v>0</v>
      </c>
      <c r="Q252" s="16">
        <v>0</v>
      </c>
      <c r="R252" s="19">
        <f t="shared" si="5"/>
        <v>1</v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5:35" x14ac:dyDescent="0.15">
      <c r="E253" s="13">
        <v>245</v>
      </c>
      <c r="F253" s="1" t="s">
        <v>978</v>
      </c>
      <c r="G253" s="13">
        <v>248</v>
      </c>
      <c r="H253" s="14" t="s">
        <v>294</v>
      </c>
      <c r="I253" s="45">
        <v>0</v>
      </c>
      <c r="J253" s="11">
        <v>0</v>
      </c>
      <c r="K253" s="11">
        <v>0</v>
      </c>
      <c r="L253" s="11">
        <v>0</v>
      </c>
      <c r="M253" s="11">
        <v>0</v>
      </c>
      <c r="N253" s="32">
        <v>1</v>
      </c>
      <c r="O253" s="11">
        <v>0</v>
      </c>
      <c r="P253" s="11">
        <v>0</v>
      </c>
      <c r="Q253" s="16">
        <v>0</v>
      </c>
      <c r="R253" s="19">
        <f t="shared" si="5"/>
        <v>1</v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spans="5:35" x14ac:dyDescent="0.15">
      <c r="E254" s="13">
        <v>246</v>
      </c>
      <c r="F254" s="1" t="s">
        <v>1319</v>
      </c>
      <c r="G254" s="13">
        <v>249</v>
      </c>
      <c r="H254" s="14" t="s">
        <v>295</v>
      </c>
      <c r="I254" s="45">
        <v>0</v>
      </c>
      <c r="J254" s="11">
        <v>0</v>
      </c>
      <c r="K254" s="11">
        <v>0</v>
      </c>
      <c r="L254" s="11">
        <v>0</v>
      </c>
      <c r="M254" s="11">
        <v>0</v>
      </c>
      <c r="N254" s="32">
        <v>1</v>
      </c>
      <c r="O254" s="11">
        <v>0</v>
      </c>
      <c r="P254" s="11">
        <v>0</v>
      </c>
      <c r="Q254" s="16">
        <v>0</v>
      </c>
      <c r="R254" s="19">
        <f t="shared" si="5"/>
        <v>1</v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5:35" x14ac:dyDescent="0.15">
      <c r="E255" s="13">
        <v>247</v>
      </c>
      <c r="F255" s="1" t="s">
        <v>1114</v>
      </c>
      <c r="G255" s="13">
        <v>250</v>
      </c>
      <c r="H255" s="14" t="s">
        <v>296</v>
      </c>
      <c r="I255" s="45">
        <v>0</v>
      </c>
      <c r="J255" s="11">
        <v>0</v>
      </c>
      <c r="K255" s="11">
        <v>0</v>
      </c>
      <c r="L255" s="11">
        <v>0</v>
      </c>
      <c r="M255" s="11">
        <v>0</v>
      </c>
      <c r="N255" s="32">
        <v>1</v>
      </c>
      <c r="O255" s="11">
        <v>0</v>
      </c>
      <c r="P255" s="11">
        <v>0</v>
      </c>
      <c r="Q255" s="16">
        <v>0</v>
      </c>
      <c r="R255" s="19">
        <f t="shared" si="5"/>
        <v>1</v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spans="5:35" x14ac:dyDescent="0.15">
      <c r="E256" s="13">
        <v>248</v>
      </c>
      <c r="F256" s="1" t="s">
        <v>1555</v>
      </c>
      <c r="G256" s="13">
        <v>251</v>
      </c>
      <c r="H256" s="14" t="s">
        <v>297</v>
      </c>
      <c r="I256" s="45">
        <v>0</v>
      </c>
      <c r="J256" s="11">
        <v>0</v>
      </c>
      <c r="K256" s="11">
        <v>0</v>
      </c>
      <c r="L256" s="11">
        <v>0</v>
      </c>
      <c r="M256" s="11">
        <v>0</v>
      </c>
      <c r="N256" s="32">
        <v>1</v>
      </c>
      <c r="O256" s="11">
        <v>0</v>
      </c>
      <c r="P256" s="11">
        <v>0</v>
      </c>
      <c r="Q256" s="16">
        <v>0</v>
      </c>
      <c r="R256" s="19">
        <f t="shared" si="5"/>
        <v>1</v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5:35" x14ac:dyDescent="0.15">
      <c r="E257" s="13">
        <v>249</v>
      </c>
      <c r="F257" s="1" t="s">
        <v>1321</v>
      </c>
      <c r="G257" s="13">
        <v>252</v>
      </c>
      <c r="H257" s="14" t="s">
        <v>298</v>
      </c>
      <c r="I257" s="45">
        <v>0</v>
      </c>
      <c r="J257" s="11">
        <v>0</v>
      </c>
      <c r="K257" s="11">
        <v>0</v>
      </c>
      <c r="L257" s="11">
        <v>0</v>
      </c>
      <c r="M257" s="11">
        <v>0</v>
      </c>
      <c r="N257" s="32">
        <v>1</v>
      </c>
      <c r="O257" s="11">
        <v>0</v>
      </c>
      <c r="P257" s="11">
        <v>0</v>
      </c>
      <c r="Q257" s="16">
        <v>0</v>
      </c>
      <c r="R257" s="19">
        <f t="shared" si="5"/>
        <v>1</v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spans="5:35" x14ac:dyDescent="0.15">
      <c r="E258" s="13">
        <v>250</v>
      </c>
      <c r="F258" s="1" t="s">
        <v>1195</v>
      </c>
      <c r="G258" s="13">
        <v>253</v>
      </c>
      <c r="H258" s="14" t="s">
        <v>299</v>
      </c>
      <c r="I258" s="45">
        <v>0</v>
      </c>
      <c r="J258" s="11">
        <v>0</v>
      </c>
      <c r="K258" s="11">
        <v>0</v>
      </c>
      <c r="L258" s="11">
        <v>0</v>
      </c>
      <c r="M258" s="11">
        <v>0</v>
      </c>
      <c r="N258" s="32">
        <v>1</v>
      </c>
      <c r="O258" s="11">
        <v>0</v>
      </c>
      <c r="P258" s="11">
        <v>0</v>
      </c>
      <c r="Q258" s="16">
        <v>0</v>
      </c>
      <c r="R258" s="19">
        <f t="shared" si="5"/>
        <v>1</v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5:35" x14ac:dyDescent="0.15">
      <c r="E259" s="13">
        <v>251</v>
      </c>
      <c r="F259" s="1" t="s">
        <v>1323</v>
      </c>
      <c r="G259" s="13">
        <v>254</v>
      </c>
      <c r="H259" s="14" t="s">
        <v>300</v>
      </c>
      <c r="I259" s="45">
        <v>0</v>
      </c>
      <c r="J259" s="11">
        <v>0</v>
      </c>
      <c r="K259" s="11">
        <v>0</v>
      </c>
      <c r="L259" s="11">
        <v>0</v>
      </c>
      <c r="M259" s="11">
        <v>0</v>
      </c>
      <c r="N259" s="32">
        <v>1</v>
      </c>
      <c r="O259" s="11">
        <v>0</v>
      </c>
      <c r="P259" s="11">
        <v>0</v>
      </c>
      <c r="Q259" s="16">
        <v>0</v>
      </c>
      <c r="R259" s="19">
        <f t="shared" si="5"/>
        <v>1</v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spans="5:35" x14ac:dyDescent="0.15">
      <c r="E260" s="13">
        <v>252</v>
      </c>
      <c r="F260" s="1" t="s">
        <v>1325</v>
      </c>
      <c r="G260" s="13">
        <v>255</v>
      </c>
      <c r="H260" s="14" t="s">
        <v>301</v>
      </c>
      <c r="I260" s="45">
        <v>0</v>
      </c>
      <c r="J260" s="11">
        <v>0</v>
      </c>
      <c r="K260" s="11">
        <v>0</v>
      </c>
      <c r="L260" s="11">
        <v>0</v>
      </c>
      <c r="M260" s="11">
        <v>0</v>
      </c>
      <c r="N260" s="32">
        <v>1</v>
      </c>
      <c r="O260" s="11">
        <v>0</v>
      </c>
      <c r="P260" s="11">
        <v>0</v>
      </c>
      <c r="Q260" s="16">
        <v>0</v>
      </c>
      <c r="R260" s="19">
        <f t="shared" si="5"/>
        <v>1</v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5:35" x14ac:dyDescent="0.15">
      <c r="E261" s="13">
        <v>253</v>
      </c>
      <c r="F261" s="1" t="s">
        <v>1327</v>
      </c>
      <c r="G261" s="13">
        <v>256</v>
      </c>
      <c r="H261" s="14" t="s">
        <v>302</v>
      </c>
      <c r="I261" s="45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32">
        <v>1</v>
      </c>
      <c r="P261" s="11">
        <v>0</v>
      </c>
      <c r="Q261" s="16">
        <v>0</v>
      </c>
      <c r="R261" s="19">
        <f t="shared" si="5"/>
        <v>1</v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spans="5:35" x14ac:dyDescent="0.15">
      <c r="E262" s="13">
        <v>254</v>
      </c>
      <c r="F262" s="1" t="s">
        <v>1567</v>
      </c>
      <c r="G262" s="13">
        <v>257</v>
      </c>
      <c r="H262" s="14" t="s">
        <v>303</v>
      </c>
      <c r="I262" s="45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32">
        <v>1</v>
      </c>
      <c r="P262" s="11">
        <v>0</v>
      </c>
      <c r="Q262" s="16">
        <v>0</v>
      </c>
      <c r="R262" s="19">
        <f t="shared" si="5"/>
        <v>1</v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5:35" x14ac:dyDescent="0.15">
      <c r="E263" s="13">
        <v>255</v>
      </c>
      <c r="F263" s="1" t="s">
        <v>1569</v>
      </c>
      <c r="G263" s="13">
        <v>258</v>
      </c>
      <c r="H263" s="14" t="s">
        <v>304</v>
      </c>
      <c r="I263" s="45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32">
        <v>1</v>
      </c>
      <c r="P263" s="11">
        <v>0</v>
      </c>
      <c r="Q263" s="16">
        <v>0</v>
      </c>
      <c r="R263" s="19">
        <f t="shared" si="5"/>
        <v>1</v>
      </c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spans="5:35" x14ac:dyDescent="0.15">
      <c r="E264" s="13">
        <v>256</v>
      </c>
      <c r="F264" s="1" t="s">
        <v>1333</v>
      </c>
      <c r="G264" s="13">
        <v>259</v>
      </c>
      <c r="H264" s="14" t="s">
        <v>305</v>
      </c>
      <c r="I264" s="45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32">
        <v>1</v>
      </c>
      <c r="P264" s="11">
        <v>0</v>
      </c>
      <c r="Q264" s="16">
        <v>0</v>
      </c>
      <c r="R264" s="19">
        <f t="shared" si="5"/>
        <v>1</v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5:35" x14ac:dyDescent="0.15">
      <c r="E265" s="13">
        <v>257</v>
      </c>
      <c r="F265" s="1" t="s">
        <v>1335</v>
      </c>
      <c r="G265" s="13">
        <v>260</v>
      </c>
      <c r="H265" s="14" t="s">
        <v>306</v>
      </c>
      <c r="I265" s="45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32">
        <v>1</v>
      </c>
      <c r="P265" s="11">
        <v>0</v>
      </c>
      <c r="Q265" s="16">
        <v>0</v>
      </c>
      <c r="R265" s="19">
        <f t="shared" ref="R265:R329" si="6">SUM(I265:Q265)</f>
        <v>1</v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spans="5:35" x14ac:dyDescent="0.15">
      <c r="E266" s="13">
        <v>258</v>
      </c>
      <c r="F266" s="1" t="s">
        <v>1337</v>
      </c>
      <c r="G266" s="13">
        <v>261</v>
      </c>
      <c r="H266" s="20" t="s">
        <v>825</v>
      </c>
      <c r="I266" s="45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32">
        <v>1</v>
      </c>
      <c r="P266" s="11">
        <v>0</v>
      </c>
      <c r="Q266" s="16">
        <v>0</v>
      </c>
      <c r="R266" s="19">
        <f t="shared" si="6"/>
        <v>1</v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5:35" x14ac:dyDescent="0.15">
      <c r="E267" s="13"/>
      <c r="F267" s="1" t="s">
        <v>1606</v>
      </c>
      <c r="G267" s="13">
        <v>262</v>
      </c>
      <c r="H267" s="20" t="s">
        <v>1607</v>
      </c>
      <c r="I267" s="45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32">
        <v>1</v>
      </c>
      <c r="P267" s="11">
        <v>0</v>
      </c>
      <c r="Q267" s="16">
        <v>0</v>
      </c>
      <c r="R267" s="19">
        <f t="shared" si="6"/>
        <v>1</v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spans="5:35" x14ac:dyDescent="0.15">
      <c r="E268" s="13">
        <v>259</v>
      </c>
      <c r="F268" s="1" t="s">
        <v>1559</v>
      </c>
      <c r="G268" s="13">
        <v>263</v>
      </c>
      <c r="H268" s="14" t="s">
        <v>307</v>
      </c>
      <c r="I268" s="45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32">
        <v>1</v>
      </c>
      <c r="P268" s="11">
        <v>0</v>
      </c>
      <c r="Q268" s="16">
        <v>0</v>
      </c>
      <c r="R268" s="19">
        <f t="shared" si="6"/>
        <v>1</v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5:35" x14ac:dyDescent="0.15">
      <c r="E269" s="13">
        <v>260</v>
      </c>
      <c r="F269" s="1" t="s">
        <v>1339</v>
      </c>
      <c r="G269" s="13">
        <v>264</v>
      </c>
      <c r="H269" s="14" t="s">
        <v>308</v>
      </c>
      <c r="I269" s="45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32">
        <v>1</v>
      </c>
      <c r="P269" s="11">
        <v>0</v>
      </c>
      <c r="Q269" s="16">
        <v>0</v>
      </c>
      <c r="R269" s="19">
        <f t="shared" si="6"/>
        <v>1</v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spans="5:35" x14ac:dyDescent="0.15">
      <c r="E270" s="13">
        <v>261</v>
      </c>
      <c r="F270" s="1" t="s">
        <v>1341</v>
      </c>
      <c r="G270" s="13">
        <v>265</v>
      </c>
      <c r="H270" s="14" t="s">
        <v>309</v>
      </c>
      <c r="I270" s="45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32">
        <v>1</v>
      </c>
      <c r="P270" s="11">
        <v>0</v>
      </c>
      <c r="Q270" s="16">
        <v>0</v>
      </c>
      <c r="R270" s="19">
        <f t="shared" si="6"/>
        <v>1</v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5:35" x14ac:dyDescent="0.15">
      <c r="E271" s="13">
        <v>262</v>
      </c>
      <c r="F271" s="1" t="s">
        <v>1571</v>
      </c>
      <c r="G271" s="13">
        <v>266</v>
      </c>
      <c r="H271" s="14" t="s">
        <v>310</v>
      </c>
      <c r="I271" s="45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32">
        <v>1</v>
      </c>
      <c r="P271" s="11">
        <v>0</v>
      </c>
      <c r="Q271" s="16">
        <v>0</v>
      </c>
      <c r="R271" s="19">
        <f t="shared" si="6"/>
        <v>1</v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spans="5:35" x14ac:dyDescent="0.15">
      <c r="E272" s="13">
        <v>263</v>
      </c>
      <c r="F272" s="1" t="s">
        <v>1343</v>
      </c>
      <c r="G272" s="13">
        <v>267</v>
      </c>
      <c r="H272" s="14" t="s">
        <v>311</v>
      </c>
      <c r="I272" s="45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32">
        <v>1</v>
      </c>
      <c r="P272" s="11">
        <v>0</v>
      </c>
      <c r="Q272" s="16">
        <v>0</v>
      </c>
      <c r="R272" s="19">
        <f t="shared" si="6"/>
        <v>1</v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5:35" x14ac:dyDescent="0.15">
      <c r="E273" s="13">
        <v>264</v>
      </c>
      <c r="F273" s="1" t="s">
        <v>1329</v>
      </c>
      <c r="G273" s="13">
        <v>268</v>
      </c>
      <c r="H273" s="14" t="s">
        <v>312</v>
      </c>
      <c r="I273" s="45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32">
        <v>1</v>
      </c>
      <c r="P273" s="11">
        <v>0</v>
      </c>
      <c r="Q273" s="16">
        <v>0</v>
      </c>
      <c r="R273" s="19">
        <f t="shared" si="6"/>
        <v>1</v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5:35" x14ac:dyDescent="0.15">
      <c r="E274" s="13">
        <v>265</v>
      </c>
      <c r="F274" s="1" t="s">
        <v>1345</v>
      </c>
      <c r="G274" s="13">
        <v>269</v>
      </c>
      <c r="H274" s="14" t="s">
        <v>313</v>
      </c>
      <c r="I274" s="45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32">
        <v>1</v>
      </c>
      <c r="P274" s="11">
        <v>0</v>
      </c>
      <c r="Q274" s="16">
        <v>0</v>
      </c>
      <c r="R274" s="19">
        <f t="shared" si="6"/>
        <v>1</v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5:35" x14ac:dyDescent="0.15">
      <c r="E275" s="13">
        <v>266</v>
      </c>
      <c r="F275" s="1" t="s">
        <v>1347</v>
      </c>
      <c r="G275" s="13">
        <v>270</v>
      </c>
      <c r="H275" s="14" t="s">
        <v>314</v>
      </c>
      <c r="I275" s="45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32">
        <v>1</v>
      </c>
      <c r="P275" s="11">
        <v>0</v>
      </c>
      <c r="Q275" s="16">
        <v>0</v>
      </c>
      <c r="R275" s="19">
        <f t="shared" si="6"/>
        <v>1</v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5:35" x14ac:dyDescent="0.15">
      <c r="E276" s="13">
        <v>267</v>
      </c>
      <c r="F276" s="1" t="s">
        <v>950</v>
      </c>
      <c r="G276" s="13">
        <v>271</v>
      </c>
      <c r="H276" s="14" t="s">
        <v>315</v>
      </c>
      <c r="I276" s="45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32">
        <v>1</v>
      </c>
      <c r="P276" s="11">
        <v>0</v>
      </c>
      <c r="Q276" s="16">
        <v>0</v>
      </c>
      <c r="R276" s="19">
        <f t="shared" si="6"/>
        <v>1</v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5:35" x14ac:dyDescent="0.15">
      <c r="E277" s="13">
        <v>268</v>
      </c>
      <c r="F277" s="1" t="s">
        <v>1349</v>
      </c>
      <c r="G277" s="13">
        <v>272</v>
      </c>
      <c r="H277" s="14" t="s">
        <v>316</v>
      </c>
      <c r="I277" s="45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32">
        <v>1</v>
      </c>
      <c r="P277" s="11">
        <v>0</v>
      </c>
      <c r="Q277" s="16">
        <v>0</v>
      </c>
      <c r="R277" s="19">
        <f t="shared" si="6"/>
        <v>1</v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5:35" x14ac:dyDescent="0.15">
      <c r="E278" s="13">
        <v>269</v>
      </c>
      <c r="F278" s="1" t="s">
        <v>1351</v>
      </c>
      <c r="G278" s="13">
        <v>273</v>
      </c>
      <c r="H278" s="14" t="s">
        <v>317</v>
      </c>
      <c r="I278" s="45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32">
        <v>1</v>
      </c>
      <c r="P278" s="11">
        <v>0</v>
      </c>
      <c r="Q278" s="16">
        <v>0</v>
      </c>
      <c r="R278" s="19">
        <f t="shared" si="6"/>
        <v>1</v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5:35" x14ac:dyDescent="0.15">
      <c r="E279" s="13">
        <v>270</v>
      </c>
      <c r="F279" s="1" t="s">
        <v>1353</v>
      </c>
      <c r="G279" s="13">
        <v>274</v>
      </c>
      <c r="H279" s="14" t="s">
        <v>318</v>
      </c>
      <c r="I279" s="45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32">
        <v>1</v>
      </c>
      <c r="P279" s="11">
        <v>0</v>
      </c>
      <c r="Q279" s="16">
        <v>0</v>
      </c>
      <c r="R279" s="19">
        <f t="shared" si="6"/>
        <v>1</v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5:35" x14ac:dyDescent="0.15">
      <c r="E280" s="13">
        <v>271</v>
      </c>
      <c r="F280" s="1" t="s">
        <v>1355</v>
      </c>
      <c r="G280" s="13">
        <v>275</v>
      </c>
      <c r="H280" s="14" t="s">
        <v>319</v>
      </c>
      <c r="I280" s="45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32">
        <v>1</v>
      </c>
      <c r="P280" s="11">
        <v>0</v>
      </c>
      <c r="Q280" s="16">
        <v>0</v>
      </c>
      <c r="R280" s="19">
        <f t="shared" si="6"/>
        <v>1</v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5:35" x14ac:dyDescent="0.15">
      <c r="E281" s="13">
        <v>272</v>
      </c>
      <c r="F281" s="1" t="s">
        <v>1357</v>
      </c>
      <c r="G281" s="13">
        <v>276</v>
      </c>
      <c r="H281" s="14" t="s">
        <v>320</v>
      </c>
      <c r="I281" s="45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32">
        <v>1</v>
      </c>
      <c r="P281" s="11">
        <v>0</v>
      </c>
      <c r="Q281" s="16">
        <v>0</v>
      </c>
      <c r="R281" s="19">
        <f t="shared" si="6"/>
        <v>1</v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5:35" x14ac:dyDescent="0.15">
      <c r="E282" s="13">
        <v>273</v>
      </c>
      <c r="F282" s="1" t="s">
        <v>1359</v>
      </c>
      <c r="G282" s="13">
        <v>277</v>
      </c>
      <c r="H282" s="14" t="s">
        <v>321</v>
      </c>
      <c r="I282" s="45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32">
        <v>1</v>
      </c>
      <c r="P282" s="11">
        <v>0</v>
      </c>
      <c r="Q282" s="16">
        <v>0</v>
      </c>
      <c r="R282" s="19">
        <f t="shared" si="6"/>
        <v>1</v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5:35" x14ac:dyDescent="0.15">
      <c r="E283" s="13">
        <v>274</v>
      </c>
      <c r="F283" s="1" t="s">
        <v>1361</v>
      </c>
      <c r="G283" s="13">
        <v>278</v>
      </c>
      <c r="H283" s="16" t="s">
        <v>322</v>
      </c>
      <c r="I283" s="45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32">
        <v>1</v>
      </c>
      <c r="Q283" s="16">
        <v>0</v>
      </c>
      <c r="R283" s="19">
        <f t="shared" si="6"/>
        <v>1</v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5:35" x14ac:dyDescent="0.15">
      <c r="E284" s="13">
        <v>275</v>
      </c>
      <c r="F284" s="1" t="s">
        <v>1363</v>
      </c>
      <c r="G284" s="13">
        <v>279</v>
      </c>
      <c r="H284" s="16" t="s">
        <v>323</v>
      </c>
      <c r="I284" s="45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32">
        <v>1</v>
      </c>
      <c r="Q284" s="16">
        <v>0</v>
      </c>
      <c r="R284" s="19">
        <f t="shared" si="6"/>
        <v>1</v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5:35" x14ac:dyDescent="0.15">
      <c r="E285" s="13">
        <v>276</v>
      </c>
      <c r="F285" s="1" t="s">
        <v>1365</v>
      </c>
      <c r="G285" s="13">
        <v>280</v>
      </c>
      <c r="H285" s="16" t="s">
        <v>324</v>
      </c>
      <c r="I285" s="45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32">
        <v>1</v>
      </c>
      <c r="Q285" s="16">
        <v>0</v>
      </c>
      <c r="R285" s="19">
        <f t="shared" si="6"/>
        <v>1</v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5:35" x14ac:dyDescent="0.15">
      <c r="E286" s="13">
        <v>277</v>
      </c>
      <c r="F286" s="1" t="s">
        <v>1367</v>
      </c>
      <c r="G286" s="13">
        <v>281</v>
      </c>
      <c r="H286" s="81" t="s">
        <v>855</v>
      </c>
      <c r="I286" s="45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32">
        <v>1</v>
      </c>
      <c r="Q286" s="16">
        <v>0</v>
      </c>
      <c r="R286" s="19">
        <f t="shared" si="6"/>
        <v>1</v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5:35" x14ac:dyDescent="0.15">
      <c r="E287" s="13">
        <v>278</v>
      </c>
      <c r="F287" s="1" t="s">
        <v>1573</v>
      </c>
      <c r="G287" s="13">
        <v>282</v>
      </c>
      <c r="H287" s="16" t="s">
        <v>325</v>
      </c>
      <c r="I287" s="45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32">
        <v>1</v>
      </c>
      <c r="Q287" s="16">
        <v>0</v>
      </c>
      <c r="R287" s="19">
        <f t="shared" si="6"/>
        <v>1</v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5:35" x14ac:dyDescent="0.15">
      <c r="E288" s="13">
        <v>279</v>
      </c>
      <c r="F288" s="1" t="s">
        <v>1575</v>
      </c>
      <c r="G288" s="13">
        <v>283</v>
      </c>
      <c r="H288" s="16" t="s">
        <v>326</v>
      </c>
      <c r="I288" s="45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32">
        <v>1</v>
      </c>
      <c r="Q288" s="16">
        <v>0</v>
      </c>
      <c r="R288" s="19">
        <f t="shared" si="6"/>
        <v>1</v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5:35" x14ac:dyDescent="0.15">
      <c r="E289" s="13">
        <v>280</v>
      </c>
      <c r="F289" s="1" t="s">
        <v>1373</v>
      </c>
      <c r="G289" s="13">
        <v>284</v>
      </c>
      <c r="H289" s="16" t="s">
        <v>327</v>
      </c>
      <c r="I289" s="45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32">
        <v>1</v>
      </c>
      <c r="Q289" s="16">
        <v>0</v>
      </c>
      <c r="R289" s="19">
        <f t="shared" si="6"/>
        <v>1</v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5:35" x14ac:dyDescent="0.15">
      <c r="E290" s="13">
        <v>281</v>
      </c>
      <c r="F290" s="1" t="s">
        <v>1375</v>
      </c>
      <c r="G290" s="13">
        <v>285</v>
      </c>
      <c r="H290" s="81" t="s">
        <v>856</v>
      </c>
      <c r="I290" s="45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32">
        <v>1</v>
      </c>
      <c r="Q290" s="16">
        <v>0</v>
      </c>
      <c r="R290" s="19">
        <f t="shared" si="6"/>
        <v>1</v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5:35" x14ac:dyDescent="0.15">
      <c r="E291" s="13">
        <v>282</v>
      </c>
      <c r="F291" s="1" t="s">
        <v>1377</v>
      </c>
      <c r="G291" s="13">
        <v>286</v>
      </c>
      <c r="H291" s="16" t="s">
        <v>328</v>
      </c>
      <c r="I291" s="45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32">
        <v>1</v>
      </c>
      <c r="Q291" s="16">
        <v>0</v>
      </c>
      <c r="R291" s="19">
        <f t="shared" si="6"/>
        <v>1</v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5:35" x14ac:dyDescent="0.15">
      <c r="E292" s="13">
        <v>283</v>
      </c>
      <c r="F292" s="1" t="s">
        <v>1379</v>
      </c>
      <c r="G292" s="13">
        <v>287</v>
      </c>
      <c r="H292" s="16" t="s">
        <v>329</v>
      </c>
      <c r="I292" s="45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32">
        <v>1</v>
      </c>
      <c r="Q292" s="16">
        <v>0</v>
      </c>
      <c r="R292" s="19">
        <f t="shared" si="6"/>
        <v>1</v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5:35" x14ac:dyDescent="0.15">
      <c r="E293" s="13">
        <v>284</v>
      </c>
      <c r="F293" s="1" t="s">
        <v>1369</v>
      </c>
      <c r="G293" s="13">
        <v>288</v>
      </c>
      <c r="H293" s="16" t="s">
        <v>330</v>
      </c>
      <c r="I293" s="45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32">
        <v>1</v>
      </c>
      <c r="Q293" s="16">
        <v>0</v>
      </c>
      <c r="R293" s="19">
        <f t="shared" si="6"/>
        <v>1</v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spans="5:35" x14ac:dyDescent="0.15">
      <c r="E294" s="13">
        <v>285</v>
      </c>
      <c r="F294" s="1" t="s">
        <v>1577</v>
      </c>
      <c r="G294" s="13">
        <v>289</v>
      </c>
      <c r="H294" s="16" t="s">
        <v>331</v>
      </c>
      <c r="I294" s="45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32">
        <v>1</v>
      </c>
      <c r="Q294" s="16">
        <v>0</v>
      </c>
      <c r="R294" s="19">
        <f t="shared" si="6"/>
        <v>1</v>
      </c>
      <c r="T294" s="61" t="s">
        <v>826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5:35" x14ac:dyDescent="0.15">
      <c r="E295" s="13">
        <v>286</v>
      </c>
      <c r="F295" s="1" t="s">
        <v>1253</v>
      </c>
      <c r="G295" s="13">
        <v>290</v>
      </c>
      <c r="H295" s="81" t="s">
        <v>857</v>
      </c>
      <c r="I295" s="45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32">
        <v>1</v>
      </c>
      <c r="Q295" s="16">
        <v>0</v>
      </c>
      <c r="R295" s="19">
        <f t="shared" si="6"/>
        <v>1</v>
      </c>
      <c r="T295" s="61" t="s">
        <v>827</v>
      </c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5:35" x14ac:dyDescent="0.15">
      <c r="E296" s="13">
        <v>287</v>
      </c>
      <c r="F296" s="1" t="s">
        <v>1579</v>
      </c>
      <c r="G296" s="13">
        <v>291</v>
      </c>
      <c r="H296" s="16" t="s">
        <v>332</v>
      </c>
      <c r="I296" s="45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32">
        <v>1</v>
      </c>
      <c r="Q296" s="16">
        <v>0</v>
      </c>
      <c r="R296" s="19">
        <f t="shared" si="6"/>
        <v>1</v>
      </c>
      <c r="T296" s="61" t="s">
        <v>828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5:35" x14ac:dyDescent="0.15">
      <c r="E297" s="13">
        <v>288</v>
      </c>
      <c r="F297" s="1" t="s">
        <v>1383</v>
      </c>
      <c r="G297" s="13">
        <v>292</v>
      </c>
      <c r="H297" s="16" t="s">
        <v>333</v>
      </c>
      <c r="I297" s="45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32">
        <v>1</v>
      </c>
      <c r="Q297" s="16">
        <v>0</v>
      </c>
      <c r="R297" s="19">
        <f t="shared" si="6"/>
        <v>1</v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spans="5:35" x14ac:dyDescent="0.15">
      <c r="E298" s="13">
        <v>289</v>
      </c>
      <c r="F298" s="1" t="s">
        <v>1385</v>
      </c>
      <c r="G298" s="13">
        <v>293</v>
      </c>
      <c r="H298" s="16" t="s">
        <v>334</v>
      </c>
      <c r="I298" s="45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32">
        <v>1</v>
      </c>
      <c r="Q298" s="16">
        <v>0</v>
      </c>
      <c r="R298" s="19">
        <f t="shared" si="6"/>
        <v>1</v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5:35" x14ac:dyDescent="0.15">
      <c r="E299" s="13">
        <v>290</v>
      </c>
      <c r="F299" s="1" t="s">
        <v>1387</v>
      </c>
      <c r="G299" s="13">
        <v>294</v>
      </c>
      <c r="H299" s="16" t="s">
        <v>335</v>
      </c>
      <c r="I299" s="45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32">
        <v>1</v>
      </c>
      <c r="Q299" s="16">
        <v>0</v>
      </c>
      <c r="R299" s="19">
        <f t="shared" si="6"/>
        <v>1</v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spans="5:35" x14ac:dyDescent="0.15">
      <c r="E300" s="13">
        <v>291</v>
      </c>
      <c r="F300" s="1" t="s">
        <v>1389</v>
      </c>
      <c r="G300" s="13">
        <v>295</v>
      </c>
      <c r="H300" s="16" t="s">
        <v>336</v>
      </c>
      <c r="I300" s="45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32">
        <v>1</v>
      </c>
      <c r="Q300" s="16">
        <v>0</v>
      </c>
      <c r="R300" s="19">
        <f t="shared" si="6"/>
        <v>1</v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5:35" x14ac:dyDescent="0.15">
      <c r="E301" s="13">
        <v>292</v>
      </c>
      <c r="F301" s="1" t="s">
        <v>1391</v>
      </c>
      <c r="G301" s="13">
        <v>296</v>
      </c>
      <c r="H301" s="81" t="s">
        <v>858</v>
      </c>
      <c r="I301" s="45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32">
        <v>1</v>
      </c>
      <c r="Q301" s="16">
        <v>0</v>
      </c>
      <c r="R301" s="19">
        <f t="shared" si="6"/>
        <v>1</v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spans="5:35" x14ac:dyDescent="0.15">
      <c r="E302" s="13">
        <v>293</v>
      </c>
      <c r="F302" s="1" t="s">
        <v>1393</v>
      </c>
      <c r="G302" s="13">
        <v>297</v>
      </c>
      <c r="H302" s="81" t="s">
        <v>859</v>
      </c>
      <c r="I302" s="45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32">
        <v>1</v>
      </c>
      <c r="Q302" s="16">
        <v>0</v>
      </c>
      <c r="R302" s="19">
        <f t="shared" si="6"/>
        <v>1</v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5:35" x14ac:dyDescent="0.15">
      <c r="E303" s="13">
        <v>294</v>
      </c>
      <c r="F303" s="1" t="s">
        <v>1581</v>
      </c>
      <c r="G303" s="13">
        <v>298</v>
      </c>
      <c r="H303" s="16" t="s">
        <v>337</v>
      </c>
      <c r="I303" s="45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32">
        <v>1</v>
      </c>
      <c r="Q303" s="16">
        <v>0</v>
      </c>
      <c r="R303" s="19">
        <f t="shared" si="6"/>
        <v>1</v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5:35" x14ac:dyDescent="0.15">
      <c r="E304" s="13">
        <v>295</v>
      </c>
      <c r="F304" s="1" t="s">
        <v>1397</v>
      </c>
      <c r="G304" s="13">
        <v>299</v>
      </c>
      <c r="H304" s="16" t="s">
        <v>338</v>
      </c>
      <c r="I304" s="45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32">
        <v>1</v>
      </c>
      <c r="Q304" s="16">
        <v>0</v>
      </c>
      <c r="R304" s="19">
        <f t="shared" si="6"/>
        <v>1</v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5:35" x14ac:dyDescent="0.15">
      <c r="E305" s="13">
        <v>296</v>
      </c>
      <c r="F305" s="1" t="s">
        <v>1399</v>
      </c>
      <c r="G305" s="13">
        <v>300</v>
      </c>
      <c r="H305" s="16" t="s">
        <v>339</v>
      </c>
      <c r="I305" s="45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32">
        <v>1</v>
      </c>
      <c r="Q305" s="16">
        <v>0</v>
      </c>
      <c r="R305" s="19">
        <f t="shared" si="6"/>
        <v>1</v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spans="5:35" x14ac:dyDescent="0.15">
      <c r="E306" s="13">
        <v>297</v>
      </c>
      <c r="F306" s="1" t="s">
        <v>1401</v>
      </c>
      <c r="G306" s="13">
        <v>301</v>
      </c>
      <c r="H306" s="16" t="s">
        <v>340</v>
      </c>
      <c r="I306" s="45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32">
        <v>1</v>
      </c>
      <c r="Q306" s="16">
        <v>0</v>
      </c>
      <c r="R306" s="19">
        <f t="shared" si="6"/>
        <v>1</v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5:35" x14ac:dyDescent="0.15">
      <c r="E307" s="13">
        <v>298</v>
      </c>
      <c r="F307" s="1" t="s">
        <v>1403</v>
      </c>
      <c r="G307" s="13">
        <v>302</v>
      </c>
      <c r="H307" s="14" t="s">
        <v>341</v>
      </c>
      <c r="I307" s="45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32">
        <v>1</v>
      </c>
      <c r="Q307" s="16">
        <v>0</v>
      </c>
      <c r="R307" s="19">
        <f t="shared" si="6"/>
        <v>1</v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spans="5:35" x14ac:dyDescent="0.15">
      <c r="E308" s="13">
        <v>299</v>
      </c>
      <c r="F308" s="1" t="s">
        <v>1371</v>
      </c>
      <c r="G308" s="13">
        <v>303</v>
      </c>
      <c r="H308" s="14" t="s">
        <v>342</v>
      </c>
      <c r="I308" s="45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32">
        <v>1</v>
      </c>
      <c r="Q308" s="16">
        <v>0</v>
      </c>
      <c r="R308" s="19">
        <f t="shared" si="6"/>
        <v>1</v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5:35" x14ac:dyDescent="0.15">
      <c r="E309" s="13">
        <v>300</v>
      </c>
      <c r="F309" s="1" t="s">
        <v>1583</v>
      </c>
      <c r="G309" s="13">
        <v>304</v>
      </c>
      <c r="H309" s="14" t="s">
        <v>343</v>
      </c>
      <c r="I309" s="45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32">
        <v>1</v>
      </c>
      <c r="Q309" s="16">
        <v>0</v>
      </c>
      <c r="R309" s="19">
        <f t="shared" si="6"/>
        <v>1</v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spans="5:35" x14ac:dyDescent="0.15">
      <c r="E310" s="13">
        <v>301</v>
      </c>
      <c r="F310" s="1" t="s">
        <v>1407</v>
      </c>
      <c r="G310" s="13">
        <v>305</v>
      </c>
      <c r="H310" s="14" t="s">
        <v>344</v>
      </c>
      <c r="I310" s="45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32">
        <v>1</v>
      </c>
      <c r="Q310" s="16">
        <v>0</v>
      </c>
      <c r="R310" s="19">
        <f t="shared" si="6"/>
        <v>1</v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5:35" x14ac:dyDescent="0.15">
      <c r="E311" s="13">
        <v>302</v>
      </c>
      <c r="F311" s="1" t="s">
        <v>1409</v>
      </c>
      <c r="G311" s="13">
        <v>306</v>
      </c>
      <c r="H311" s="14" t="s">
        <v>345</v>
      </c>
      <c r="I311" s="45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32">
        <v>1</v>
      </c>
      <c r="Q311" s="16">
        <v>0</v>
      </c>
      <c r="R311" s="19">
        <f t="shared" si="6"/>
        <v>1</v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spans="5:35" x14ac:dyDescent="0.15">
      <c r="E312" s="13">
        <v>303</v>
      </c>
      <c r="F312" s="1" t="s">
        <v>1412</v>
      </c>
      <c r="G312" s="13">
        <v>307</v>
      </c>
      <c r="H312" s="20" t="s">
        <v>1410</v>
      </c>
      <c r="I312" s="45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33">
        <v>1</v>
      </c>
      <c r="R312" s="19">
        <f t="shared" si="6"/>
        <v>1</v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5:35" x14ac:dyDescent="0.15">
      <c r="E313" s="13">
        <v>304</v>
      </c>
      <c r="F313" s="1" t="s">
        <v>1414</v>
      </c>
      <c r="G313" s="13">
        <v>308</v>
      </c>
      <c r="H313" s="14" t="s">
        <v>346</v>
      </c>
      <c r="I313" s="45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33">
        <v>1</v>
      </c>
      <c r="R313" s="19">
        <f t="shared" si="6"/>
        <v>1</v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spans="5:35" x14ac:dyDescent="0.15">
      <c r="E314" s="13">
        <v>305</v>
      </c>
      <c r="F314" s="1" t="s">
        <v>1416</v>
      </c>
      <c r="G314" s="13">
        <v>309</v>
      </c>
      <c r="H314" s="14" t="s">
        <v>347</v>
      </c>
      <c r="I314" s="45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33">
        <v>1</v>
      </c>
      <c r="R314" s="19">
        <f t="shared" si="6"/>
        <v>1</v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5:35" x14ac:dyDescent="0.15">
      <c r="E315" s="13">
        <v>306</v>
      </c>
      <c r="F315" s="1" t="s">
        <v>1418</v>
      </c>
      <c r="G315" s="13">
        <v>310</v>
      </c>
      <c r="H315" s="14" t="s">
        <v>348</v>
      </c>
      <c r="I315" s="45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33">
        <v>1</v>
      </c>
      <c r="R315" s="19">
        <f t="shared" si="6"/>
        <v>1</v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spans="5:35" x14ac:dyDescent="0.15">
      <c r="E316" s="13">
        <v>307</v>
      </c>
      <c r="F316" s="1" t="s">
        <v>1420</v>
      </c>
      <c r="G316" s="13">
        <v>311</v>
      </c>
      <c r="H316" s="14" t="s">
        <v>349</v>
      </c>
      <c r="I316" s="45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33">
        <v>1</v>
      </c>
      <c r="R316" s="19">
        <f t="shared" si="6"/>
        <v>1</v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5:35" x14ac:dyDescent="0.15">
      <c r="E317" s="13">
        <v>308</v>
      </c>
      <c r="F317" s="1" t="s">
        <v>1305</v>
      </c>
      <c r="G317" s="13">
        <v>312</v>
      </c>
      <c r="H317" s="14" t="s">
        <v>350</v>
      </c>
      <c r="I317" s="45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33">
        <v>1</v>
      </c>
      <c r="R317" s="19">
        <f t="shared" si="6"/>
        <v>1</v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spans="5:35" x14ac:dyDescent="0.15">
      <c r="E318" s="13">
        <v>309</v>
      </c>
      <c r="F318" s="1" t="s">
        <v>1499</v>
      </c>
      <c r="G318" s="13">
        <v>313</v>
      </c>
      <c r="H318" s="14" t="s">
        <v>351</v>
      </c>
      <c r="I318" s="45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33">
        <v>1</v>
      </c>
      <c r="R318" s="19">
        <f t="shared" si="6"/>
        <v>1</v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5:35" x14ac:dyDescent="0.15">
      <c r="E319" s="13">
        <v>310</v>
      </c>
      <c r="F319" s="1" t="s">
        <v>1422</v>
      </c>
      <c r="G319" s="13">
        <v>314</v>
      </c>
      <c r="H319" s="14" t="s">
        <v>352</v>
      </c>
      <c r="I319" s="45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33">
        <v>1</v>
      </c>
      <c r="R319" s="19">
        <f t="shared" si="6"/>
        <v>1</v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5:35" x14ac:dyDescent="0.15">
      <c r="E320" s="13">
        <v>311</v>
      </c>
      <c r="F320" s="1" t="s">
        <v>1076</v>
      </c>
      <c r="G320" s="13">
        <v>315</v>
      </c>
      <c r="H320" s="14" t="s">
        <v>353</v>
      </c>
      <c r="I320" s="45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33">
        <v>1</v>
      </c>
      <c r="R320" s="19">
        <f t="shared" si="6"/>
        <v>1</v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5:35" x14ac:dyDescent="0.15">
      <c r="E321" s="13">
        <v>312</v>
      </c>
      <c r="F321" s="1" t="s">
        <v>1424</v>
      </c>
      <c r="G321" s="13">
        <v>316</v>
      </c>
      <c r="H321" s="14" t="s">
        <v>354</v>
      </c>
      <c r="I321" s="45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33">
        <v>1</v>
      </c>
      <c r="R321" s="19">
        <f t="shared" si="6"/>
        <v>1</v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5:35" x14ac:dyDescent="0.15">
      <c r="E322" s="13">
        <v>313</v>
      </c>
      <c r="F322" s="1" t="s">
        <v>1426</v>
      </c>
      <c r="G322" s="13">
        <v>317</v>
      </c>
      <c r="H322" s="14" t="s">
        <v>355</v>
      </c>
      <c r="I322" s="45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33">
        <v>1</v>
      </c>
      <c r="R322" s="19">
        <f t="shared" si="6"/>
        <v>1</v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5:35" x14ac:dyDescent="0.15">
      <c r="E323" s="13">
        <v>314</v>
      </c>
      <c r="F323" s="1" t="s">
        <v>1429</v>
      </c>
      <c r="G323" s="13">
        <v>318</v>
      </c>
      <c r="H323" s="20" t="s">
        <v>1427</v>
      </c>
      <c r="I323" s="45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33">
        <v>1</v>
      </c>
      <c r="R323" s="19">
        <f t="shared" si="6"/>
        <v>1</v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5:35" x14ac:dyDescent="0.15">
      <c r="E324" s="13">
        <v>315</v>
      </c>
      <c r="F324" s="1" t="s">
        <v>1432</v>
      </c>
      <c r="G324" s="13">
        <v>319</v>
      </c>
      <c r="H324" s="20" t="s">
        <v>1430</v>
      </c>
      <c r="I324" s="45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33">
        <v>1</v>
      </c>
      <c r="R324" s="19">
        <f t="shared" si="6"/>
        <v>1</v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5:35" x14ac:dyDescent="0.15">
      <c r="E325" s="13">
        <v>316</v>
      </c>
      <c r="F325" s="1" t="s">
        <v>1435</v>
      </c>
      <c r="G325" s="13">
        <v>320</v>
      </c>
      <c r="H325" s="20" t="s">
        <v>1433</v>
      </c>
      <c r="I325" s="45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33">
        <v>1</v>
      </c>
      <c r="R325" s="19">
        <f t="shared" si="6"/>
        <v>1</v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5:35" x14ac:dyDescent="0.15">
      <c r="E326" s="13">
        <v>317</v>
      </c>
      <c r="F326" s="1" t="s">
        <v>1438</v>
      </c>
      <c r="G326" s="13">
        <v>321</v>
      </c>
      <c r="H326" s="20" t="s">
        <v>1436</v>
      </c>
      <c r="I326" s="45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33">
        <v>1</v>
      </c>
      <c r="R326" s="19">
        <f t="shared" si="6"/>
        <v>1</v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5:35" x14ac:dyDescent="0.15">
      <c r="E327" s="13">
        <v>318</v>
      </c>
      <c r="F327" s="1" t="s">
        <v>1440</v>
      </c>
      <c r="G327" s="13">
        <v>322</v>
      </c>
      <c r="H327" s="14" t="s">
        <v>356</v>
      </c>
      <c r="I327" s="45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33">
        <v>1</v>
      </c>
      <c r="R327" s="19">
        <f t="shared" si="6"/>
        <v>1</v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5:35" x14ac:dyDescent="0.15">
      <c r="E328" s="13">
        <v>319</v>
      </c>
      <c r="F328" s="1" t="s">
        <v>1442</v>
      </c>
      <c r="G328" s="13">
        <v>323</v>
      </c>
      <c r="H328" s="14" t="s">
        <v>357</v>
      </c>
      <c r="I328" s="45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33">
        <v>1</v>
      </c>
      <c r="R328" s="19">
        <f t="shared" si="6"/>
        <v>1</v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5:35" x14ac:dyDescent="0.15">
      <c r="E329" s="13">
        <v>320</v>
      </c>
      <c r="F329" s="1" t="s">
        <v>1444</v>
      </c>
      <c r="G329" s="13">
        <v>324</v>
      </c>
      <c r="H329" s="14" t="s">
        <v>358</v>
      </c>
      <c r="I329" s="45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33">
        <v>1</v>
      </c>
      <c r="R329" s="19">
        <f t="shared" si="6"/>
        <v>1</v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5:35" x14ac:dyDescent="0.15">
      <c r="E330" s="13">
        <v>321</v>
      </c>
      <c r="F330" s="1" t="s">
        <v>1446</v>
      </c>
      <c r="G330" s="13">
        <v>325</v>
      </c>
      <c r="H330" s="14" t="s">
        <v>359</v>
      </c>
      <c r="I330" s="45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33">
        <v>1</v>
      </c>
      <c r="R330" s="19">
        <f t="shared" ref="R330:R360" si="7">SUM(I330:Q330)</f>
        <v>1</v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5:35" x14ac:dyDescent="0.15">
      <c r="E331" s="13">
        <v>322</v>
      </c>
      <c r="F331" s="1" t="s">
        <v>1331</v>
      </c>
      <c r="G331" s="13">
        <v>326</v>
      </c>
      <c r="H331" s="14" t="s">
        <v>360</v>
      </c>
      <c r="I331" s="45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33">
        <v>1</v>
      </c>
      <c r="R331" s="19">
        <f t="shared" si="7"/>
        <v>1</v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5:35" x14ac:dyDescent="0.15">
      <c r="E332" s="13">
        <v>323</v>
      </c>
      <c r="F332" s="1" t="s">
        <v>1448</v>
      </c>
      <c r="G332" s="13">
        <v>327</v>
      </c>
      <c r="H332" s="14" t="s">
        <v>361</v>
      </c>
      <c r="I332" s="45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33">
        <v>1</v>
      </c>
      <c r="R332" s="19">
        <f t="shared" si="7"/>
        <v>1</v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5:35" x14ac:dyDescent="0.15">
      <c r="E333" s="13">
        <v>324</v>
      </c>
      <c r="F333" s="1" t="s">
        <v>1451</v>
      </c>
      <c r="G333" s="13">
        <v>328</v>
      </c>
      <c r="H333" s="20" t="s">
        <v>1449</v>
      </c>
      <c r="I333" s="45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33">
        <v>1</v>
      </c>
      <c r="R333" s="19">
        <f t="shared" si="7"/>
        <v>1</v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5:35" x14ac:dyDescent="0.15">
      <c r="E334" s="13">
        <v>325</v>
      </c>
      <c r="F334" s="1" t="s">
        <v>1453</v>
      </c>
      <c r="G334" s="13">
        <v>329</v>
      </c>
      <c r="H334" s="14" t="s">
        <v>362</v>
      </c>
      <c r="I334" s="45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33">
        <v>1</v>
      </c>
      <c r="R334" s="19">
        <f t="shared" si="7"/>
        <v>1</v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5:35" x14ac:dyDescent="0.15">
      <c r="E335" s="13">
        <v>326</v>
      </c>
      <c r="F335" s="1" t="s">
        <v>1116</v>
      </c>
      <c r="G335" s="13">
        <v>330</v>
      </c>
      <c r="H335" s="14" t="s">
        <v>363</v>
      </c>
      <c r="I335" s="45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33">
        <v>1</v>
      </c>
      <c r="R335" s="19">
        <f t="shared" si="7"/>
        <v>1</v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5:35" x14ac:dyDescent="0.15">
      <c r="E336" s="13">
        <v>327</v>
      </c>
      <c r="F336" s="1" t="s">
        <v>1455</v>
      </c>
      <c r="G336" s="13">
        <v>331</v>
      </c>
      <c r="H336" s="14" t="s">
        <v>364</v>
      </c>
      <c r="I336" s="45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33">
        <v>1</v>
      </c>
      <c r="R336" s="19">
        <f t="shared" si="7"/>
        <v>1</v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5:35" x14ac:dyDescent="0.15">
      <c r="E337" s="13">
        <v>328</v>
      </c>
      <c r="F337" s="1" t="s">
        <v>1457</v>
      </c>
      <c r="G337" s="13">
        <v>332</v>
      </c>
      <c r="H337" s="14" t="s">
        <v>365</v>
      </c>
      <c r="I337" s="45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33">
        <v>1</v>
      </c>
      <c r="R337" s="19">
        <f t="shared" si="7"/>
        <v>1</v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spans="5:35" x14ac:dyDescent="0.15">
      <c r="E338" s="13">
        <v>329</v>
      </c>
      <c r="F338" s="1" t="s">
        <v>1459</v>
      </c>
      <c r="G338" s="13">
        <v>333</v>
      </c>
      <c r="H338" s="14" t="s">
        <v>366</v>
      </c>
      <c r="I338" s="45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33">
        <v>1</v>
      </c>
      <c r="R338" s="19">
        <f t="shared" si="7"/>
        <v>1</v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5:35" x14ac:dyDescent="0.15">
      <c r="E339" s="13">
        <v>330</v>
      </c>
      <c r="F339" s="1" t="s">
        <v>1461</v>
      </c>
      <c r="G339" s="13">
        <v>334</v>
      </c>
      <c r="H339" s="14" t="s">
        <v>367</v>
      </c>
      <c r="I339" s="45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33">
        <v>1</v>
      </c>
      <c r="R339" s="19">
        <f t="shared" si="7"/>
        <v>1</v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spans="5:35" x14ac:dyDescent="0.15">
      <c r="E340" s="13">
        <v>331</v>
      </c>
      <c r="F340" s="1" t="s">
        <v>1395</v>
      </c>
      <c r="G340" s="13">
        <v>335</v>
      </c>
      <c r="H340" s="14" t="s">
        <v>368</v>
      </c>
      <c r="I340" s="45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33">
        <v>1</v>
      </c>
      <c r="R340" s="19">
        <f t="shared" si="7"/>
        <v>1</v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5:35" x14ac:dyDescent="0.15">
      <c r="E341" s="13">
        <v>332</v>
      </c>
      <c r="F341" s="1" t="s">
        <v>1463</v>
      </c>
      <c r="G341" s="13">
        <v>336</v>
      </c>
      <c r="H341" s="14" t="s">
        <v>369</v>
      </c>
      <c r="I341" s="45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33">
        <v>1</v>
      </c>
      <c r="R341" s="19">
        <f t="shared" si="7"/>
        <v>1</v>
      </c>
    </row>
    <row r="342" spans="5:35" x14ac:dyDescent="0.15">
      <c r="E342" s="13">
        <v>333</v>
      </c>
      <c r="F342" s="1" t="s">
        <v>1405</v>
      </c>
      <c r="G342" s="13">
        <v>337</v>
      </c>
      <c r="H342" s="14" t="s">
        <v>370</v>
      </c>
      <c r="I342" s="45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33">
        <v>1</v>
      </c>
      <c r="R342" s="19">
        <f t="shared" si="7"/>
        <v>1</v>
      </c>
    </row>
    <row r="343" spans="5:35" x14ac:dyDescent="0.15">
      <c r="E343" s="13">
        <v>334</v>
      </c>
      <c r="F343" s="1" t="s">
        <v>1465</v>
      </c>
      <c r="G343" s="13">
        <v>338</v>
      </c>
      <c r="H343" s="14" t="s">
        <v>371</v>
      </c>
      <c r="I343" s="45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33">
        <v>1</v>
      </c>
      <c r="R343" s="19">
        <f t="shared" si="7"/>
        <v>1</v>
      </c>
    </row>
    <row r="344" spans="5:35" x14ac:dyDescent="0.15">
      <c r="E344" s="13">
        <v>335</v>
      </c>
      <c r="F344" s="1" t="s">
        <v>1467</v>
      </c>
      <c r="G344" s="13">
        <v>339</v>
      </c>
      <c r="H344" s="14" t="s">
        <v>372</v>
      </c>
      <c r="I344" s="45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33">
        <v>1</v>
      </c>
      <c r="R344" s="19">
        <f t="shared" si="7"/>
        <v>1</v>
      </c>
    </row>
    <row r="345" spans="5:35" x14ac:dyDescent="0.15">
      <c r="E345" s="13">
        <v>336</v>
      </c>
      <c r="F345" s="1" t="s">
        <v>1381</v>
      </c>
      <c r="G345" s="13">
        <v>340</v>
      </c>
      <c r="H345" s="14" t="s">
        <v>373</v>
      </c>
      <c r="I345" s="45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33">
        <v>1</v>
      </c>
      <c r="R345" s="19">
        <f t="shared" si="7"/>
        <v>1</v>
      </c>
    </row>
    <row r="346" spans="5:35" x14ac:dyDescent="0.15">
      <c r="E346" s="13">
        <v>337</v>
      </c>
      <c r="F346" s="1" t="s">
        <v>1469</v>
      </c>
      <c r="G346" s="13">
        <v>341</v>
      </c>
      <c r="H346" s="14" t="s">
        <v>374</v>
      </c>
      <c r="I346" s="45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33">
        <v>1</v>
      </c>
      <c r="R346" s="19">
        <f t="shared" si="7"/>
        <v>1</v>
      </c>
    </row>
    <row r="347" spans="5:35" x14ac:dyDescent="0.15">
      <c r="E347" s="13">
        <v>338</v>
      </c>
      <c r="F347" s="1" t="s">
        <v>1471</v>
      </c>
      <c r="G347" s="13">
        <v>342</v>
      </c>
      <c r="H347" s="14" t="s">
        <v>375</v>
      </c>
      <c r="I347" s="45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33">
        <v>1</v>
      </c>
      <c r="R347" s="19">
        <f t="shared" si="7"/>
        <v>1</v>
      </c>
    </row>
    <row r="348" spans="5:35" x14ac:dyDescent="0.15">
      <c r="E348" s="13">
        <v>339</v>
      </c>
      <c r="F348" s="1" t="s">
        <v>1104</v>
      </c>
      <c r="G348" s="13">
        <v>343</v>
      </c>
      <c r="H348" s="14" t="s">
        <v>376</v>
      </c>
      <c r="I348" s="45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33">
        <v>1</v>
      </c>
      <c r="R348" s="19">
        <f t="shared" si="7"/>
        <v>1</v>
      </c>
    </row>
    <row r="349" spans="5:35" x14ac:dyDescent="0.15">
      <c r="E349" s="13">
        <v>340</v>
      </c>
      <c r="F349" s="1" t="s">
        <v>916</v>
      </c>
      <c r="G349" s="13">
        <v>344</v>
      </c>
      <c r="H349" s="14" t="s">
        <v>377</v>
      </c>
      <c r="I349" s="45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33">
        <v>1</v>
      </c>
      <c r="R349" s="19">
        <f t="shared" si="7"/>
        <v>1</v>
      </c>
    </row>
    <row r="350" spans="5:35" x14ac:dyDescent="0.15">
      <c r="E350" s="13">
        <v>341</v>
      </c>
      <c r="F350" s="1" t="s">
        <v>1473</v>
      </c>
      <c r="G350" s="13">
        <v>345</v>
      </c>
      <c r="H350" s="14" t="s">
        <v>378</v>
      </c>
      <c r="I350" s="45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33">
        <v>1</v>
      </c>
      <c r="R350" s="19">
        <f t="shared" si="7"/>
        <v>1</v>
      </c>
    </row>
    <row r="351" spans="5:35" x14ac:dyDescent="0.15">
      <c r="E351" s="13">
        <v>342</v>
      </c>
      <c r="F351" s="1" t="s">
        <v>1297</v>
      </c>
      <c r="G351" s="13">
        <v>346</v>
      </c>
      <c r="H351" s="14" t="s">
        <v>379</v>
      </c>
      <c r="I351" s="45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33">
        <v>1</v>
      </c>
      <c r="R351" s="19">
        <f t="shared" si="7"/>
        <v>1</v>
      </c>
    </row>
    <row r="352" spans="5:35" x14ac:dyDescent="0.15">
      <c r="E352" s="13">
        <v>343</v>
      </c>
      <c r="F352" s="1" t="s">
        <v>1587</v>
      </c>
      <c r="G352" s="13">
        <v>347</v>
      </c>
      <c r="H352" s="14" t="s">
        <v>380</v>
      </c>
      <c r="I352" s="45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33">
        <v>1</v>
      </c>
      <c r="R352" s="19">
        <f t="shared" si="7"/>
        <v>1</v>
      </c>
    </row>
    <row r="353" spans="5:18" x14ac:dyDescent="0.15">
      <c r="E353" s="13">
        <v>344</v>
      </c>
      <c r="F353" s="1" t="s">
        <v>876</v>
      </c>
      <c r="G353" s="13">
        <v>348</v>
      </c>
      <c r="H353" s="14" t="s">
        <v>381</v>
      </c>
      <c r="I353" s="45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33">
        <v>1</v>
      </c>
      <c r="R353" s="19">
        <f t="shared" si="7"/>
        <v>1</v>
      </c>
    </row>
    <row r="354" spans="5:18" x14ac:dyDescent="0.15">
      <c r="E354" s="13">
        <v>345</v>
      </c>
      <c r="F354" s="1" t="s">
        <v>1475</v>
      </c>
      <c r="G354" s="13">
        <v>349</v>
      </c>
      <c r="H354" s="14" t="s">
        <v>382</v>
      </c>
      <c r="I354" s="45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33">
        <v>1</v>
      </c>
      <c r="R354" s="19">
        <f t="shared" si="7"/>
        <v>1</v>
      </c>
    </row>
    <row r="355" spans="5:18" x14ac:dyDescent="0.15">
      <c r="E355" s="13">
        <v>346</v>
      </c>
      <c r="F355" s="1" t="s">
        <v>1477</v>
      </c>
      <c r="G355" s="13">
        <v>350</v>
      </c>
      <c r="H355" s="14" t="s">
        <v>383</v>
      </c>
      <c r="I355" s="45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33">
        <v>1</v>
      </c>
      <c r="R355" s="19">
        <f t="shared" si="7"/>
        <v>1</v>
      </c>
    </row>
    <row r="356" spans="5:18" x14ac:dyDescent="0.15">
      <c r="E356" s="13">
        <v>347</v>
      </c>
      <c r="F356" s="1" t="s">
        <v>1585</v>
      </c>
      <c r="G356" s="13">
        <v>351</v>
      </c>
      <c r="H356" s="20" t="s">
        <v>384</v>
      </c>
      <c r="I356" s="45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33">
        <v>1</v>
      </c>
      <c r="R356" s="19">
        <f t="shared" si="7"/>
        <v>1</v>
      </c>
    </row>
    <row r="357" spans="5:18" x14ac:dyDescent="0.15">
      <c r="E357" s="13">
        <v>348</v>
      </c>
      <c r="F357" s="1" t="s">
        <v>1479</v>
      </c>
      <c r="G357" s="13">
        <v>352</v>
      </c>
      <c r="H357" s="38" t="s">
        <v>385</v>
      </c>
      <c r="I357" s="45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33">
        <v>1</v>
      </c>
      <c r="R357" s="19">
        <f t="shared" si="7"/>
        <v>1</v>
      </c>
    </row>
    <row r="358" spans="5:18" x14ac:dyDescent="0.15">
      <c r="E358" s="13">
        <v>349</v>
      </c>
      <c r="F358" s="1" t="s">
        <v>1481</v>
      </c>
      <c r="G358" s="13">
        <v>353</v>
      </c>
      <c r="H358" s="20" t="s">
        <v>386</v>
      </c>
      <c r="I358" s="45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33">
        <v>1</v>
      </c>
      <c r="R358" s="19">
        <f t="shared" si="7"/>
        <v>1</v>
      </c>
    </row>
    <row r="359" spans="5:18" x14ac:dyDescent="0.15">
      <c r="E359" s="13">
        <v>350</v>
      </c>
      <c r="F359" s="1" t="s">
        <v>1483</v>
      </c>
      <c r="G359" s="13">
        <v>354</v>
      </c>
      <c r="H359" s="20" t="s">
        <v>387</v>
      </c>
      <c r="I359" s="45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33">
        <v>1</v>
      </c>
      <c r="R359" s="19">
        <f t="shared" si="7"/>
        <v>1</v>
      </c>
    </row>
    <row r="360" spans="5:18" ht="15.75" thickBot="1" x14ac:dyDescent="0.2">
      <c r="E360" s="15">
        <v>351</v>
      </c>
      <c r="F360" s="1" t="s">
        <v>1485</v>
      </c>
      <c r="G360" s="13">
        <v>355</v>
      </c>
      <c r="H360" s="51" t="s">
        <v>388</v>
      </c>
      <c r="I360" s="46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34">
        <v>1</v>
      </c>
      <c r="R360" s="19">
        <f t="shared" si="7"/>
        <v>1</v>
      </c>
    </row>
  </sheetData>
  <mergeCells count="1">
    <mergeCell ref="B3:C3"/>
  </mergeCells>
  <phoneticPr fontId="18"/>
  <conditionalFormatting sqref="F69:F1048576 F1:F66">
    <cfRule type="duplicateValues" dxfId="6" priority="3"/>
  </conditionalFormatting>
  <conditionalFormatting sqref="F67">
    <cfRule type="duplicateValues" dxfId="5" priority="2"/>
  </conditionalFormatting>
  <conditionalFormatting sqref="F68">
    <cfRule type="duplicateValues" dxfId="4" priority="1"/>
  </conditionalFormatting>
  <pageMargins left="0.7" right="0.7" top="0.75" bottom="0.75" header="0.3" footer="0.3"/>
  <pageSetup paperSize="9" orientation="portrait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65"/>
  <sheetViews>
    <sheetView topLeftCell="A406" zoomScale="93" zoomScaleNormal="93" workbookViewId="0">
      <selection activeCell="N4" sqref="N4:P464"/>
    </sheetView>
  </sheetViews>
  <sheetFormatPr defaultColWidth="9" defaultRowHeight="15" x14ac:dyDescent="0.15"/>
  <cols>
    <col min="1" max="1" width="7.25" style="71" bestFit="1" customWidth="1"/>
    <col min="2" max="3" width="7.25" style="71" customWidth="1"/>
    <col min="4" max="5" width="6.75" style="5" bestFit="1" customWidth="1"/>
    <col min="6" max="6" width="12.375" style="1" bestFit="1" customWidth="1"/>
    <col min="7" max="7" width="13.25" style="1" customWidth="1"/>
    <col min="8" max="8" width="17.875" style="5" customWidth="1"/>
    <col min="9" max="9" width="11.625" style="5" customWidth="1"/>
    <col min="10" max="10" width="29.125" style="1" customWidth="1"/>
    <col min="11" max="11" width="12.25" style="1" customWidth="1"/>
    <col min="12" max="12" width="11.625" style="1" customWidth="1"/>
    <col min="13" max="13" width="10.875" style="1" customWidth="1"/>
    <col min="14" max="14" width="28.25" style="1" bestFit="1" customWidth="1"/>
    <col min="15" max="16" width="16.125" style="1" bestFit="1" customWidth="1"/>
    <col min="17" max="17" width="9" style="1" hidden="1" customWidth="1"/>
    <col min="18" max="18" width="41.375" style="1" hidden="1" customWidth="1"/>
    <col min="19" max="19" width="15.625" hidden="1" customWidth="1"/>
    <col min="20" max="20" width="15.625" bestFit="1" customWidth="1"/>
    <col min="21" max="21" width="17" style="1" customWidth="1"/>
    <col min="22" max="22" width="17.75" style="1" bestFit="1" customWidth="1"/>
    <col min="23" max="23" width="22.375" style="1" customWidth="1"/>
    <col min="24" max="24" width="5.625" style="1" bestFit="1" customWidth="1"/>
    <col min="25" max="25" width="5.625" style="1" customWidth="1"/>
    <col min="26" max="26" width="19.625" style="1" customWidth="1"/>
    <col min="27" max="27" width="16.75" style="1" bestFit="1" customWidth="1"/>
    <col min="28" max="28" width="12.25" style="1" bestFit="1" customWidth="1"/>
    <col min="29" max="29" width="56.25" style="1" hidden="1" customWidth="1"/>
    <col min="30" max="30" width="24.5" style="1" customWidth="1"/>
    <col min="31" max="33" width="9" style="1"/>
    <col min="34" max="34" width="10.25" style="1" bestFit="1" customWidth="1"/>
    <col min="35" max="16384" width="9" style="1"/>
  </cols>
  <sheetData>
    <row r="1" spans="1:34" ht="15.75" thickBot="1" x14ac:dyDescent="0.2">
      <c r="A1" s="98" t="s">
        <v>8</v>
      </c>
      <c r="B1" s="98"/>
      <c r="C1" s="98"/>
      <c r="D1" s="98"/>
      <c r="E1" s="98"/>
      <c r="L1" s="10" t="s">
        <v>30</v>
      </c>
    </row>
    <row r="2" spans="1:34" ht="15.75" thickBot="1" x14ac:dyDescent="0.2">
      <c r="A2" s="70">
        <f>ROWS(TI)</f>
        <v>461</v>
      </c>
      <c r="B2" s="84"/>
      <c r="C2" s="84"/>
      <c r="H2" s="63" t="s">
        <v>830</v>
      </c>
      <c r="I2" s="63" t="s">
        <v>831</v>
      </c>
      <c r="L2" s="52">
        <f>PI()/12</f>
        <v>0.26179938779914941</v>
      </c>
      <c r="U2" s="87" t="s">
        <v>1614</v>
      </c>
      <c r="V2" s="86" t="s">
        <v>864</v>
      </c>
      <c r="Z2" s="1" t="s">
        <v>863</v>
      </c>
      <c r="AA2" s="1" t="s">
        <v>861</v>
      </c>
      <c r="AB2" s="1" t="s">
        <v>862</v>
      </c>
      <c r="AG2" s="1" t="s">
        <v>873</v>
      </c>
      <c r="AH2" s="1" t="s">
        <v>874</v>
      </c>
    </row>
    <row r="3" spans="1:34" x14ac:dyDescent="0.15">
      <c r="A3" s="3" t="s">
        <v>0</v>
      </c>
      <c r="B3" s="3" t="s">
        <v>1597</v>
      </c>
      <c r="C3" s="3" t="s">
        <v>1598</v>
      </c>
      <c r="D3" s="6" t="s">
        <v>6</v>
      </c>
      <c r="E3" s="6" t="s">
        <v>7</v>
      </c>
      <c r="F3" s="6" t="s">
        <v>2</v>
      </c>
      <c r="G3" s="6" t="s">
        <v>1</v>
      </c>
      <c r="H3" s="6" t="s">
        <v>35</v>
      </c>
      <c r="I3" s="6" t="s">
        <v>36</v>
      </c>
      <c r="J3" s="6" t="s">
        <v>865</v>
      </c>
      <c r="K3" s="6" t="s">
        <v>5</v>
      </c>
      <c r="L3" s="6" t="s">
        <v>3</v>
      </c>
      <c r="M3" s="6" t="s">
        <v>4</v>
      </c>
      <c r="N3" s="6" t="s">
        <v>27</v>
      </c>
      <c r="O3" s="6" t="s">
        <v>6</v>
      </c>
      <c r="P3" s="6" t="s">
        <v>7</v>
      </c>
      <c r="U3" s="1">
        <v>0.01</v>
      </c>
      <c r="V3" s="1">
        <v>25</v>
      </c>
      <c r="W3" s="83">
        <f>440*10^6*131</f>
        <v>57640000000</v>
      </c>
      <c r="Z3" s="82">
        <f>W3</f>
        <v>57640000000</v>
      </c>
      <c r="AA3" s="1">
        <f>700*10^3</f>
        <v>700000</v>
      </c>
      <c r="AB3" s="1">
        <v>244</v>
      </c>
      <c r="AC3" s="83">
        <f>Z3/AA3/AB3</f>
        <v>337.47072599531617</v>
      </c>
      <c r="AD3" s="83">
        <f>Z3/AA3</f>
        <v>82342.857142857145</v>
      </c>
      <c r="AE3" s="83">
        <f>Z3/AA3/AB3</f>
        <v>337.47072599531617</v>
      </c>
      <c r="AG3" s="1">
        <f>AA3/10^6</f>
        <v>0.7</v>
      </c>
      <c r="AH3" s="1">
        <f>(Z3-314*10^8)*(2/AG3)/AB3/10^8</f>
        <v>3.0725995316159254</v>
      </c>
    </row>
    <row r="4" spans="1:34" x14ac:dyDescent="0.15">
      <c r="A4" s="3">
        <v>0</v>
      </c>
      <c r="B4" s="3" t="s">
        <v>941</v>
      </c>
      <c r="C4" s="3" t="s">
        <v>943</v>
      </c>
      <c r="D4" s="21">
        <f>VLOOKUP(B4,SYS!$F$5:$G$360,2,FALSE)</f>
        <v>32</v>
      </c>
      <c r="E4" s="21">
        <f>VLOOKUP(C4,SYS!$F$5:$G$360,2,FALSE)</f>
        <v>33</v>
      </c>
      <c r="F4" s="23">
        <v>45</v>
      </c>
      <c r="G4" s="23">
        <v>0</v>
      </c>
      <c r="H4" s="21">
        <v>-1</v>
      </c>
      <c r="I4" s="21">
        <v>-1</v>
      </c>
      <c r="J4" s="23">
        <v>0</v>
      </c>
      <c r="K4" s="22">
        <f>F4*0.0002</f>
        <v>9.0000000000000011E-3</v>
      </c>
      <c r="L4" s="74">
        <v>0.6</v>
      </c>
      <c r="M4" s="74">
        <v>0.6</v>
      </c>
      <c r="N4" s="23" t="s">
        <v>389</v>
      </c>
      <c r="O4" s="23" t="str">
        <f>VLOOKUP(TRN!D4,SYS!$G$5:$H$360,2,FALSE)</f>
        <v>電発函館変換所</v>
      </c>
      <c r="P4" s="23" t="str">
        <f>VLOOKUP(TRN!E4,SYS!$G$5:$H$360,2,FALSE)</f>
        <v>上北変電所</v>
      </c>
      <c r="R4" s="8" t="s">
        <v>9</v>
      </c>
      <c r="T4" t="s">
        <v>845</v>
      </c>
      <c r="W4" s="82">
        <f>48*1000*500*131</f>
        <v>3144000000</v>
      </c>
      <c r="Z4" s="83">
        <f>600*10^6*131</f>
        <v>78600000000</v>
      </c>
      <c r="AA4" s="1">
        <f>1000*10^3</f>
        <v>1000000</v>
      </c>
      <c r="AB4" s="1">
        <v>260</v>
      </c>
      <c r="AC4" s="83">
        <f t="shared" ref="AC4:AC7" si="0">Z4/AA4/AB4</f>
        <v>302.30769230769232</v>
      </c>
      <c r="AD4" s="83">
        <f t="shared" ref="AD4:AD7" si="1">Z4/AA4</f>
        <v>78600</v>
      </c>
      <c r="AE4" s="83">
        <f t="shared" ref="AE4:AE7" si="2">Z4/AA4/AB4</f>
        <v>302.30769230769232</v>
      </c>
      <c r="AG4" s="1">
        <f t="shared" ref="AG4:AG7" si="3">AA4/10^6</f>
        <v>1</v>
      </c>
      <c r="AH4" s="1">
        <f t="shared" ref="AH4:AH7" si="4">(Z4-314*10^8)*(2/AG4)/AB4/10^8</f>
        <v>3.6307692307692307</v>
      </c>
    </row>
    <row r="5" spans="1:34" x14ac:dyDescent="0.15">
      <c r="A5" s="3">
        <v>1</v>
      </c>
      <c r="B5" s="3" t="s">
        <v>1504</v>
      </c>
      <c r="C5" s="3" t="s">
        <v>995</v>
      </c>
      <c r="D5" s="21">
        <f>VLOOKUP(B5,SYS!$F$5:$G$360,2,FALSE)</f>
        <v>37</v>
      </c>
      <c r="E5" s="21">
        <f>VLOOKUP(C5,SYS!$F$5:$G$360,2,FALSE)</f>
        <v>63</v>
      </c>
      <c r="F5" s="22">
        <v>21.903165170000001</v>
      </c>
      <c r="G5" s="23">
        <f>$L$2/L5</f>
        <v>7.2100000000000003E-3</v>
      </c>
      <c r="H5" s="21">
        <f>6.31-L19</f>
        <v>4.0540000000000003</v>
      </c>
      <c r="I5" s="21">
        <f>10.28-M19</f>
        <v>8.0239999999999991</v>
      </c>
      <c r="J5" s="23">
        <v>0</v>
      </c>
      <c r="K5" s="22">
        <f t="shared" ref="K5:K80" si="5">F5*0.0002</f>
        <v>4.3806330340000008E-3</v>
      </c>
      <c r="L5" s="75">
        <v>36.310594701685076</v>
      </c>
      <c r="M5" s="76">
        <v>36.310594701685076</v>
      </c>
      <c r="N5" s="23" t="s">
        <v>390</v>
      </c>
      <c r="O5" s="23" t="str">
        <f>VLOOKUP(TRN!D5,SYS!$G$5:$H$360,2,FALSE)</f>
        <v>南相馬変電所</v>
      </c>
      <c r="P5" s="23" t="str">
        <f>VLOOKUP(TRN!E5,SYS!$G$5:$H$360,2,FALSE)</f>
        <v>南いわき開閉所</v>
      </c>
      <c r="R5" s="6">
        <v>0</v>
      </c>
      <c r="T5" t="s">
        <v>846</v>
      </c>
      <c r="V5" s="1" t="s">
        <v>870</v>
      </c>
      <c r="W5" s="1">
        <f>430*10^8/300000/122</f>
        <v>1174.8633879781421</v>
      </c>
      <c r="Z5" s="83">
        <f>1350*10^6*131</f>
        <v>176850000000</v>
      </c>
      <c r="AA5" s="1">
        <f>1400*10^3</f>
        <v>1400000</v>
      </c>
      <c r="AB5" s="1">
        <v>600</v>
      </c>
      <c r="AC5" s="83">
        <f t="shared" si="0"/>
        <v>210.53571428571428</v>
      </c>
      <c r="AD5" s="83">
        <f t="shared" si="1"/>
        <v>126321.42857142857</v>
      </c>
      <c r="AE5" s="83">
        <f t="shared" si="2"/>
        <v>210.53571428571428</v>
      </c>
      <c r="AG5" s="1">
        <f t="shared" si="3"/>
        <v>1.4</v>
      </c>
      <c r="AH5" s="1">
        <f t="shared" si="4"/>
        <v>3.4630952380952382</v>
      </c>
    </row>
    <row r="6" spans="1:34" x14ac:dyDescent="0.15">
      <c r="A6" s="3">
        <v>2</v>
      </c>
      <c r="B6" s="3" t="s">
        <v>1534</v>
      </c>
      <c r="C6" s="3" t="s">
        <v>1142</v>
      </c>
      <c r="D6" s="21">
        <f>VLOOKUP(B6,SYS!$F$5:$G$360,2,FALSE)</f>
        <v>139</v>
      </c>
      <c r="E6" s="21">
        <f>VLOOKUP(C6,SYS!$F$5:$G$360,2,FALSE)</f>
        <v>202</v>
      </c>
      <c r="F6" s="22">
        <v>0</v>
      </c>
      <c r="G6" s="23">
        <v>0</v>
      </c>
      <c r="H6" s="21">
        <v>-1</v>
      </c>
      <c r="I6" s="21">
        <v>-1</v>
      </c>
      <c r="J6" s="23">
        <v>0</v>
      </c>
      <c r="K6" s="22">
        <f t="shared" si="5"/>
        <v>0</v>
      </c>
      <c r="L6" s="74">
        <v>0.3</v>
      </c>
      <c r="M6" s="74">
        <v>0.3</v>
      </c>
      <c r="N6" s="23" t="s">
        <v>391</v>
      </c>
      <c r="O6" s="23" t="str">
        <f>VLOOKUP(TRN!D6,SYS!$G$5:$H$360,2,FALSE)</f>
        <v>南福光連係所</v>
      </c>
      <c r="P6" s="23" t="str">
        <f>VLOOKUP(TRN!E6,SYS!$G$5:$H$360,2,FALSE)</f>
        <v>南福光変電所</v>
      </c>
      <c r="R6" s="6">
        <v>500</v>
      </c>
      <c r="T6" t="s">
        <v>847</v>
      </c>
      <c r="V6" s="1">
        <v>4.3999999999999997E-2</v>
      </c>
      <c r="W6" s="1" t="s">
        <v>860</v>
      </c>
      <c r="Z6" s="83">
        <f>1400*10^6*131</f>
        <v>183400000000</v>
      </c>
      <c r="AA6" s="1">
        <f>1400*10^3</f>
        <v>1400000</v>
      </c>
      <c r="AB6" s="1">
        <v>600</v>
      </c>
      <c r="AC6" s="83">
        <f t="shared" si="0"/>
        <v>218.33333333333334</v>
      </c>
      <c r="AD6" s="83">
        <f t="shared" si="1"/>
        <v>131000</v>
      </c>
      <c r="AE6" s="83">
        <f t="shared" si="2"/>
        <v>218.33333333333334</v>
      </c>
      <c r="AG6" s="1">
        <f t="shared" si="3"/>
        <v>1.4</v>
      </c>
      <c r="AH6" s="1">
        <f t="shared" si="4"/>
        <v>3.6190476190476191</v>
      </c>
    </row>
    <row r="7" spans="1:34" x14ac:dyDescent="0.15">
      <c r="A7" s="3">
        <v>3</v>
      </c>
      <c r="B7" s="3" t="s">
        <v>1242</v>
      </c>
      <c r="C7" s="3" t="s">
        <v>1274</v>
      </c>
      <c r="D7" s="21">
        <f>VLOOKUP(B7,SYS!$F$5:$G$360,2,FALSE)</f>
        <v>199</v>
      </c>
      <c r="E7" s="21">
        <f>VLOOKUP(C7,SYS!$F$5:$G$360,2,FALSE)</f>
        <v>221</v>
      </c>
      <c r="F7" s="22">
        <v>104.8301486</v>
      </c>
      <c r="G7" s="23">
        <f t="shared" ref="G7:G13" si="6">$L$2/L7</f>
        <v>3.9499999997080405E-2</v>
      </c>
      <c r="H7" s="21">
        <v>1.5</v>
      </c>
      <c r="I7" s="21">
        <v>1.9</v>
      </c>
      <c r="J7" s="23">
        <v>0</v>
      </c>
      <c r="K7" s="22">
        <f t="shared" si="5"/>
        <v>2.0966029720000001E-2</v>
      </c>
      <c r="L7" s="75">
        <v>6.6278326029999999</v>
      </c>
      <c r="M7" s="76">
        <v>6.6278326025101117</v>
      </c>
      <c r="N7" s="53" t="s">
        <v>392</v>
      </c>
      <c r="O7" s="23" t="str">
        <f>VLOOKUP(TRN!D7,SYS!$G$5:$H$360,2,FALSE)</f>
        <v>越前変電所</v>
      </c>
      <c r="P7" s="23" t="str">
        <f>VLOOKUP(TRN!E7,SYS!$G$5:$H$360,2,FALSE)</f>
        <v>嶺南変電所</v>
      </c>
      <c r="Q7"/>
      <c r="R7" s="6">
        <v>500</v>
      </c>
      <c r="T7" t="s">
        <v>848</v>
      </c>
      <c r="W7" s="83">
        <f>1200*700*10^3*140</f>
        <v>117600000000</v>
      </c>
      <c r="Z7" s="83">
        <f>700*10^6*131</f>
        <v>91700000000</v>
      </c>
      <c r="AA7" s="1">
        <f>2000*10^3</f>
        <v>2000000</v>
      </c>
      <c r="AB7" s="1">
        <v>64</v>
      </c>
      <c r="AC7" s="83">
        <f t="shared" si="0"/>
        <v>716.40625</v>
      </c>
      <c r="AD7" s="83">
        <f t="shared" si="1"/>
        <v>45850</v>
      </c>
      <c r="AE7" s="83">
        <f t="shared" si="2"/>
        <v>716.40625</v>
      </c>
      <c r="AG7" s="1">
        <f t="shared" si="3"/>
        <v>2</v>
      </c>
      <c r="AH7" s="1">
        <f t="shared" si="4"/>
        <v>9.421875</v>
      </c>
    </row>
    <row r="8" spans="1:34" x14ac:dyDescent="0.15">
      <c r="A8" s="3">
        <v>4</v>
      </c>
      <c r="B8" s="3" t="s">
        <v>1130</v>
      </c>
      <c r="C8" s="3" t="s">
        <v>1264</v>
      </c>
      <c r="D8" s="21">
        <f>VLOOKUP(B8,SYS!$F$5:$G$360,2,FALSE)</f>
        <v>133</v>
      </c>
      <c r="E8" s="21">
        <f>VLOOKUP(C8,SYS!$F$5:$G$360,2,FALSE)</f>
        <v>215</v>
      </c>
      <c r="F8" s="22">
        <v>17.91401274</v>
      </c>
      <c r="G8" s="23">
        <f t="shared" si="6"/>
        <v>6.7499999997846965E-3</v>
      </c>
      <c r="H8" s="21">
        <v>2.5</v>
      </c>
      <c r="I8" s="21">
        <v>1.24</v>
      </c>
      <c r="J8" s="23">
        <v>0</v>
      </c>
      <c r="K8" s="22">
        <f t="shared" si="5"/>
        <v>3.5828025480000004E-3</v>
      </c>
      <c r="L8" s="74">
        <v>38.785094489999999</v>
      </c>
      <c r="M8" s="74">
        <v>38.785094489999999</v>
      </c>
      <c r="N8" s="53" t="s">
        <v>393</v>
      </c>
      <c r="O8" s="23" t="str">
        <f>VLOOKUP(TRN!D8,SYS!$G$5:$H$360,2,FALSE)</f>
        <v>三重開閉所</v>
      </c>
      <c r="P8" s="23" t="str">
        <f>VLOOKUP(TRN!E8,SYS!$G$5:$H$360,2,FALSE)</f>
        <v>東近江開閉所</v>
      </c>
      <c r="Q8"/>
      <c r="R8" s="6">
        <v>500</v>
      </c>
      <c r="T8" t="s">
        <v>849</v>
      </c>
      <c r="V8" s="1" t="s">
        <v>871</v>
      </c>
      <c r="W8" s="83">
        <f>J27*300000</f>
        <v>14716625.699999999</v>
      </c>
      <c r="AH8" s="83"/>
    </row>
    <row r="9" spans="1:34" x14ac:dyDescent="0.15">
      <c r="A9" s="3">
        <v>5</v>
      </c>
      <c r="B9" s="3" t="s">
        <v>1031</v>
      </c>
      <c r="C9" s="3" t="s">
        <v>1334</v>
      </c>
      <c r="D9" s="21">
        <f>VLOOKUP(B9,SYS!$F$5:$G$360,2,FALSE)</f>
        <v>223</v>
      </c>
      <c r="E9" s="21">
        <f>VLOOKUP(C9,SYS!$F$5:$G$360,2,FALSE)</f>
        <v>260</v>
      </c>
      <c r="F9" s="22">
        <v>0</v>
      </c>
      <c r="G9" s="23">
        <v>0</v>
      </c>
      <c r="H9" s="21">
        <v>-1</v>
      </c>
      <c r="I9" s="21">
        <v>-1</v>
      </c>
      <c r="J9" s="23">
        <v>0</v>
      </c>
      <c r="K9" s="22">
        <f t="shared" si="5"/>
        <v>0</v>
      </c>
      <c r="L9" s="74">
        <v>1.4</v>
      </c>
      <c r="M9" s="74">
        <v>1.4</v>
      </c>
      <c r="N9" s="53" t="s">
        <v>394</v>
      </c>
      <c r="O9" s="23" t="str">
        <f>VLOOKUP(TRN!D9,SYS!$G$5:$H$360,2,FALSE)</f>
        <v>紀北変換所</v>
      </c>
      <c r="P9" s="23" t="str">
        <f>VLOOKUP(TRN!E9,SYS!$G$5:$H$360,2,FALSE)</f>
        <v>阿南変換所</v>
      </c>
      <c r="Q9"/>
      <c r="R9" s="6">
        <v>500</v>
      </c>
      <c r="T9" t="s">
        <v>850</v>
      </c>
      <c r="V9" s="1">
        <f>1/0.03</f>
        <v>33.333333333333336</v>
      </c>
      <c r="W9" s="83">
        <f>J21*300000</f>
        <v>29437442.999999996</v>
      </c>
    </row>
    <row r="10" spans="1:34" x14ac:dyDescent="0.15">
      <c r="A10" s="3">
        <v>6</v>
      </c>
      <c r="B10" s="3" t="s">
        <v>1568</v>
      </c>
      <c r="C10" s="3" t="s">
        <v>1376</v>
      </c>
      <c r="D10" s="21">
        <f>VLOOKUP(B10,SYS!$F$5:$G$360,2,FALSE)</f>
        <v>258</v>
      </c>
      <c r="E10" s="21">
        <f>VLOOKUP(C10,SYS!$F$5:$G$360,2,FALSE)</f>
        <v>286</v>
      </c>
      <c r="F10" s="22">
        <v>105.4936306</v>
      </c>
      <c r="G10" s="23">
        <f>$L$2/L10</f>
        <v>3.9749999998390476E-2</v>
      </c>
      <c r="H10" s="21">
        <v>1.2</v>
      </c>
      <c r="I10" s="21">
        <v>1.2</v>
      </c>
      <c r="J10" s="23">
        <v>0</v>
      </c>
      <c r="K10" s="22">
        <f t="shared" si="5"/>
        <v>2.1098726120000001E-2</v>
      </c>
      <c r="L10" s="74">
        <v>6.5861481209999999</v>
      </c>
      <c r="M10" s="74">
        <v>6.5861481209999999</v>
      </c>
      <c r="N10" s="23" t="s">
        <v>395</v>
      </c>
      <c r="O10" s="23" t="str">
        <f>VLOOKUP(TRN!D10,SYS!$G$5:$H$360,2,FALSE)</f>
        <v>讃岐変電所</v>
      </c>
      <c r="P10" s="23" t="str">
        <f>VLOOKUP(TRN!E10,SYS!$G$5:$H$360,2,FALSE)</f>
        <v>東岡山（変）</v>
      </c>
      <c r="Q10"/>
      <c r="R10" s="6">
        <v>500</v>
      </c>
      <c r="T10" t="s">
        <v>851</v>
      </c>
      <c r="W10" s="1">
        <f>8*10^8/(J20*1000)</f>
        <v>7367.5917138537898</v>
      </c>
    </row>
    <row r="11" spans="1:34" x14ac:dyDescent="0.15">
      <c r="A11" s="3">
        <v>7</v>
      </c>
      <c r="B11" s="3" t="s">
        <v>1268</v>
      </c>
      <c r="C11" s="3" t="s">
        <v>1366</v>
      </c>
      <c r="D11" s="21">
        <f>VLOOKUP(B11,SYS!$F$5:$G$360,2,FALSE)</f>
        <v>217</v>
      </c>
      <c r="E11" s="21">
        <f>VLOOKUP(C11,SYS!$F$5:$G$360,2,FALSE)</f>
        <v>281</v>
      </c>
      <c r="F11" s="22">
        <v>70.329087049999998</v>
      </c>
      <c r="G11" s="23">
        <f t="shared" si="6"/>
        <v>2.6500000000268181E-2</v>
      </c>
      <c r="H11" s="21">
        <v>2.1</v>
      </c>
      <c r="I11" s="21">
        <v>1.39</v>
      </c>
      <c r="J11" s="23">
        <v>0</v>
      </c>
      <c r="K11" s="22">
        <f t="shared" si="5"/>
        <v>1.4065817410000001E-2</v>
      </c>
      <c r="L11" s="74">
        <v>9.8792221809999994</v>
      </c>
      <c r="M11" s="74">
        <v>9.8792221809999994</v>
      </c>
      <c r="N11" s="23" t="s">
        <v>396</v>
      </c>
      <c r="O11" s="23" t="str">
        <f>VLOOKUP(TRN!D11,SYS!$G$5:$H$360,2,FALSE)</f>
        <v>山崎開閉所</v>
      </c>
      <c r="P11" s="23" t="str">
        <f>VLOOKUP(TRN!E11,SYS!$G$5:$H$360,2,FALSE)</f>
        <v>智頭（変）</v>
      </c>
      <c r="Q11"/>
      <c r="R11" s="6">
        <v>500</v>
      </c>
      <c r="T11" t="s">
        <v>852</v>
      </c>
      <c r="V11" s="1" t="s">
        <v>872</v>
      </c>
      <c r="Y11" s="1">
        <v>567</v>
      </c>
      <c r="Z11" s="1">
        <f>(135.27*Y11+47805)*2*10^6/10^8</f>
        <v>2490.0618000000004</v>
      </c>
    </row>
    <row r="12" spans="1:34" ht="15.75" thickBot="1" x14ac:dyDescent="0.2">
      <c r="A12" s="3">
        <v>8</v>
      </c>
      <c r="B12" s="3" t="s">
        <v>1550</v>
      </c>
      <c r="C12" s="3" t="s">
        <v>1376</v>
      </c>
      <c r="D12" s="21">
        <f>VLOOKUP(B12,SYS!$F$5:$G$360,2,FALSE)</f>
        <v>209</v>
      </c>
      <c r="E12" s="21">
        <f>VLOOKUP(C12,SYS!$F$5:$G$360,2,FALSE)</f>
        <v>286</v>
      </c>
      <c r="F12" s="22">
        <v>75.636942680000004</v>
      </c>
      <c r="G12" s="23">
        <f t="shared" si="6"/>
        <v>2.8499999998601058E-2</v>
      </c>
      <c r="H12" s="21">
        <v>2.1</v>
      </c>
      <c r="I12" s="21">
        <v>1.39</v>
      </c>
      <c r="J12" s="23">
        <v>0</v>
      </c>
      <c r="K12" s="22">
        <f t="shared" si="5"/>
        <v>1.5127388536000002E-2</v>
      </c>
      <c r="L12" s="74">
        <v>9.1859434320000002</v>
      </c>
      <c r="M12" s="74">
        <v>9.1859434320000002</v>
      </c>
      <c r="N12" s="23" t="s">
        <v>397</v>
      </c>
      <c r="O12" s="23" t="str">
        <f>VLOOKUP(TRN!D12,SYS!$G$5:$H$360,2,FALSE)</f>
        <v>西播変電所</v>
      </c>
      <c r="P12" s="23" t="str">
        <f>VLOOKUP(TRN!E12,SYS!$G$5:$H$360,2,FALSE)</f>
        <v>東岡山（変）</v>
      </c>
      <c r="Q12"/>
      <c r="T12" t="s">
        <v>852</v>
      </c>
      <c r="V12" s="1">
        <v>1.03</v>
      </c>
      <c r="Y12" s="1">
        <v>425</v>
      </c>
      <c r="Z12" s="1">
        <f t="shared" ref="Z12:Z21" si="7">(135.27*Y12+47805)*2*10^6/10^8</f>
        <v>2105.895</v>
      </c>
      <c r="AA12" s="83"/>
    </row>
    <row r="13" spans="1:34" x14ac:dyDescent="0.15">
      <c r="A13" s="3">
        <v>9</v>
      </c>
      <c r="B13" s="3" t="s">
        <v>1360</v>
      </c>
      <c r="C13" s="3" t="s">
        <v>1413</v>
      </c>
      <c r="D13" s="21">
        <f>VLOOKUP(B13,SYS!$F$5:$G$360,2,FALSE)</f>
        <v>278</v>
      </c>
      <c r="E13" s="21">
        <f>VLOOKUP(C13,SYS!$F$5:$G$360,2,FALSE)</f>
        <v>308</v>
      </c>
      <c r="F13" s="22">
        <v>55.865180469999999</v>
      </c>
      <c r="G13" s="23">
        <f t="shared" si="6"/>
        <v>2.1049999997720469E-2</v>
      </c>
      <c r="H13" s="21">
        <v>2.78</v>
      </c>
      <c r="I13" s="21">
        <v>0.32</v>
      </c>
      <c r="J13" s="23">
        <v>0</v>
      </c>
      <c r="K13" s="22">
        <f t="shared" si="5"/>
        <v>1.1173036094E-2</v>
      </c>
      <c r="L13" s="74">
        <v>12.43702555</v>
      </c>
      <c r="M13" s="74">
        <v>12.43702555</v>
      </c>
      <c r="N13" s="23" t="s">
        <v>398</v>
      </c>
      <c r="O13" s="23" t="str">
        <f>VLOOKUP(TRN!D13,SYS!$G$5:$H$360,2,FALSE)</f>
        <v>新山口（変）</v>
      </c>
      <c r="P13" s="23" t="str">
        <f>VLOOKUP(TRN!E13,SYS!$G$5:$H$360,2,FALSE)</f>
        <v>北九州変電所</v>
      </c>
      <c r="Q13"/>
      <c r="T13" t="s">
        <v>853</v>
      </c>
      <c r="V13" s="90" t="s">
        <v>1616</v>
      </c>
      <c r="Y13" s="1">
        <v>480</v>
      </c>
      <c r="Z13" s="1">
        <f t="shared" si="7"/>
        <v>2254.692</v>
      </c>
    </row>
    <row r="14" spans="1:34" ht="15.75" thickBot="1" x14ac:dyDescent="0.2">
      <c r="A14" s="3">
        <v>10</v>
      </c>
      <c r="B14" s="3" t="s">
        <v>1047</v>
      </c>
      <c r="C14" s="3" t="s">
        <v>1146</v>
      </c>
      <c r="D14" s="21">
        <f>VLOOKUP(B14,SYS!$F$5:$G$360,2,FALSE)</f>
        <v>89</v>
      </c>
      <c r="E14" s="21">
        <f>VLOOKUP(C14,SYS!$F$5:$G$360,2,FALSE)</f>
        <v>141</v>
      </c>
      <c r="F14" s="22">
        <v>100</v>
      </c>
      <c r="G14" s="23">
        <v>0</v>
      </c>
      <c r="H14" s="21">
        <v>-1</v>
      </c>
      <c r="I14" s="21">
        <v>-1</v>
      </c>
      <c r="J14" s="23">
        <v>0</v>
      </c>
      <c r="K14" s="22">
        <f t="shared" si="5"/>
        <v>0.02</v>
      </c>
      <c r="L14" s="77">
        <v>0.6</v>
      </c>
      <c r="M14" s="74">
        <v>0.6</v>
      </c>
      <c r="N14" s="23" t="s">
        <v>230</v>
      </c>
      <c r="O14" s="23" t="str">
        <f>VLOOKUP(TRN!D14,SYS!$G$5:$H$360,2,FALSE)</f>
        <v>新富士変電所</v>
      </c>
      <c r="P14" s="23" t="str">
        <f>VLOOKUP(TRN!E14,SYS!$G$5:$H$360,2,FALSE)</f>
        <v>東栄変電所</v>
      </c>
      <c r="Q14"/>
      <c r="R14" s="1">
        <f>0.6*0.6/3</f>
        <v>0.12</v>
      </c>
      <c r="T14" t="s">
        <v>854</v>
      </c>
      <c r="V14" s="91">
        <f>1/BLT*(1-V6*(V9-BLT/(V12^BLT-1)))+V6+O_M_rate</f>
        <v>7.5560877524054132E-2</v>
      </c>
      <c r="Y14" s="1">
        <v>720</v>
      </c>
      <c r="Z14" s="1">
        <f t="shared" si="7"/>
        <v>2903.9880000000007</v>
      </c>
    </row>
    <row r="15" spans="1:34" x14ac:dyDescent="0.15">
      <c r="A15" s="3">
        <v>11</v>
      </c>
      <c r="B15" s="3" t="s">
        <v>1047</v>
      </c>
      <c r="C15" s="3" t="s">
        <v>1234</v>
      </c>
      <c r="D15" s="21">
        <f>VLOOKUP(B15,SYS!$F$5:$G$360,2,FALSE)</f>
        <v>89</v>
      </c>
      <c r="E15" s="21">
        <f>VLOOKUP(C15,SYS!$F$5:$G$360,2,FALSE)</f>
        <v>195</v>
      </c>
      <c r="F15" s="22">
        <v>100</v>
      </c>
      <c r="G15" s="23">
        <v>0</v>
      </c>
      <c r="H15" s="21">
        <v>-1</v>
      </c>
      <c r="I15" s="21">
        <v>-1</v>
      </c>
      <c r="J15" s="23">
        <v>0</v>
      </c>
      <c r="K15" s="22">
        <f t="shared" si="5"/>
        <v>0.02</v>
      </c>
      <c r="L15" s="77">
        <v>0.9</v>
      </c>
      <c r="M15" s="74">
        <v>0.9</v>
      </c>
      <c r="N15" s="23" t="s">
        <v>399</v>
      </c>
      <c r="O15" s="23" t="str">
        <f>VLOOKUP(TRN!D15,SYS!$G$5:$H$360,2,FALSE)</f>
        <v>新富士変電所</v>
      </c>
      <c r="P15" s="23" t="str">
        <f>VLOOKUP(TRN!E15,SYS!$G$5:$H$360,2,FALSE)</f>
        <v>東清水変電所</v>
      </c>
      <c r="Q15"/>
      <c r="R15" s="1">
        <f>0.6*0.9/3</f>
        <v>0.18000000000000002</v>
      </c>
      <c r="T15" t="s">
        <v>854</v>
      </c>
      <c r="Y15" s="1">
        <v>296</v>
      </c>
      <c r="Z15" s="1">
        <f t="shared" si="7"/>
        <v>1756.8984000000003</v>
      </c>
    </row>
    <row r="16" spans="1:34" x14ac:dyDescent="0.15">
      <c r="A16" s="3">
        <v>12</v>
      </c>
      <c r="B16" s="3" t="s">
        <v>911</v>
      </c>
      <c r="C16" s="3" t="s">
        <v>997</v>
      </c>
      <c r="D16" s="21">
        <f>VLOOKUP(B16,SYS!$F$5:$G$360,2,FALSE)</f>
        <v>17</v>
      </c>
      <c r="E16" s="21">
        <f>VLOOKUP(C16,SYS!$F$5:$G$360,2,FALSE)</f>
        <v>60</v>
      </c>
      <c r="F16" s="22">
        <v>122</v>
      </c>
      <c r="G16" s="23">
        <v>0</v>
      </c>
      <c r="H16" s="21">
        <v>-1</v>
      </c>
      <c r="I16" s="21">
        <v>-1</v>
      </c>
      <c r="J16" s="23">
        <v>0</v>
      </c>
      <c r="K16" s="22">
        <f t="shared" si="5"/>
        <v>2.4400000000000002E-2</v>
      </c>
      <c r="L16" s="78">
        <v>0.3</v>
      </c>
      <c r="M16" s="74">
        <v>0.3</v>
      </c>
      <c r="N16" s="23" t="s">
        <v>400</v>
      </c>
      <c r="O16" s="23" t="str">
        <f>VLOOKUP(TRN!D16,SYS!$G$5:$H$360,2,FALSE)</f>
        <v>北斗変換所</v>
      </c>
      <c r="P16" s="23" t="str">
        <f>VLOOKUP(TRN!E16,SYS!$G$5:$H$360,2,FALSE)</f>
        <v>今別変換所</v>
      </c>
      <c r="Q16"/>
      <c r="T16" t="s">
        <v>845</v>
      </c>
      <c r="Y16" s="1">
        <v>429</v>
      </c>
      <c r="Z16" s="1">
        <f t="shared" si="7"/>
        <v>2116.7166000000002</v>
      </c>
    </row>
    <row r="17" spans="1:26" x14ac:dyDescent="0.15">
      <c r="A17" s="3">
        <v>13</v>
      </c>
      <c r="B17" s="3" t="s">
        <v>1128</v>
      </c>
      <c r="C17" s="3" t="s">
        <v>1160</v>
      </c>
      <c r="D17" s="21">
        <f>VLOOKUP(B17,SYS!$F$5:$G$360,2,FALSE)</f>
        <v>132</v>
      </c>
      <c r="E17" s="21">
        <f>VLOOKUP(C17,SYS!$F$5:$G$360,2,FALSE)</f>
        <v>166</v>
      </c>
      <c r="F17" s="22">
        <v>5</v>
      </c>
      <c r="G17" s="23">
        <v>0</v>
      </c>
      <c r="H17" s="21">
        <v>-1</v>
      </c>
      <c r="I17" s="21">
        <v>-1</v>
      </c>
      <c r="J17" s="23">
        <v>0</v>
      </c>
      <c r="K17" s="22">
        <f t="shared" ref="K17" si="8">F17*0.0002</f>
        <v>1E-3</v>
      </c>
      <c r="L17" s="74">
        <v>0.6</v>
      </c>
      <c r="M17" s="74">
        <v>0.6</v>
      </c>
      <c r="N17" s="23" t="s">
        <v>843</v>
      </c>
      <c r="O17" s="23" t="str">
        <f>VLOOKUP(TRN!D17,SYS!$G$5:$H$360,2,FALSE)</f>
        <v>新信濃変電所</v>
      </c>
      <c r="P17" s="23" t="str">
        <f>VLOOKUP(TRN!E17,SYS!$G$5:$H$360,2,FALSE)</f>
        <v>中信変電所</v>
      </c>
      <c r="Q17"/>
      <c r="T17" t="s">
        <v>854</v>
      </c>
      <c r="Y17" s="1">
        <v>424</v>
      </c>
      <c r="Z17" s="1">
        <f t="shared" si="7"/>
        <v>2103.1896000000002</v>
      </c>
    </row>
    <row r="18" spans="1:26" x14ac:dyDescent="0.15">
      <c r="A18" s="3">
        <v>14</v>
      </c>
      <c r="B18" s="3" t="s">
        <v>1128</v>
      </c>
      <c r="C18" s="3" t="s">
        <v>1240</v>
      </c>
      <c r="D18" s="21">
        <f>VLOOKUP(B18,SYS!$F$5:$G$360,2,FALSE)</f>
        <v>132</v>
      </c>
      <c r="E18" s="21">
        <f>VLOOKUP(C18,SYS!$F$5:$G$360,2,FALSE)</f>
        <v>198</v>
      </c>
      <c r="F18" s="22">
        <v>89</v>
      </c>
      <c r="G18" s="23">
        <v>0</v>
      </c>
      <c r="H18" s="21">
        <v>-1</v>
      </c>
      <c r="I18" s="21">
        <v>-1</v>
      </c>
      <c r="J18" s="23">
        <v>0</v>
      </c>
      <c r="K18" s="22">
        <f t="shared" si="5"/>
        <v>1.78E-2</v>
      </c>
      <c r="L18" s="74">
        <v>0.9</v>
      </c>
      <c r="M18" s="74">
        <v>0.9</v>
      </c>
      <c r="N18" s="23" t="s">
        <v>844</v>
      </c>
      <c r="O18" s="23" t="str">
        <f>VLOOKUP(TRN!D18,SYS!$G$5:$H$360,2,FALSE)</f>
        <v>新信濃変電所</v>
      </c>
      <c r="P18" s="23" t="str">
        <f>VLOOKUP(TRN!E18,SYS!$G$5:$H$360,2,FALSE)</f>
        <v>飛騨変換所</v>
      </c>
      <c r="Q18"/>
      <c r="R18" s="1">
        <f>0.6*1.5/3</f>
        <v>0.3</v>
      </c>
      <c r="T18" t="s">
        <v>854</v>
      </c>
      <c r="Y18" s="1">
        <v>466</v>
      </c>
      <c r="Z18" s="1">
        <f t="shared" si="7"/>
        <v>2216.8164000000002</v>
      </c>
    </row>
    <row r="19" spans="1:26" x14ac:dyDescent="0.15">
      <c r="A19" s="3">
        <v>15</v>
      </c>
      <c r="B19" s="3" t="s">
        <v>1504</v>
      </c>
      <c r="C19" s="3" t="s">
        <v>1510</v>
      </c>
      <c r="D19" s="21">
        <f>VLOOKUP(B19,SYS!$F$5:$G$360,2,FALSE)</f>
        <v>37</v>
      </c>
      <c r="E19" s="21">
        <f>VLOOKUP(C19,SYS!$F$5:$G$360,2,FALSE)</f>
        <v>62</v>
      </c>
      <c r="F19" s="23">
        <v>20</v>
      </c>
      <c r="G19" s="23">
        <f t="shared" ref="G19" si="9">$L$2/L19</f>
        <v>0.11604582792515489</v>
      </c>
      <c r="H19" s="21">
        <v>-1</v>
      </c>
      <c r="I19" s="21">
        <v>-1</v>
      </c>
      <c r="J19" s="23">
        <v>0</v>
      </c>
      <c r="K19" s="22">
        <f t="shared" si="5"/>
        <v>4.0000000000000001E-3</v>
      </c>
      <c r="L19" s="22">
        <v>2.2559999999999998</v>
      </c>
      <c r="M19" s="22">
        <v>2.2559999999999998</v>
      </c>
      <c r="N19" s="23" t="s">
        <v>466</v>
      </c>
      <c r="O19" s="23" t="str">
        <f>VLOOKUP(TRN!D19,SYS!$G$5:$H$360,2,FALSE)</f>
        <v>南相馬変電所</v>
      </c>
      <c r="P19" s="23" t="str">
        <f>VLOOKUP(TRN!E19,SYS!$G$5:$H$360,2,FALSE)</f>
        <v>新福島変電所</v>
      </c>
      <c r="Q19"/>
      <c r="T19" t="s">
        <v>1588</v>
      </c>
    </row>
    <row r="20" spans="1:26" s="60" customFormat="1" x14ac:dyDescent="0.15">
      <c r="A20" s="3">
        <v>16</v>
      </c>
      <c r="B20" s="3" t="s">
        <v>899</v>
      </c>
      <c r="C20" s="3" t="s">
        <v>1591</v>
      </c>
      <c r="D20" s="21">
        <f>VLOOKUP(B20,SYS!$F$5:$G$360,2,FALSE)</f>
        <v>11</v>
      </c>
      <c r="E20" s="21">
        <f>VLOOKUP(C20,SYS!$F$5:$G$360,2,FALSE)</f>
        <v>82</v>
      </c>
      <c r="F20" s="22">
        <v>750</v>
      </c>
      <c r="G20" s="23">
        <v>0</v>
      </c>
      <c r="H20" s="21">
        <v>-1</v>
      </c>
      <c r="I20" s="21">
        <v>-1</v>
      </c>
      <c r="J20" s="23">
        <f>(T20+30000)/1000*0.7</f>
        <v>108.58364999999999</v>
      </c>
      <c r="K20" s="22">
        <v>0.01</v>
      </c>
      <c r="L20" s="74">
        <v>0</v>
      </c>
      <c r="M20" s="74">
        <v>10</v>
      </c>
      <c r="N20" s="85" t="s">
        <v>866</v>
      </c>
      <c r="O20" s="23" t="str">
        <f>VLOOKUP(TRN!D20,SYS!$G$5:$H$360,2,FALSE)</f>
        <v>西小樽変電所</v>
      </c>
      <c r="P20" s="23" t="str">
        <f>VLOOKUP(TRN!E20,SYS!$G$5:$H$360,2,FALSE)</f>
        <v>柏崎刈羽原子力</v>
      </c>
      <c r="Q20" s="99"/>
      <c r="S20" s="99"/>
      <c r="T20" s="60">
        <f>F20*124.51+31737</f>
        <v>125119.5</v>
      </c>
      <c r="U20" s="100" t="s">
        <v>867</v>
      </c>
      <c r="Y20" s="60">
        <v>172</v>
      </c>
      <c r="Z20" s="60">
        <f t="shared" si="7"/>
        <v>1421.4287999999999</v>
      </c>
    </row>
    <row r="21" spans="1:26" x14ac:dyDescent="0.15">
      <c r="A21" s="3">
        <v>17</v>
      </c>
      <c r="B21" s="3" t="s">
        <v>901</v>
      </c>
      <c r="C21" s="3" t="s">
        <v>1593</v>
      </c>
      <c r="D21" s="21">
        <f>VLOOKUP(B21,SYS!$F$5:$G$360,2,FALSE)</f>
        <v>12</v>
      </c>
      <c r="E21" s="21">
        <f>VLOOKUP(C21,SYS!$F$5:$G$360,2,FALSE)</f>
        <v>61</v>
      </c>
      <c r="F21" s="22">
        <v>630</v>
      </c>
      <c r="G21" s="23">
        <v>0</v>
      </c>
      <c r="H21" s="21">
        <v>-1</v>
      </c>
      <c r="I21" s="21">
        <v>-1</v>
      </c>
      <c r="J21" s="23">
        <f t="shared" ref="J21:J28" si="10">(T21+30000)/1000*0.7</f>
        <v>98.124809999999982</v>
      </c>
      <c r="K21" s="22">
        <v>0.01</v>
      </c>
      <c r="L21" s="74">
        <v>0</v>
      </c>
      <c r="M21" s="74">
        <v>10</v>
      </c>
      <c r="N21" s="85" t="s">
        <v>867</v>
      </c>
      <c r="O21" s="23" t="str">
        <f>VLOOKUP(TRN!D21,SYS!$G$5:$H$360,2,FALSE)</f>
        <v>苫小牧変電所</v>
      </c>
      <c r="P21" s="23" t="str">
        <f>VLOOKUP(TRN!E21,SYS!$G$5:$H$360,2,FALSE)</f>
        <v>旧福島第二原子力</v>
      </c>
      <c r="Q21"/>
      <c r="T21" s="1">
        <f t="shared" ref="T21:T28" si="11">F21*124.51+31737</f>
        <v>110178.3</v>
      </c>
      <c r="U21" s="18" t="s">
        <v>867</v>
      </c>
      <c r="Y21" s="1">
        <v>1120</v>
      </c>
      <c r="Z21" s="1">
        <f t="shared" si="7"/>
        <v>3986.1480000000006</v>
      </c>
    </row>
    <row r="22" spans="1:26" s="60" customFormat="1" x14ac:dyDescent="0.15">
      <c r="A22" s="3">
        <v>18</v>
      </c>
      <c r="B22" s="3" t="s">
        <v>956</v>
      </c>
      <c r="C22" s="3" t="s">
        <v>1591</v>
      </c>
      <c r="D22" s="21">
        <f>VLOOKUP(B22,SYS!$F$5:$G$360,2,FALSE)</f>
        <v>40</v>
      </c>
      <c r="E22" s="21">
        <f>VLOOKUP(C22,SYS!$F$5:$G$360,2,FALSE)</f>
        <v>82</v>
      </c>
      <c r="F22" s="22">
        <v>300</v>
      </c>
      <c r="G22" s="23">
        <v>0</v>
      </c>
      <c r="H22" s="21">
        <v>-1</v>
      </c>
      <c r="I22" s="21">
        <v>-1</v>
      </c>
      <c r="J22" s="23">
        <f t="shared" si="10"/>
        <v>69.363</v>
      </c>
      <c r="K22" s="22">
        <v>0.01</v>
      </c>
      <c r="L22" s="74">
        <v>0</v>
      </c>
      <c r="M22" s="74">
        <v>10</v>
      </c>
      <c r="N22" s="85" t="s">
        <v>1588</v>
      </c>
      <c r="O22" s="23" t="str">
        <f>VLOOKUP(TRN!D22,SYS!$G$5:$H$360,2,FALSE)</f>
        <v>秋田変電所</v>
      </c>
      <c r="P22" s="23" t="str">
        <f>VLOOKUP(TRN!E22,SYS!$G$5:$H$360,2,FALSE)</f>
        <v>柏崎刈羽原子力</v>
      </c>
      <c r="Q22" s="99"/>
      <c r="S22" s="99"/>
      <c r="T22" s="60">
        <f t="shared" si="11"/>
        <v>69090</v>
      </c>
      <c r="U22" s="100" t="s">
        <v>1588</v>
      </c>
      <c r="V22" s="60" t="s">
        <v>1604</v>
      </c>
      <c r="W22" s="60" t="s">
        <v>1605</v>
      </c>
    </row>
    <row r="23" spans="1:26" s="60" customFormat="1" x14ac:dyDescent="0.15">
      <c r="A23" s="3"/>
      <c r="B23" s="3" t="s">
        <v>1591</v>
      </c>
      <c r="C23" s="3" t="s">
        <v>1018</v>
      </c>
      <c r="D23" s="21">
        <f>VLOOKUP(B23,SYS!$F$5:$G$360,2,FALSE)</f>
        <v>82</v>
      </c>
      <c r="E23" s="21">
        <f>VLOOKUP(C23,SYS!$F$5:$G$360,2,FALSE)</f>
        <v>168</v>
      </c>
      <c r="F23" s="22">
        <v>45</v>
      </c>
      <c r="G23" s="23">
        <v>0</v>
      </c>
      <c r="H23" s="21">
        <v>-1</v>
      </c>
      <c r="I23" s="21">
        <v>-1</v>
      </c>
      <c r="J23" s="23">
        <f t="shared" si="10"/>
        <v>47.137965000000001</v>
      </c>
      <c r="K23" s="22">
        <v>0.01</v>
      </c>
      <c r="L23" s="74">
        <v>0</v>
      </c>
      <c r="M23" s="74">
        <v>10</v>
      </c>
      <c r="N23" s="85" t="s">
        <v>1619</v>
      </c>
      <c r="O23" s="23" t="str">
        <f>VLOOKUP(TRN!D23,SYS!$G$5:$H$360,2,FALSE)</f>
        <v>柏崎刈羽原子力</v>
      </c>
      <c r="P23" s="23" t="str">
        <f>VLOOKUP(TRN!E23,SYS!$G$5:$H$360,2,FALSE)</f>
        <v>新北信変電所</v>
      </c>
      <c r="Q23" s="99"/>
      <c r="S23" s="99"/>
      <c r="T23" s="60">
        <f t="shared" si="11"/>
        <v>37339.949999999997</v>
      </c>
      <c r="U23" s="100" t="s">
        <v>1620</v>
      </c>
    </row>
    <row r="24" spans="1:26" x14ac:dyDescent="0.15">
      <c r="A24" s="3">
        <v>19</v>
      </c>
      <c r="B24" s="3" t="s">
        <v>1018</v>
      </c>
      <c r="C24" s="3" t="s">
        <v>1600</v>
      </c>
      <c r="D24" s="21">
        <f>VLOOKUP(B24,SYS!$F$5:$G$360,2,FALSE)</f>
        <v>168</v>
      </c>
      <c r="E24" s="21">
        <f>VLOOKUP(C24,SYS!$F$5:$G$360,2,FALSE)</f>
        <v>219</v>
      </c>
      <c r="F24" s="22">
        <v>420</v>
      </c>
      <c r="G24" s="23">
        <v>0</v>
      </c>
      <c r="H24" s="21">
        <v>-1</v>
      </c>
      <c r="I24" s="21">
        <v>-1</v>
      </c>
      <c r="J24" s="23">
        <f t="shared" si="10"/>
        <v>79.821840000000009</v>
      </c>
      <c r="K24" s="22">
        <v>0.01</v>
      </c>
      <c r="L24" s="74">
        <v>0</v>
      </c>
      <c r="M24" s="74">
        <v>0</v>
      </c>
      <c r="N24" s="94" t="s">
        <v>1601</v>
      </c>
      <c r="O24" s="23" t="str">
        <f>VLOOKUP(TRN!D24,SYS!$G$5:$H$360,2,FALSE)</f>
        <v>新北信変電所</v>
      </c>
      <c r="P24" s="23" t="str">
        <f>VLOOKUP(TRN!E24,SYS!$G$5:$H$360,2,FALSE)</f>
        <v>舞鶴火力</v>
      </c>
      <c r="Q24"/>
      <c r="T24" s="1">
        <f t="shared" si="11"/>
        <v>84031.200000000012</v>
      </c>
      <c r="U24" s="18" t="s">
        <v>1601</v>
      </c>
      <c r="V24" s="1" t="s">
        <v>1605</v>
      </c>
      <c r="W24" s="1" t="s">
        <v>1611</v>
      </c>
    </row>
    <row r="25" spans="1:26" x14ac:dyDescent="0.15">
      <c r="A25" s="3">
        <v>20</v>
      </c>
      <c r="B25" s="3" t="s">
        <v>1052</v>
      </c>
      <c r="C25" s="57" t="s">
        <v>1163</v>
      </c>
      <c r="D25" s="21">
        <f>VLOOKUP(B25,SYS!$F$5:$G$360,2,FALSE)</f>
        <v>92</v>
      </c>
      <c r="E25" s="21">
        <f>VLOOKUP(C25,SYS!$F$5:$G$360,2,FALSE)</f>
        <v>151</v>
      </c>
      <c r="F25" s="22">
        <v>380</v>
      </c>
      <c r="G25" s="23">
        <v>0</v>
      </c>
      <c r="H25" s="21">
        <v>-1</v>
      </c>
      <c r="I25" s="21">
        <v>-1</v>
      </c>
      <c r="J25" s="23">
        <f t="shared" si="10"/>
        <v>76.335560000000001</v>
      </c>
      <c r="K25" s="22">
        <v>0.01</v>
      </c>
      <c r="L25" s="74">
        <v>0</v>
      </c>
      <c r="M25" s="74">
        <v>10</v>
      </c>
      <c r="N25" s="85" t="s">
        <v>1602</v>
      </c>
      <c r="O25" s="23" t="str">
        <f>VLOOKUP(TRN!D25,SYS!$G$5:$H$360,2,FALSE)</f>
        <v>新秦野変電所</v>
      </c>
      <c r="P25" s="23" t="str">
        <f>VLOOKUP(TRN!E25,SYS!$G$5:$H$360,2,FALSE)</f>
        <v>尾鷲三田変電所</v>
      </c>
      <c r="Q25"/>
      <c r="T25" s="1">
        <f t="shared" si="11"/>
        <v>79050.8</v>
      </c>
      <c r="U25" s="18" t="s">
        <v>1602</v>
      </c>
      <c r="V25" s="1" t="s">
        <v>1612</v>
      </c>
      <c r="W25" s="1" t="s">
        <v>1613</v>
      </c>
    </row>
    <row r="26" spans="1:26" x14ac:dyDescent="0.15">
      <c r="A26" s="3">
        <v>21</v>
      </c>
      <c r="B26" s="3" t="s">
        <v>1031</v>
      </c>
      <c r="C26" s="3" t="s">
        <v>1334</v>
      </c>
      <c r="D26" s="21">
        <f>VLOOKUP(B26,SYS!$F$5:$G$360,2,FALSE)</f>
        <v>223</v>
      </c>
      <c r="E26" s="21">
        <f>VLOOKUP(C26,SYS!$F$5:$G$360,2,FALSE)</f>
        <v>260</v>
      </c>
      <c r="F26" s="22">
        <v>85</v>
      </c>
      <c r="G26" s="23">
        <v>0</v>
      </c>
      <c r="H26" s="21">
        <v>-1</v>
      </c>
      <c r="I26" s="21">
        <v>-1</v>
      </c>
      <c r="J26" s="23">
        <f t="shared" si="10"/>
        <v>50.624245000000002</v>
      </c>
      <c r="K26" s="22">
        <v>0.01</v>
      </c>
      <c r="L26" s="74">
        <v>0</v>
      </c>
      <c r="M26" s="74">
        <v>10</v>
      </c>
      <c r="N26" s="85" t="s">
        <v>1617</v>
      </c>
      <c r="O26" s="23" t="str">
        <f>VLOOKUP(TRN!D26,SYS!$G$5:$H$360,2,FALSE)</f>
        <v>紀北変換所</v>
      </c>
      <c r="P26" s="23" t="str">
        <f>VLOOKUP(TRN!E26,SYS!$G$5:$H$360,2,FALSE)</f>
        <v>阿南変換所</v>
      </c>
      <c r="Q26"/>
      <c r="T26" s="1">
        <f t="shared" si="11"/>
        <v>42320.35</v>
      </c>
      <c r="U26" s="18" t="s">
        <v>1617</v>
      </c>
    </row>
    <row r="27" spans="1:26" x14ac:dyDescent="0.15">
      <c r="A27" s="3">
        <v>22</v>
      </c>
      <c r="B27" s="3" t="s">
        <v>1606</v>
      </c>
      <c r="C27" s="3" t="s">
        <v>1419</v>
      </c>
      <c r="D27" s="21">
        <f>VLOOKUP(B27,SYS!$F$5:$G$360,2,FALSE)</f>
        <v>262</v>
      </c>
      <c r="E27" s="21">
        <f>VLOOKUP(C27,SYS!$F$5:$G$360,2,FALSE)</f>
        <v>311</v>
      </c>
      <c r="F27" s="22">
        <v>67</v>
      </c>
      <c r="G27" s="23">
        <v>0</v>
      </c>
      <c r="H27" s="21">
        <v>-1</v>
      </c>
      <c r="I27" s="21">
        <v>-1</v>
      </c>
      <c r="J27" s="23">
        <f t="shared" si="10"/>
        <v>49.055419000000001</v>
      </c>
      <c r="K27" s="22">
        <v>0.01</v>
      </c>
      <c r="L27" s="74">
        <v>0</v>
      </c>
      <c r="M27" s="74">
        <v>10</v>
      </c>
      <c r="N27" s="85" t="s">
        <v>868</v>
      </c>
      <c r="O27" s="23" t="str">
        <f>VLOOKUP(TRN!D27,SYS!$G$5:$H$360,2,FALSE)</f>
        <v>伊方原子力</v>
      </c>
      <c r="P27" s="23" t="str">
        <f>VLOOKUP(TRN!E27,SYS!$G$5:$H$360,2,FALSE)</f>
        <v>東九州変電所</v>
      </c>
      <c r="Q27"/>
      <c r="T27" s="1">
        <f t="shared" si="11"/>
        <v>40079.17</v>
      </c>
      <c r="U27" s="18" t="s">
        <v>868</v>
      </c>
    </row>
    <row r="28" spans="1:26" x14ac:dyDescent="0.15">
      <c r="A28" s="3">
        <v>23</v>
      </c>
      <c r="B28" s="3" t="s">
        <v>1275</v>
      </c>
      <c r="C28" s="3" t="s">
        <v>1447</v>
      </c>
      <c r="D28" s="21">
        <f>VLOOKUP(B28,SYS!$F$5:$G$360,2,FALSE)</f>
        <v>221</v>
      </c>
      <c r="E28" s="21">
        <f>VLOOKUP(C28,SYS!$F$5:$G$360,2,FALSE)</f>
        <v>327</v>
      </c>
      <c r="F28" s="22">
        <v>600</v>
      </c>
      <c r="G28" s="23">
        <v>0</v>
      </c>
      <c r="H28" s="21">
        <v>-1</v>
      </c>
      <c r="I28" s="21">
        <v>-1</v>
      </c>
      <c r="J28" s="23">
        <f t="shared" si="10"/>
        <v>95.510100000000008</v>
      </c>
      <c r="K28" s="22">
        <v>0.01</v>
      </c>
      <c r="L28" s="74">
        <v>0</v>
      </c>
      <c r="M28" s="74">
        <v>10</v>
      </c>
      <c r="N28" s="85" t="s">
        <v>869</v>
      </c>
      <c r="O28" s="23" t="str">
        <f>VLOOKUP(TRN!D28,SYS!$G$5:$H$360,2,FALSE)</f>
        <v>嶺南変電所</v>
      </c>
      <c r="P28" s="23" t="str">
        <f>VLOOKUP(TRN!E28,SYS!$G$5:$H$360,2,FALSE)</f>
        <v>東福岡変電所</v>
      </c>
      <c r="Q28"/>
      <c r="T28" s="1">
        <f t="shared" si="11"/>
        <v>106443</v>
      </c>
      <c r="U28" s="18" t="s">
        <v>869</v>
      </c>
    </row>
    <row r="29" spans="1:26" x14ac:dyDescent="0.2">
      <c r="A29" s="3">
        <v>24</v>
      </c>
      <c r="B29" s="3" t="s">
        <v>879</v>
      </c>
      <c r="C29" s="3" t="s">
        <v>1486</v>
      </c>
      <c r="D29" s="21">
        <f>VLOOKUP(B29,SYS!$F$5:$G$360,2,FALSE)</f>
        <v>0</v>
      </c>
      <c r="E29" s="21">
        <f>VLOOKUP(C29,SYS!$F$5:$G$360,2,FALSE)</f>
        <v>1</v>
      </c>
      <c r="F29" s="55">
        <v>33</v>
      </c>
      <c r="G29" s="49">
        <v>0.13011</v>
      </c>
      <c r="H29" s="3">
        <v>-1</v>
      </c>
      <c r="I29" s="3">
        <v>-1</v>
      </c>
      <c r="J29" s="11">
        <v>0</v>
      </c>
      <c r="K29" s="25">
        <f t="shared" si="5"/>
        <v>6.6E-3</v>
      </c>
      <c r="L29" s="25">
        <v>1.8089999999999999</v>
      </c>
      <c r="M29" s="25">
        <v>1.8089999999999999</v>
      </c>
      <c r="N29" s="11" t="s">
        <v>401</v>
      </c>
      <c r="O29" s="26" t="str">
        <f>VLOOKUP(TRN!D29,SYS!$G$5:$H$360,2,FALSE)</f>
        <v>西当別変電所</v>
      </c>
      <c r="P29" s="26" t="str">
        <f>VLOOKUP(TRN!E29,SYS!$G$5:$H$360,2,FALSE)</f>
        <v>西野変電所</v>
      </c>
      <c r="Q29"/>
      <c r="S29" s="1"/>
      <c r="T29" s="88">
        <v>1.556422691373996</v>
      </c>
      <c r="U29" s="89">
        <v>0.89935635957230164</v>
      </c>
    </row>
    <row r="30" spans="1:26" x14ac:dyDescent="0.2">
      <c r="A30" s="3">
        <v>25</v>
      </c>
      <c r="B30" s="3" t="s">
        <v>905</v>
      </c>
      <c r="C30" s="3" t="s">
        <v>885</v>
      </c>
      <c r="D30" s="21">
        <f>VLOOKUP(B30,SYS!$F$5:$G$360,2,FALSE)</f>
        <v>14</v>
      </c>
      <c r="E30" s="21">
        <f>VLOOKUP(C30,SYS!$F$5:$G$360,2,FALSE)</f>
        <v>4</v>
      </c>
      <c r="F30" s="55">
        <v>41</v>
      </c>
      <c r="G30" s="49">
        <v>0.15931999999999999</v>
      </c>
      <c r="H30" s="3">
        <v>-1</v>
      </c>
      <c r="I30" s="3">
        <v>-1</v>
      </c>
      <c r="J30" s="11">
        <v>0</v>
      </c>
      <c r="K30" s="25">
        <f t="shared" si="5"/>
        <v>8.2000000000000007E-3</v>
      </c>
      <c r="L30" s="25">
        <v>1.3560000000000001</v>
      </c>
      <c r="M30" s="25">
        <v>1.3560000000000001</v>
      </c>
      <c r="N30" s="11" t="s">
        <v>402</v>
      </c>
      <c r="O30" s="26" t="str">
        <f>VLOOKUP(TRN!D30,SYS!$G$5:$H$360,2,FALSE)</f>
        <v>恵庭変電所</v>
      </c>
      <c r="P30" s="26" t="str">
        <f>VLOOKUP(TRN!E30,SYS!$G$5:$H$360,2,FALSE)</f>
        <v>苗穂変電所</v>
      </c>
      <c r="Q30"/>
      <c r="S30" s="1"/>
      <c r="T30" s="88">
        <v>1.469176266967968</v>
      </c>
      <c r="U30" s="89">
        <v>1.5479588172754657</v>
      </c>
    </row>
    <row r="31" spans="1:26" x14ac:dyDescent="0.2">
      <c r="A31" s="3">
        <v>26</v>
      </c>
      <c r="B31" s="3" t="s">
        <v>877</v>
      </c>
      <c r="C31" s="3" t="s">
        <v>883</v>
      </c>
      <c r="D31" s="21">
        <f>VLOOKUP(B31,SYS!$F$5:$G$360,2,FALSE)</f>
        <v>3</v>
      </c>
      <c r="E31" s="21">
        <f>VLOOKUP(C31,SYS!$F$5:$G$360,2,FALSE)</f>
        <v>2</v>
      </c>
      <c r="F31" s="55">
        <v>74</v>
      </c>
      <c r="G31" s="49">
        <v>0.29011999999999999</v>
      </c>
      <c r="H31" s="3">
        <v>-1</v>
      </c>
      <c r="I31" s="3">
        <v>-1</v>
      </c>
      <c r="J31" s="11">
        <v>0</v>
      </c>
      <c r="K31" s="25">
        <f>F31*0.0002</f>
        <v>1.4800000000000001E-2</v>
      </c>
      <c r="L31" s="25">
        <v>1.1970000000000001</v>
      </c>
      <c r="M31" s="25">
        <v>1.1970000000000001</v>
      </c>
      <c r="N31" s="11" t="s">
        <v>403</v>
      </c>
      <c r="O31" s="26" t="str">
        <f>VLOOKUP(TRN!D31,SYS!$G$5:$H$360,2,FALSE)</f>
        <v>南早来変電所</v>
      </c>
      <c r="P31" s="26" t="str">
        <f>VLOOKUP(TRN!E31,SYS!$G$5:$H$360,2,FALSE)</f>
        <v>西双葉開閉所</v>
      </c>
      <c r="Q31"/>
      <c r="S31" s="1"/>
      <c r="T31" s="88">
        <v>2.1672624907400735</v>
      </c>
      <c r="U31" s="89">
        <v>1.4951920711607705</v>
      </c>
    </row>
    <row r="32" spans="1:26" x14ac:dyDescent="0.2">
      <c r="A32" s="3">
        <v>27</v>
      </c>
      <c r="B32" s="3" t="s">
        <v>877</v>
      </c>
      <c r="C32" s="3" t="s">
        <v>879</v>
      </c>
      <c r="D32" s="21">
        <f>VLOOKUP(B32,SYS!$F$5:$G$360,2,FALSE)</f>
        <v>3</v>
      </c>
      <c r="E32" s="21">
        <f>VLOOKUP(C32,SYS!$F$5:$G$360,2,FALSE)</f>
        <v>0</v>
      </c>
      <c r="F32" s="55">
        <v>92</v>
      </c>
      <c r="G32" s="49">
        <v>0.35852000000000001</v>
      </c>
      <c r="H32" s="3">
        <v>-1</v>
      </c>
      <c r="I32" s="3">
        <v>-1</v>
      </c>
      <c r="J32" s="11">
        <v>0</v>
      </c>
      <c r="K32" s="25">
        <f t="shared" si="5"/>
        <v>1.84E-2</v>
      </c>
      <c r="L32" s="25">
        <v>1.8919999999999999</v>
      </c>
      <c r="M32" s="25">
        <v>1.8919999999999999</v>
      </c>
      <c r="N32" s="11" t="s">
        <v>404</v>
      </c>
      <c r="O32" s="26" t="str">
        <f>VLOOKUP(TRN!D32,SYS!$G$5:$H$360,2,FALSE)</f>
        <v>南早来変電所</v>
      </c>
      <c r="P32" s="26" t="str">
        <f>VLOOKUP(TRN!E32,SYS!$G$5:$H$360,2,FALSE)</f>
        <v>西当別変電所</v>
      </c>
      <c r="Q32"/>
      <c r="S32" s="1"/>
      <c r="T32" s="88">
        <v>1.260135286032618</v>
      </c>
      <c r="U32" s="89">
        <v>0.94172971697501917</v>
      </c>
    </row>
    <row r="33" spans="1:21" x14ac:dyDescent="0.2">
      <c r="A33" s="3">
        <v>28</v>
      </c>
      <c r="B33" s="3" t="s">
        <v>879</v>
      </c>
      <c r="C33" s="3" t="s">
        <v>885</v>
      </c>
      <c r="D33" s="21">
        <f>VLOOKUP(B33,SYS!$F$5:$G$360,2,FALSE)</f>
        <v>0</v>
      </c>
      <c r="E33" s="21">
        <f>VLOOKUP(C33,SYS!$F$5:$G$360,2,FALSE)</f>
        <v>4</v>
      </c>
      <c r="F33" s="55">
        <v>19</v>
      </c>
      <c r="G33" s="64">
        <f t="shared" ref="G33:G65" si="12">$L$2/L33</f>
        <v>0.20485085117304336</v>
      </c>
      <c r="H33" s="3">
        <v>-1</v>
      </c>
      <c r="I33" s="3">
        <v>-1</v>
      </c>
      <c r="J33" s="11">
        <v>0</v>
      </c>
      <c r="K33" s="25">
        <f t="shared" si="5"/>
        <v>3.8E-3</v>
      </c>
      <c r="L33" s="58">
        <v>1.278</v>
      </c>
      <c r="M33" s="58">
        <v>1.278</v>
      </c>
      <c r="N33" s="11" t="s">
        <v>405</v>
      </c>
      <c r="O33" s="26" t="str">
        <f>VLOOKUP(TRN!D33,SYS!$G$5:$H$360,2,FALSE)</f>
        <v>西当別変電所</v>
      </c>
      <c r="P33" s="26" t="str">
        <f>VLOOKUP(TRN!E33,SYS!$G$5:$H$360,2,FALSE)</f>
        <v>苗穂変電所</v>
      </c>
      <c r="Q33" s="25">
        <v>0.63900000000000001</v>
      </c>
      <c r="S33" s="1"/>
      <c r="T33" s="88">
        <v>1.3559539076386478</v>
      </c>
      <c r="U33" s="89">
        <v>2.0384273921123932</v>
      </c>
    </row>
    <row r="34" spans="1:21" x14ac:dyDescent="0.2">
      <c r="A34" s="3">
        <v>29</v>
      </c>
      <c r="B34" s="3" t="s">
        <v>879</v>
      </c>
      <c r="C34" s="3" t="s">
        <v>1489</v>
      </c>
      <c r="D34" s="21">
        <f>VLOOKUP(B34,SYS!$F$5:$G$360,2,FALSE)</f>
        <v>0</v>
      </c>
      <c r="E34" s="21">
        <f>VLOOKUP(C34,SYS!$F$5:$G$360,2,FALSE)</f>
        <v>5</v>
      </c>
      <c r="F34" s="55">
        <v>17</v>
      </c>
      <c r="G34" s="49">
        <v>0.18806</v>
      </c>
      <c r="H34" s="3">
        <v>-1</v>
      </c>
      <c r="I34" s="3">
        <v>-1</v>
      </c>
      <c r="J34" s="11">
        <v>0</v>
      </c>
      <c r="K34" s="25">
        <f t="shared" si="5"/>
        <v>3.4000000000000002E-3</v>
      </c>
      <c r="L34" s="25">
        <v>0.63900000000000001</v>
      </c>
      <c r="M34" s="25">
        <v>0.63900000000000001</v>
      </c>
      <c r="N34" s="11" t="s">
        <v>406</v>
      </c>
      <c r="O34" s="26" t="str">
        <f>VLOOKUP(TRN!D34,SYS!$G$5:$H$360,2,FALSE)</f>
        <v>西当別変電所</v>
      </c>
      <c r="P34" s="26" t="str">
        <f>VLOOKUP(TRN!E34,SYS!$G$5:$H$360,2,FALSE)</f>
        <v>篠路変電所</v>
      </c>
      <c r="S34" s="1"/>
      <c r="T34" s="88">
        <v>3.1502744420137718</v>
      </c>
      <c r="U34" s="89">
        <v>3.322668400855441</v>
      </c>
    </row>
    <row r="35" spans="1:21" x14ac:dyDescent="0.2">
      <c r="A35" s="3">
        <v>30</v>
      </c>
      <c r="B35" s="3" t="s">
        <v>889</v>
      </c>
      <c r="C35" s="3" t="s">
        <v>1489</v>
      </c>
      <c r="D35" s="21">
        <f>VLOOKUP(B35,SYS!$F$5:$G$360,2,FALSE)</f>
        <v>6</v>
      </c>
      <c r="E35" s="21">
        <f>VLOOKUP(C35,SYS!$F$5:$G$360,2,FALSE)</f>
        <v>5</v>
      </c>
      <c r="F35" s="55">
        <v>9</v>
      </c>
      <c r="G35" s="49">
        <v>9.9919999999999995E-2</v>
      </c>
      <c r="H35" s="3">
        <v>-1</v>
      </c>
      <c r="I35" s="3">
        <v>-1</v>
      </c>
      <c r="J35" s="11">
        <v>0</v>
      </c>
      <c r="K35" s="25">
        <f t="shared" si="5"/>
        <v>1.8000000000000002E-3</v>
      </c>
      <c r="L35" s="25">
        <v>0.27600000000000002</v>
      </c>
      <c r="M35" s="25">
        <v>0.27600000000000002</v>
      </c>
      <c r="N35" s="11" t="s">
        <v>407</v>
      </c>
      <c r="O35" s="26" t="str">
        <f>VLOOKUP(TRN!D35,SYS!$G$5:$H$360,2,FALSE)</f>
        <v>西札幌変電所</v>
      </c>
      <c r="P35" s="26" t="str">
        <f>VLOOKUP(TRN!E35,SYS!$G$5:$H$360,2,FALSE)</f>
        <v>篠路変電所</v>
      </c>
      <c r="S35" s="1"/>
      <c r="T35" s="88">
        <v>4.7656234301695397</v>
      </c>
      <c r="U35" s="89">
        <v>364.15263190989572</v>
      </c>
    </row>
    <row r="36" spans="1:21" x14ac:dyDescent="0.2">
      <c r="A36" s="3">
        <v>31</v>
      </c>
      <c r="B36" s="3" t="s">
        <v>1486</v>
      </c>
      <c r="C36" s="3" t="s">
        <v>889</v>
      </c>
      <c r="D36" s="21">
        <f>VLOOKUP(B36,SYS!$F$5:$G$360,2,FALSE)</f>
        <v>1</v>
      </c>
      <c r="E36" s="21">
        <f>VLOOKUP(C36,SYS!$F$5:$G$360,2,FALSE)</f>
        <v>6</v>
      </c>
      <c r="F36" s="55">
        <v>10</v>
      </c>
      <c r="G36" s="49">
        <v>0.11697</v>
      </c>
      <c r="H36" s="3">
        <v>-1</v>
      </c>
      <c r="I36" s="3">
        <v>-1</v>
      </c>
      <c r="J36" s="11">
        <v>0</v>
      </c>
      <c r="K36" s="25">
        <f t="shared" si="5"/>
        <v>2E-3</v>
      </c>
      <c r="L36" s="25">
        <v>0.55800000000000005</v>
      </c>
      <c r="M36" s="25">
        <v>0.55800000000000005</v>
      </c>
      <c r="N36" s="11" t="s">
        <v>408</v>
      </c>
      <c r="O36" s="26" t="str">
        <f>VLOOKUP(TRN!D36,SYS!$G$5:$H$360,2,FALSE)</f>
        <v>西野変電所</v>
      </c>
      <c r="P36" s="26" t="str">
        <f>VLOOKUP(TRN!E36,SYS!$G$5:$H$360,2,FALSE)</f>
        <v>西札幌変電所</v>
      </c>
      <c r="S36" s="1"/>
      <c r="T36" s="88">
        <v>2.1355192261344609</v>
      </c>
      <c r="U36" s="89">
        <v>6678.9814950599684</v>
      </c>
    </row>
    <row r="37" spans="1:21" x14ac:dyDescent="0.2">
      <c r="A37" s="3">
        <v>32</v>
      </c>
      <c r="B37" s="3" t="s">
        <v>891</v>
      </c>
      <c r="C37" s="3" t="s">
        <v>885</v>
      </c>
      <c r="D37" s="21">
        <f>VLOOKUP(B37,SYS!$F$5:$G$360,2,FALSE)</f>
        <v>7</v>
      </c>
      <c r="E37" s="21">
        <f>VLOOKUP(C37,SYS!$F$5:$G$360,2,FALSE)</f>
        <v>4</v>
      </c>
      <c r="F37" s="9">
        <v>42</v>
      </c>
      <c r="G37" s="49">
        <v>0.48493000000000003</v>
      </c>
      <c r="H37" s="3">
        <v>-1</v>
      </c>
      <c r="I37" s="3">
        <v>-1</v>
      </c>
      <c r="J37" s="11">
        <v>0</v>
      </c>
      <c r="K37" s="25">
        <f t="shared" si="5"/>
        <v>8.4000000000000012E-3</v>
      </c>
      <c r="L37" s="25">
        <v>0.55500000000000005</v>
      </c>
      <c r="M37" s="25">
        <v>0.55500000000000005</v>
      </c>
      <c r="N37" s="11" t="s">
        <v>409</v>
      </c>
      <c r="O37" s="26" t="str">
        <f>VLOOKUP(TRN!D37,SYS!$G$5:$H$360,2,FALSE)</f>
        <v>双葉開閉所</v>
      </c>
      <c r="P37" s="26" t="str">
        <f>VLOOKUP(TRN!E37,SYS!$G$5:$H$360,2,FALSE)</f>
        <v>苗穂変電所</v>
      </c>
      <c r="S37" s="1"/>
      <c r="T37" s="88">
        <v>3323.2711956036528</v>
      </c>
      <c r="U37" s="89">
        <v>5.202246498204004</v>
      </c>
    </row>
    <row r="38" spans="1:21" x14ac:dyDescent="0.2">
      <c r="A38" s="3">
        <v>33</v>
      </c>
      <c r="B38" s="3" t="s">
        <v>893</v>
      </c>
      <c r="C38" s="3" t="s">
        <v>891</v>
      </c>
      <c r="D38" s="21">
        <f>VLOOKUP(B38,SYS!$F$5:$G$360,2,FALSE)</f>
        <v>8</v>
      </c>
      <c r="E38" s="21">
        <f>VLOOKUP(C38,SYS!$F$5:$G$360,2,FALSE)</f>
        <v>7</v>
      </c>
      <c r="F38" s="9">
        <v>45</v>
      </c>
      <c r="G38" s="49">
        <v>0.52346000000000004</v>
      </c>
      <c r="H38" s="3">
        <v>-1</v>
      </c>
      <c r="I38" s="3">
        <v>-1</v>
      </c>
      <c r="J38" s="11">
        <v>0</v>
      </c>
      <c r="K38" s="25">
        <f t="shared" si="5"/>
        <v>9.0000000000000011E-3</v>
      </c>
      <c r="L38" s="25">
        <v>0.47799999999999998</v>
      </c>
      <c r="M38" s="25">
        <v>0.47799999999999998</v>
      </c>
      <c r="N38" s="11" t="s">
        <v>410</v>
      </c>
      <c r="O38" s="26" t="str">
        <f>VLOOKUP(TRN!D38,SYS!$G$5:$H$360,2,FALSE)</f>
        <v>西室蘭開閉所</v>
      </c>
      <c r="P38" s="26" t="str">
        <f>VLOOKUP(TRN!E38,SYS!$G$5:$H$360,2,FALSE)</f>
        <v>双葉開閉所</v>
      </c>
      <c r="S38" s="1"/>
      <c r="T38" s="88">
        <v>5.0252826139137801</v>
      </c>
      <c r="U38" s="89">
        <v>3.9233059977503104</v>
      </c>
    </row>
    <row r="39" spans="1:21" x14ac:dyDescent="0.2">
      <c r="A39" s="3">
        <v>34</v>
      </c>
      <c r="B39" s="3" t="s">
        <v>893</v>
      </c>
      <c r="C39" s="3" t="s">
        <v>895</v>
      </c>
      <c r="D39" s="21">
        <f>VLOOKUP(B39,SYS!$F$5:$G$360,2,FALSE)</f>
        <v>8</v>
      </c>
      <c r="E39" s="21">
        <f>VLOOKUP(C39,SYS!$F$5:$G$360,2,FALSE)</f>
        <v>9</v>
      </c>
      <c r="F39" s="9">
        <v>7</v>
      </c>
      <c r="G39" s="49">
        <v>8.0369999999999997E-2</v>
      </c>
      <c r="H39" s="3">
        <v>-1</v>
      </c>
      <c r="I39" s="3">
        <v>-1</v>
      </c>
      <c r="J39" s="11">
        <v>0</v>
      </c>
      <c r="K39" s="25">
        <f t="shared" si="5"/>
        <v>1.4E-3</v>
      </c>
      <c r="L39" s="25">
        <v>0.36799999999999999</v>
      </c>
      <c r="M39" s="25">
        <v>0.36799999999999999</v>
      </c>
      <c r="N39" s="11" t="s">
        <v>411</v>
      </c>
      <c r="O39" s="26" t="str">
        <f>VLOOKUP(TRN!D39,SYS!$G$5:$H$360,2,FALSE)</f>
        <v>西室蘭開閉所</v>
      </c>
      <c r="P39" s="26" t="str">
        <f>VLOOKUP(TRN!E39,SYS!$G$5:$H$360,2,FALSE)</f>
        <v>室蘭変電所</v>
      </c>
      <c r="S39" s="1"/>
      <c r="T39" s="88">
        <v>5.3510480531824856</v>
      </c>
      <c r="U39" s="89">
        <v>6.1656098040199083</v>
      </c>
    </row>
    <row r="40" spans="1:21" x14ac:dyDescent="0.2">
      <c r="A40" s="3">
        <v>35</v>
      </c>
      <c r="B40" s="3" t="s">
        <v>1486</v>
      </c>
      <c r="C40" s="3" t="s">
        <v>897</v>
      </c>
      <c r="D40" s="21">
        <f>VLOOKUP(B40,SYS!$F$5:$G$360,2,FALSE)</f>
        <v>1</v>
      </c>
      <c r="E40" s="21">
        <f>VLOOKUP(C40,SYS!$F$5:$G$360,2,FALSE)</f>
        <v>10</v>
      </c>
      <c r="F40" s="55">
        <v>16</v>
      </c>
      <c r="G40" s="64">
        <f t="shared" si="12"/>
        <v>0.61311332037271526</v>
      </c>
      <c r="H40" s="3">
        <v>-1</v>
      </c>
      <c r="I40" s="3">
        <v>-1</v>
      </c>
      <c r="J40" s="11">
        <v>0</v>
      </c>
      <c r="K40" s="25">
        <f t="shared" si="5"/>
        <v>3.2000000000000002E-3</v>
      </c>
      <c r="L40" s="25">
        <v>0.42699999999999999</v>
      </c>
      <c r="M40" s="25">
        <v>0.42699999999999999</v>
      </c>
      <c r="N40" s="11" t="s">
        <v>412</v>
      </c>
      <c r="O40" s="26" t="str">
        <f>VLOOKUP(TRN!D40,SYS!$G$5:$H$360,2,FALSE)</f>
        <v>西野変電所</v>
      </c>
      <c r="P40" s="26" t="str">
        <f>VLOOKUP(TRN!E40,SYS!$G$5:$H$360,2,FALSE)</f>
        <v>南九条変電所</v>
      </c>
      <c r="S40" s="1"/>
      <c r="T40" s="88">
        <v>2.9491074674210571</v>
      </c>
      <c r="U40" s="89">
        <v>12.835237890532817</v>
      </c>
    </row>
    <row r="41" spans="1:21" x14ac:dyDescent="0.2">
      <c r="A41" s="3">
        <v>36</v>
      </c>
      <c r="B41" s="3" t="s">
        <v>1486</v>
      </c>
      <c r="C41" s="3" t="s">
        <v>899</v>
      </c>
      <c r="D41" s="21">
        <f>VLOOKUP(B41,SYS!$F$5:$G$360,2,FALSE)</f>
        <v>1</v>
      </c>
      <c r="E41" s="21">
        <f>VLOOKUP(C41,SYS!$F$5:$G$360,2,FALSE)</f>
        <v>11</v>
      </c>
      <c r="F41" s="55">
        <v>35</v>
      </c>
      <c r="G41" s="64">
        <f t="shared" si="12"/>
        <v>0.87558323678645289</v>
      </c>
      <c r="H41" s="3">
        <v>-1</v>
      </c>
      <c r="I41" s="3">
        <v>-1</v>
      </c>
      <c r="J41" s="11">
        <v>0</v>
      </c>
      <c r="K41" s="25">
        <f t="shared" si="5"/>
        <v>7.0000000000000001E-3</v>
      </c>
      <c r="L41" s="25">
        <v>0.29899999999999999</v>
      </c>
      <c r="M41" s="25">
        <v>0.29899999999999999</v>
      </c>
      <c r="N41" s="11" t="s">
        <v>413</v>
      </c>
      <c r="O41" s="26" t="str">
        <f>VLOOKUP(TRN!D41,SYS!$G$5:$H$360,2,FALSE)</f>
        <v>西野変電所</v>
      </c>
      <c r="P41" s="26" t="str">
        <f>VLOOKUP(TRN!E41,SYS!$G$5:$H$360,2,FALSE)</f>
        <v>西小樽変電所</v>
      </c>
      <c r="S41" s="1"/>
      <c r="T41" s="88">
        <v>4.4293398918000646</v>
      </c>
      <c r="U41" s="89">
        <v>22.870144369583059</v>
      </c>
    </row>
    <row r="42" spans="1:21" x14ac:dyDescent="0.2">
      <c r="A42" s="3">
        <v>37</v>
      </c>
      <c r="B42" s="3" t="s">
        <v>901</v>
      </c>
      <c r="C42" s="3" t="s">
        <v>891</v>
      </c>
      <c r="D42" s="21">
        <f>VLOOKUP(B42,SYS!$F$5:$G$360,2,FALSE)</f>
        <v>12</v>
      </c>
      <c r="E42" s="21">
        <f>VLOOKUP(C42,SYS!$F$5:$G$360,2,FALSE)</f>
        <v>7</v>
      </c>
      <c r="F42" s="55">
        <v>53</v>
      </c>
      <c r="G42" s="49">
        <v>0.61299999999999999</v>
      </c>
      <c r="H42" s="3">
        <v>-1</v>
      </c>
      <c r="I42" s="3">
        <v>-1</v>
      </c>
      <c r="J42" s="11">
        <v>0</v>
      </c>
      <c r="K42" s="25">
        <f t="shared" si="5"/>
        <v>1.06E-2</v>
      </c>
      <c r="L42" s="58">
        <v>0.434</v>
      </c>
      <c r="M42" s="58">
        <v>0.434</v>
      </c>
      <c r="N42" s="11" t="s">
        <v>414</v>
      </c>
      <c r="O42" s="26" t="str">
        <f>VLOOKUP(TRN!D42,SYS!$G$5:$H$360,2,FALSE)</f>
        <v>苫小牧変電所</v>
      </c>
      <c r="P42" s="26" t="str">
        <f>VLOOKUP(TRN!E42,SYS!$G$5:$H$360,2,FALSE)</f>
        <v>双葉開閉所</v>
      </c>
      <c r="Q42" s="25">
        <v>0.217</v>
      </c>
      <c r="S42" s="1"/>
      <c r="T42" s="88">
        <v>7.3339687870363308</v>
      </c>
      <c r="U42" s="89">
        <v>4.7428383076579053</v>
      </c>
    </row>
    <row r="43" spans="1:21" x14ac:dyDescent="0.2">
      <c r="A43" s="3">
        <v>38</v>
      </c>
      <c r="B43" s="3" t="s">
        <v>895</v>
      </c>
      <c r="C43" s="3" t="s">
        <v>901</v>
      </c>
      <c r="D43" s="21">
        <f>VLOOKUP(B43,SYS!$F$5:$G$360,2,FALSE)</f>
        <v>9</v>
      </c>
      <c r="E43" s="21">
        <f>VLOOKUP(C43,SYS!$F$5:$G$360,2,FALSE)</f>
        <v>12</v>
      </c>
      <c r="F43" s="55">
        <v>61</v>
      </c>
      <c r="G43" s="49">
        <v>0.72753999999999996</v>
      </c>
      <c r="H43" s="3">
        <v>-1</v>
      </c>
      <c r="I43" s="3">
        <v>-1</v>
      </c>
      <c r="J43" s="11">
        <v>0</v>
      </c>
      <c r="K43" s="25">
        <f t="shared" si="5"/>
        <v>1.2200000000000001E-2</v>
      </c>
      <c r="L43" s="25">
        <v>0.28799999999999998</v>
      </c>
      <c r="M43" s="25">
        <v>0.28799999999999998</v>
      </c>
      <c r="N43" s="11" t="s">
        <v>415</v>
      </c>
      <c r="O43" s="26" t="str">
        <f>VLOOKUP(TRN!D43,SYS!$G$5:$H$360,2,FALSE)</f>
        <v>室蘭変電所</v>
      </c>
      <c r="P43" s="26" t="str">
        <f>VLOOKUP(TRN!E43,SYS!$G$5:$H$360,2,FALSE)</f>
        <v>苫小牧変電所</v>
      </c>
      <c r="S43" s="1"/>
      <c r="T43" s="88">
        <v>7.496303187613985</v>
      </c>
      <c r="U43" s="89">
        <v>7.8629176436139732</v>
      </c>
    </row>
    <row r="44" spans="1:21" x14ac:dyDescent="0.2">
      <c r="A44" s="3">
        <v>39</v>
      </c>
      <c r="B44" s="3" t="s">
        <v>877</v>
      </c>
      <c r="C44" s="3" t="s">
        <v>903</v>
      </c>
      <c r="D44" s="21">
        <f>VLOOKUP(B44,SYS!$F$5:$G$360,2,FALSE)</f>
        <v>3</v>
      </c>
      <c r="E44" s="21">
        <f>VLOOKUP(C44,SYS!$F$5:$G$360,2,FALSE)</f>
        <v>13</v>
      </c>
      <c r="F44" s="55">
        <v>24</v>
      </c>
      <c r="G44" s="49">
        <v>0.27413999999999999</v>
      </c>
      <c r="H44" s="3">
        <v>-1</v>
      </c>
      <c r="I44" s="3">
        <v>-1</v>
      </c>
      <c r="J44" s="11">
        <v>0</v>
      </c>
      <c r="K44" s="25">
        <f t="shared" si="5"/>
        <v>4.8000000000000004E-3</v>
      </c>
      <c r="L44" s="25">
        <v>0.61099999999999999</v>
      </c>
      <c r="M44" s="25">
        <v>0.61099999999999999</v>
      </c>
      <c r="N44" s="11" t="s">
        <v>416</v>
      </c>
      <c r="O44" s="26" t="str">
        <f>VLOOKUP(TRN!D44,SYS!$G$5:$H$360,2,FALSE)</f>
        <v>南早来変電所</v>
      </c>
      <c r="P44" s="26" t="str">
        <f>VLOOKUP(TRN!E44,SYS!$G$5:$H$360,2,FALSE)</f>
        <v>追分開閉所</v>
      </c>
      <c r="S44" s="1"/>
      <c r="T44" s="88">
        <v>21.223005586873075</v>
      </c>
      <c r="U44" s="89">
        <v>3.2385757051796196</v>
      </c>
    </row>
    <row r="45" spans="1:21" x14ac:dyDescent="0.2">
      <c r="A45" s="3">
        <v>40</v>
      </c>
      <c r="B45" s="3" t="s">
        <v>903</v>
      </c>
      <c r="C45" s="3" t="s">
        <v>905</v>
      </c>
      <c r="D45" s="21">
        <f>VLOOKUP(B45,SYS!$F$5:$G$360,2,FALSE)</f>
        <v>13</v>
      </c>
      <c r="E45" s="21">
        <f>VLOOKUP(C45,SYS!$F$5:$G$360,2,FALSE)</f>
        <v>14</v>
      </c>
      <c r="F45" s="55">
        <v>17</v>
      </c>
      <c r="G45" s="64">
        <f t="shared" si="12"/>
        <v>4.3926071778380773E-4</v>
      </c>
      <c r="H45" s="3">
        <v>-1</v>
      </c>
      <c r="I45" s="3">
        <v>-1</v>
      </c>
      <c r="J45" s="11">
        <v>0</v>
      </c>
      <c r="K45" s="25">
        <f t="shared" si="5"/>
        <v>3.4000000000000002E-3</v>
      </c>
      <c r="L45" s="25">
        <v>596</v>
      </c>
      <c r="M45" s="25">
        <v>596</v>
      </c>
      <c r="N45" s="11" t="s">
        <v>417</v>
      </c>
      <c r="O45" s="26" t="str">
        <f>VLOOKUP(TRN!D45,SYS!$G$5:$H$360,2,FALSE)</f>
        <v>追分開閉所</v>
      </c>
      <c r="P45" s="26" t="str">
        <f>VLOOKUP(TRN!E45,SYS!$G$5:$H$360,2,FALSE)</f>
        <v>恵庭変電所</v>
      </c>
      <c r="S45" s="1"/>
      <c r="T45" s="88">
        <v>-1.1479636060557649E-2</v>
      </c>
      <c r="U45" s="89">
        <v>-1.1474396060376821E-2</v>
      </c>
    </row>
    <row r="46" spans="1:21" x14ac:dyDescent="0.2">
      <c r="A46" s="3">
        <v>41</v>
      </c>
      <c r="B46" s="3" t="s">
        <v>905</v>
      </c>
      <c r="C46" s="3" t="s">
        <v>907</v>
      </c>
      <c r="D46" s="21">
        <f>VLOOKUP(B46,SYS!$F$5:$G$360,2,FALSE)</f>
        <v>14</v>
      </c>
      <c r="E46" s="21">
        <f>VLOOKUP(C46,SYS!$F$5:$G$360,2,FALSE)</f>
        <v>15</v>
      </c>
      <c r="F46" s="55">
        <v>18</v>
      </c>
      <c r="G46" s="64">
        <f t="shared" si="12"/>
        <v>4.893446500918681E-4</v>
      </c>
      <c r="H46" s="3">
        <v>-1</v>
      </c>
      <c r="I46" s="3">
        <v>-1</v>
      </c>
      <c r="J46" s="11">
        <v>0</v>
      </c>
      <c r="K46" s="25">
        <f t="shared" si="5"/>
        <v>3.6000000000000003E-3</v>
      </c>
      <c r="L46" s="25">
        <v>535</v>
      </c>
      <c r="M46" s="25">
        <v>535</v>
      </c>
      <c r="N46" s="11" t="s">
        <v>418</v>
      </c>
      <c r="O46" s="26" t="str">
        <f>VLOOKUP(TRN!D46,SYS!$G$5:$H$360,2,FALSE)</f>
        <v>恵庭変電所</v>
      </c>
      <c r="P46" s="26" t="str">
        <f>VLOOKUP(TRN!E46,SYS!$G$5:$H$360,2,FALSE)</f>
        <v>南札幌変電所</v>
      </c>
      <c r="S46" s="1"/>
      <c r="T46" s="88">
        <v>-1.1081676204366193E-2</v>
      </c>
      <c r="U46" s="89">
        <v>-1.1079658476516884E-2</v>
      </c>
    </row>
    <row r="47" spans="1:21" x14ac:dyDescent="0.2">
      <c r="A47" s="3">
        <v>42</v>
      </c>
      <c r="B47" s="3" t="s">
        <v>909</v>
      </c>
      <c r="C47" s="3" t="s">
        <v>907</v>
      </c>
      <c r="D47" s="21">
        <f>VLOOKUP(B47,SYS!$F$5:$G$360,2,FALSE)</f>
        <v>16</v>
      </c>
      <c r="E47" s="21">
        <f>VLOOKUP(C47,SYS!$F$5:$G$360,2,FALSE)</f>
        <v>15</v>
      </c>
      <c r="F47" s="55">
        <v>15</v>
      </c>
      <c r="G47" s="49">
        <v>0.17804</v>
      </c>
      <c r="H47" s="3">
        <v>-1</v>
      </c>
      <c r="I47" s="3">
        <v>-1</v>
      </c>
      <c r="J47" s="11">
        <v>0</v>
      </c>
      <c r="K47" s="25">
        <f t="shared" si="5"/>
        <v>3.0000000000000001E-3</v>
      </c>
      <c r="L47" s="58">
        <v>0.73599999999999999</v>
      </c>
      <c r="M47" s="58">
        <v>0.73599999999999999</v>
      </c>
      <c r="N47" s="11" t="s">
        <v>419</v>
      </c>
      <c r="O47" s="26" t="str">
        <f>VLOOKUP(TRN!D47,SYS!$G$5:$H$360,2,FALSE)</f>
        <v>北江別変電所</v>
      </c>
      <c r="P47" s="26" t="str">
        <f>VLOOKUP(TRN!E47,SYS!$G$5:$H$360,2,FALSE)</f>
        <v>南札幌変電所</v>
      </c>
      <c r="Q47" s="25">
        <v>0.36799999999999999</v>
      </c>
      <c r="S47" s="1"/>
      <c r="T47" s="88">
        <v>2.6933331668870619</v>
      </c>
      <c r="U47" s="89">
        <v>2.963795288149659</v>
      </c>
    </row>
    <row r="48" spans="1:21" x14ac:dyDescent="0.2">
      <c r="A48" s="3">
        <v>43</v>
      </c>
      <c r="B48" s="3" t="s">
        <v>879</v>
      </c>
      <c r="C48" s="3" t="s">
        <v>909</v>
      </c>
      <c r="D48" s="21">
        <f>VLOOKUP(B48,SYS!$F$5:$G$360,2,FALSE)</f>
        <v>0</v>
      </c>
      <c r="E48" s="21">
        <f>VLOOKUP(C48,SYS!$F$5:$G$360,2,FALSE)</f>
        <v>16</v>
      </c>
      <c r="F48" s="55">
        <v>21</v>
      </c>
      <c r="G48" s="49">
        <v>0.22362000000000001</v>
      </c>
      <c r="H48" s="3">
        <v>-1</v>
      </c>
      <c r="I48" s="3">
        <v>-1</v>
      </c>
      <c r="J48" s="11">
        <v>0</v>
      </c>
      <c r="K48" s="25">
        <f t="shared" si="5"/>
        <v>4.2000000000000006E-3</v>
      </c>
      <c r="L48" s="25">
        <v>0.82499999999999996</v>
      </c>
      <c r="M48" s="25">
        <v>0.82499999999999996</v>
      </c>
      <c r="N48" s="11" t="s">
        <v>420</v>
      </c>
      <c r="O48" s="26" t="str">
        <f>VLOOKUP(TRN!D48,SYS!$G$5:$H$360,2,FALSE)</f>
        <v>西当別変電所</v>
      </c>
      <c r="P48" s="26" t="str">
        <f>VLOOKUP(TRN!E48,SYS!$G$5:$H$360,2,FALSE)</f>
        <v>北江別変電所</v>
      </c>
      <c r="S48" s="1"/>
      <c r="T48" s="88">
        <v>2.0611125805538242</v>
      </c>
      <c r="U48" s="89">
        <v>3.2198979830333139</v>
      </c>
    </row>
    <row r="49" spans="1:21" x14ac:dyDescent="0.2">
      <c r="A49" s="3">
        <v>44</v>
      </c>
      <c r="B49" s="3" t="s">
        <v>883</v>
      </c>
      <c r="C49" s="3" t="s">
        <v>911</v>
      </c>
      <c r="D49" s="21">
        <f>VLOOKUP(B49,SYS!$F$5:$G$360,2,FALSE)</f>
        <v>2</v>
      </c>
      <c r="E49" s="21">
        <f>VLOOKUP(C49,SYS!$F$5:$G$360,2,FALSE)</f>
        <v>17</v>
      </c>
      <c r="F49" s="55">
        <v>176</v>
      </c>
      <c r="G49" s="49">
        <v>0.69489999999999996</v>
      </c>
      <c r="H49" s="3">
        <v>-1</v>
      </c>
      <c r="I49" s="3">
        <v>-1</v>
      </c>
      <c r="J49" s="11">
        <v>0</v>
      </c>
      <c r="K49" s="25">
        <f t="shared" si="5"/>
        <v>3.5200000000000002E-2</v>
      </c>
      <c r="L49" s="25">
        <v>0.73299999999999998</v>
      </c>
      <c r="M49" s="25">
        <v>0.73299999999999998</v>
      </c>
      <c r="N49" s="11" t="s">
        <v>421</v>
      </c>
      <c r="O49" s="26" t="str">
        <f>VLOOKUP(TRN!D49,SYS!$G$5:$H$360,2,FALSE)</f>
        <v>西双葉開閉所</v>
      </c>
      <c r="P49" s="26" t="str">
        <f>VLOOKUP(TRN!E49,SYS!$G$5:$H$360,2,FALSE)</f>
        <v>北斗変換所</v>
      </c>
      <c r="S49" s="1"/>
      <c r="T49" s="88">
        <v>4.3597168499125889</v>
      </c>
      <c r="U49" s="89">
        <v>2.5326738706069469</v>
      </c>
    </row>
    <row r="50" spans="1:21" x14ac:dyDescent="0.2">
      <c r="A50" s="3">
        <v>45</v>
      </c>
      <c r="B50" s="3" t="s">
        <v>913</v>
      </c>
      <c r="C50" s="3" t="s">
        <v>1492</v>
      </c>
      <c r="D50" s="21">
        <f>VLOOKUP(B50,SYS!$F$5:$G$360,2,FALSE)</f>
        <v>18</v>
      </c>
      <c r="E50" s="21">
        <f>VLOOKUP(C50,SYS!$F$5:$G$360,2,FALSE)</f>
        <v>19</v>
      </c>
      <c r="F50" s="55">
        <v>10</v>
      </c>
      <c r="G50" s="49">
        <v>0.10976</v>
      </c>
      <c r="H50" s="3">
        <v>-1</v>
      </c>
      <c r="I50" s="3">
        <v>-1</v>
      </c>
      <c r="J50" s="11">
        <v>0</v>
      </c>
      <c r="K50" s="25">
        <f t="shared" si="5"/>
        <v>2E-3</v>
      </c>
      <c r="L50" s="25">
        <v>0.61099999999999999</v>
      </c>
      <c r="M50" s="25">
        <v>0.61099999999999999</v>
      </c>
      <c r="N50" s="11" t="s">
        <v>422</v>
      </c>
      <c r="O50" s="26" t="str">
        <f>VLOOKUP(TRN!D50,SYS!$G$5:$H$360,2,FALSE)</f>
        <v>大野変電所</v>
      </c>
      <c r="P50" s="26" t="str">
        <f>VLOOKUP(TRN!E50,SYS!$G$5:$H$360,2,FALSE)</f>
        <v>北七飯変電所</v>
      </c>
      <c r="S50" s="1"/>
      <c r="T50" s="88">
        <v>4.0669151959399663</v>
      </c>
      <c r="U50" s="89">
        <v>3.0813347187918363</v>
      </c>
    </row>
    <row r="51" spans="1:21" x14ac:dyDescent="0.2">
      <c r="A51" s="3">
        <v>46</v>
      </c>
      <c r="B51" s="3" t="s">
        <v>891</v>
      </c>
      <c r="C51" s="3" t="s">
        <v>1492</v>
      </c>
      <c r="D51" s="21">
        <f>VLOOKUP(B51,SYS!$F$5:$G$360,2,FALSE)</f>
        <v>7</v>
      </c>
      <c r="E51" s="21">
        <f>VLOOKUP(C51,SYS!$F$5:$G$360,2,FALSE)</f>
        <v>19</v>
      </c>
      <c r="F51" s="55">
        <v>164</v>
      </c>
      <c r="G51" s="49">
        <v>1.0984799999999999</v>
      </c>
      <c r="H51" s="3">
        <v>-1</v>
      </c>
      <c r="I51" s="3">
        <v>-1</v>
      </c>
      <c r="J51" s="11">
        <v>0</v>
      </c>
      <c r="K51" s="25">
        <f t="shared" si="5"/>
        <v>3.2800000000000003E-2</v>
      </c>
      <c r="L51" s="25">
        <v>0.19700000000000001</v>
      </c>
      <c r="M51" s="25">
        <v>0.19700000000000001</v>
      </c>
      <c r="N51" s="11" t="s">
        <v>423</v>
      </c>
      <c r="O51" s="26" t="str">
        <f>VLOOKUP(TRN!D51,SYS!$G$5:$H$360,2,FALSE)</f>
        <v>双葉開閉所</v>
      </c>
      <c r="P51" s="26" t="str">
        <f>VLOOKUP(TRN!E51,SYS!$G$5:$H$360,2,FALSE)</f>
        <v>北七飯変電所</v>
      </c>
      <c r="S51" s="1"/>
      <c r="T51" s="88">
        <v>8422.6936115097469</v>
      </c>
      <c r="U51" s="89">
        <v>36206.437927418017</v>
      </c>
    </row>
    <row r="52" spans="1:21" x14ac:dyDescent="0.2">
      <c r="A52" s="3">
        <v>47</v>
      </c>
      <c r="B52" s="3" t="s">
        <v>879</v>
      </c>
      <c r="C52" s="3" t="s">
        <v>917</v>
      </c>
      <c r="D52" s="21">
        <f>VLOOKUP(B52,SYS!$F$5:$G$360,2,FALSE)</f>
        <v>0</v>
      </c>
      <c r="E52" s="21">
        <f>VLOOKUP(C52,SYS!$F$5:$G$360,2,FALSE)</f>
        <v>20</v>
      </c>
      <c r="F52" s="55">
        <v>123</v>
      </c>
      <c r="G52" s="49">
        <v>1.0757099999999999</v>
      </c>
      <c r="H52" s="3">
        <v>-1</v>
      </c>
      <c r="I52" s="3">
        <v>-1</v>
      </c>
      <c r="J52" s="11">
        <v>0</v>
      </c>
      <c r="K52" s="25">
        <f t="shared" si="5"/>
        <v>2.46E-2</v>
      </c>
      <c r="L52" s="25">
        <v>0.38300000000000001</v>
      </c>
      <c r="M52" s="25">
        <v>0.38300000000000001</v>
      </c>
      <c r="N52" s="11" t="s">
        <v>424</v>
      </c>
      <c r="O52" s="26" t="str">
        <f>VLOOKUP(TRN!D52,SYS!$G$5:$H$360,2,FALSE)</f>
        <v>西当別変電所</v>
      </c>
      <c r="P52" s="26" t="str">
        <f>VLOOKUP(TRN!E52,SYS!$G$5:$H$360,2,FALSE)</f>
        <v>旭川嵐山開閉所</v>
      </c>
      <c r="S52" s="1"/>
      <c r="T52" s="88">
        <v>5.5867750530955576</v>
      </c>
      <c r="U52" s="89">
        <v>13.082445247124111</v>
      </c>
    </row>
    <row r="53" spans="1:21" x14ac:dyDescent="0.2">
      <c r="A53" s="3">
        <v>48</v>
      </c>
      <c r="B53" s="3" t="s">
        <v>917</v>
      </c>
      <c r="C53" s="3" t="s">
        <v>919</v>
      </c>
      <c r="D53" s="21">
        <f>VLOOKUP(B53,SYS!$F$5:$G$360,2,FALSE)</f>
        <v>20</v>
      </c>
      <c r="E53" s="21">
        <f>VLOOKUP(C53,SYS!$F$5:$G$360,2,FALSE)</f>
        <v>21</v>
      </c>
      <c r="F53" s="55">
        <v>22</v>
      </c>
      <c r="G53" s="64">
        <f t="shared" si="12"/>
        <v>1.2064487917011493</v>
      </c>
      <c r="H53" s="3">
        <v>-1</v>
      </c>
      <c r="I53" s="3">
        <v>-1</v>
      </c>
      <c r="J53" s="11">
        <v>0</v>
      </c>
      <c r="K53" s="25">
        <f t="shared" si="5"/>
        <v>4.4000000000000003E-3</v>
      </c>
      <c r="L53" s="25">
        <v>0.217</v>
      </c>
      <c r="M53" s="25">
        <v>0.217</v>
      </c>
      <c r="N53" s="11" t="s">
        <v>425</v>
      </c>
      <c r="O53" s="26" t="str">
        <f>VLOOKUP(TRN!D53,SYS!$G$5:$H$360,2,FALSE)</f>
        <v>旭川嵐山開閉所</v>
      </c>
      <c r="P53" s="26" t="str">
        <f>VLOOKUP(TRN!E53,SYS!$G$5:$H$360,2,FALSE)</f>
        <v>旭川変電所</v>
      </c>
      <c r="S53" s="1"/>
      <c r="T53" s="88">
        <v>6.8899508050939566</v>
      </c>
      <c r="U53" s="89">
        <v>15.614239896912558</v>
      </c>
    </row>
    <row r="54" spans="1:21" x14ac:dyDescent="0.2">
      <c r="A54" s="3">
        <v>49</v>
      </c>
      <c r="B54" s="3" t="s">
        <v>917</v>
      </c>
      <c r="C54" s="3" t="s">
        <v>921</v>
      </c>
      <c r="D54" s="21">
        <f>VLOOKUP(B54,SYS!$F$5:$G$360,2,FALSE)</f>
        <v>20</v>
      </c>
      <c r="E54" s="21">
        <f>VLOOKUP(C54,SYS!$F$5:$G$360,2,FALSE)</f>
        <v>22</v>
      </c>
      <c r="F54" s="55">
        <v>66</v>
      </c>
      <c r="G54" s="49">
        <v>4.6129999999999997E-2</v>
      </c>
      <c r="H54" s="3">
        <v>-1</v>
      </c>
      <c r="I54" s="3">
        <v>-1</v>
      </c>
      <c r="J54" s="11">
        <v>0</v>
      </c>
      <c r="K54" s="25">
        <f t="shared" si="5"/>
        <v>1.32E-2</v>
      </c>
      <c r="L54" s="25">
        <v>0.16900000000000001</v>
      </c>
      <c r="M54" s="25">
        <v>0.16900000000000001</v>
      </c>
      <c r="N54" s="11" t="s">
        <v>426</v>
      </c>
      <c r="O54" s="26" t="str">
        <f>VLOOKUP(TRN!D54,SYS!$G$5:$H$360,2,FALSE)</f>
        <v>旭川嵐山開閉所</v>
      </c>
      <c r="P54" s="26" t="str">
        <f>VLOOKUP(TRN!E54,SYS!$G$5:$H$360,2,FALSE)</f>
        <v>西名寄変電所</v>
      </c>
      <c r="S54" s="1"/>
      <c r="T54" s="88">
        <v>13.684152132815402</v>
      </c>
      <c r="U54" s="89">
        <v>13.109390051921274</v>
      </c>
    </row>
    <row r="55" spans="1:21" x14ac:dyDescent="0.2">
      <c r="A55" s="3">
        <v>50</v>
      </c>
      <c r="B55" s="3" t="s">
        <v>923</v>
      </c>
      <c r="C55" s="3" t="s">
        <v>917</v>
      </c>
      <c r="D55" s="21">
        <f>VLOOKUP(B55,SYS!$F$5:$G$360,2,FALSE)</f>
        <v>23</v>
      </c>
      <c r="E55" s="21">
        <f>VLOOKUP(C55,SYS!$F$5:$G$360,2,FALSE)</f>
        <v>20</v>
      </c>
      <c r="F55" s="55">
        <v>4</v>
      </c>
      <c r="G55" s="64">
        <f t="shared" si="12"/>
        <v>0.77455440177263135</v>
      </c>
      <c r="H55" s="3">
        <v>-1</v>
      </c>
      <c r="I55" s="3">
        <v>-1</v>
      </c>
      <c r="J55" s="11">
        <v>0</v>
      </c>
      <c r="K55" s="25">
        <f t="shared" si="5"/>
        <v>8.0000000000000004E-4</v>
      </c>
      <c r="L55" s="58">
        <v>0.33800000000000002</v>
      </c>
      <c r="M55" s="58">
        <v>0.33800000000000002</v>
      </c>
      <c r="N55" s="11" t="s">
        <v>427</v>
      </c>
      <c r="O55" s="26" t="str">
        <f>VLOOKUP(TRN!D55,SYS!$G$5:$H$360,2,FALSE)</f>
        <v>西旭川変電所</v>
      </c>
      <c r="P55" s="26" t="str">
        <f>VLOOKUP(TRN!E55,SYS!$G$5:$H$360,2,FALSE)</f>
        <v>旭川嵐山開閉所</v>
      </c>
      <c r="Q55" s="25">
        <v>0.16900000000000001</v>
      </c>
      <c r="S55" s="1"/>
      <c r="T55" s="88">
        <v>5.9930744587357836</v>
      </c>
      <c r="U55" s="89">
        <v>10.72459721317542</v>
      </c>
    </row>
    <row r="56" spans="1:21" x14ac:dyDescent="0.2">
      <c r="A56" s="3">
        <v>51</v>
      </c>
      <c r="B56" s="3" t="s">
        <v>1494</v>
      </c>
      <c r="C56" s="3" t="s">
        <v>923</v>
      </c>
      <c r="D56" s="21">
        <f>VLOOKUP(B56,SYS!$F$5:$G$360,2,FALSE)</f>
        <v>24</v>
      </c>
      <c r="E56" s="21">
        <f>VLOOKUP(C56,SYS!$F$5:$G$360,2,FALSE)</f>
        <v>23</v>
      </c>
      <c r="F56" s="55">
        <v>57</v>
      </c>
      <c r="G56" s="49">
        <v>0.69650999999999996</v>
      </c>
      <c r="H56" s="3">
        <v>-1</v>
      </c>
      <c r="I56" s="3">
        <v>-1</v>
      </c>
      <c r="J56" s="11">
        <v>0</v>
      </c>
      <c r="K56" s="25">
        <f t="shared" si="5"/>
        <v>1.14E-2</v>
      </c>
      <c r="L56" s="25">
        <v>0.21299999999999999</v>
      </c>
      <c r="M56" s="25">
        <v>0.21299999999999999</v>
      </c>
      <c r="N56" s="11" t="s">
        <v>428</v>
      </c>
      <c r="O56" s="26" t="str">
        <f>VLOOKUP(TRN!D56,SYS!$G$5:$H$360,2,FALSE)</f>
        <v>西滝川変電所</v>
      </c>
      <c r="P56" s="26" t="str">
        <f>VLOOKUP(TRN!E56,SYS!$G$5:$H$360,2,FALSE)</f>
        <v>西旭川変電所</v>
      </c>
      <c r="S56" s="1"/>
      <c r="T56" s="88">
        <v>7.7364343396892439</v>
      </c>
      <c r="U56" s="89">
        <v>634.42260326266683</v>
      </c>
    </row>
    <row r="57" spans="1:21" x14ac:dyDescent="0.2">
      <c r="A57" s="3">
        <v>52</v>
      </c>
      <c r="B57" s="3" t="s">
        <v>877</v>
      </c>
      <c r="C57" s="3" t="s">
        <v>927</v>
      </c>
      <c r="D57" s="21">
        <f>VLOOKUP(B57,SYS!$F$5:$G$360,2,FALSE)</f>
        <v>3</v>
      </c>
      <c r="E57" s="21">
        <f>VLOOKUP(C57,SYS!$F$5:$G$360,2,FALSE)</f>
        <v>25</v>
      </c>
      <c r="F57" s="55">
        <v>114</v>
      </c>
      <c r="G57" s="49">
        <v>0.45945000000000003</v>
      </c>
      <c r="H57" s="3">
        <v>-1</v>
      </c>
      <c r="I57" s="3">
        <v>-1</v>
      </c>
      <c r="J57" s="11">
        <v>0</v>
      </c>
      <c r="K57" s="25">
        <f t="shared" si="5"/>
        <v>2.2800000000000001E-2</v>
      </c>
      <c r="L57" s="25">
        <v>0.94899999999999995</v>
      </c>
      <c r="M57" s="25">
        <v>0.94899999999999995</v>
      </c>
      <c r="N57" s="11" t="s">
        <v>429</v>
      </c>
      <c r="O57" s="26" t="str">
        <f>VLOOKUP(TRN!D57,SYS!$G$5:$H$360,2,FALSE)</f>
        <v>南早来変電所</v>
      </c>
      <c r="P57" s="26" t="str">
        <f>VLOOKUP(TRN!E57,SYS!$G$5:$H$360,2,FALSE)</f>
        <v>北新得変電所</v>
      </c>
      <c r="S57" s="1"/>
      <c r="T57" s="88">
        <v>2.5270177169575643</v>
      </c>
      <c r="U57" s="89">
        <v>1.9571577803492943</v>
      </c>
    </row>
    <row r="58" spans="1:21" x14ac:dyDescent="0.2">
      <c r="A58" s="3">
        <v>53</v>
      </c>
      <c r="B58" s="3" t="s">
        <v>903</v>
      </c>
      <c r="C58" s="3" t="s">
        <v>927</v>
      </c>
      <c r="D58" s="21">
        <f>VLOOKUP(B58,SYS!$F$5:$G$360,2,FALSE)</f>
        <v>13</v>
      </c>
      <c r="E58" s="21">
        <f>VLOOKUP(C58,SYS!$F$5:$G$360,2,FALSE)</f>
        <v>25</v>
      </c>
      <c r="F58" s="55">
        <v>99</v>
      </c>
      <c r="G58" s="64">
        <f t="shared" si="12"/>
        <v>1.3289309025337533E-3</v>
      </c>
      <c r="H58" s="3">
        <v>-1</v>
      </c>
      <c r="I58" s="3">
        <v>-1</v>
      </c>
      <c r="J58" s="11">
        <v>0</v>
      </c>
      <c r="K58" s="25">
        <f t="shared" si="5"/>
        <v>1.9800000000000002E-2</v>
      </c>
      <c r="L58" s="25">
        <v>197</v>
      </c>
      <c r="M58" s="25">
        <v>197</v>
      </c>
      <c r="N58" s="11" t="s">
        <v>430</v>
      </c>
      <c r="O58" s="26" t="str">
        <f>VLOOKUP(TRN!D58,SYS!$G$5:$H$360,2,FALSE)</f>
        <v>追分開閉所</v>
      </c>
      <c r="P58" s="26" t="str">
        <f>VLOOKUP(TRN!E58,SYS!$G$5:$H$360,2,FALSE)</f>
        <v>北新得変電所</v>
      </c>
      <c r="S58" s="1"/>
      <c r="T58" s="88">
        <v>-4.3584274404684358E-3</v>
      </c>
      <c r="U58" s="89">
        <v>-4.3734720671470681E-3</v>
      </c>
    </row>
    <row r="59" spans="1:21" x14ac:dyDescent="0.2">
      <c r="A59" s="3">
        <v>54</v>
      </c>
      <c r="B59" s="3" t="s">
        <v>1496</v>
      </c>
      <c r="C59" s="3" t="s">
        <v>877</v>
      </c>
      <c r="D59" s="21">
        <f>VLOOKUP(B59,SYS!$F$5:$G$360,2,FALSE)</f>
        <v>26</v>
      </c>
      <c r="E59" s="21">
        <f>VLOOKUP(C59,SYS!$F$5:$G$360,2,FALSE)</f>
        <v>3</v>
      </c>
      <c r="F59" s="55">
        <v>75</v>
      </c>
      <c r="G59" s="49">
        <v>0.88144999999999996</v>
      </c>
      <c r="H59" s="3">
        <v>-1</v>
      </c>
      <c r="I59" s="3">
        <v>-1</v>
      </c>
      <c r="J59" s="11">
        <v>0</v>
      </c>
      <c r="K59" s="25">
        <f t="shared" si="5"/>
        <v>1.5000000000000001E-2</v>
      </c>
      <c r="L59" s="25">
        <v>0.30599999999999999</v>
      </c>
      <c r="M59" s="25">
        <v>0.30599999999999999</v>
      </c>
      <c r="N59" s="11" t="s">
        <v>431</v>
      </c>
      <c r="O59" s="26" t="str">
        <f>VLOOKUP(TRN!D59,SYS!$G$5:$H$360,2,FALSE)</f>
        <v>岩清水開閉所</v>
      </c>
      <c r="P59" s="26" t="str">
        <f>VLOOKUP(TRN!E59,SYS!$G$5:$H$360,2,FALSE)</f>
        <v>南早来変電所</v>
      </c>
      <c r="S59" s="1"/>
      <c r="T59" s="88">
        <v>4.7367514116467637</v>
      </c>
      <c r="U59" s="89">
        <v>29.710078960573469</v>
      </c>
    </row>
    <row r="60" spans="1:21" x14ac:dyDescent="0.2">
      <c r="A60" s="3">
        <v>55</v>
      </c>
      <c r="B60" s="3" t="s">
        <v>927</v>
      </c>
      <c r="C60" s="3" t="s">
        <v>931</v>
      </c>
      <c r="D60" s="21">
        <f>VLOOKUP(B60,SYS!$F$5:$G$360,2,FALSE)</f>
        <v>25</v>
      </c>
      <c r="E60" s="21">
        <f>VLOOKUP(C60,SYS!$F$5:$G$360,2,FALSE)</f>
        <v>27</v>
      </c>
      <c r="F60" s="55">
        <v>30</v>
      </c>
      <c r="G60" s="64">
        <f t="shared" si="12"/>
        <v>1.3289309025337532</v>
      </c>
      <c r="H60" s="3">
        <v>-1</v>
      </c>
      <c r="I60" s="3">
        <v>-1</v>
      </c>
      <c r="J60" s="11">
        <v>0</v>
      </c>
      <c r="K60" s="25">
        <f t="shared" si="5"/>
        <v>6.0000000000000001E-3</v>
      </c>
      <c r="L60" s="25">
        <v>0.19700000000000001</v>
      </c>
      <c r="M60" s="25">
        <v>0.19700000000000001</v>
      </c>
      <c r="N60" s="11" t="s">
        <v>432</v>
      </c>
      <c r="O60" s="26" t="str">
        <f>VLOOKUP(TRN!D60,SYS!$G$5:$H$360,2,FALSE)</f>
        <v>北新得変電所</v>
      </c>
      <c r="P60" s="26" t="str">
        <f>VLOOKUP(TRN!E60,SYS!$G$5:$H$360,2,FALSE)</f>
        <v>北芽室変電所</v>
      </c>
      <c r="S60" s="1"/>
      <c r="T60" s="88">
        <v>28.545621744552694</v>
      </c>
      <c r="U60" s="89">
        <v>9.5740219341288633</v>
      </c>
    </row>
    <row r="61" spans="1:21" x14ac:dyDescent="0.2">
      <c r="A61" s="3">
        <v>56</v>
      </c>
      <c r="B61" s="3" t="s">
        <v>927</v>
      </c>
      <c r="C61" s="3" t="s">
        <v>933</v>
      </c>
      <c r="D61" s="21">
        <f>VLOOKUP(B61,SYS!$F$5:$G$360,2,FALSE)</f>
        <v>25</v>
      </c>
      <c r="E61" s="21">
        <f>VLOOKUP(C61,SYS!$F$5:$G$360,2,FALSE)</f>
        <v>28</v>
      </c>
      <c r="F61" s="55">
        <v>33</v>
      </c>
      <c r="G61" s="64">
        <f t="shared" si="12"/>
        <v>0.9589721164804007</v>
      </c>
      <c r="H61" s="3">
        <v>-1</v>
      </c>
      <c r="I61" s="3">
        <v>-1</v>
      </c>
      <c r="J61" s="11">
        <v>0</v>
      </c>
      <c r="K61" s="25">
        <f t="shared" si="5"/>
        <v>6.6E-3</v>
      </c>
      <c r="L61" s="25">
        <v>0.27300000000000002</v>
      </c>
      <c r="M61" s="25">
        <v>0.27300000000000002</v>
      </c>
      <c r="N61" s="11" t="s">
        <v>433</v>
      </c>
      <c r="O61" s="26" t="str">
        <f>VLOOKUP(TRN!D61,SYS!$G$5:$H$360,2,FALSE)</f>
        <v>北新得変電所</v>
      </c>
      <c r="P61" s="26" t="str">
        <f>VLOOKUP(TRN!E61,SYS!$G$5:$H$360,2,FALSE)</f>
        <v>西音更変電所</v>
      </c>
      <c r="S61" s="1"/>
      <c r="T61" s="88">
        <v>3534.3782823985002</v>
      </c>
      <c r="U61" s="89">
        <v>4.4759050107975238</v>
      </c>
    </row>
    <row r="62" spans="1:21" x14ac:dyDescent="0.2">
      <c r="A62" s="3">
        <v>57</v>
      </c>
      <c r="B62" s="3" t="s">
        <v>927</v>
      </c>
      <c r="C62" s="3" t="s">
        <v>935</v>
      </c>
      <c r="D62" s="21">
        <f>VLOOKUP(B62,SYS!$F$5:$G$360,2,FALSE)</f>
        <v>25</v>
      </c>
      <c r="E62" s="21">
        <f>VLOOKUP(C62,SYS!$F$5:$G$360,2,FALSE)</f>
        <v>29</v>
      </c>
      <c r="F62" s="55">
        <v>110</v>
      </c>
      <c r="G62" s="49">
        <v>0.99253999999999998</v>
      </c>
      <c r="H62" s="3">
        <v>-1</v>
      </c>
      <c r="I62" s="3">
        <v>-1</v>
      </c>
      <c r="J62" s="11">
        <v>0</v>
      </c>
      <c r="K62" s="25">
        <f t="shared" si="5"/>
        <v>2.2000000000000002E-2</v>
      </c>
      <c r="L62" s="58">
        <v>0.57799999999999996</v>
      </c>
      <c r="M62" s="58">
        <v>0.57799999999999996</v>
      </c>
      <c r="N62" s="11" t="s">
        <v>434</v>
      </c>
      <c r="O62" s="26" t="str">
        <f>VLOOKUP(TRN!D62,SYS!$G$5:$H$360,2,FALSE)</f>
        <v>北新得変電所</v>
      </c>
      <c r="P62" s="26" t="str">
        <f>VLOOKUP(TRN!E62,SYS!$G$5:$H$360,2,FALSE)</f>
        <v>宇円別変電所</v>
      </c>
      <c r="Q62" s="25">
        <v>0.28899999999999998</v>
      </c>
      <c r="S62" s="1"/>
      <c r="T62" s="88">
        <v>32.459333127754661</v>
      </c>
      <c r="U62" s="89">
        <v>2.5934209971533919</v>
      </c>
    </row>
    <row r="63" spans="1:21" x14ac:dyDescent="0.2">
      <c r="A63" s="3">
        <v>58</v>
      </c>
      <c r="B63" s="3" t="s">
        <v>935</v>
      </c>
      <c r="C63" s="3" t="s">
        <v>1500</v>
      </c>
      <c r="D63" s="21">
        <f>VLOOKUP(B63,SYS!$F$5:$G$360,2,FALSE)</f>
        <v>29</v>
      </c>
      <c r="E63" s="21">
        <f>VLOOKUP(C63,SYS!$F$5:$G$360,2,FALSE)</f>
        <v>30</v>
      </c>
      <c r="F63" s="55">
        <v>29</v>
      </c>
      <c r="G63" s="64">
        <f t="shared" si="12"/>
        <v>0.47427425325932859</v>
      </c>
      <c r="H63" s="3">
        <v>-1</v>
      </c>
      <c r="I63" s="3">
        <v>-1</v>
      </c>
      <c r="J63" s="11">
        <v>0</v>
      </c>
      <c r="K63" s="25">
        <f t="shared" si="5"/>
        <v>5.8000000000000005E-3</v>
      </c>
      <c r="L63" s="58">
        <v>0.55200000000000005</v>
      </c>
      <c r="M63" s="58">
        <v>0.55200000000000005</v>
      </c>
      <c r="N63" s="11" t="s">
        <v>435</v>
      </c>
      <c r="O63" s="26" t="str">
        <f>VLOOKUP(TRN!D63,SYS!$G$5:$H$360,2,FALSE)</f>
        <v>宇円別変電所</v>
      </c>
      <c r="P63" s="26" t="str">
        <f>VLOOKUP(TRN!E63,SYS!$G$5:$H$360,2,FALSE)</f>
        <v>東釧路変電所</v>
      </c>
      <c r="Q63" s="25">
        <v>0.27600000000000002</v>
      </c>
      <c r="S63" s="1"/>
      <c r="T63" s="88">
        <v>25.30016798695511</v>
      </c>
      <c r="U63" s="89">
        <v>2.9073827378375499</v>
      </c>
    </row>
    <row r="64" spans="1:21" x14ac:dyDescent="0.2">
      <c r="A64" s="3">
        <v>59</v>
      </c>
      <c r="B64" s="3" t="s">
        <v>1500</v>
      </c>
      <c r="C64" s="3" t="s">
        <v>939</v>
      </c>
      <c r="D64" s="21">
        <f>VLOOKUP(B64,SYS!$F$5:$G$360,2,FALSE)</f>
        <v>30</v>
      </c>
      <c r="E64" s="21">
        <f>VLOOKUP(C64,SYS!$F$5:$G$360,2,FALSE)</f>
        <v>31</v>
      </c>
      <c r="F64" s="55">
        <v>59</v>
      </c>
      <c r="G64" s="64">
        <f t="shared" si="12"/>
        <v>1.0471975511965976</v>
      </c>
      <c r="H64" s="3">
        <v>-1</v>
      </c>
      <c r="I64" s="3">
        <v>-1</v>
      </c>
      <c r="J64" s="11">
        <v>0</v>
      </c>
      <c r="K64" s="25">
        <f t="shared" si="5"/>
        <v>1.18E-2</v>
      </c>
      <c r="L64" s="58">
        <v>0.25</v>
      </c>
      <c r="M64" s="58">
        <v>0.25</v>
      </c>
      <c r="N64" s="11" t="s">
        <v>436</v>
      </c>
      <c r="O64" s="26" t="str">
        <f>VLOOKUP(TRN!D64,SYS!$G$5:$H$360,2,FALSE)</f>
        <v>東釧路変電所</v>
      </c>
      <c r="P64" s="26" t="str">
        <f>VLOOKUP(TRN!E64,SYS!$G$5:$H$360,2,FALSE)</f>
        <v>西春別変電所</v>
      </c>
      <c r="Q64" s="25">
        <v>0.125</v>
      </c>
      <c r="S64" s="1"/>
      <c r="T64" s="88">
        <v>656.55402747649418</v>
      </c>
      <c r="U64" s="89">
        <v>6.2022913812826381</v>
      </c>
    </row>
    <row r="65" spans="1:23" x14ac:dyDescent="0.2">
      <c r="A65" s="3">
        <v>60</v>
      </c>
      <c r="B65" s="3" t="s">
        <v>941</v>
      </c>
      <c r="C65" s="3" t="s">
        <v>1492</v>
      </c>
      <c r="D65" s="21">
        <f>VLOOKUP(B65,SYS!$F$5:$G$360,2,FALSE)</f>
        <v>32</v>
      </c>
      <c r="E65" s="21">
        <f>VLOOKUP(C65,SYS!$F$5:$G$360,2,FALSE)</f>
        <v>19</v>
      </c>
      <c r="F65" s="55">
        <v>1</v>
      </c>
      <c r="G65" s="64">
        <f t="shared" si="12"/>
        <v>0.36666580924250619</v>
      </c>
      <c r="H65" s="3">
        <v>-1</v>
      </c>
      <c r="I65" s="3">
        <v>-1</v>
      </c>
      <c r="J65" s="11">
        <v>0</v>
      </c>
      <c r="K65" s="25">
        <f t="shared" si="5"/>
        <v>2.0000000000000001E-4</v>
      </c>
      <c r="L65" s="25">
        <v>0.71399999999999997</v>
      </c>
      <c r="M65" s="25">
        <v>0.71399999999999997</v>
      </c>
      <c r="N65" s="11" t="s">
        <v>437</v>
      </c>
      <c r="O65" s="26" t="str">
        <f>VLOOKUP(TRN!D65,SYS!$G$5:$H$360,2,FALSE)</f>
        <v>電発函館変換所</v>
      </c>
      <c r="P65" s="26" t="str">
        <f>VLOOKUP(TRN!E65,SYS!$G$5:$H$360,2,FALSE)</f>
        <v>北七飯変電所</v>
      </c>
      <c r="S65" s="1"/>
      <c r="T65" s="88">
        <v>1.8954630701834418</v>
      </c>
      <c r="U65" s="89">
        <v>359.32228502552653</v>
      </c>
    </row>
    <row r="66" spans="1:23" x14ac:dyDescent="0.2">
      <c r="A66" s="3">
        <v>61</v>
      </c>
      <c r="B66" s="3" t="s">
        <v>911</v>
      </c>
      <c r="C66" s="3" t="s">
        <v>913</v>
      </c>
      <c r="D66" s="21">
        <f>VLOOKUP(B66,SYS!$F$5:$G$360,2,FALSE)</f>
        <v>17</v>
      </c>
      <c r="E66" s="21">
        <f>VLOOKUP(C66,SYS!$F$5:$G$360,2,FALSE)</f>
        <v>18</v>
      </c>
      <c r="F66" s="55">
        <v>1</v>
      </c>
      <c r="G66" s="49">
        <v>1.4930000000000001E-2</v>
      </c>
      <c r="H66" s="3">
        <v>-1</v>
      </c>
      <c r="I66" s="3">
        <v>-1</v>
      </c>
      <c r="J66" s="11">
        <v>0</v>
      </c>
      <c r="K66" s="25">
        <f t="shared" si="5"/>
        <v>2.0000000000000001E-4</v>
      </c>
      <c r="L66" s="25">
        <v>1.0640000000000001</v>
      </c>
      <c r="M66" s="25">
        <v>1.0640000000000001</v>
      </c>
      <c r="N66" s="11" t="s">
        <v>438</v>
      </c>
      <c r="O66" s="26" t="str">
        <f>VLOOKUP(TRN!D66,SYS!$G$5:$H$360,2,FALSE)</f>
        <v>北斗変換所</v>
      </c>
      <c r="P66" s="26" t="str">
        <f>VLOOKUP(TRN!E66,SYS!$G$5:$H$360,2,FALSE)</f>
        <v>大野変電所</v>
      </c>
      <c r="S66" s="1"/>
      <c r="T66" s="88">
        <v>1.8995417103043271</v>
      </c>
      <c r="U66" s="89">
        <v>1.9848370958381509</v>
      </c>
    </row>
    <row r="67" spans="1:23" x14ac:dyDescent="0.2">
      <c r="A67" s="3">
        <v>62</v>
      </c>
      <c r="B67" s="3" t="s">
        <v>943</v>
      </c>
      <c r="C67" s="3" t="s">
        <v>945</v>
      </c>
      <c r="D67" s="21">
        <f>VLOOKUP(B67,SYS!$F$5:$G$360,2,FALSE)</f>
        <v>33</v>
      </c>
      <c r="E67" s="21">
        <f>VLOOKUP(C67,SYS!$F$5:$G$360,2,FALSE)</f>
        <v>34</v>
      </c>
      <c r="F67" s="55">
        <v>114</v>
      </c>
      <c r="G67" s="49">
        <v>0.12920000000000001</v>
      </c>
      <c r="H67" s="3">
        <v>-1</v>
      </c>
      <c r="I67" s="3">
        <v>-1</v>
      </c>
      <c r="J67" s="11">
        <v>0</v>
      </c>
      <c r="K67" s="25">
        <f t="shared" si="5"/>
        <v>2.2800000000000001E-2</v>
      </c>
      <c r="L67" s="65">
        <v>9.8719999999999999</v>
      </c>
      <c r="M67" s="65">
        <v>9.8719999999999999</v>
      </c>
      <c r="N67" s="11" t="s">
        <v>439</v>
      </c>
      <c r="O67" s="26" t="str">
        <f>VLOOKUP(TRN!D67,SYS!$G$5:$H$360,2,FALSE)</f>
        <v>上北変電所</v>
      </c>
      <c r="P67" s="26" t="str">
        <f>VLOOKUP(TRN!E67,SYS!$G$5:$H$360,2,FALSE)</f>
        <v>岩手変電所</v>
      </c>
      <c r="S67" s="1"/>
      <c r="T67" s="88">
        <v>0.16745894296285629</v>
      </c>
      <c r="U67" s="89">
        <v>0.23480496374777973</v>
      </c>
      <c r="V67" s="65">
        <v>9.8719999999999999</v>
      </c>
      <c r="W67" s="65">
        <v>9.8719999999999999</v>
      </c>
    </row>
    <row r="68" spans="1:23" x14ac:dyDescent="0.2">
      <c r="A68" s="3">
        <v>63</v>
      </c>
      <c r="B68" s="3" t="s">
        <v>945</v>
      </c>
      <c r="C68" s="3" t="s">
        <v>947</v>
      </c>
      <c r="D68" s="21">
        <f>VLOOKUP(B68,SYS!$F$5:$G$360,2,FALSE)</f>
        <v>34</v>
      </c>
      <c r="E68" s="21">
        <f>VLOOKUP(C68,SYS!$F$5:$G$360,2,FALSE)</f>
        <v>35</v>
      </c>
      <c r="F68" s="55">
        <v>184</v>
      </c>
      <c r="G68" s="49">
        <v>0.20849999999999999</v>
      </c>
      <c r="H68" s="3">
        <v>-1</v>
      </c>
      <c r="I68" s="3">
        <v>-1</v>
      </c>
      <c r="J68" s="11">
        <v>0</v>
      </c>
      <c r="K68" s="25">
        <f t="shared" si="5"/>
        <v>3.6799999999999999E-2</v>
      </c>
      <c r="L68" s="65">
        <v>9.8719999999999999</v>
      </c>
      <c r="M68" s="65">
        <v>9.8719999999999999</v>
      </c>
      <c r="N68" s="11" t="s">
        <v>440</v>
      </c>
      <c r="O68" s="26" t="str">
        <f>VLOOKUP(TRN!D68,SYS!$G$5:$H$360,2,FALSE)</f>
        <v>岩手変電所</v>
      </c>
      <c r="P68" s="26" t="str">
        <f>VLOOKUP(TRN!E68,SYS!$G$5:$H$360,2,FALSE)</f>
        <v>宮城変電所</v>
      </c>
      <c r="S68" s="1"/>
      <c r="T68" s="88">
        <v>0.16363971562345167</v>
      </c>
      <c r="U68" s="89">
        <v>0.24599517068976337</v>
      </c>
      <c r="V68" s="65">
        <v>9.8719999999999999</v>
      </c>
      <c r="W68" s="65">
        <v>9.8719999999999999</v>
      </c>
    </row>
    <row r="69" spans="1:23" x14ac:dyDescent="0.2">
      <c r="A69" s="3">
        <v>64</v>
      </c>
      <c r="B69" s="3" t="s">
        <v>947</v>
      </c>
      <c r="C69" s="3" t="s">
        <v>1502</v>
      </c>
      <c r="D69" s="21">
        <f>VLOOKUP(B69,SYS!$F$5:$G$360,2,FALSE)</f>
        <v>35</v>
      </c>
      <c r="E69" s="21">
        <f>VLOOKUP(C69,SYS!$F$5:$G$360,2,FALSE)</f>
        <v>36</v>
      </c>
      <c r="F69" s="55">
        <v>57</v>
      </c>
      <c r="G69" s="49">
        <v>4.4299999999999999E-2</v>
      </c>
      <c r="H69" s="3">
        <v>-1</v>
      </c>
      <c r="I69" s="3">
        <v>-1</v>
      </c>
      <c r="J69" s="11">
        <v>0</v>
      </c>
      <c r="K69" s="25">
        <f t="shared" si="5"/>
        <v>1.14E-2</v>
      </c>
      <c r="L69" s="65">
        <v>8.8879999999999999</v>
      </c>
      <c r="M69" s="65">
        <v>8.8879999999999999</v>
      </c>
      <c r="N69" s="11" t="s">
        <v>441</v>
      </c>
      <c r="O69" s="26" t="str">
        <f>VLOOKUP(TRN!D69,SYS!$G$5:$H$360,2,FALSE)</f>
        <v>宮城変電所</v>
      </c>
      <c r="P69" s="26" t="str">
        <f>VLOOKUP(TRN!E69,SYS!$G$5:$H$360,2,FALSE)</f>
        <v>西仙台変電所</v>
      </c>
      <c r="S69" s="1"/>
      <c r="T69" s="88">
        <v>0.14197231115288972</v>
      </c>
      <c r="U69" s="89">
        <v>0.48643394638332904</v>
      </c>
      <c r="V69" s="65">
        <v>8.8879999999999999</v>
      </c>
      <c r="W69" s="65">
        <v>8.8879999999999999</v>
      </c>
    </row>
    <row r="70" spans="1:23" x14ac:dyDescent="0.2">
      <c r="A70" s="3">
        <v>65</v>
      </c>
      <c r="B70" s="3" t="s">
        <v>1502</v>
      </c>
      <c r="C70" s="3" t="s">
        <v>1504</v>
      </c>
      <c r="D70" s="21">
        <f>VLOOKUP(B70,SYS!$F$5:$G$360,2,FALSE)</f>
        <v>36</v>
      </c>
      <c r="E70" s="21">
        <f>VLOOKUP(C70,SYS!$F$5:$G$360,2,FALSE)</f>
        <v>37</v>
      </c>
      <c r="F70" s="55">
        <v>100</v>
      </c>
      <c r="G70" s="49">
        <v>0.1129</v>
      </c>
      <c r="H70" s="3">
        <v>-1</v>
      </c>
      <c r="I70" s="3">
        <v>-1</v>
      </c>
      <c r="J70" s="11">
        <v>0</v>
      </c>
      <c r="K70" s="25">
        <f t="shared" si="5"/>
        <v>0.02</v>
      </c>
      <c r="L70" s="65">
        <v>8.8879999999999999</v>
      </c>
      <c r="M70" s="65">
        <v>8.8879999999999999</v>
      </c>
      <c r="N70" s="66" t="s">
        <v>837</v>
      </c>
      <c r="O70" s="26" t="str">
        <f>VLOOKUP(TRN!D70,SYS!$G$5:$H$360,2,FALSE)</f>
        <v>西仙台変電所</v>
      </c>
      <c r="P70" s="26" t="str">
        <f>VLOOKUP(TRN!E70,SYS!$G$5:$H$360,2,FALSE)</f>
        <v>南相馬変電所</v>
      </c>
      <c r="S70" s="1"/>
      <c r="T70" s="88">
        <v>0.14962750846052481</v>
      </c>
      <c r="U70" s="89">
        <v>0.43971136770011643</v>
      </c>
      <c r="V70" s="65">
        <v>8.8879999999999999</v>
      </c>
      <c r="W70" s="65">
        <v>8.8879999999999999</v>
      </c>
    </row>
    <row r="71" spans="1:23" x14ac:dyDescent="0.2">
      <c r="A71" s="3">
        <v>66</v>
      </c>
      <c r="B71" s="3" t="s">
        <v>943</v>
      </c>
      <c r="C71" s="3" t="s">
        <v>951</v>
      </c>
      <c r="D71" s="21">
        <f>VLOOKUP(B71,SYS!$F$5:$G$360,2,FALSE)</f>
        <v>33</v>
      </c>
      <c r="E71" s="21">
        <f>VLOOKUP(C71,SYS!$F$5:$G$360,2,FALSE)</f>
        <v>38</v>
      </c>
      <c r="F71" s="55">
        <v>46</v>
      </c>
      <c r="G71" s="49">
        <v>0.19450000000000001</v>
      </c>
      <c r="H71" s="3">
        <v>-1</v>
      </c>
      <c r="I71" s="3">
        <v>-1</v>
      </c>
      <c r="J71" s="11">
        <v>0</v>
      </c>
      <c r="K71" s="25">
        <f t="shared" si="5"/>
        <v>9.1999999999999998E-3</v>
      </c>
      <c r="L71" s="25">
        <v>1.3440000000000001</v>
      </c>
      <c r="M71" s="25">
        <v>1.3440000000000001</v>
      </c>
      <c r="N71" s="11" t="s">
        <v>442</v>
      </c>
      <c r="O71" s="26" t="str">
        <f>VLOOKUP(TRN!D71,SYS!$G$5:$H$360,2,FALSE)</f>
        <v>上北変電所</v>
      </c>
      <c r="P71" s="26" t="str">
        <f>VLOOKUP(TRN!E71,SYS!$G$5:$H$360,2,FALSE)</f>
        <v>青森変電所</v>
      </c>
      <c r="S71" s="1"/>
      <c r="T71" s="88">
        <v>1.311531423871837</v>
      </c>
      <c r="U71" s="89">
        <v>2.6536628604214423</v>
      </c>
      <c r="V71" s="25">
        <v>1.3440000000000001</v>
      </c>
      <c r="W71" s="25">
        <v>1.3440000000000001</v>
      </c>
    </row>
    <row r="72" spans="1:23" x14ac:dyDescent="0.2">
      <c r="A72" s="3">
        <v>67</v>
      </c>
      <c r="B72" s="3" t="s">
        <v>953</v>
      </c>
      <c r="C72" s="3" t="s">
        <v>951</v>
      </c>
      <c r="D72" s="21">
        <f>VLOOKUP(B72,SYS!$F$5:$G$360,2,FALSE)</f>
        <v>39</v>
      </c>
      <c r="E72" s="21">
        <f>VLOOKUP(C72,SYS!$F$5:$G$360,2,FALSE)</f>
        <v>38</v>
      </c>
      <c r="F72" s="55">
        <v>103</v>
      </c>
      <c r="G72" s="49">
        <v>0.439</v>
      </c>
      <c r="H72" s="3">
        <v>-1</v>
      </c>
      <c r="I72" s="3">
        <v>-1</v>
      </c>
      <c r="J72" s="11">
        <v>0</v>
      </c>
      <c r="K72" s="25">
        <f t="shared" si="5"/>
        <v>2.06E-2</v>
      </c>
      <c r="L72" s="25">
        <v>1.3440000000000001</v>
      </c>
      <c r="M72" s="25">
        <v>1.3440000000000001</v>
      </c>
      <c r="N72" s="11" t="s">
        <v>443</v>
      </c>
      <c r="O72" s="26" t="str">
        <f>VLOOKUP(TRN!D72,SYS!$G$5:$H$360,2,FALSE)</f>
        <v>能代変電所</v>
      </c>
      <c r="P72" s="26" t="str">
        <f>VLOOKUP(TRN!E72,SYS!$G$5:$H$360,2,FALSE)</f>
        <v>青森変電所</v>
      </c>
      <c r="S72" s="1"/>
      <c r="T72" s="88">
        <v>1.4049361759978805</v>
      </c>
      <c r="U72" s="89">
        <v>2.0016361478455846</v>
      </c>
      <c r="V72" s="25">
        <v>1.3440000000000001</v>
      </c>
      <c r="W72" s="25">
        <v>1.3440000000000001</v>
      </c>
    </row>
    <row r="73" spans="1:23" x14ac:dyDescent="0.2">
      <c r="A73" s="3">
        <v>68</v>
      </c>
      <c r="B73" s="3" t="s">
        <v>943</v>
      </c>
      <c r="C73" s="3" t="s">
        <v>945</v>
      </c>
      <c r="D73" s="21">
        <f>VLOOKUP(B73,SYS!$F$5:$G$360,2,FALSE)</f>
        <v>33</v>
      </c>
      <c r="E73" s="21">
        <f>VLOOKUP(C73,SYS!$F$5:$G$360,2,FALSE)</f>
        <v>34</v>
      </c>
      <c r="F73" s="55">
        <v>103</v>
      </c>
      <c r="G73" s="49">
        <v>0.16339999999999999</v>
      </c>
      <c r="H73" s="3">
        <v>-1</v>
      </c>
      <c r="I73" s="3">
        <v>-1</v>
      </c>
      <c r="J73" s="11">
        <v>0</v>
      </c>
      <c r="K73" s="25">
        <f t="shared" si="5"/>
        <v>2.06E-2</v>
      </c>
      <c r="L73" s="65">
        <v>1.8080000000000001</v>
      </c>
      <c r="M73" s="65">
        <v>1.8080000000000001</v>
      </c>
      <c r="N73" s="11" t="s">
        <v>444</v>
      </c>
      <c r="O73" s="26" t="str">
        <f>VLOOKUP(TRN!D73,SYS!$G$5:$H$360,2,FALSE)</f>
        <v>上北変電所</v>
      </c>
      <c r="P73" s="26" t="str">
        <f>VLOOKUP(TRN!E73,SYS!$G$5:$H$360,2,FALSE)</f>
        <v>岩手変電所</v>
      </c>
      <c r="S73" s="1"/>
      <c r="T73" s="88">
        <v>0.68211926945538348</v>
      </c>
      <c r="U73" s="89">
        <v>5789.8696407885309</v>
      </c>
      <c r="V73" s="65">
        <v>1.8080000000000001</v>
      </c>
      <c r="W73" s="65">
        <v>1.8080000000000001</v>
      </c>
    </row>
    <row r="74" spans="1:23" x14ac:dyDescent="0.2">
      <c r="A74" s="3">
        <v>69</v>
      </c>
      <c r="B74" s="3" t="s">
        <v>953</v>
      </c>
      <c r="C74" s="3" t="s">
        <v>955</v>
      </c>
      <c r="D74" s="21">
        <f>VLOOKUP(B74,SYS!$F$5:$G$360,2,FALSE)</f>
        <v>39</v>
      </c>
      <c r="E74" s="21">
        <f>VLOOKUP(C74,SYS!$F$5:$G$360,2,FALSE)</f>
        <v>40</v>
      </c>
      <c r="F74" s="55">
        <v>45</v>
      </c>
      <c r="G74" s="49">
        <v>0.1867</v>
      </c>
      <c r="H74" s="3">
        <v>-1</v>
      </c>
      <c r="I74" s="3">
        <v>-1</v>
      </c>
      <c r="J74" s="11">
        <v>0</v>
      </c>
      <c r="K74" s="25">
        <f t="shared" si="5"/>
        <v>9.0000000000000011E-3</v>
      </c>
      <c r="L74" s="65">
        <v>3.472</v>
      </c>
      <c r="M74" s="65">
        <v>3.472</v>
      </c>
      <c r="N74" s="11" t="s">
        <v>445</v>
      </c>
      <c r="O74" s="26" t="str">
        <f>VLOOKUP(TRN!D74,SYS!$G$5:$H$360,2,FALSE)</f>
        <v>能代変電所</v>
      </c>
      <c r="P74" s="26" t="str">
        <f>VLOOKUP(TRN!E74,SYS!$G$5:$H$360,2,FALSE)</f>
        <v>秋田変電所</v>
      </c>
      <c r="S74" s="1"/>
      <c r="T74" s="88">
        <v>0.47549526414037285</v>
      </c>
      <c r="U74" s="89">
        <v>0.78094446319035482</v>
      </c>
      <c r="V74" s="65">
        <v>3.472</v>
      </c>
      <c r="W74" s="65">
        <v>3.472</v>
      </c>
    </row>
    <row r="75" spans="1:23" x14ac:dyDescent="0.2">
      <c r="A75" s="3">
        <v>70</v>
      </c>
      <c r="B75" s="3" t="s">
        <v>955</v>
      </c>
      <c r="C75" s="3" t="s">
        <v>957</v>
      </c>
      <c r="D75" s="21">
        <f>VLOOKUP(B75,SYS!$F$5:$G$360,2,FALSE)</f>
        <v>40</v>
      </c>
      <c r="E75" s="21">
        <f>VLOOKUP(C75,SYS!$F$5:$G$360,2,FALSE)</f>
        <v>41</v>
      </c>
      <c r="F75" s="55">
        <v>83</v>
      </c>
      <c r="G75" s="49">
        <v>0.36020000000000002</v>
      </c>
      <c r="H75" s="3">
        <v>-1</v>
      </c>
      <c r="I75" s="3">
        <v>-1</v>
      </c>
      <c r="J75" s="11">
        <v>0</v>
      </c>
      <c r="K75" s="25">
        <f t="shared" si="5"/>
        <v>1.66E-2</v>
      </c>
      <c r="L75" s="25">
        <v>0.66</v>
      </c>
      <c r="M75" s="25">
        <v>0.66</v>
      </c>
      <c r="N75" s="11" t="s">
        <v>446</v>
      </c>
      <c r="O75" s="26" t="str">
        <f>VLOOKUP(TRN!D75,SYS!$G$5:$H$360,2,FALSE)</f>
        <v>秋田変電所</v>
      </c>
      <c r="P75" s="26" t="str">
        <f>VLOOKUP(TRN!E75,SYS!$G$5:$H$360,2,FALSE)</f>
        <v>雫石開閉所</v>
      </c>
      <c r="S75" s="1"/>
      <c r="T75" s="88">
        <v>3.0468578314453993</v>
      </c>
      <c r="U75" s="89">
        <v>5.8852738992136642</v>
      </c>
      <c r="V75" s="25">
        <v>0.66</v>
      </c>
      <c r="W75" s="25">
        <v>0.66</v>
      </c>
    </row>
    <row r="76" spans="1:23" x14ac:dyDescent="0.2">
      <c r="A76" s="3">
        <v>71</v>
      </c>
      <c r="B76" s="3" t="s">
        <v>957</v>
      </c>
      <c r="C76" s="3" t="s">
        <v>945</v>
      </c>
      <c r="D76" s="21">
        <f>VLOOKUP(B76,SYS!$F$5:$G$360,2,FALSE)</f>
        <v>41</v>
      </c>
      <c r="E76" s="21">
        <f>VLOOKUP(C76,SYS!$F$5:$G$360,2,FALSE)</f>
        <v>34</v>
      </c>
      <c r="F76" s="55">
        <v>38</v>
      </c>
      <c r="G76" s="49">
        <v>0.15920000000000001</v>
      </c>
      <c r="H76" s="3">
        <v>-1</v>
      </c>
      <c r="I76" s="3">
        <v>-1</v>
      </c>
      <c r="J76" s="11">
        <v>0</v>
      </c>
      <c r="K76" s="25">
        <f t="shared" si="5"/>
        <v>7.6E-3</v>
      </c>
      <c r="L76" s="25">
        <v>0.88200000000000001</v>
      </c>
      <c r="M76" s="25">
        <v>0.88200000000000001</v>
      </c>
      <c r="N76" s="11" t="s">
        <v>447</v>
      </c>
      <c r="O76" s="26" t="str">
        <f>VLOOKUP(TRN!D76,SYS!$G$5:$H$360,2,FALSE)</f>
        <v>雫石開閉所</v>
      </c>
      <c r="P76" s="26" t="str">
        <f>VLOOKUP(TRN!E76,SYS!$G$5:$H$360,2,FALSE)</f>
        <v>岩手変電所</v>
      </c>
      <c r="S76" s="1"/>
      <c r="T76" s="88">
        <v>2.1743935647055399</v>
      </c>
      <c r="U76" s="89">
        <v>2.7435584013460379</v>
      </c>
      <c r="V76" s="25">
        <v>0.88200000000000001</v>
      </c>
      <c r="W76" s="25">
        <v>0.88200000000000001</v>
      </c>
    </row>
    <row r="77" spans="1:23" x14ac:dyDescent="0.2">
      <c r="A77" s="3">
        <v>72</v>
      </c>
      <c r="B77" s="3" t="s">
        <v>955</v>
      </c>
      <c r="C77" s="3" t="s">
        <v>959</v>
      </c>
      <c r="D77" s="21">
        <f>VLOOKUP(B77,SYS!$F$5:$G$360,2,FALSE)</f>
        <v>40</v>
      </c>
      <c r="E77" s="21">
        <f>VLOOKUP(C77,SYS!$F$5:$G$360,2,FALSE)</f>
        <v>42</v>
      </c>
      <c r="F77" s="55">
        <v>85</v>
      </c>
      <c r="G77" s="49">
        <v>0.36080000000000001</v>
      </c>
      <c r="H77" s="3">
        <v>-1</v>
      </c>
      <c r="I77" s="3">
        <v>-1</v>
      </c>
      <c r="J77" s="11">
        <v>0</v>
      </c>
      <c r="K77" s="25">
        <f t="shared" si="5"/>
        <v>1.7000000000000001E-2</v>
      </c>
      <c r="L77" s="25">
        <v>0.88200000000000001</v>
      </c>
      <c r="M77" s="25">
        <v>0.88200000000000001</v>
      </c>
      <c r="N77" s="11" t="s">
        <v>448</v>
      </c>
      <c r="O77" s="26" t="str">
        <f>VLOOKUP(TRN!D77,SYS!$G$5:$H$360,2,FALSE)</f>
        <v>秋田変電所</v>
      </c>
      <c r="P77" s="26" t="str">
        <f>VLOOKUP(TRN!E77,SYS!$G$5:$H$360,2,FALSE)</f>
        <v>羽後変電所</v>
      </c>
      <c r="S77" s="1"/>
      <c r="T77" s="88">
        <v>1.2746150448909084</v>
      </c>
      <c r="U77" s="89">
        <v>166219.06911481277</v>
      </c>
      <c r="V77" s="25">
        <v>0.88200000000000001</v>
      </c>
      <c r="W77" s="25">
        <v>0.88200000000000001</v>
      </c>
    </row>
    <row r="78" spans="1:23" x14ac:dyDescent="0.2">
      <c r="A78" s="3">
        <v>73</v>
      </c>
      <c r="B78" s="3" t="s">
        <v>945</v>
      </c>
      <c r="C78" s="3" t="s">
        <v>961</v>
      </c>
      <c r="D78" s="21">
        <f>VLOOKUP(B78,SYS!$F$5:$G$360,2,FALSE)</f>
        <v>34</v>
      </c>
      <c r="E78" s="21">
        <f>VLOOKUP(C78,SYS!$F$5:$G$360,2,FALSE)</f>
        <v>43</v>
      </c>
      <c r="F78" s="55">
        <v>102</v>
      </c>
      <c r="G78" s="49">
        <v>0.28289999999999998</v>
      </c>
      <c r="H78" s="3">
        <v>-1</v>
      </c>
      <c r="I78" s="3">
        <v>-1</v>
      </c>
      <c r="J78" s="11">
        <v>0</v>
      </c>
      <c r="K78" s="25">
        <f t="shared" si="5"/>
        <v>2.0400000000000001E-2</v>
      </c>
      <c r="L78" s="25">
        <v>0.90400000000000003</v>
      </c>
      <c r="M78" s="25">
        <v>0.90400000000000003</v>
      </c>
      <c r="N78" s="11" t="s">
        <v>449</v>
      </c>
      <c r="O78" s="26" t="str">
        <f>VLOOKUP(TRN!D78,SYS!$G$5:$H$360,2,FALSE)</f>
        <v>岩手変電所</v>
      </c>
      <c r="P78" s="26" t="str">
        <f>VLOOKUP(TRN!E78,SYS!$G$5:$H$360,2,FALSE)</f>
        <v>水沢変電所</v>
      </c>
      <c r="S78" s="1"/>
      <c r="T78" s="88">
        <v>1.5781794984279811</v>
      </c>
      <c r="U78" s="89">
        <v>1564213.6477022527</v>
      </c>
      <c r="V78" s="25">
        <v>0.90400000000000003</v>
      </c>
      <c r="W78" s="25">
        <v>0.90400000000000003</v>
      </c>
    </row>
    <row r="79" spans="1:23" x14ac:dyDescent="0.2">
      <c r="A79" s="3">
        <v>74</v>
      </c>
      <c r="B79" s="3" t="s">
        <v>959</v>
      </c>
      <c r="C79" s="3" t="s">
        <v>947</v>
      </c>
      <c r="D79" s="21">
        <f>VLOOKUP(B79,SYS!$F$5:$G$360,2,FALSE)</f>
        <v>42</v>
      </c>
      <c r="E79" s="21">
        <f>VLOOKUP(C79,SYS!$F$5:$G$360,2,FALSE)</f>
        <v>35</v>
      </c>
      <c r="F79" s="55">
        <v>82</v>
      </c>
      <c r="G79" s="49">
        <v>0.3548</v>
      </c>
      <c r="H79" s="3">
        <v>-1</v>
      </c>
      <c r="I79" s="3">
        <v>-1</v>
      </c>
      <c r="J79" s="11">
        <v>0</v>
      </c>
      <c r="K79" s="25">
        <f t="shared" si="5"/>
        <v>1.6400000000000001E-2</v>
      </c>
      <c r="L79" s="65">
        <v>1.32</v>
      </c>
      <c r="M79" s="65">
        <v>1.32</v>
      </c>
      <c r="N79" s="11" t="s">
        <v>450</v>
      </c>
      <c r="O79" s="26" t="str">
        <f>VLOOKUP(TRN!D79,SYS!$G$5:$H$360,2,FALSE)</f>
        <v>羽後変電所</v>
      </c>
      <c r="P79" s="26" t="str">
        <f>VLOOKUP(TRN!E79,SYS!$G$5:$H$360,2,FALSE)</f>
        <v>宮城変電所</v>
      </c>
      <c r="S79" s="1"/>
      <c r="T79" s="88">
        <v>1.1453494193313545</v>
      </c>
      <c r="U79" s="89">
        <v>3.3433334776611336</v>
      </c>
      <c r="V79" s="65">
        <v>1.32</v>
      </c>
      <c r="W79" s="65">
        <v>1.32</v>
      </c>
    </row>
    <row r="80" spans="1:23" x14ac:dyDescent="0.2">
      <c r="A80" s="3">
        <v>75</v>
      </c>
      <c r="B80" s="3" t="s">
        <v>961</v>
      </c>
      <c r="C80" s="3" t="s">
        <v>947</v>
      </c>
      <c r="D80" s="21">
        <f>VLOOKUP(B80,SYS!$F$5:$G$360,2,FALSE)</f>
        <v>43</v>
      </c>
      <c r="E80" s="21">
        <f>VLOOKUP(C80,SYS!$F$5:$G$360,2,FALSE)</f>
        <v>35</v>
      </c>
      <c r="F80" s="55">
        <v>71</v>
      </c>
      <c r="G80" s="49">
        <v>0.30309999999999998</v>
      </c>
      <c r="H80" s="3">
        <v>-1</v>
      </c>
      <c r="I80" s="3">
        <v>-1</v>
      </c>
      <c r="J80" s="11">
        <v>0</v>
      </c>
      <c r="K80" s="25">
        <f t="shared" si="5"/>
        <v>1.4200000000000001E-2</v>
      </c>
      <c r="L80" s="65">
        <v>1.32</v>
      </c>
      <c r="M80" s="65">
        <v>1.32</v>
      </c>
      <c r="N80" s="11" t="s">
        <v>451</v>
      </c>
      <c r="O80" s="26" t="str">
        <f>VLOOKUP(TRN!D80,SYS!$G$5:$H$360,2,FALSE)</f>
        <v>水沢変電所</v>
      </c>
      <c r="P80" s="26" t="str">
        <f>VLOOKUP(TRN!E80,SYS!$G$5:$H$360,2,FALSE)</f>
        <v>宮城変電所</v>
      </c>
      <c r="S80" s="1"/>
      <c r="T80" s="88">
        <v>1.03058711750563</v>
      </c>
      <c r="U80" s="89">
        <v>3388.6988899128623</v>
      </c>
      <c r="V80" s="65">
        <v>1.32</v>
      </c>
      <c r="W80" s="65">
        <v>1.32</v>
      </c>
    </row>
    <row r="81" spans="1:23" x14ac:dyDescent="0.2">
      <c r="A81" s="3">
        <v>76</v>
      </c>
      <c r="B81" s="3" t="s">
        <v>947</v>
      </c>
      <c r="C81" s="3" t="s">
        <v>963</v>
      </c>
      <c r="D81" s="21">
        <f>VLOOKUP(B81,SYS!$F$5:$G$360,2,FALSE)</f>
        <v>35</v>
      </c>
      <c r="E81" s="21">
        <f>VLOOKUP(C81,SYS!$F$5:$G$360,2,FALSE)</f>
        <v>44</v>
      </c>
      <c r="F81" s="55">
        <v>60</v>
      </c>
      <c r="G81" s="49">
        <v>0.24790000000000001</v>
      </c>
      <c r="H81" s="3">
        <v>-1</v>
      </c>
      <c r="I81" s="3">
        <v>-1</v>
      </c>
      <c r="J81" s="11">
        <v>0</v>
      </c>
      <c r="K81" s="25">
        <f t="shared" ref="K81:K150" si="13">F81*0.0002</f>
        <v>1.2E-2</v>
      </c>
      <c r="L81" s="25">
        <v>1.768</v>
      </c>
      <c r="M81" s="25">
        <v>1.768</v>
      </c>
      <c r="N81" s="11" t="s">
        <v>452</v>
      </c>
      <c r="O81" s="26" t="str">
        <f>VLOOKUP(TRN!D81,SYS!$G$5:$H$360,2,FALSE)</f>
        <v>宮城変電所</v>
      </c>
      <c r="P81" s="26" t="str">
        <f>VLOOKUP(TRN!E81,SYS!$G$5:$H$360,2,FALSE)</f>
        <v>新庄変電所</v>
      </c>
      <c r="S81" s="1"/>
      <c r="T81" s="88">
        <v>2.348115191025125</v>
      </c>
      <c r="U81" s="89">
        <v>0.98232106413970799</v>
      </c>
      <c r="V81" s="25">
        <v>1.768</v>
      </c>
      <c r="W81" s="25">
        <v>1.768</v>
      </c>
    </row>
    <row r="82" spans="1:23" x14ac:dyDescent="0.2">
      <c r="A82" s="3">
        <v>77</v>
      </c>
      <c r="B82" s="3" t="s">
        <v>963</v>
      </c>
      <c r="C82" s="3" t="s">
        <v>1506</v>
      </c>
      <c r="D82" s="21">
        <f>VLOOKUP(B82,SYS!$F$5:$G$360,2,FALSE)</f>
        <v>44</v>
      </c>
      <c r="E82" s="21">
        <f>VLOOKUP(C82,SYS!$F$5:$G$360,2,FALSE)</f>
        <v>45</v>
      </c>
      <c r="F82" s="55">
        <v>53</v>
      </c>
      <c r="G82" s="49">
        <v>0.19750000000000001</v>
      </c>
      <c r="H82" s="3">
        <v>-1</v>
      </c>
      <c r="I82" s="3">
        <v>-1</v>
      </c>
      <c r="J82" s="11">
        <v>0</v>
      </c>
      <c r="K82" s="25">
        <f t="shared" si="13"/>
        <v>1.06E-2</v>
      </c>
      <c r="L82" s="25">
        <v>1.357</v>
      </c>
      <c r="M82" s="25">
        <v>1.357</v>
      </c>
      <c r="N82" s="11" t="s">
        <v>453</v>
      </c>
      <c r="O82" s="26" t="str">
        <f>VLOOKUP(TRN!D82,SYS!$G$5:$H$360,2,FALSE)</f>
        <v>新庄変電所</v>
      </c>
      <c r="P82" s="26" t="str">
        <f>VLOOKUP(TRN!E82,SYS!$G$5:$H$360,2,FALSE)</f>
        <v>西山形変電所</v>
      </c>
      <c r="S82" s="1"/>
      <c r="T82" s="88">
        <v>2.0777876571018683</v>
      </c>
      <c r="U82" s="89">
        <v>1.3387144928279748</v>
      </c>
      <c r="V82" s="25">
        <v>1.357</v>
      </c>
      <c r="W82" s="25">
        <v>1.357</v>
      </c>
    </row>
    <row r="83" spans="1:23" x14ac:dyDescent="0.2">
      <c r="A83" s="3">
        <v>78</v>
      </c>
      <c r="B83" s="3" t="s">
        <v>929</v>
      </c>
      <c r="C83" s="3" t="s">
        <v>947</v>
      </c>
      <c r="D83" s="21">
        <f>VLOOKUP(B83,SYS!$F$5:$G$360,2,FALSE)</f>
        <v>46</v>
      </c>
      <c r="E83" s="21">
        <f>VLOOKUP(C83,SYS!$F$5:$G$360,2,FALSE)</f>
        <v>35</v>
      </c>
      <c r="F83" s="55">
        <v>43</v>
      </c>
      <c r="G83" s="49">
        <v>0.1789</v>
      </c>
      <c r="H83" s="3">
        <v>-1</v>
      </c>
      <c r="I83" s="3">
        <v>-1</v>
      </c>
      <c r="J83" s="11">
        <v>0</v>
      </c>
      <c r="K83" s="25">
        <f t="shared" si="13"/>
        <v>8.6E-3</v>
      </c>
      <c r="L83" s="65">
        <v>3.0939999999999999</v>
      </c>
      <c r="M83" s="65">
        <v>3.0939999999999999</v>
      </c>
      <c r="N83" s="66" t="s">
        <v>838</v>
      </c>
      <c r="O83" s="26" t="str">
        <f>VLOOKUP(TRN!D83,SYS!$G$5:$H$360,2,FALSE)</f>
        <v>石巻変電所</v>
      </c>
      <c r="P83" s="26" t="str">
        <f>VLOOKUP(TRN!E83,SYS!$G$5:$H$360,2,FALSE)</f>
        <v>宮城変電所</v>
      </c>
      <c r="S83" s="1"/>
      <c r="T83" s="88">
        <v>0.47207287242752272</v>
      </c>
      <c r="U83" s="89">
        <v>1.2277425777174278</v>
      </c>
      <c r="V83" s="65">
        <v>3.0939999999999999</v>
      </c>
      <c r="W83" s="65">
        <v>3.0939999999999999</v>
      </c>
    </row>
    <row r="84" spans="1:23" x14ac:dyDescent="0.2">
      <c r="A84" s="3">
        <v>79</v>
      </c>
      <c r="B84" s="3" t="s">
        <v>947</v>
      </c>
      <c r="C84" s="3" t="s">
        <v>967</v>
      </c>
      <c r="D84" s="21">
        <f>VLOOKUP(B84,SYS!$F$5:$G$360,2,FALSE)</f>
        <v>35</v>
      </c>
      <c r="E84" s="21">
        <f>VLOOKUP(C84,SYS!$F$5:$G$360,2,FALSE)</f>
        <v>47</v>
      </c>
      <c r="F84" s="55">
        <v>35</v>
      </c>
      <c r="G84" s="49">
        <v>0.14979999999999999</v>
      </c>
      <c r="H84" s="3">
        <v>-1</v>
      </c>
      <c r="I84" s="3">
        <v>-1</v>
      </c>
      <c r="J84" s="11">
        <v>0</v>
      </c>
      <c r="K84" s="25">
        <f t="shared" si="13"/>
        <v>7.0000000000000001E-3</v>
      </c>
      <c r="L84" s="25">
        <v>0.88200000000000001</v>
      </c>
      <c r="M84" s="25">
        <v>0.88200000000000001</v>
      </c>
      <c r="N84" s="11" t="s">
        <v>454</v>
      </c>
      <c r="O84" s="26" t="str">
        <f>VLOOKUP(TRN!D84,SYS!$G$5:$H$360,2,FALSE)</f>
        <v>宮城変電所</v>
      </c>
      <c r="P84" s="26" t="str">
        <f>VLOOKUP(TRN!E84,SYS!$G$5:$H$360,2,FALSE)</f>
        <v>仙台変電所</v>
      </c>
      <c r="S84" s="1"/>
      <c r="T84" s="88">
        <v>1.4438039776352305</v>
      </c>
      <c r="U84" s="89">
        <v>61644.163400544203</v>
      </c>
      <c r="V84" s="25">
        <v>0.88200000000000001</v>
      </c>
      <c r="W84" s="25">
        <v>0.88200000000000001</v>
      </c>
    </row>
    <row r="85" spans="1:23" x14ac:dyDescent="0.2">
      <c r="A85" s="3">
        <v>80</v>
      </c>
      <c r="B85" s="3" t="s">
        <v>1502</v>
      </c>
      <c r="C85" s="3" t="s">
        <v>967</v>
      </c>
      <c r="D85" s="21">
        <f>VLOOKUP(B85,SYS!$F$5:$G$360,2,FALSE)</f>
        <v>36</v>
      </c>
      <c r="E85" s="21">
        <f>VLOOKUP(C85,SYS!$F$5:$G$360,2,FALSE)</f>
        <v>47</v>
      </c>
      <c r="F85" s="55">
        <v>30</v>
      </c>
      <c r="G85" s="49">
        <v>0.12839999999999999</v>
      </c>
      <c r="H85" s="3">
        <v>-1</v>
      </c>
      <c r="I85" s="3">
        <v>-1</v>
      </c>
      <c r="J85" s="11">
        <v>0</v>
      </c>
      <c r="K85" s="25">
        <f t="shared" si="13"/>
        <v>6.0000000000000001E-3</v>
      </c>
      <c r="L85" s="65">
        <v>1.1000000000000001</v>
      </c>
      <c r="M85" s="65">
        <v>1.1000000000000001</v>
      </c>
      <c r="N85" s="66" t="s">
        <v>839</v>
      </c>
      <c r="O85" s="26" t="str">
        <f>VLOOKUP(TRN!D85,SYS!$G$5:$H$360,2,FALSE)</f>
        <v>西仙台変電所</v>
      </c>
      <c r="P85" s="26" t="str">
        <f>VLOOKUP(TRN!E85,SYS!$G$5:$H$360,2,FALSE)</f>
        <v>仙台変電所</v>
      </c>
      <c r="S85" s="1"/>
      <c r="T85" s="88">
        <v>587640.54387662408</v>
      </c>
      <c r="U85" s="89">
        <v>1.1111128161950841</v>
      </c>
      <c r="V85" s="65">
        <v>1.1000000000000001</v>
      </c>
      <c r="W85" s="65">
        <v>1.1000000000000001</v>
      </c>
    </row>
    <row r="86" spans="1:23" x14ac:dyDescent="0.2">
      <c r="A86" s="3">
        <v>81</v>
      </c>
      <c r="B86" s="3" t="s">
        <v>969</v>
      </c>
      <c r="C86" s="3" t="s">
        <v>967</v>
      </c>
      <c r="D86" s="21">
        <f>VLOOKUP(B86,SYS!$F$5:$G$360,2,FALSE)</f>
        <v>48</v>
      </c>
      <c r="E86" s="21">
        <f>VLOOKUP(C86,SYS!$F$5:$G$360,2,FALSE)</f>
        <v>47</v>
      </c>
      <c r="F86" s="55">
        <v>16</v>
      </c>
      <c r="G86" s="64">
        <f t="shared" ref="G86:G155" si="14">$L$2/L86</f>
        <v>0.14480054634908707</v>
      </c>
      <c r="H86" s="3">
        <v>-1</v>
      </c>
      <c r="I86" s="3">
        <v>-1</v>
      </c>
      <c r="J86" s="11">
        <v>0</v>
      </c>
      <c r="K86" s="25">
        <f t="shared" si="13"/>
        <v>3.2000000000000002E-3</v>
      </c>
      <c r="L86" s="65">
        <v>1.8080000000000001</v>
      </c>
      <c r="M86" s="65">
        <v>1.8080000000000001</v>
      </c>
      <c r="N86" s="11" t="s">
        <v>455</v>
      </c>
      <c r="O86" s="26" t="str">
        <f>VLOOKUP(TRN!D86,SYS!$G$5:$H$360,2,FALSE)</f>
        <v>東仙台変電所</v>
      </c>
      <c r="P86" s="26" t="str">
        <f>VLOOKUP(TRN!E86,SYS!$G$5:$H$360,2,FALSE)</f>
        <v>仙台変電所</v>
      </c>
      <c r="S86" s="1"/>
      <c r="T86" s="88">
        <v>0.86617423687601924</v>
      </c>
      <c r="U86" s="89">
        <v>47.482625603770401</v>
      </c>
      <c r="V86" s="65">
        <v>1.8080000000000001</v>
      </c>
      <c r="W86" s="65">
        <v>1.8080000000000001</v>
      </c>
    </row>
    <row r="87" spans="1:23" x14ac:dyDescent="0.2">
      <c r="A87" s="3">
        <v>82</v>
      </c>
      <c r="B87" s="3" t="s">
        <v>971</v>
      </c>
      <c r="C87" s="3" t="s">
        <v>1502</v>
      </c>
      <c r="D87" s="21">
        <f>VLOOKUP(B87,SYS!$F$5:$G$360,2,FALSE)</f>
        <v>49</v>
      </c>
      <c r="E87" s="21">
        <f>VLOOKUP(C87,SYS!$F$5:$G$360,2,FALSE)</f>
        <v>36</v>
      </c>
      <c r="F87" s="55">
        <v>139</v>
      </c>
      <c r="G87" s="49">
        <v>0.17519999999999999</v>
      </c>
      <c r="H87" s="3">
        <v>-1</v>
      </c>
      <c r="I87" s="3">
        <v>-1</v>
      </c>
      <c r="J87" s="11">
        <v>0</v>
      </c>
      <c r="K87" s="25">
        <f t="shared" si="13"/>
        <v>2.7800000000000002E-2</v>
      </c>
      <c r="L87" s="65">
        <v>3.6179999999999999</v>
      </c>
      <c r="M87" s="65">
        <v>3.6179999999999999</v>
      </c>
      <c r="N87" s="11" t="s">
        <v>456</v>
      </c>
      <c r="O87" s="26" t="str">
        <f>VLOOKUP(TRN!D87,SYS!$G$5:$H$360,2,FALSE)</f>
        <v>越後開閉所</v>
      </c>
      <c r="P87" s="26" t="str">
        <f>VLOOKUP(TRN!E87,SYS!$G$5:$H$360,2,FALSE)</f>
        <v>西仙台変電所</v>
      </c>
      <c r="S87" s="1"/>
      <c r="T87" s="88">
        <v>0.67564354763982404</v>
      </c>
      <c r="U87" s="89">
        <v>0.49179921673022087</v>
      </c>
      <c r="V87" s="65">
        <v>3.6179999999999999</v>
      </c>
      <c r="W87" s="65">
        <v>3.6179999999999999</v>
      </c>
    </row>
    <row r="88" spans="1:23" x14ac:dyDescent="0.2">
      <c r="A88" s="3">
        <v>83</v>
      </c>
      <c r="B88" s="3" t="s">
        <v>1502</v>
      </c>
      <c r="C88" s="3" t="s">
        <v>973</v>
      </c>
      <c r="D88" s="21">
        <f>VLOOKUP(B88,SYS!$F$5:$G$360,2,FALSE)</f>
        <v>36</v>
      </c>
      <c r="E88" s="21">
        <f>VLOOKUP(C88,SYS!$F$5:$G$360,2,FALSE)</f>
        <v>50</v>
      </c>
      <c r="F88" s="55">
        <v>83</v>
      </c>
      <c r="G88" s="49">
        <v>0.35799999999999998</v>
      </c>
      <c r="H88" s="3">
        <v>-1</v>
      </c>
      <c r="I88" s="3">
        <v>-1</v>
      </c>
      <c r="J88" s="11">
        <v>0</v>
      </c>
      <c r="K88" s="25">
        <f t="shared" si="13"/>
        <v>1.66E-2</v>
      </c>
      <c r="L88" s="25">
        <v>0.61799999999999999</v>
      </c>
      <c r="M88" s="25">
        <v>0.61799999999999999</v>
      </c>
      <c r="N88" s="11" t="s">
        <v>457</v>
      </c>
      <c r="O88" s="26" t="str">
        <f>VLOOKUP(TRN!D88,SYS!$G$5:$H$360,2,FALSE)</f>
        <v>西仙台変電所</v>
      </c>
      <c r="P88" s="26" t="str">
        <f>VLOOKUP(TRN!E88,SYS!$G$5:$H$360,2,FALSE)</f>
        <v>米沢変電所</v>
      </c>
      <c r="S88" s="1"/>
      <c r="T88" s="88">
        <v>1.9707348903228683</v>
      </c>
      <c r="U88" s="89">
        <v>3555472.2617332223</v>
      </c>
      <c r="V88" s="25">
        <v>0.61799999999999999</v>
      </c>
      <c r="W88" s="25">
        <v>0.61799999999999999</v>
      </c>
    </row>
    <row r="89" spans="1:23" x14ac:dyDescent="0.2">
      <c r="A89" s="3">
        <v>84</v>
      </c>
      <c r="B89" s="3" t="s">
        <v>973</v>
      </c>
      <c r="C89" s="3" t="s">
        <v>975</v>
      </c>
      <c r="D89" s="21">
        <f>VLOOKUP(B89,SYS!$F$5:$G$360,2,FALSE)</f>
        <v>50</v>
      </c>
      <c r="E89" s="21">
        <f>VLOOKUP(C89,SYS!$F$5:$G$360,2,FALSE)</f>
        <v>51</v>
      </c>
      <c r="F89" s="55">
        <v>38</v>
      </c>
      <c r="G89" s="49">
        <v>0.1565</v>
      </c>
      <c r="H89" s="3">
        <v>-1</v>
      </c>
      <c r="I89" s="3">
        <v>-1</v>
      </c>
      <c r="J89" s="11">
        <v>0</v>
      </c>
      <c r="K89" s="25">
        <f t="shared" si="13"/>
        <v>7.6E-3</v>
      </c>
      <c r="L89" s="25">
        <v>1.298</v>
      </c>
      <c r="M89" s="25">
        <v>1.298</v>
      </c>
      <c r="N89" s="11" t="s">
        <v>458</v>
      </c>
      <c r="O89" s="26" t="str">
        <f>VLOOKUP(TRN!D89,SYS!$G$5:$H$360,2,FALSE)</f>
        <v>米沢変電所</v>
      </c>
      <c r="P89" s="26" t="str">
        <f>VLOOKUP(TRN!E89,SYS!$G$5:$H$360,2,FALSE)</f>
        <v>福島変電所</v>
      </c>
      <c r="S89" s="1"/>
      <c r="T89" s="88">
        <v>1.0356637615598978</v>
      </c>
      <c r="U89" s="89">
        <v>2572328.2775465567</v>
      </c>
      <c r="V89" s="25">
        <v>1.298</v>
      </c>
      <c r="W89" s="25">
        <v>1.298</v>
      </c>
    </row>
    <row r="90" spans="1:23" x14ac:dyDescent="0.2">
      <c r="A90" s="3">
        <v>85</v>
      </c>
      <c r="B90" s="3" t="s">
        <v>1508</v>
      </c>
      <c r="C90" s="3" t="s">
        <v>971</v>
      </c>
      <c r="D90" s="21">
        <f>VLOOKUP(B90,SYS!$F$5:$G$360,2,FALSE)</f>
        <v>52</v>
      </c>
      <c r="E90" s="21">
        <f>VLOOKUP(C90,SYS!$F$5:$G$360,2,FALSE)</f>
        <v>49</v>
      </c>
      <c r="F90" s="55">
        <v>28</v>
      </c>
      <c r="G90" s="49">
        <v>9.3299999999999994E-2</v>
      </c>
      <c r="H90" s="3">
        <v>-1</v>
      </c>
      <c r="I90" s="3">
        <v>-1</v>
      </c>
      <c r="J90" s="11">
        <v>0</v>
      </c>
      <c r="K90" s="25">
        <f t="shared" si="13"/>
        <v>5.5999999999999999E-3</v>
      </c>
      <c r="L90" s="25">
        <v>1.8089999999999999</v>
      </c>
      <c r="M90" s="25">
        <v>1.8089999999999999</v>
      </c>
      <c r="N90" s="11" t="s">
        <v>459</v>
      </c>
      <c r="O90" s="26" t="str">
        <f>VLOOKUP(TRN!D90,SYS!$G$5:$H$360,2,FALSE)</f>
        <v>北新潟変電所</v>
      </c>
      <c r="P90" s="26" t="str">
        <f>VLOOKUP(TRN!E90,SYS!$G$5:$H$360,2,FALSE)</f>
        <v>越後開閉所</v>
      </c>
      <c r="S90" s="1"/>
      <c r="T90" s="88">
        <v>1.0906388632863475</v>
      </c>
      <c r="U90" s="89">
        <v>1.1726756517838188</v>
      </c>
      <c r="V90" s="25">
        <v>1.8089999999999999</v>
      </c>
      <c r="W90" s="25">
        <v>1.8089999999999999</v>
      </c>
    </row>
    <row r="91" spans="1:23" x14ac:dyDescent="0.2">
      <c r="A91" s="3">
        <v>86</v>
      </c>
      <c r="B91" s="3" t="s">
        <v>971</v>
      </c>
      <c r="C91" s="3" t="s">
        <v>979</v>
      </c>
      <c r="D91" s="21">
        <f>VLOOKUP(B91,SYS!$F$5:$G$360,2,FALSE)</f>
        <v>49</v>
      </c>
      <c r="E91" s="21">
        <f>VLOOKUP(C91,SYS!$F$5:$G$360,2,FALSE)</f>
        <v>53</v>
      </c>
      <c r="F91" s="55">
        <v>30</v>
      </c>
      <c r="G91" s="49">
        <v>9.7699999999999995E-2</v>
      </c>
      <c r="H91" s="3">
        <v>-1</v>
      </c>
      <c r="I91" s="3">
        <v>-1</v>
      </c>
      <c r="J91" s="11">
        <v>0</v>
      </c>
      <c r="K91" s="25">
        <f t="shared" si="13"/>
        <v>6.0000000000000001E-3</v>
      </c>
      <c r="L91" s="25">
        <v>1.8089999999999999</v>
      </c>
      <c r="M91" s="25">
        <v>1.8089999999999999</v>
      </c>
      <c r="N91" s="11" t="s">
        <v>460</v>
      </c>
      <c r="O91" s="26" t="str">
        <f>VLOOKUP(TRN!D91,SYS!$G$5:$H$360,2,FALSE)</f>
        <v>越後開閉所</v>
      </c>
      <c r="P91" s="26" t="str">
        <f>VLOOKUP(TRN!E91,SYS!$G$5:$H$360,2,FALSE)</f>
        <v>新潟変電所</v>
      </c>
      <c r="S91" s="1"/>
      <c r="T91" s="88">
        <v>0.71872165960023715</v>
      </c>
      <c r="U91" s="89">
        <v>54.108544791316476</v>
      </c>
      <c r="V91" s="25">
        <v>1.8089999999999999</v>
      </c>
      <c r="W91" s="25">
        <v>1.8089999999999999</v>
      </c>
    </row>
    <row r="92" spans="1:23" x14ac:dyDescent="0.2">
      <c r="A92" s="3">
        <v>87</v>
      </c>
      <c r="B92" s="3" t="s">
        <v>971</v>
      </c>
      <c r="C92" s="3" t="s">
        <v>981</v>
      </c>
      <c r="D92" s="21">
        <f>VLOOKUP(B92,SYS!$F$5:$G$360,2,FALSE)</f>
        <v>49</v>
      </c>
      <c r="E92" s="21">
        <f>VLOOKUP(C92,SYS!$F$5:$G$360,2,FALSE)</f>
        <v>54</v>
      </c>
      <c r="F92" s="55">
        <v>68</v>
      </c>
      <c r="G92" s="49">
        <v>0.25259999999999999</v>
      </c>
      <c r="H92" s="3">
        <v>-1</v>
      </c>
      <c r="I92" s="3">
        <v>-1</v>
      </c>
      <c r="J92" s="11">
        <v>0</v>
      </c>
      <c r="K92" s="25">
        <f t="shared" si="13"/>
        <v>1.3600000000000001E-2</v>
      </c>
      <c r="L92" s="25">
        <v>1.8089999999999999</v>
      </c>
      <c r="M92" s="25">
        <v>1.8089999999999999</v>
      </c>
      <c r="N92" s="11" t="s">
        <v>461</v>
      </c>
      <c r="O92" s="26" t="str">
        <f>VLOOKUP(TRN!D92,SYS!$G$5:$H$360,2,FALSE)</f>
        <v>越後開閉所</v>
      </c>
      <c r="P92" s="26" t="str">
        <f>VLOOKUP(TRN!E92,SYS!$G$5:$H$360,2,FALSE)</f>
        <v>中越変電所</v>
      </c>
      <c r="S92" s="1"/>
      <c r="T92" s="88">
        <v>0.89647734306366345</v>
      </c>
      <c r="U92" s="89">
        <v>1.5540936918869583</v>
      </c>
      <c r="V92" s="25">
        <v>1.8089999999999999</v>
      </c>
      <c r="W92" s="25">
        <v>1.8089999999999999</v>
      </c>
    </row>
    <row r="93" spans="1:23" x14ac:dyDescent="0.2">
      <c r="A93" s="3">
        <v>88</v>
      </c>
      <c r="B93" s="3" t="s">
        <v>979</v>
      </c>
      <c r="C93" s="3" t="s">
        <v>973</v>
      </c>
      <c r="D93" s="21">
        <f>VLOOKUP(B93,SYS!$F$5:$G$360,2,FALSE)</f>
        <v>53</v>
      </c>
      <c r="E93" s="21">
        <f>VLOOKUP(C93,SYS!$F$5:$G$360,2,FALSE)</f>
        <v>50</v>
      </c>
      <c r="F93" s="49">
        <v>92</v>
      </c>
      <c r="G93" s="49">
        <v>0.39340000000000003</v>
      </c>
      <c r="H93" s="3">
        <v>-1</v>
      </c>
      <c r="I93" s="3">
        <v>-1</v>
      </c>
      <c r="J93" s="11">
        <v>0</v>
      </c>
      <c r="K93" s="25">
        <f t="shared" si="13"/>
        <v>1.84E-2</v>
      </c>
      <c r="L93" s="65">
        <v>1.32</v>
      </c>
      <c r="M93" s="65">
        <v>1.32</v>
      </c>
      <c r="N93" s="56" t="s">
        <v>840</v>
      </c>
      <c r="O93" s="26" t="str">
        <f>VLOOKUP(TRN!D93,SYS!$G$5:$H$360,2,FALSE)</f>
        <v>新潟変電所</v>
      </c>
      <c r="P93" s="26" t="str">
        <f>VLOOKUP(TRN!E93,SYS!$G$5:$H$360,2,FALSE)</f>
        <v>米沢変電所</v>
      </c>
      <c r="S93" s="1"/>
      <c r="T93" s="88">
        <v>1.6979102447696368</v>
      </c>
      <c r="U93" s="89">
        <v>1.5788957138329935</v>
      </c>
      <c r="V93" s="65">
        <v>1.32</v>
      </c>
      <c r="W93" s="65">
        <v>1.32</v>
      </c>
    </row>
    <row r="94" spans="1:23" x14ac:dyDescent="0.2">
      <c r="A94" s="3">
        <v>89</v>
      </c>
      <c r="B94" s="3" t="s">
        <v>979</v>
      </c>
      <c r="C94" s="3" t="s">
        <v>983</v>
      </c>
      <c r="D94" s="21">
        <f>VLOOKUP(B94,SYS!$F$5:$G$360,2,FALSE)</f>
        <v>53</v>
      </c>
      <c r="E94" s="21">
        <f>VLOOKUP(C94,SYS!$F$5:$G$360,2,FALSE)</f>
        <v>55</v>
      </c>
      <c r="F94" s="49">
        <v>50</v>
      </c>
      <c r="G94" s="49">
        <v>0.22259999999999999</v>
      </c>
      <c r="H94" s="3">
        <v>-1</v>
      </c>
      <c r="I94" s="3">
        <v>-1</v>
      </c>
      <c r="J94" s="11">
        <v>0</v>
      </c>
      <c r="K94" s="25">
        <f t="shared" si="13"/>
        <v>0.01</v>
      </c>
      <c r="L94" s="25">
        <v>0.45100000000000001</v>
      </c>
      <c r="M94" s="25">
        <v>0.45100000000000001</v>
      </c>
      <c r="N94" s="11" t="s">
        <v>462</v>
      </c>
      <c r="O94" s="26" t="str">
        <f>VLOOKUP(TRN!D94,SYS!$G$5:$H$360,2,FALSE)</f>
        <v>新潟変電所</v>
      </c>
      <c r="P94" s="26" t="str">
        <f>VLOOKUP(TRN!E94,SYS!$G$5:$H$360,2,FALSE)</f>
        <v>本名変電所</v>
      </c>
      <c r="S94" s="1"/>
      <c r="T94" s="88">
        <v>208755.91069941025</v>
      </c>
      <c r="U94" s="89">
        <v>159198.79964278883</v>
      </c>
      <c r="V94" s="25">
        <v>0.45100000000000001</v>
      </c>
      <c r="W94" s="25">
        <v>0.45100000000000001</v>
      </c>
    </row>
    <row r="95" spans="1:23" x14ac:dyDescent="0.2">
      <c r="A95" s="3">
        <v>90</v>
      </c>
      <c r="B95" s="3" t="s">
        <v>983</v>
      </c>
      <c r="C95" s="3" t="s">
        <v>973</v>
      </c>
      <c r="D95" s="21">
        <f>VLOOKUP(B95,SYS!$F$5:$G$360,2,FALSE)</f>
        <v>55</v>
      </c>
      <c r="E95" s="21">
        <f>VLOOKUP(C95,SYS!$F$5:$G$360,2,FALSE)</f>
        <v>50</v>
      </c>
      <c r="F95" s="49">
        <v>78</v>
      </c>
      <c r="G95" s="49">
        <v>0.3342</v>
      </c>
      <c r="H95" s="3">
        <v>-1</v>
      </c>
      <c r="I95" s="3">
        <v>-1</v>
      </c>
      <c r="J95" s="11">
        <v>0</v>
      </c>
      <c r="K95" s="25">
        <f t="shared" si="13"/>
        <v>1.5600000000000001E-2</v>
      </c>
      <c r="L95" s="65">
        <v>1.1000000000000001</v>
      </c>
      <c r="M95" s="65">
        <v>1.1000000000000001</v>
      </c>
      <c r="N95" s="66" t="s">
        <v>841</v>
      </c>
      <c r="O95" s="26" t="str">
        <f>VLOOKUP(TRN!D95,SYS!$G$5:$H$360,2,FALSE)</f>
        <v>本名変電所</v>
      </c>
      <c r="P95" s="26" t="str">
        <f>VLOOKUP(TRN!E95,SYS!$G$5:$H$360,2,FALSE)</f>
        <v>米沢変電所</v>
      </c>
      <c r="S95" s="1"/>
      <c r="T95" s="88">
        <v>75093.090073443775</v>
      </c>
      <c r="U95" s="89">
        <v>2382.2463897486837</v>
      </c>
      <c r="V95" s="65">
        <v>1.1000000000000001</v>
      </c>
      <c r="W95" s="65">
        <v>1.1000000000000001</v>
      </c>
    </row>
    <row r="96" spans="1:23" x14ac:dyDescent="0.2">
      <c r="A96" s="3">
        <v>91</v>
      </c>
      <c r="B96" s="3" t="s">
        <v>1504</v>
      </c>
      <c r="C96" s="3" t="s">
        <v>975</v>
      </c>
      <c r="D96" s="21">
        <f>VLOOKUP(B96,SYS!$F$5:$G$360,2,FALSE)</f>
        <v>37</v>
      </c>
      <c r="E96" s="21">
        <f>VLOOKUP(C96,SYS!$F$5:$G$360,2,FALSE)</f>
        <v>51</v>
      </c>
      <c r="F96" s="49">
        <v>55</v>
      </c>
      <c r="G96" s="64">
        <f t="shared" si="14"/>
        <v>0.13607036787897578</v>
      </c>
      <c r="H96" s="3">
        <v>-1</v>
      </c>
      <c r="I96" s="3">
        <v>-1</v>
      </c>
      <c r="J96" s="11">
        <v>0</v>
      </c>
      <c r="K96" s="25">
        <f t="shared" si="13"/>
        <v>1.1000000000000001E-2</v>
      </c>
      <c r="L96" s="65">
        <v>1.9239999999999999</v>
      </c>
      <c r="M96" s="65">
        <v>1.9239999999999999</v>
      </c>
      <c r="N96" s="56" t="s">
        <v>463</v>
      </c>
      <c r="O96" s="26" t="str">
        <f>VLOOKUP(TRN!D96,SYS!$G$5:$H$360,2,FALSE)</f>
        <v>南相馬変電所</v>
      </c>
      <c r="P96" s="26" t="str">
        <f>VLOOKUP(TRN!E96,SYS!$G$5:$H$360,2,FALSE)</f>
        <v>福島変電所</v>
      </c>
      <c r="S96" s="1"/>
      <c r="T96" s="88">
        <v>176458.5371952334</v>
      </c>
      <c r="U96" s="89">
        <v>0.80605189849552294</v>
      </c>
      <c r="V96" s="65">
        <v>1.9239999999999999</v>
      </c>
      <c r="W96" s="65">
        <v>1.9239999999999999</v>
      </c>
    </row>
    <row r="97" spans="1:29" x14ac:dyDescent="0.2">
      <c r="A97" s="3">
        <v>92</v>
      </c>
      <c r="B97" s="3" t="s">
        <v>975</v>
      </c>
      <c r="C97" s="3" t="s">
        <v>985</v>
      </c>
      <c r="D97" s="21">
        <f>VLOOKUP(B97,SYS!$F$5:$G$360,2,FALSE)</f>
        <v>51</v>
      </c>
      <c r="E97" s="21">
        <f>VLOOKUP(C97,SYS!$F$5:$G$360,2,FALSE)</f>
        <v>56</v>
      </c>
      <c r="F97" s="49">
        <v>46</v>
      </c>
      <c r="G97" s="49">
        <v>0.18790000000000001</v>
      </c>
      <c r="H97" s="3">
        <v>-1</v>
      </c>
      <c r="I97" s="3">
        <v>-1</v>
      </c>
      <c r="J97" s="11">
        <v>0</v>
      </c>
      <c r="K97" s="25">
        <f t="shared" si="13"/>
        <v>9.1999999999999998E-3</v>
      </c>
      <c r="L97" s="58">
        <v>1.9239999999999999</v>
      </c>
      <c r="M97" s="58">
        <v>1.9239999999999999</v>
      </c>
      <c r="N97" s="11" t="s">
        <v>464</v>
      </c>
      <c r="O97" s="26" t="str">
        <f>VLOOKUP(TRN!D97,SYS!$G$5:$H$360,2,FALSE)</f>
        <v>福島変電所</v>
      </c>
      <c r="P97" s="26" t="str">
        <f>VLOOKUP(TRN!E97,SYS!$G$5:$H$360,2,FALSE)</f>
        <v>須賀川変電所</v>
      </c>
      <c r="Q97" s="25">
        <v>1.298</v>
      </c>
      <c r="S97" s="1"/>
      <c r="T97" s="88">
        <v>3712.415163014015</v>
      </c>
      <c r="U97" s="89">
        <v>1.1673399841484466</v>
      </c>
      <c r="V97" s="58">
        <v>1.9239999999999999</v>
      </c>
      <c r="W97" s="58">
        <v>1.9239999999999999</v>
      </c>
    </row>
    <row r="98" spans="1:29" x14ac:dyDescent="0.2">
      <c r="A98" s="3">
        <v>93</v>
      </c>
      <c r="B98" s="3" t="s">
        <v>987</v>
      </c>
      <c r="C98" s="3" t="s">
        <v>985</v>
      </c>
      <c r="D98" s="21">
        <f>VLOOKUP(B98,SYS!$F$5:$G$360,2,FALSE)</f>
        <v>57</v>
      </c>
      <c r="E98" s="21">
        <f>VLOOKUP(C98,SYS!$F$5:$G$360,2,FALSE)</f>
        <v>56</v>
      </c>
      <c r="F98" s="49">
        <v>12</v>
      </c>
      <c r="G98" s="49">
        <v>0.2011</v>
      </c>
      <c r="H98" s="3">
        <v>-1</v>
      </c>
      <c r="I98" s="3">
        <v>-1</v>
      </c>
      <c r="J98" s="11">
        <v>0</v>
      </c>
      <c r="K98" s="25">
        <f t="shared" si="13"/>
        <v>2.4000000000000002E-3</v>
      </c>
      <c r="L98" s="25">
        <v>1.3440000000000001</v>
      </c>
      <c r="M98" s="25">
        <v>1.3440000000000001</v>
      </c>
      <c r="N98" s="11" t="s">
        <v>465</v>
      </c>
      <c r="O98" s="26" t="str">
        <f>VLOOKUP(TRN!D98,SYS!$G$5:$H$360,2,FALSE)</f>
        <v>いわき変電所</v>
      </c>
      <c r="P98" s="26" t="str">
        <f>VLOOKUP(TRN!E98,SYS!$G$5:$H$360,2,FALSE)</f>
        <v>須賀川変電所</v>
      </c>
      <c r="S98" s="1"/>
      <c r="T98" s="88">
        <v>1.6346816724974025</v>
      </c>
      <c r="U98" s="89">
        <v>1.50021331269353</v>
      </c>
      <c r="V98" s="25">
        <v>1.3440000000000001</v>
      </c>
      <c r="W98" s="25">
        <v>1.3440000000000001</v>
      </c>
      <c r="AC98" s="18"/>
    </row>
    <row r="99" spans="1:29" x14ac:dyDescent="0.2">
      <c r="A99" s="3">
        <v>94</v>
      </c>
      <c r="B99" s="3" t="s">
        <v>1512</v>
      </c>
      <c r="C99" s="3" t="s">
        <v>993</v>
      </c>
      <c r="D99" s="21">
        <f>VLOOKUP(B99,SYS!$F$5:$G$360,2,FALSE)</f>
        <v>58</v>
      </c>
      <c r="E99" s="21">
        <f>VLOOKUP(C99,SYS!$F$5:$G$360,2,FALSE)</f>
        <v>59</v>
      </c>
      <c r="F99" s="49">
        <v>39</v>
      </c>
      <c r="G99" s="64">
        <f t="shared" si="14"/>
        <v>0.1695591889890864</v>
      </c>
      <c r="H99" s="3">
        <v>-1</v>
      </c>
      <c r="I99" s="3">
        <v>-1</v>
      </c>
      <c r="J99" s="11">
        <v>0</v>
      </c>
      <c r="K99" s="25">
        <f t="shared" si="13"/>
        <v>7.8000000000000005E-3</v>
      </c>
      <c r="L99" s="65">
        <v>1.544</v>
      </c>
      <c r="M99" s="65">
        <v>1.544</v>
      </c>
      <c r="N99" s="11" t="s">
        <v>467</v>
      </c>
      <c r="O99" s="26" t="str">
        <f>VLOOKUP(TRN!D99,SYS!$G$5:$H$360,2,FALSE)</f>
        <v>信濃川変電所</v>
      </c>
      <c r="P99" s="26" t="str">
        <f>VLOOKUP(TRN!E99,SYS!$G$5:$H$360,2,FALSE)</f>
        <v>東上越変電所</v>
      </c>
      <c r="S99" s="1"/>
      <c r="T99" s="88">
        <v>1.327769717952114</v>
      </c>
      <c r="U99" s="89">
        <v>1.3180225505498235</v>
      </c>
      <c r="V99" s="65">
        <v>1.544</v>
      </c>
      <c r="W99" s="65">
        <v>1.544</v>
      </c>
      <c r="AC99" s="18"/>
    </row>
    <row r="100" spans="1:29" x14ac:dyDescent="0.2">
      <c r="A100" s="3">
        <v>95</v>
      </c>
      <c r="B100" s="3" t="s">
        <v>1512</v>
      </c>
      <c r="C100" s="3" t="s">
        <v>983</v>
      </c>
      <c r="D100" s="21">
        <f>VLOOKUP(B100,SYS!$F$5:$G$360,2,FALSE)</f>
        <v>58</v>
      </c>
      <c r="E100" s="21">
        <f>VLOOKUP(C100,SYS!$F$5:$G$360,2,FALSE)</f>
        <v>55</v>
      </c>
      <c r="F100" s="49">
        <v>90</v>
      </c>
      <c r="G100" s="64">
        <f t="shared" si="14"/>
        <v>0.26179938779914941</v>
      </c>
      <c r="H100" s="3">
        <v>-1</v>
      </c>
      <c r="I100" s="3">
        <v>-1</v>
      </c>
      <c r="J100" s="11">
        <v>0</v>
      </c>
      <c r="K100" s="25">
        <f t="shared" si="13"/>
        <v>1.8000000000000002E-2</v>
      </c>
      <c r="L100" s="64">
        <v>1</v>
      </c>
      <c r="M100" s="64">
        <v>1</v>
      </c>
      <c r="N100" s="11" t="s">
        <v>468</v>
      </c>
      <c r="O100" s="26" t="str">
        <f>VLOOKUP(TRN!D100,SYS!$G$5:$H$360,2,FALSE)</f>
        <v>信濃川変電所</v>
      </c>
      <c r="P100" s="26" t="str">
        <f>VLOOKUP(TRN!E100,SYS!$G$5:$H$360,2,FALSE)</f>
        <v>本名変電所</v>
      </c>
      <c r="S100" s="1"/>
      <c r="T100" s="88">
        <v>2.1836567181622111</v>
      </c>
      <c r="U100" s="89">
        <v>2.0088675977778006</v>
      </c>
      <c r="V100" s="64">
        <v>1</v>
      </c>
      <c r="W100" s="64">
        <v>1</v>
      </c>
      <c r="AC100" s="18"/>
    </row>
    <row r="101" spans="1:29" x14ac:dyDescent="0.2">
      <c r="A101" s="3">
        <v>96</v>
      </c>
      <c r="B101" s="3" t="s">
        <v>997</v>
      </c>
      <c r="C101" s="3" t="s">
        <v>951</v>
      </c>
      <c r="D101" s="21">
        <f>VLOOKUP(B101,SYS!$F$5:$G$360,2,FALSE)</f>
        <v>60</v>
      </c>
      <c r="E101" s="21">
        <f>VLOOKUP(C101,SYS!$F$5:$G$360,2,FALSE)</f>
        <v>38</v>
      </c>
      <c r="F101" s="49">
        <v>45</v>
      </c>
      <c r="G101" s="64">
        <f t="shared" si="14"/>
        <v>0.29682470272012407</v>
      </c>
      <c r="H101" s="3">
        <v>-1</v>
      </c>
      <c r="I101" s="3">
        <v>-1</v>
      </c>
      <c r="J101" s="11">
        <v>0</v>
      </c>
      <c r="K101" s="25">
        <f t="shared" si="13"/>
        <v>9.0000000000000011E-3</v>
      </c>
      <c r="L101" s="32">
        <v>0.88200000000000001</v>
      </c>
      <c r="M101" s="32">
        <v>0.88200000000000001</v>
      </c>
      <c r="N101" s="11" t="s">
        <v>469</v>
      </c>
      <c r="O101" s="26" t="str">
        <f>VLOOKUP(TRN!D101,SYS!$G$5:$H$360,2,FALSE)</f>
        <v>今別変換所</v>
      </c>
      <c r="P101" s="26" t="str">
        <f>VLOOKUP(TRN!E101,SYS!$G$5:$H$360,2,FALSE)</f>
        <v>青森変電所</v>
      </c>
      <c r="R101" s="18" t="s">
        <v>821</v>
      </c>
      <c r="S101" s="1"/>
      <c r="T101" s="88">
        <v>2.0993620119346588</v>
      </c>
      <c r="U101" s="89">
        <v>3.7065536101470866</v>
      </c>
      <c r="V101" s="32">
        <v>0.88200000000000001</v>
      </c>
      <c r="W101" s="32">
        <v>0.88200000000000001</v>
      </c>
      <c r="AC101" s="18"/>
    </row>
    <row r="102" spans="1:29" x14ac:dyDescent="0.2">
      <c r="A102" s="3">
        <v>97</v>
      </c>
      <c r="B102" s="3" t="s">
        <v>1593</v>
      </c>
      <c r="C102" s="3" t="s">
        <v>1511</v>
      </c>
      <c r="D102" s="21">
        <f>VLOOKUP(B102,SYS!$F$5:$G$360,2,FALSE)</f>
        <v>61</v>
      </c>
      <c r="E102" s="21">
        <f>VLOOKUP(C102,SYS!$F$5:$G$360,2,FALSE)</f>
        <v>62</v>
      </c>
      <c r="F102" s="49">
        <v>7.5</v>
      </c>
      <c r="G102" s="64">
        <f t="shared" si="14"/>
        <v>5.5785081568111961E-2</v>
      </c>
      <c r="H102" s="3">
        <v>-1</v>
      </c>
      <c r="I102" s="3">
        <v>-1</v>
      </c>
      <c r="J102" s="11">
        <v>0</v>
      </c>
      <c r="K102" s="25">
        <f t="shared" si="13"/>
        <v>1.5E-3</v>
      </c>
      <c r="L102" s="32">
        <v>4.6929999999999996</v>
      </c>
      <c r="M102" s="32">
        <v>4.6929999999999996</v>
      </c>
      <c r="N102" s="56" t="s">
        <v>1596</v>
      </c>
      <c r="O102" s="26" t="str">
        <f>VLOOKUP(TRN!D102,SYS!$G$5:$H$360,2,FALSE)</f>
        <v>旧福島第二原子力</v>
      </c>
      <c r="P102" s="26" t="str">
        <f>VLOOKUP(TRN!E102,SYS!$G$5:$H$360,2,FALSE)</f>
        <v>新福島変電所</v>
      </c>
      <c r="R102" s="18"/>
      <c r="S102" s="1"/>
      <c r="T102" s="88">
        <v>0.42788595345924085</v>
      </c>
      <c r="U102" s="89">
        <v>0.42308676807071616</v>
      </c>
      <c r="V102" s="32">
        <v>4.6929999999999996</v>
      </c>
      <c r="W102" s="32">
        <v>4.6929999999999996</v>
      </c>
      <c r="AC102" s="18"/>
    </row>
    <row r="103" spans="1:29" x14ac:dyDescent="0.2">
      <c r="A103" s="3">
        <v>98</v>
      </c>
      <c r="B103" s="3" t="s">
        <v>1511</v>
      </c>
      <c r="C103" s="3" t="s">
        <v>1000</v>
      </c>
      <c r="D103" s="21">
        <f>VLOOKUP(B103,SYS!$F$5:$G$360,2,FALSE)</f>
        <v>62</v>
      </c>
      <c r="E103" s="21">
        <f>VLOOKUP(C103,SYS!$F$5:$G$360,2,FALSE)</f>
        <v>64</v>
      </c>
      <c r="F103" s="49">
        <v>45</v>
      </c>
      <c r="G103" s="64">
        <f t="shared" si="14"/>
        <v>7.9550102643314927E-2</v>
      </c>
      <c r="H103" s="3">
        <v>-1</v>
      </c>
      <c r="I103" s="3">
        <v>-1</v>
      </c>
      <c r="J103" s="11">
        <v>0</v>
      </c>
      <c r="K103" s="25">
        <f t="shared" si="13"/>
        <v>9.0000000000000011E-3</v>
      </c>
      <c r="L103" s="26">
        <v>3.2909999999999999</v>
      </c>
      <c r="M103" s="26">
        <v>3.2909999999999999</v>
      </c>
      <c r="N103" s="56" t="s">
        <v>1589</v>
      </c>
      <c r="O103" s="26" t="str">
        <f>VLOOKUP(TRN!D103,SYS!$G$5:$H$360,2,FALSE)</f>
        <v>新福島変電所</v>
      </c>
      <c r="P103" s="26" t="str">
        <f>VLOOKUP(TRN!E103,SYS!$G$5:$H$360,2,FALSE)</f>
        <v>新いわき開閉所</v>
      </c>
      <c r="R103" s="18"/>
      <c r="S103" s="1"/>
      <c r="T103" s="88">
        <v>0.51008851386599807</v>
      </c>
      <c r="U103" s="89">
        <v>0.77128344682791794</v>
      </c>
      <c r="V103" s="26">
        <v>3.2909999999999999</v>
      </c>
      <c r="W103" s="26">
        <v>3.2909999999999999</v>
      </c>
      <c r="AC103" s="18"/>
    </row>
    <row r="104" spans="1:29" x14ac:dyDescent="0.2">
      <c r="A104" s="3">
        <v>99</v>
      </c>
      <c r="B104" s="3" t="s">
        <v>1511</v>
      </c>
      <c r="C104" s="3" t="s">
        <v>1000</v>
      </c>
      <c r="D104" s="21">
        <f>VLOOKUP(B104,SYS!$F$5:$G$360,2,FALSE)</f>
        <v>62</v>
      </c>
      <c r="E104" s="21">
        <f>VLOOKUP(C104,SYS!$F$5:$G$360,2,FALSE)</f>
        <v>64</v>
      </c>
      <c r="F104" s="49">
        <v>45</v>
      </c>
      <c r="G104" s="64">
        <f t="shared" si="14"/>
        <v>7.9550102643314927E-2</v>
      </c>
      <c r="H104" s="3">
        <v>-1</v>
      </c>
      <c r="I104" s="3">
        <v>-1</v>
      </c>
      <c r="J104" s="11">
        <v>0</v>
      </c>
      <c r="K104" s="25">
        <f t="shared" si="13"/>
        <v>9.0000000000000011E-3</v>
      </c>
      <c r="L104" s="26">
        <v>3.2909999999999999</v>
      </c>
      <c r="M104" s="26">
        <v>3.2909999999999999</v>
      </c>
      <c r="N104" s="56" t="s">
        <v>1590</v>
      </c>
      <c r="O104" s="26" t="str">
        <f>VLOOKUP(TRN!D104,SYS!$G$5:$H$360,2,FALSE)</f>
        <v>新福島変電所</v>
      </c>
      <c r="P104" s="26" t="str">
        <f>VLOOKUP(TRN!E104,SYS!$G$5:$H$360,2,FALSE)</f>
        <v>新いわき開閉所</v>
      </c>
      <c r="R104" s="18"/>
      <c r="S104" s="1"/>
      <c r="T104" s="88">
        <v>0.5100885138698793</v>
      </c>
      <c r="U104" s="89">
        <v>0.77128344681961447</v>
      </c>
      <c r="V104" s="26">
        <v>3.2909999999999999</v>
      </c>
      <c r="W104" s="26">
        <v>3.2909999999999999</v>
      </c>
      <c r="AC104" s="18"/>
    </row>
    <row r="105" spans="1:29" x14ac:dyDescent="0.2">
      <c r="A105" s="3">
        <v>100</v>
      </c>
      <c r="B105" s="3" t="s">
        <v>995</v>
      </c>
      <c r="C105" s="3" t="s">
        <v>999</v>
      </c>
      <c r="D105" s="21">
        <f>VLOOKUP(B105,SYS!$F$5:$G$360,2,FALSE)</f>
        <v>63</v>
      </c>
      <c r="E105" s="21">
        <f>VLOOKUP(C105,SYS!$F$5:$G$360,2,FALSE)</f>
        <v>64</v>
      </c>
      <c r="F105" s="49">
        <v>30</v>
      </c>
      <c r="G105" s="64">
        <f t="shared" si="14"/>
        <v>3.9775051321657463E-2</v>
      </c>
      <c r="H105" s="3">
        <v>-1</v>
      </c>
      <c r="I105" s="3">
        <v>-1</v>
      </c>
      <c r="J105" s="11">
        <v>0</v>
      </c>
      <c r="K105" s="25">
        <f t="shared" si="13"/>
        <v>6.0000000000000001E-3</v>
      </c>
      <c r="L105" s="25">
        <v>6.5819999999999999</v>
      </c>
      <c r="M105" s="25">
        <v>6.5819999999999999</v>
      </c>
      <c r="N105" s="11" t="s">
        <v>470</v>
      </c>
      <c r="O105" s="26" t="str">
        <f>VLOOKUP(TRN!D105,SYS!$G$5:$H$360,2,FALSE)</f>
        <v>南いわき開閉所</v>
      </c>
      <c r="P105" s="26" t="str">
        <f>VLOOKUP(TRN!E105,SYS!$G$5:$H$360,2,FALSE)</f>
        <v>新いわき開閉所</v>
      </c>
      <c r="R105" s="18" t="s">
        <v>821</v>
      </c>
      <c r="S105" s="1"/>
      <c r="T105" s="88">
        <v>0.18112860250642798</v>
      </c>
      <c r="U105" s="89">
        <v>20893.418191799548</v>
      </c>
      <c r="V105" s="25">
        <v>6.5819999999999999</v>
      </c>
      <c r="W105" s="25">
        <v>6.5819999999999999</v>
      </c>
      <c r="AC105" s="18"/>
    </row>
    <row r="106" spans="1:29" x14ac:dyDescent="0.2">
      <c r="A106" s="3">
        <v>101</v>
      </c>
      <c r="B106" s="3" t="s">
        <v>995</v>
      </c>
      <c r="C106" s="3" t="s">
        <v>1001</v>
      </c>
      <c r="D106" s="21">
        <f>VLOOKUP(B106,SYS!$F$5:$G$360,2,FALSE)</f>
        <v>63</v>
      </c>
      <c r="E106" s="21">
        <f>VLOOKUP(C106,SYS!$F$5:$G$360,2,FALSE)</f>
        <v>65</v>
      </c>
      <c r="F106" s="49">
        <v>195</v>
      </c>
      <c r="G106" s="49">
        <v>0.19692999999999999</v>
      </c>
      <c r="H106" s="3">
        <v>-1</v>
      </c>
      <c r="I106" s="3">
        <v>-1</v>
      </c>
      <c r="J106" s="11">
        <v>0</v>
      </c>
      <c r="K106" s="25">
        <f t="shared" si="13"/>
        <v>3.9E-2</v>
      </c>
      <c r="L106" s="25">
        <v>4.9359999999999999</v>
      </c>
      <c r="M106" s="25">
        <v>4.9359999999999999</v>
      </c>
      <c r="N106" s="11" t="s">
        <v>471</v>
      </c>
      <c r="O106" s="26" t="str">
        <f>VLOOKUP(TRN!D106,SYS!$G$5:$H$360,2,FALSE)</f>
        <v>南いわき開閉所</v>
      </c>
      <c r="P106" s="26" t="str">
        <f>VLOOKUP(TRN!E106,SYS!$G$5:$H$360,2,FALSE)</f>
        <v>東群馬変電所</v>
      </c>
      <c r="S106" s="1"/>
      <c r="T106" s="88">
        <v>0.30395269171720973</v>
      </c>
      <c r="U106" s="89">
        <v>0.70897886932740217</v>
      </c>
      <c r="V106" s="25">
        <v>4.9359999999999999</v>
      </c>
      <c r="W106" s="25">
        <v>4.9359999999999999</v>
      </c>
      <c r="AC106" s="18"/>
    </row>
    <row r="107" spans="1:29" x14ac:dyDescent="0.2">
      <c r="A107" s="3">
        <v>102</v>
      </c>
      <c r="B107" s="3" t="s">
        <v>999</v>
      </c>
      <c r="C107" s="3" t="s">
        <v>1003</v>
      </c>
      <c r="D107" s="21">
        <f>VLOOKUP(B107,SYS!$F$5:$G$360,2,FALSE)</f>
        <v>64</v>
      </c>
      <c r="E107" s="21">
        <f>VLOOKUP(C107,SYS!$F$5:$G$360,2,FALSE)</f>
        <v>66</v>
      </c>
      <c r="F107" s="49">
        <v>110</v>
      </c>
      <c r="G107" s="49">
        <v>0.11586</v>
      </c>
      <c r="H107" s="3">
        <v>-1</v>
      </c>
      <c r="I107" s="3">
        <v>-1</v>
      </c>
      <c r="J107" s="11">
        <v>0</v>
      </c>
      <c r="K107" s="25">
        <f t="shared" si="13"/>
        <v>2.2000000000000002E-2</v>
      </c>
      <c r="L107" s="25">
        <v>6.5819999999999999</v>
      </c>
      <c r="M107" s="25">
        <v>6.5819999999999999</v>
      </c>
      <c r="N107" s="11" t="s">
        <v>472</v>
      </c>
      <c r="O107" s="26" t="str">
        <f>VLOOKUP(TRN!D107,SYS!$G$5:$H$360,2,FALSE)</f>
        <v>新いわき開閉所</v>
      </c>
      <c r="P107" s="26" t="str">
        <f>VLOOKUP(TRN!E107,SYS!$G$5:$H$360,2,FALSE)</f>
        <v>新今市開閉所</v>
      </c>
      <c r="S107" s="1"/>
      <c r="T107" s="88">
        <v>0.2720830424115524</v>
      </c>
      <c r="U107" s="89">
        <v>0.33708369675889943</v>
      </c>
      <c r="V107" s="25">
        <v>6.5819999999999999</v>
      </c>
      <c r="W107" s="25">
        <v>6.5819999999999999</v>
      </c>
      <c r="AC107" s="18"/>
    </row>
    <row r="108" spans="1:29" x14ac:dyDescent="0.2">
      <c r="A108" s="3">
        <v>103</v>
      </c>
      <c r="B108" s="3" t="s">
        <v>999</v>
      </c>
      <c r="C108" s="3" t="s">
        <v>1005</v>
      </c>
      <c r="D108" s="21">
        <f>VLOOKUP(B108,SYS!$F$5:$G$360,2,FALSE)</f>
        <v>64</v>
      </c>
      <c r="E108" s="21">
        <f>VLOOKUP(C108,SYS!$F$5:$G$360,2,FALSE)</f>
        <v>67</v>
      </c>
      <c r="F108" s="49">
        <v>89</v>
      </c>
      <c r="G108" s="49">
        <v>3.7600000000000001E-2</v>
      </c>
      <c r="H108" s="3">
        <v>-1</v>
      </c>
      <c r="I108" s="3">
        <v>-1</v>
      </c>
      <c r="J108" s="11">
        <v>0</v>
      </c>
      <c r="K108" s="25">
        <f t="shared" si="13"/>
        <v>1.78E-2</v>
      </c>
      <c r="L108" s="25">
        <v>3.2909999999999999</v>
      </c>
      <c r="M108" s="25">
        <v>3.2909999999999999</v>
      </c>
      <c r="N108" s="11" t="s">
        <v>473</v>
      </c>
      <c r="O108" s="26" t="str">
        <f>VLOOKUP(TRN!D108,SYS!$G$5:$H$360,2,FALSE)</f>
        <v>新いわき開閉所</v>
      </c>
      <c r="P108" s="26" t="str">
        <f>VLOOKUP(TRN!E108,SYS!$G$5:$H$360,2,FALSE)</f>
        <v>新茂木変電所</v>
      </c>
      <c r="S108" s="1"/>
      <c r="T108" s="88">
        <v>0.34405035273969881</v>
      </c>
      <c r="U108" s="89">
        <v>584346.43290726608</v>
      </c>
      <c r="V108" s="25">
        <v>3.2909999999999999</v>
      </c>
      <c r="W108" s="25">
        <v>3.2909999999999999</v>
      </c>
      <c r="AC108" s="18"/>
    </row>
    <row r="109" spans="1:29" x14ac:dyDescent="0.2">
      <c r="A109" s="3">
        <v>104</v>
      </c>
      <c r="B109" s="3" t="s">
        <v>999</v>
      </c>
      <c r="C109" s="3" t="s">
        <v>1007</v>
      </c>
      <c r="D109" s="21">
        <f>VLOOKUP(B109,SYS!$F$5:$G$360,2,FALSE)</f>
        <v>64</v>
      </c>
      <c r="E109" s="21">
        <f>VLOOKUP(C109,SYS!$F$5:$G$360,2,FALSE)</f>
        <v>68</v>
      </c>
      <c r="F109" s="49">
        <v>138</v>
      </c>
      <c r="G109" s="49">
        <v>0.15311</v>
      </c>
      <c r="H109" s="3">
        <v>-1</v>
      </c>
      <c r="I109" s="3">
        <v>-1</v>
      </c>
      <c r="J109" s="11">
        <v>0</v>
      </c>
      <c r="K109" s="25">
        <f t="shared" si="13"/>
        <v>2.7600000000000003E-2</v>
      </c>
      <c r="L109" s="25">
        <v>3.2909999999999999</v>
      </c>
      <c r="M109" s="25">
        <v>3.2909999999999999</v>
      </c>
      <c r="N109" s="11" t="s">
        <v>474</v>
      </c>
      <c r="O109" s="26" t="str">
        <f>VLOOKUP(TRN!D109,SYS!$G$5:$H$360,2,FALSE)</f>
        <v>新いわき開閉所</v>
      </c>
      <c r="P109" s="26" t="str">
        <f>VLOOKUP(TRN!E109,SYS!$G$5:$H$360,2,FALSE)</f>
        <v>新筑波変電所</v>
      </c>
      <c r="S109" s="1"/>
      <c r="T109" s="88">
        <v>0.40654930709605613</v>
      </c>
      <c r="U109" s="89">
        <v>1.3502444800167461</v>
      </c>
      <c r="V109" s="25">
        <v>3.2909999999999999</v>
      </c>
      <c r="W109" s="25">
        <v>3.2909999999999999</v>
      </c>
      <c r="AC109" s="18"/>
    </row>
    <row r="110" spans="1:29" x14ac:dyDescent="0.2">
      <c r="A110" s="3">
        <v>105</v>
      </c>
      <c r="B110" s="3" t="s">
        <v>1005</v>
      </c>
      <c r="C110" s="3" t="s">
        <v>1009</v>
      </c>
      <c r="D110" s="21">
        <f>VLOOKUP(B110,SYS!$F$5:$G$360,2,FALSE)</f>
        <v>67</v>
      </c>
      <c r="E110" s="21">
        <f>VLOOKUP(C110,SYS!$F$5:$G$360,2,FALSE)</f>
        <v>69</v>
      </c>
      <c r="F110" s="49">
        <v>27</v>
      </c>
      <c r="G110" s="49">
        <v>2.8420000000000001E-2</v>
      </c>
      <c r="H110" s="3">
        <v>-1</v>
      </c>
      <c r="I110" s="3">
        <v>-1</v>
      </c>
      <c r="J110" s="11">
        <v>0</v>
      </c>
      <c r="K110" s="25">
        <f t="shared" si="13"/>
        <v>5.4000000000000003E-3</v>
      </c>
      <c r="L110" s="25">
        <v>6.5819999999999999</v>
      </c>
      <c r="M110" s="25">
        <v>6.5819999999999999</v>
      </c>
      <c r="N110" s="11" t="s">
        <v>475</v>
      </c>
      <c r="O110" s="26" t="str">
        <f>VLOOKUP(TRN!D110,SYS!$G$5:$H$360,2,FALSE)</f>
        <v>新茂木変電所</v>
      </c>
      <c r="P110" s="26" t="str">
        <f>VLOOKUP(TRN!E110,SYS!$G$5:$H$360,2,FALSE)</f>
        <v>新栃木変電所</v>
      </c>
      <c r="S110" s="1"/>
      <c r="T110" s="88">
        <v>382.65715851840275</v>
      </c>
      <c r="U110" s="89">
        <v>0.3069763943515591</v>
      </c>
      <c r="V110" s="25">
        <v>6.5819999999999999</v>
      </c>
      <c r="W110" s="25">
        <v>6.5819999999999999</v>
      </c>
      <c r="AC110" s="18"/>
    </row>
    <row r="111" spans="1:29" x14ac:dyDescent="0.2">
      <c r="A111" s="3">
        <v>106</v>
      </c>
      <c r="B111" s="3" t="s">
        <v>1011</v>
      </c>
      <c r="C111" s="3" t="s">
        <v>1005</v>
      </c>
      <c r="D111" s="21">
        <f>VLOOKUP(B111,SYS!$F$5:$G$360,2,FALSE)</f>
        <v>70</v>
      </c>
      <c r="E111" s="21">
        <f>VLOOKUP(C111,SYS!$F$5:$G$360,2,FALSE)</f>
        <v>67</v>
      </c>
      <c r="F111" s="49">
        <v>28</v>
      </c>
      <c r="G111" s="49">
        <v>8.8999999999999996E-2</v>
      </c>
      <c r="H111" s="3">
        <v>-1</v>
      </c>
      <c r="I111" s="3">
        <v>-1</v>
      </c>
      <c r="J111" s="11">
        <v>0</v>
      </c>
      <c r="K111" s="25">
        <f t="shared" si="13"/>
        <v>5.5999999999999999E-3</v>
      </c>
      <c r="L111" s="25">
        <v>3.62</v>
      </c>
      <c r="M111" s="25">
        <v>3.62</v>
      </c>
      <c r="N111" s="11" t="s">
        <v>476</v>
      </c>
      <c r="O111" s="26" t="str">
        <f>VLOOKUP(TRN!D111,SYS!$G$5:$H$360,2,FALSE)</f>
        <v>那珂変電所</v>
      </c>
      <c r="P111" s="26" t="str">
        <f>VLOOKUP(TRN!E111,SYS!$G$5:$H$360,2,FALSE)</f>
        <v>新茂木変電所</v>
      </c>
      <c r="S111" s="1"/>
      <c r="T111" s="88">
        <v>0.51487961968679796</v>
      </c>
      <c r="U111" s="89">
        <v>345.92122617034079</v>
      </c>
      <c r="V111" s="25">
        <v>3.62</v>
      </c>
      <c r="W111" s="25">
        <v>3.62</v>
      </c>
      <c r="AC111" s="18"/>
    </row>
    <row r="112" spans="1:29" x14ac:dyDescent="0.2">
      <c r="A112" s="3">
        <v>107</v>
      </c>
      <c r="B112" s="3" t="s">
        <v>1005</v>
      </c>
      <c r="C112" s="3" t="s">
        <v>1013</v>
      </c>
      <c r="D112" s="21">
        <f>VLOOKUP(B112,SYS!$F$5:$G$360,2,FALSE)</f>
        <v>67</v>
      </c>
      <c r="E112" s="21">
        <f>VLOOKUP(C112,SYS!$F$5:$G$360,2,FALSE)</f>
        <v>71</v>
      </c>
      <c r="F112" s="49">
        <v>59</v>
      </c>
      <c r="G112" s="49">
        <v>6.6589999999999996E-2</v>
      </c>
      <c r="H112" s="3">
        <v>-1</v>
      </c>
      <c r="I112" s="3">
        <v>-1</v>
      </c>
      <c r="J112" s="11">
        <v>0</v>
      </c>
      <c r="K112" s="25">
        <f t="shared" si="13"/>
        <v>1.18E-2</v>
      </c>
      <c r="L112" s="25">
        <v>3.2909999999999999</v>
      </c>
      <c r="M112" s="25">
        <v>3.2909999999999999</v>
      </c>
      <c r="N112" s="11" t="s">
        <v>477</v>
      </c>
      <c r="O112" s="26" t="str">
        <f>VLOOKUP(TRN!D112,SYS!$G$5:$H$360,2,FALSE)</f>
        <v>新茂木変電所</v>
      </c>
      <c r="P112" s="26" t="str">
        <f>VLOOKUP(TRN!E112,SYS!$G$5:$H$360,2,FALSE)</f>
        <v>新古河変電所</v>
      </c>
      <c r="S112" s="1"/>
      <c r="T112" s="88">
        <v>0.35013201146530631</v>
      </c>
      <c r="U112" s="89">
        <v>666693.25911512529</v>
      </c>
      <c r="V112" s="25">
        <v>3.2909999999999999</v>
      </c>
      <c r="W112" s="25">
        <v>3.2909999999999999</v>
      </c>
    </row>
    <row r="113" spans="1:29" x14ac:dyDescent="0.2">
      <c r="A113" s="3">
        <v>108</v>
      </c>
      <c r="B113" s="3" t="s">
        <v>1003</v>
      </c>
      <c r="C113" s="3" t="s">
        <v>1009</v>
      </c>
      <c r="D113" s="21">
        <f>VLOOKUP(B113,SYS!$F$5:$G$360,2,FALSE)</f>
        <v>66</v>
      </c>
      <c r="E113" s="21">
        <f>VLOOKUP(C113,SYS!$F$5:$G$360,2,FALSE)</f>
        <v>69</v>
      </c>
      <c r="F113" s="49">
        <v>12</v>
      </c>
      <c r="G113" s="49">
        <v>1.074E-2</v>
      </c>
      <c r="H113" s="3">
        <v>-1</v>
      </c>
      <c r="I113" s="3">
        <v>-1</v>
      </c>
      <c r="J113" s="11">
        <v>0</v>
      </c>
      <c r="K113" s="25">
        <f t="shared" si="13"/>
        <v>2.4000000000000002E-3</v>
      </c>
      <c r="L113" s="25">
        <v>6.5819999999999999</v>
      </c>
      <c r="M113" s="25">
        <v>6.5819999999999999</v>
      </c>
      <c r="N113" s="11" t="s">
        <v>478</v>
      </c>
      <c r="O113" s="26" t="str">
        <f>VLOOKUP(TRN!D113,SYS!$G$5:$H$360,2,FALSE)</f>
        <v>新今市開閉所</v>
      </c>
      <c r="P113" s="26" t="str">
        <f>VLOOKUP(TRN!E113,SYS!$G$5:$H$360,2,FALSE)</f>
        <v>新栃木変電所</v>
      </c>
      <c r="S113" s="1"/>
      <c r="T113" s="88">
        <v>0.24237223332317168</v>
      </c>
      <c r="U113" s="89">
        <v>0.41073168355627049</v>
      </c>
      <c r="V113" s="25">
        <v>6.5819999999999999</v>
      </c>
      <c r="W113" s="25">
        <v>6.5819999999999999</v>
      </c>
      <c r="AC113" s="18"/>
    </row>
    <row r="114" spans="1:29" x14ac:dyDescent="0.2">
      <c r="A114" s="3">
        <v>109</v>
      </c>
      <c r="B114" s="3" t="s">
        <v>1007</v>
      </c>
      <c r="C114" s="3" t="s">
        <v>1023</v>
      </c>
      <c r="D114" s="21">
        <f>VLOOKUP(B114,SYS!$F$5:$G$360,2,FALSE)</f>
        <v>68</v>
      </c>
      <c r="E114" s="21">
        <f>VLOOKUP(C114,SYS!$F$5:$G$360,2,FALSE)</f>
        <v>76</v>
      </c>
      <c r="F114" s="49">
        <v>80</v>
      </c>
      <c r="G114" s="49">
        <v>7.1400000000000005E-2</v>
      </c>
      <c r="H114" s="3">
        <v>-1</v>
      </c>
      <c r="I114" s="3">
        <v>-1</v>
      </c>
      <c r="J114" s="11">
        <v>0</v>
      </c>
      <c r="K114" s="25">
        <f t="shared" si="13"/>
        <v>1.6E-2</v>
      </c>
      <c r="L114" s="25">
        <v>6.5819999999999999</v>
      </c>
      <c r="M114" s="25">
        <v>6.5819999999999999</v>
      </c>
      <c r="N114" s="56" t="s">
        <v>834</v>
      </c>
      <c r="O114" s="26" t="str">
        <f>VLOOKUP(TRN!D114,SYS!$G$5:$H$360,2,FALSE)</f>
        <v>新筑波変電所</v>
      </c>
      <c r="P114" s="26" t="str">
        <f>VLOOKUP(TRN!E114,SYS!$G$5:$H$360,2,FALSE)</f>
        <v>新佐原変電所</v>
      </c>
      <c r="S114" s="1"/>
      <c r="T114" s="88">
        <v>0.29538890606603074</v>
      </c>
      <c r="U114" s="89">
        <v>0.31204589695827656</v>
      </c>
      <c r="V114" s="25">
        <v>6.5819999999999999</v>
      </c>
      <c r="W114" s="25">
        <v>6.5819999999999999</v>
      </c>
      <c r="AC114" s="18"/>
    </row>
    <row r="115" spans="1:29" x14ac:dyDescent="0.2">
      <c r="A115" s="3">
        <v>110</v>
      </c>
      <c r="B115" s="3" t="s">
        <v>1009</v>
      </c>
      <c r="C115" s="3" t="s">
        <v>1514</v>
      </c>
      <c r="D115" s="21">
        <f>VLOOKUP(B115,SYS!$F$5:$G$360,2,FALSE)</f>
        <v>69</v>
      </c>
      <c r="E115" s="21">
        <f>VLOOKUP(C115,SYS!$F$5:$G$360,2,FALSE)</f>
        <v>72</v>
      </c>
      <c r="F115" s="49">
        <v>75</v>
      </c>
      <c r="G115" s="49">
        <v>6.8519999999999998E-2</v>
      </c>
      <c r="H115" s="3">
        <v>-1</v>
      </c>
      <c r="I115" s="3">
        <v>-1</v>
      </c>
      <c r="J115" s="11">
        <v>0</v>
      </c>
      <c r="K115" s="25">
        <f t="shared" si="13"/>
        <v>1.5000000000000001E-2</v>
      </c>
      <c r="L115" s="25">
        <v>6.5819999999999999</v>
      </c>
      <c r="M115" s="25">
        <v>6.5819999999999999</v>
      </c>
      <c r="N115" s="11" t="s">
        <v>479</v>
      </c>
      <c r="O115" s="26" t="str">
        <f>VLOOKUP(TRN!D115,SYS!$G$5:$H$360,2,FALSE)</f>
        <v>新栃木変電所</v>
      </c>
      <c r="P115" s="26" t="str">
        <f>VLOOKUP(TRN!E115,SYS!$G$5:$H$360,2,FALSE)</f>
        <v>新新田変電所</v>
      </c>
      <c r="S115" s="1"/>
      <c r="T115" s="88">
        <v>0.24532228148868535</v>
      </c>
      <c r="U115" s="89">
        <v>0.46065414267818944</v>
      </c>
      <c r="V115" s="25">
        <v>6.5819999999999999</v>
      </c>
      <c r="W115" s="25">
        <v>6.5819999999999999</v>
      </c>
    </row>
    <row r="116" spans="1:29" x14ac:dyDescent="0.2">
      <c r="A116" s="3">
        <v>111</v>
      </c>
      <c r="B116" s="3" t="s">
        <v>1013</v>
      </c>
      <c r="C116" s="3" t="s">
        <v>1021</v>
      </c>
      <c r="D116" s="21">
        <f>VLOOKUP(B116,SYS!$F$5:$G$360,2,FALSE)</f>
        <v>71</v>
      </c>
      <c r="E116" s="21">
        <f>VLOOKUP(C116,SYS!$F$5:$G$360,2,FALSE)</f>
        <v>75</v>
      </c>
      <c r="F116" s="49">
        <v>48</v>
      </c>
      <c r="G116" s="49">
        <v>2.4809999999999999E-2</v>
      </c>
      <c r="H116" s="3">
        <v>-1</v>
      </c>
      <c r="I116" s="3">
        <v>-1</v>
      </c>
      <c r="J116" s="11">
        <v>0</v>
      </c>
      <c r="K116" s="25">
        <f t="shared" si="13"/>
        <v>9.6000000000000009E-3</v>
      </c>
      <c r="L116" s="25">
        <v>3.1429999999999998</v>
      </c>
      <c r="M116" s="25">
        <v>3.1429999999999998</v>
      </c>
      <c r="N116" s="56" t="s">
        <v>835</v>
      </c>
      <c r="O116" s="26" t="str">
        <f>VLOOKUP(TRN!D116,SYS!$G$5:$H$360,2,FALSE)</f>
        <v>新古河変電所</v>
      </c>
      <c r="P116" s="26" t="str">
        <f>VLOOKUP(TRN!E116,SYS!$G$5:$H$360,2,FALSE)</f>
        <v>新京葉変電所</v>
      </c>
      <c r="S116" s="1"/>
      <c r="T116" s="88">
        <v>183.08986321720263</v>
      </c>
      <c r="U116" s="89">
        <v>1014268.5587377338</v>
      </c>
      <c r="V116" s="25">
        <v>3.1429999999999998</v>
      </c>
      <c r="W116" s="25">
        <v>3.1429999999999998</v>
      </c>
      <c r="AC116" s="18"/>
    </row>
    <row r="117" spans="1:29" x14ac:dyDescent="0.2">
      <c r="A117" s="3">
        <v>112</v>
      </c>
      <c r="B117" s="3" t="s">
        <v>1516</v>
      </c>
      <c r="C117" s="3" t="s">
        <v>1019</v>
      </c>
      <c r="D117" s="21">
        <f>VLOOKUP(B117,SYS!$F$5:$G$360,2,FALSE)</f>
        <v>73</v>
      </c>
      <c r="E117" s="21">
        <f>VLOOKUP(C117,SYS!$F$5:$G$360,2,FALSE)</f>
        <v>74</v>
      </c>
      <c r="F117" s="49">
        <v>23</v>
      </c>
      <c r="G117" s="49">
        <v>7.7049999999999993E-2</v>
      </c>
      <c r="H117" s="3">
        <v>-1</v>
      </c>
      <c r="I117" s="3">
        <v>-1</v>
      </c>
      <c r="J117" s="11">
        <v>0</v>
      </c>
      <c r="K117" s="25">
        <f t="shared" si="13"/>
        <v>4.5999999999999999E-3</v>
      </c>
      <c r="L117" s="25">
        <v>1.7290000000000001</v>
      </c>
      <c r="M117" s="25">
        <v>1.7290000000000001</v>
      </c>
      <c r="N117" s="11" t="s">
        <v>480</v>
      </c>
      <c r="O117" s="26" t="str">
        <f>VLOOKUP(TRN!D117,SYS!$G$5:$H$360,2,FALSE)</f>
        <v>新木更津変電所</v>
      </c>
      <c r="P117" s="26" t="str">
        <f>VLOOKUP(TRN!E117,SYS!$G$5:$H$360,2,FALSE)</f>
        <v>房総変電所</v>
      </c>
      <c r="S117" s="1"/>
      <c r="T117" s="88">
        <v>1.0556000136715171</v>
      </c>
      <c r="U117" s="89">
        <v>134776.89942691199</v>
      </c>
      <c r="V117" s="25">
        <v>1.7290000000000001</v>
      </c>
      <c r="W117" s="25">
        <v>1.7290000000000001</v>
      </c>
    </row>
    <row r="118" spans="1:29" x14ac:dyDescent="0.2">
      <c r="A118" s="3">
        <v>113</v>
      </c>
      <c r="B118" s="3" t="s">
        <v>1019</v>
      </c>
      <c r="C118" s="3" t="s">
        <v>1021</v>
      </c>
      <c r="D118" s="21">
        <f>VLOOKUP(B118,SYS!$F$5:$G$360,2,FALSE)</f>
        <v>74</v>
      </c>
      <c r="E118" s="21">
        <f>VLOOKUP(C118,SYS!$F$5:$G$360,2,FALSE)</f>
        <v>75</v>
      </c>
      <c r="F118" s="49">
        <v>40</v>
      </c>
      <c r="G118" s="49">
        <v>0.13383</v>
      </c>
      <c r="H118" s="3">
        <v>-1</v>
      </c>
      <c r="I118" s="3">
        <v>-1</v>
      </c>
      <c r="J118" s="11">
        <v>0</v>
      </c>
      <c r="K118" s="25">
        <f t="shared" si="13"/>
        <v>8.0000000000000002E-3</v>
      </c>
      <c r="L118" s="25">
        <v>3.254</v>
      </c>
      <c r="M118" s="25">
        <v>3.254</v>
      </c>
      <c r="N118" s="11" t="s">
        <v>481</v>
      </c>
      <c r="O118" s="26" t="str">
        <f>VLOOKUP(TRN!D118,SYS!$G$5:$H$360,2,FALSE)</f>
        <v>房総変電所</v>
      </c>
      <c r="P118" s="26" t="str">
        <f>VLOOKUP(TRN!E118,SYS!$G$5:$H$360,2,FALSE)</f>
        <v>新京葉変電所</v>
      </c>
      <c r="S118" s="1"/>
      <c r="T118" s="88">
        <v>0.4602460658852327</v>
      </c>
      <c r="U118" s="89">
        <v>269202.06315206585</v>
      </c>
      <c r="V118" s="25">
        <v>3.254</v>
      </c>
      <c r="W118" s="25">
        <v>3.254</v>
      </c>
      <c r="AC118" s="18"/>
    </row>
    <row r="119" spans="1:29" x14ac:dyDescent="0.2">
      <c r="A119" s="3">
        <v>114</v>
      </c>
      <c r="B119" s="3" t="s">
        <v>1023</v>
      </c>
      <c r="C119" s="3" t="s">
        <v>1021</v>
      </c>
      <c r="D119" s="21">
        <f>VLOOKUP(B119,SYS!$F$5:$G$360,2,FALSE)</f>
        <v>76</v>
      </c>
      <c r="E119" s="21">
        <f>VLOOKUP(C119,SYS!$F$5:$G$360,2,FALSE)</f>
        <v>75</v>
      </c>
      <c r="F119" s="49">
        <v>44</v>
      </c>
      <c r="G119" s="49">
        <v>4.6789999999999998E-2</v>
      </c>
      <c r="H119" s="3">
        <v>-1</v>
      </c>
      <c r="I119" s="3">
        <v>-1</v>
      </c>
      <c r="J119" s="11">
        <v>0</v>
      </c>
      <c r="K119" s="25">
        <f t="shared" si="13"/>
        <v>8.8000000000000005E-3</v>
      </c>
      <c r="L119" s="25">
        <v>5.5780000000000003</v>
      </c>
      <c r="M119" s="25">
        <v>5.5780000000000003</v>
      </c>
      <c r="N119" s="11" t="s">
        <v>482</v>
      </c>
      <c r="O119" s="26" t="str">
        <f>VLOOKUP(TRN!D119,SYS!$G$5:$H$360,2,FALSE)</f>
        <v>新佐原変電所</v>
      </c>
      <c r="P119" s="26" t="str">
        <f>VLOOKUP(TRN!E119,SYS!$G$5:$H$360,2,FALSE)</f>
        <v>新京葉変電所</v>
      </c>
      <c r="S119" s="1"/>
      <c r="T119" s="88">
        <v>0.32787501843624212</v>
      </c>
      <c r="U119" s="89">
        <v>18602.291101160972</v>
      </c>
      <c r="V119" s="25">
        <v>5.5780000000000003</v>
      </c>
      <c r="W119" s="25">
        <v>5.5780000000000003</v>
      </c>
    </row>
    <row r="120" spans="1:29" x14ac:dyDescent="0.2">
      <c r="A120" s="3">
        <v>115</v>
      </c>
      <c r="B120" s="3" t="s">
        <v>1025</v>
      </c>
      <c r="C120" s="3" t="s">
        <v>1023</v>
      </c>
      <c r="D120" s="21">
        <f>VLOOKUP(B120,SYS!$F$5:$G$360,2,FALSE)</f>
        <v>77</v>
      </c>
      <c r="E120" s="21">
        <f>VLOOKUP(C120,SYS!$F$5:$G$360,2,FALSE)</f>
        <v>76</v>
      </c>
      <c r="F120" s="49">
        <v>25</v>
      </c>
      <c r="G120" s="64">
        <f t="shared" si="14"/>
        <v>8.5332264602069552E-2</v>
      </c>
      <c r="H120" s="3">
        <v>-1</v>
      </c>
      <c r="I120" s="3">
        <v>-1</v>
      </c>
      <c r="J120" s="11">
        <v>0</v>
      </c>
      <c r="K120" s="25">
        <f t="shared" si="13"/>
        <v>5.0000000000000001E-3</v>
      </c>
      <c r="L120" s="25">
        <v>3.0680000000000001</v>
      </c>
      <c r="M120" s="25">
        <v>3.0680000000000001</v>
      </c>
      <c r="N120" s="11" t="s">
        <v>483</v>
      </c>
      <c r="O120" s="26" t="str">
        <f>VLOOKUP(TRN!D120,SYS!$G$5:$H$360,2,FALSE)</f>
        <v>鹿島変電所</v>
      </c>
      <c r="P120" s="26" t="str">
        <f>VLOOKUP(TRN!E120,SYS!$G$5:$H$360,2,FALSE)</f>
        <v>新佐原変電所</v>
      </c>
      <c r="S120" s="1"/>
      <c r="T120" s="88">
        <v>0.87441496982088107</v>
      </c>
      <c r="U120" s="89">
        <v>0.58536486987206504</v>
      </c>
      <c r="V120" s="25">
        <v>3.0680000000000001</v>
      </c>
      <c r="W120" s="25">
        <v>3.0680000000000001</v>
      </c>
      <c r="AC120" s="18"/>
    </row>
    <row r="121" spans="1:29" x14ac:dyDescent="0.2">
      <c r="A121" s="3">
        <v>116</v>
      </c>
      <c r="B121" s="3" t="s">
        <v>1025</v>
      </c>
      <c r="C121" s="3" t="s">
        <v>1027</v>
      </c>
      <c r="D121" s="21">
        <f>VLOOKUP(B121,SYS!$F$5:$G$360,2,FALSE)</f>
        <v>77</v>
      </c>
      <c r="E121" s="21">
        <f>VLOOKUP(C121,SYS!$F$5:$G$360,2,FALSE)</f>
        <v>78</v>
      </c>
      <c r="F121" s="49">
        <v>76</v>
      </c>
      <c r="G121" s="64">
        <f t="shared" si="14"/>
        <v>8.5387928179761721E-2</v>
      </c>
      <c r="H121" s="3">
        <v>-1</v>
      </c>
      <c r="I121" s="3">
        <v>-1</v>
      </c>
      <c r="J121" s="11">
        <v>0</v>
      </c>
      <c r="K121" s="25">
        <f t="shared" si="13"/>
        <v>1.52E-2</v>
      </c>
      <c r="L121" s="58">
        <v>3.0659999999999998</v>
      </c>
      <c r="M121" s="58">
        <v>3.0659999999999998</v>
      </c>
      <c r="N121" s="11" t="s">
        <v>484</v>
      </c>
      <c r="O121" s="26" t="str">
        <f>VLOOKUP(TRN!D121,SYS!$G$5:$H$360,2,FALSE)</f>
        <v>鹿島変電所</v>
      </c>
      <c r="P121" s="26" t="str">
        <f>VLOOKUP(TRN!E121,SYS!$G$5:$H$360,2,FALSE)</f>
        <v>新野田変電所</v>
      </c>
      <c r="Q121" s="25">
        <v>1.7290000000000001</v>
      </c>
      <c r="S121" s="1"/>
      <c r="T121" s="88">
        <v>0.46009372134802401</v>
      </c>
      <c r="U121" s="89">
        <v>1.3011475094313496</v>
      </c>
      <c r="V121" s="58">
        <v>3.0659999999999998</v>
      </c>
      <c r="W121" s="58">
        <v>3.0659999999999998</v>
      </c>
      <c r="AC121" s="18"/>
    </row>
    <row r="122" spans="1:29" x14ac:dyDescent="0.2">
      <c r="A122" s="3">
        <v>117</v>
      </c>
      <c r="B122" s="3" t="s">
        <v>1007</v>
      </c>
      <c r="C122" s="3" t="s">
        <v>1013</v>
      </c>
      <c r="D122" s="21">
        <f>VLOOKUP(B122,SYS!$F$5:$G$360,2,FALSE)</f>
        <v>68</v>
      </c>
      <c r="E122" s="21">
        <f>VLOOKUP(C122,SYS!$F$5:$G$360,2,FALSE)</f>
        <v>71</v>
      </c>
      <c r="F122" s="49">
        <v>9</v>
      </c>
      <c r="G122" s="49">
        <v>9.9299999999999996E-3</v>
      </c>
      <c r="H122" s="3">
        <v>-1</v>
      </c>
      <c r="I122" s="3">
        <v>-1</v>
      </c>
      <c r="J122" s="11">
        <v>0</v>
      </c>
      <c r="K122" s="25">
        <f t="shared" si="13"/>
        <v>1.8000000000000002E-3</v>
      </c>
      <c r="L122" s="25">
        <v>6.5819999999999999</v>
      </c>
      <c r="M122" s="25">
        <v>6.5819999999999999</v>
      </c>
      <c r="N122" s="11" t="s">
        <v>485</v>
      </c>
      <c r="O122" s="26" t="str">
        <f>VLOOKUP(TRN!D122,SYS!$G$5:$H$360,2,FALSE)</f>
        <v>新筑波変電所</v>
      </c>
      <c r="P122" s="26" t="str">
        <f>VLOOKUP(TRN!E122,SYS!$G$5:$H$360,2,FALSE)</f>
        <v>新古河変電所</v>
      </c>
      <c r="R122" s="59" t="s">
        <v>823</v>
      </c>
      <c r="S122" s="1"/>
      <c r="T122" s="88">
        <v>0.25107056855678161</v>
      </c>
      <c r="U122" s="89">
        <v>0.52862410228303314</v>
      </c>
      <c r="V122" s="25">
        <v>6.5819999999999999</v>
      </c>
      <c r="W122" s="25">
        <v>6.5819999999999999</v>
      </c>
      <c r="AC122" s="18"/>
    </row>
    <row r="123" spans="1:29" x14ac:dyDescent="0.2">
      <c r="A123" s="3">
        <v>118</v>
      </c>
      <c r="B123" s="3" t="s">
        <v>1021</v>
      </c>
      <c r="C123" s="3" t="s">
        <v>1027</v>
      </c>
      <c r="D123" s="21">
        <f>VLOOKUP(B123,SYS!$F$5:$G$360,2,FALSE)</f>
        <v>75</v>
      </c>
      <c r="E123" s="21">
        <f>VLOOKUP(C123,SYS!$F$5:$G$360,2,FALSE)</f>
        <v>78</v>
      </c>
      <c r="F123" s="49">
        <v>23</v>
      </c>
      <c r="G123" s="64">
        <f t="shared" si="14"/>
        <v>0.16362461737446837</v>
      </c>
      <c r="H123" s="3">
        <v>-1</v>
      </c>
      <c r="I123" s="3">
        <v>-1</v>
      </c>
      <c r="J123" s="11">
        <v>0</v>
      </c>
      <c r="K123" s="25">
        <f t="shared" si="13"/>
        <v>4.5999999999999999E-3</v>
      </c>
      <c r="L123" s="58">
        <v>1.6</v>
      </c>
      <c r="M123" s="58">
        <v>1.6</v>
      </c>
      <c r="N123" s="11" t="s">
        <v>486</v>
      </c>
      <c r="O123" s="26" t="str">
        <f>VLOOKUP(TRN!D123,SYS!$G$5:$H$360,2,FALSE)</f>
        <v>新京葉変電所</v>
      </c>
      <c r="P123" s="26" t="str">
        <f>VLOOKUP(TRN!E123,SYS!$G$5:$H$360,2,FALSE)</f>
        <v>新野田変電所</v>
      </c>
      <c r="Q123" s="25">
        <v>0.74299999999999999</v>
      </c>
      <c r="S123" s="1"/>
      <c r="T123" s="88">
        <v>1.087163564983141</v>
      </c>
      <c r="U123" s="89">
        <v>16091.109567865749</v>
      </c>
      <c r="V123" s="58">
        <v>1.6</v>
      </c>
      <c r="W123" s="58">
        <v>1.6</v>
      </c>
    </row>
    <row r="124" spans="1:29" x14ac:dyDescent="0.2">
      <c r="A124" s="3">
        <v>119</v>
      </c>
      <c r="B124" s="3" t="s">
        <v>1027</v>
      </c>
      <c r="C124" s="3" t="s">
        <v>1029</v>
      </c>
      <c r="D124" s="21">
        <f>VLOOKUP(B124,SYS!$F$5:$G$360,2,FALSE)</f>
        <v>78</v>
      </c>
      <c r="E124" s="21">
        <f>VLOOKUP(C124,SYS!$F$5:$G$360,2,FALSE)</f>
        <v>79</v>
      </c>
      <c r="F124" s="49">
        <v>25</v>
      </c>
      <c r="G124" s="64">
        <f t="shared" si="14"/>
        <v>0.35235449232725358</v>
      </c>
      <c r="H124" s="3">
        <v>-1</v>
      </c>
      <c r="I124" s="3">
        <v>-1</v>
      </c>
      <c r="J124" s="11">
        <v>0</v>
      </c>
      <c r="K124" s="25">
        <f t="shared" si="13"/>
        <v>5.0000000000000001E-3</v>
      </c>
      <c r="L124" s="25">
        <v>0.74299999999999999</v>
      </c>
      <c r="M124" s="25">
        <v>0.74299999999999999</v>
      </c>
      <c r="N124" s="11" t="s">
        <v>487</v>
      </c>
      <c r="O124" s="26" t="str">
        <f>VLOOKUP(TRN!D124,SYS!$G$5:$H$360,2,FALSE)</f>
        <v>新野田変電所</v>
      </c>
      <c r="P124" s="26" t="str">
        <f>VLOOKUP(TRN!E124,SYS!$G$5:$H$360,2,FALSE)</f>
        <v>北東京変電所</v>
      </c>
      <c r="S124" s="1"/>
      <c r="T124" s="88">
        <v>3.640494424560901</v>
      </c>
      <c r="U124" s="89">
        <v>2.3170512786584636</v>
      </c>
      <c r="V124" s="25">
        <v>0.74299999999999999</v>
      </c>
      <c r="W124" s="25">
        <v>0.74299999999999999</v>
      </c>
      <c r="AC124" s="18"/>
    </row>
    <row r="125" spans="1:29" x14ac:dyDescent="0.2">
      <c r="A125" s="3">
        <v>120</v>
      </c>
      <c r="B125" s="3" t="s">
        <v>1027</v>
      </c>
      <c r="C125" s="3" t="s">
        <v>1518</v>
      </c>
      <c r="D125" s="21">
        <f>VLOOKUP(B125,SYS!$F$5:$G$360,2,FALSE)</f>
        <v>78</v>
      </c>
      <c r="E125" s="21">
        <f>VLOOKUP(C125,SYS!$F$5:$G$360,2,FALSE)</f>
        <v>80</v>
      </c>
      <c r="F125" s="49">
        <v>9</v>
      </c>
      <c r="G125" s="64">
        <f t="shared" si="14"/>
        <v>7.2340256368927713E-2</v>
      </c>
      <c r="H125" s="3">
        <v>-1</v>
      </c>
      <c r="I125" s="3">
        <v>-1</v>
      </c>
      <c r="J125" s="11">
        <v>0</v>
      </c>
      <c r="K125" s="25">
        <f t="shared" si="13"/>
        <v>1.8000000000000002E-3</v>
      </c>
      <c r="L125" s="25">
        <v>3.6190000000000002</v>
      </c>
      <c r="M125" s="25">
        <v>3.6190000000000002</v>
      </c>
      <c r="N125" s="11" t="s">
        <v>488</v>
      </c>
      <c r="O125" s="26" t="str">
        <f>VLOOKUP(TRN!D125,SYS!$G$5:$H$360,2,FALSE)</f>
        <v>新野田変電所</v>
      </c>
      <c r="P125" s="26" t="str">
        <f>VLOOKUP(TRN!E125,SYS!$G$5:$H$360,2,FALSE)</f>
        <v>北葛飾変電所</v>
      </c>
      <c r="S125" s="1"/>
      <c r="T125" s="88">
        <v>0.42025222803775525</v>
      </c>
      <c r="U125" s="89">
        <v>0.8269850513977488</v>
      </c>
      <c r="V125" s="25">
        <v>3.6190000000000002</v>
      </c>
      <c r="W125" s="25">
        <v>3.6190000000000002</v>
      </c>
    </row>
    <row r="126" spans="1:29" x14ac:dyDescent="0.2">
      <c r="A126" s="3">
        <v>121</v>
      </c>
      <c r="B126" s="3" t="s">
        <v>1013</v>
      </c>
      <c r="C126" s="3" t="s">
        <v>1033</v>
      </c>
      <c r="D126" s="21">
        <f>VLOOKUP(B126,SYS!$F$5:$G$360,2,FALSE)</f>
        <v>71</v>
      </c>
      <c r="E126" s="21">
        <f>VLOOKUP(C126,SYS!$F$5:$G$360,2,FALSE)</f>
        <v>81</v>
      </c>
      <c r="F126" s="49">
        <v>64</v>
      </c>
      <c r="G126" s="49">
        <v>6.3270000000000007E-2</v>
      </c>
      <c r="H126" s="3">
        <v>-1</v>
      </c>
      <c r="I126" s="3">
        <v>-1</v>
      </c>
      <c r="J126" s="11">
        <v>0</v>
      </c>
      <c r="K126" s="25">
        <f t="shared" si="13"/>
        <v>1.2800000000000001E-2</v>
      </c>
      <c r="L126" s="25">
        <v>5.0350000000000001</v>
      </c>
      <c r="M126" s="25">
        <v>5.0350000000000001</v>
      </c>
      <c r="N126" s="11" t="s">
        <v>489</v>
      </c>
      <c r="O126" s="26" t="str">
        <f>VLOOKUP(TRN!D126,SYS!$G$5:$H$360,2,FALSE)</f>
        <v>新古河変電所</v>
      </c>
      <c r="P126" s="26" t="str">
        <f>VLOOKUP(TRN!E126,SYS!$G$5:$H$360,2,FALSE)</f>
        <v>新坂戸変電所</v>
      </c>
      <c r="S126" s="1"/>
      <c r="T126" s="88">
        <v>0.50701661906264239</v>
      </c>
      <c r="U126" s="89">
        <v>0.40922452047207936</v>
      </c>
      <c r="V126" s="25">
        <v>5.0350000000000001</v>
      </c>
      <c r="W126" s="25">
        <v>5.0350000000000001</v>
      </c>
    </row>
    <row r="127" spans="1:29" x14ac:dyDescent="0.2">
      <c r="A127" s="3">
        <v>122</v>
      </c>
      <c r="B127" s="3" t="s">
        <v>1013</v>
      </c>
      <c r="C127" s="3" t="s">
        <v>1029</v>
      </c>
      <c r="D127" s="21">
        <f>VLOOKUP(B127,SYS!$F$5:$G$360,2,FALSE)</f>
        <v>71</v>
      </c>
      <c r="E127" s="21">
        <f>VLOOKUP(C127,SYS!$F$5:$G$360,2,FALSE)</f>
        <v>79</v>
      </c>
      <c r="F127" s="49">
        <v>17</v>
      </c>
      <c r="G127" s="64">
        <f t="shared" si="14"/>
        <v>0.1514166499705896</v>
      </c>
      <c r="H127" s="3">
        <v>-1</v>
      </c>
      <c r="I127" s="3">
        <v>-1</v>
      </c>
      <c r="J127" s="11">
        <v>0</v>
      </c>
      <c r="K127" s="25">
        <f t="shared" si="13"/>
        <v>3.4000000000000002E-3</v>
      </c>
      <c r="L127" s="25">
        <v>1.7290000000000001</v>
      </c>
      <c r="M127" s="25">
        <v>1.7290000000000001</v>
      </c>
      <c r="N127" s="11" t="s">
        <v>490</v>
      </c>
      <c r="O127" s="26" t="str">
        <f>VLOOKUP(TRN!D127,SYS!$G$5:$H$360,2,FALSE)</f>
        <v>新古河変電所</v>
      </c>
      <c r="P127" s="26" t="str">
        <f>VLOOKUP(TRN!E127,SYS!$G$5:$H$360,2,FALSE)</f>
        <v>北東京変電所</v>
      </c>
      <c r="S127" s="1"/>
      <c r="T127" s="88">
        <v>0.86975904584227315</v>
      </c>
      <c r="U127" s="89">
        <v>2.3222511001786299</v>
      </c>
      <c r="V127" s="25">
        <v>1.7290000000000001</v>
      </c>
      <c r="W127" s="25">
        <v>1.7290000000000001</v>
      </c>
    </row>
    <row r="128" spans="1:29" x14ac:dyDescent="0.2">
      <c r="A128" s="3">
        <v>123</v>
      </c>
      <c r="B128" s="3" t="s">
        <v>1013</v>
      </c>
      <c r="C128" s="3" t="s">
        <v>1029</v>
      </c>
      <c r="D128" s="21">
        <f>VLOOKUP(B128,SYS!$F$5:$G$360,2,FALSE)</f>
        <v>71</v>
      </c>
      <c r="E128" s="21">
        <f>VLOOKUP(C128,SYS!$F$5:$G$360,2,FALSE)</f>
        <v>79</v>
      </c>
      <c r="F128" s="49">
        <v>17</v>
      </c>
      <c r="G128" s="64">
        <f t="shared" si="14"/>
        <v>0.1514166499705896</v>
      </c>
      <c r="H128" s="3">
        <v>-1</v>
      </c>
      <c r="I128" s="3">
        <v>-1</v>
      </c>
      <c r="J128" s="11">
        <v>0</v>
      </c>
      <c r="K128" s="25">
        <f t="shared" si="13"/>
        <v>3.4000000000000002E-3</v>
      </c>
      <c r="L128" s="25">
        <v>1.7290000000000001</v>
      </c>
      <c r="M128" s="25">
        <v>1.7290000000000001</v>
      </c>
      <c r="N128" s="11" t="s">
        <v>491</v>
      </c>
      <c r="O128" s="26" t="str">
        <f>VLOOKUP(TRN!D128,SYS!$G$5:$H$360,2,FALSE)</f>
        <v>新古河変電所</v>
      </c>
      <c r="P128" s="26" t="str">
        <f>VLOOKUP(TRN!E128,SYS!$G$5:$H$360,2,FALSE)</f>
        <v>北東京変電所</v>
      </c>
      <c r="S128" s="1"/>
      <c r="T128" s="88">
        <v>0.86975904589929087</v>
      </c>
      <c r="U128" s="89">
        <v>2.3222511002929433</v>
      </c>
      <c r="V128" s="25">
        <v>1.7290000000000001</v>
      </c>
      <c r="W128" s="25">
        <v>1.7290000000000001</v>
      </c>
      <c r="AC128" s="18"/>
    </row>
    <row r="129" spans="1:29" x14ac:dyDescent="0.2">
      <c r="A129" s="3">
        <v>124</v>
      </c>
      <c r="B129" s="3" t="s">
        <v>1591</v>
      </c>
      <c r="C129" s="3" t="s">
        <v>1036</v>
      </c>
      <c r="D129" s="21">
        <f>VLOOKUP(B129,SYS!$F$5:$G$360,2,FALSE)</f>
        <v>82</v>
      </c>
      <c r="E129" s="21">
        <f>VLOOKUP(C129,SYS!$F$5:$G$360,2,FALSE)</f>
        <v>83</v>
      </c>
      <c r="F129" s="49">
        <v>90</v>
      </c>
      <c r="G129" s="64">
        <f t="shared" si="14"/>
        <v>0.12466637514245209</v>
      </c>
      <c r="H129" s="3">
        <v>-1</v>
      </c>
      <c r="I129" s="3">
        <v>-1</v>
      </c>
      <c r="J129" s="11">
        <v>0</v>
      </c>
      <c r="K129" s="25">
        <f t="shared" si="13"/>
        <v>1.8000000000000002E-2</v>
      </c>
      <c r="L129" s="25">
        <v>2.1</v>
      </c>
      <c r="M129" s="25">
        <v>2.1</v>
      </c>
      <c r="N129" s="56" t="s">
        <v>1594</v>
      </c>
      <c r="O129" s="26" t="str">
        <f>VLOOKUP(TRN!D129,SYS!$G$5:$H$360,2,FALSE)</f>
        <v>柏崎刈羽原子力</v>
      </c>
      <c r="P129" s="26" t="str">
        <f>VLOOKUP(TRN!E129,SYS!$G$5:$H$360,2,FALSE)</f>
        <v>西群馬開閉所</v>
      </c>
      <c r="S129" s="1"/>
      <c r="T129" s="88">
        <v>0.52481115738244888</v>
      </c>
      <c r="U129" s="89">
        <v>6.888816665021559</v>
      </c>
      <c r="V129" s="25">
        <v>2.1</v>
      </c>
      <c r="W129" s="25">
        <v>2.1</v>
      </c>
      <c r="AC129" s="18"/>
    </row>
    <row r="130" spans="1:29" x14ac:dyDescent="0.2">
      <c r="A130" s="3">
        <v>125</v>
      </c>
      <c r="B130" s="3" t="s">
        <v>1591</v>
      </c>
      <c r="C130" s="3" t="s">
        <v>1036</v>
      </c>
      <c r="D130" s="21">
        <f>VLOOKUP(B130,SYS!$F$5:$G$360,2,FALSE)</f>
        <v>82</v>
      </c>
      <c r="E130" s="21">
        <f>VLOOKUP(C130,SYS!$F$5:$G$360,2,FALSE)</f>
        <v>83</v>
      </c>
      <c r="F130" s="49">
        <v>90</v>
      </c>
      <c r="G130" s="64">
        <f t="shared" si="14"/>
        <v>0.1308996938995747</v>
      </c>
      <c r="H130" s="3">
        <v>-1</v>
      </c>
      <c r="I130" s="3">
        <v>-1</v>
      </c>
      <c r="J130" s="11">
        <v>0</v>
      </c>
      <c r="K130" s="25">
        <f t="shared" si="13"/>
        <v>1.8000000000000002E-2</v>
      </c>
      <c r="L130" s="25">
        <v>2</v>
      </c>
      <c r="M130" s="25">
        <v>2</v>
      </c>
      <c r="N130" s="56" t="s">
        <v>1595</v>
      </c>
      <c r="O130" s="26" t="str">
        <f>VLOOKUP(TRN!D130,SYS!$G$5:$H$360,2,FALSE)</f>
        <v>柏崎刈羽原子力</v>
      </c>
      <c r="P130" s="26" t="str">
        <f>VLOOKUP(TRN!E130,SYS!$G$5:$H$360,2,FALSE)</f>
        <v>西群馬開閉所</v>
      </c>
      <c r="S130" s="1"/>
      <c r="T130" s="88">
        <v>0.55155498592926078</v>
      </c>
      <c r="U130" s="89">
        <v>7.1843135780172513</v>
      </c>
      <c r="V130" s="25">
        <v>2</v>
      </c>
      <c r="W130" s="25">
        <v>2</v>
      </c>
      <c r="AC130" s="18"/>
    </row>
    <row r="131" spans="1:29" x14ac:dyDescent="0.2">
      <c r="A131" s="3">
        <v>126</v>
      </c>
      <c r="B131" s="3" t="s">
        <v>1001</v>
      </c>
      <c r="C131" s="3" t="s">
        <v>1035</v>
      </c>
      <c r="D131" s="21">
        <f>VLOOKUP(B131,SYS!$F$5:$G$360,2,FALSE)</f>
        <v>65</v>
      </c>
      <c r="E131" s="21">
        <f>VLOOKUP(C131,SYS!$F$5:$G$360,2,FALSE)</f>
        <v>83</v>
      </c>
      <c r="F131" s="32">
        <v>44</v>
      </c>
      <c r="G131" s="49">
        <v>4.446E-2</v>
      </c>
      <c r="H131" s="3">
        <v>-1</v>
      </c>
      <c r="I131" s="3">
        <v>-1</v>
      </c>
      <c r="J131" s="11">
        <v>0</v>
      </c>
      <c r="K131" s="25">
        <f t="shared" si="13"/>
        <v>8.8000000000000005E-3</v>
      </c>
      <c r="L131" s="25">
        <v>6.43</v>
      </c>
      <c r="M131" s="25">
        <v>6.43</v>
      </c>
      <c r="N131" s="11" t="s">
        <v>492</v>
      </c>
      <c r="O131" s="26" t="str">
        <f>VLOOKUP(TRN!D131,SYS!$G$5:$H$360,2,FALSE)</f>
        <v>東群馬変電所</v>
      </c>
      <c r="P131" s="26" t="str">
        <f>VLOOKUP(TRN!E131,SYS!$G$5:$H$360,2,FALSE)</f>
        <v>西群馬開閉所</v>
      </c>
      <c r="S131" s="1"/>
      <c r="T131" s="88">
        <v>0.30073396718156181</v>
      </c>
      <c r="U131" s="89">
        <v>115164.95588846956</v>
      </c>
      <c r="V131" s="25">
        <v>6.43</v>
      </c>
      <c r="W131" s="25">
        <v>6.43</v>
      </c>
      <c r="AC131" s="18"/>
    </row>
    <row r="132" spans="1:29" x14ac:dyDescent="0.2">
      <c r="A132" s="3">
        <v>127</v>
      </c>
      <c r="B132" s="3" t="s">
        <v>1001</v>
      </c>
      <c r="C132" s="3" t="s">
        <v>1514</v>
      </c>
      <c r="D132" s="21">
        <f>VLOOKUP(B132,SYS!$F$5:$G$360,2,FALSE)</f>
        <v>65</v>
      </c>
      <c r="E132" s="21">
        <f>VLOOKUP(C132,SYS!$F$5:$G$360,2,FALSE)</f>
        <v>72</v>
      </c>
      <c r="F132" s="49">
        <v>31</v>
      </c>
      <c r="G132" s="49">
        <v>3.2579999999999998E-2</v>
      </c>
      <c r="H132" s="3">
        <v>-1</v>
      </c>
      <c r="I132" s="3">
        <v>-1</v>
      </c>
      <c r="J132" s="11">
        <v>0</v>
      </c>
      <c r="K132" s="25">
        <f t="shared" si="13"/>
        <v>6.2000000000000006E-3</v>
      </c>
      <c r="L132" s="25">
        <v>6.5819999999999999</v>
      </c>
      <c r="M132" s="25">
        <v>6.5819999999999999</v>
      </c>
      <c r="N132" s="11" t="s">
        <v>493</v>
      </c>
      <c r="O132" s="26" t="str">
        <f>VLOOKUP(TRN!D132,SYS!$G$5:$H$360,2,FALSE)</f>
        <v>東群馬変電所</v>
      </c>
      <c r="P132" s="26" t="str">
        <f>VLOOKUP(TRN!E132,SYS!$G$5:$H$360,2,FALSE)</f>
        <v>新新田変電所</v>
      </c>
      <c r="S132" s="1"/>
      <c r="T132" s="88">
        <v>489.21680309250257</v>
      </c>
      <c r="U132" s="89">
        <v>0.45936066298100692</v>
      </c>
      <c r="V132" s="25">
        <v>6.5819999999999999</v>
      </c>
      <c r="W132" s="25">
        <v>6.5819999999999999</v>
      </c>
      <c r="AC132" s="18"/>
    </row>
    <row r="133" spans="1:29" x14ac:dyDescent="0.2">
      <c r="A133" s="3">
        <v>128</v>
      </c>
      <c r="B133" s="3" t="s">
        <v>1514</v>
      </c>
      <c r="C133" s="3" t="s">
        <v>1037</v>
      </c>
      <c r="D133" s="21">
        <f>VLOOKUP(B133,SYS!$F$5:$G$360,2,FALSE)</f>
        <v>72</v>
      </c>
      <c r="E133" s="21">
        <f>VLOOKUP(C133,SYS!$F$5:$G$360,2,FALSE)</f>
        <v>84</v>
      </c>
      <c r="F133" s="49">
        <v>16</v>
      </c>
      <c r="G133" s="49">
        <v>1.4829999999999999E-2</v>
      </c>
      <c r="H133" s="3">
        <v>-1</v>
      </c>
      <c r="I133" s="3">
        <v>-1</v>
      </c>
      <c r="J133" s="11">
        <v>0</v>
      </c>
      <c r="K133" s="25">
        <f t="shared" si="13"/>
        <v>3.2000000000000002E-3</v>
      </c>
      <c r="L133" s="25">
        <v>6.5819999999999999</v>
      </c>
      <c r="M133" s="25">
        <v>6.5819999999999999</v>
      </c>
      <c r="N133" s="11" t="s">
        <v>494</v>
      </c>
      <c r="O133" s="26" t="str">
        <f>VLOOKUP(TRN!D133,SYS!$G$5:$H$360,2,FALSE)</f>
        <v>新新田変電所</v>
      </c>
      <c r="P133" s="26" t="str">
        <f>VLOOKUP(TRN!E133,SYS!$G$5:$H$360,2,FALSE)</f>
        <v>新岡部変電所</v>
      </c>
      <c r="S133" s="1"/>
      <c r="T133" s="88">
        <v>0.23090464655516726</v>
      </c>
      <c r="U133" s="89">
        <v>0.47179156284010576</v>
      </c>
      <c r="V133" s="25">
        <v>6.5819999999999999</v>
      </c>
      <c r="W133" s="25">
        <v>6.5819999999999999</v>
      </c>
      <c r="AC133" s="18"/>
    </row>
    <row r="134" spans="1:29" x14ac:dyDescent="0.2">
      <c r="A134" s="3">
        <v>129</v>
      </c>
      <c r="B134" s="3" t="s">
        <v>1514</v>
      </c>
      <c r="C134" s="3" t="s">
        <v>1039</v>
      </c>
      <c r="D134" s="21">
        <f>VLOOKUP(B134,SYS!$F$5:$G$360,2,FALSE)</f>
        <v>72</v>
      </c>
      <c r="E134" s="21">
        <f>VLOOKUP(C134,SYS!$F$5:$G$360,2,FALSE)</f>
        <v>85</v>
      </c>
      <c r="F134" s="32">
        <v>4</v>
      </c>
      <c r="G134" s="64">
        <f t="shared" si="14"/>
        <v>0.2892810914907728</v>
      </c>
      <c r="H134" s="3">
        <v>-1</v>
      </c>
      <c r="I134" s="3">
        <v>-1</v>
      </c>
      <c r="J134" s="11">
        <v>0</v>
      </c>
      <c r="K134" s="25">
        <f t="shared" si="13"/>
        <v>8.0000000000000004E-4</v>
      </c>
      <c r="L134" s="25">
        <v>0.90500000000000003</v>
      </c>
      <c r="M134" s="25">
        <v>0.90500000000000003</v>
      </c>
      <c r="N134" s="11" t="s">
        <v>495</v>
      </c>
      <c r="O134" s="26" t="str">
        <f>VLOOKUP(TRN!D134,SYS!$G$5:$H$360,2,FALSE)</f>
        <v>新新田変電所</v>
      </c>
      <c r="P134" s="26" t="str">
        <f>VLOOKUP(TRN!E134,SYS!$G$5:$H$360,2,FALSE)</f>
        <v>東毛変電所</v>
      </c>
      <c r="S134" s="1"/>
      <c r="T134" s="88">
        <v>30322.84702111458</v>
      </c>
      <c r="U134" s="89">
        <v>2.7020066401901088</v>
      </c>
      <c r="V134" s="25">
        <v>0.90500000000000003</v>
      </c>
      <c r="W134" s="25">
        <v>0.90500000000000003</v>
      </c>
      <c r="AC134" s="18"/>
    </row>
    <row r="135" spans="1:29" x14ac:dyDescent="0.2">
      <c r="A135" s="3">
        <v>130</v>
      </c>
      <c r="B135" s="3" t="s">
        <v>1514</v>
      </c>
      <c r="C135" s="3" t="s">
        <v>1033</v>
      </c>
      <c r="D135" s="21">
        <f>VLOOKUP(B135,SYS!$F$5:$G$360,2,FALSE)</f>
        <v>72</v>
      </c>
      <c r="E135" s="21">
        <f>VLOOKUP(C135,SYS!$F$5:$G$360,2,FALSE)</f>
        <v>81</v>
      </c>
      <c r="F135" s="49">
        <v>45</v>
      </c>
      <c r="G135" s="49">
        <v>4.7780000000000003E-2</v>
      </c>
      <c r="H135" s="3">
        <v>-1</v>
      </c>
      <c r="I135" s="3">
        <v>-1</v>
      </c>
      <c r="J135" s="11">
        <v>0</v>
      </c>
      <c r="K135" s="25">
        <f t="shared" si="13"/>
        <v>9.0000000000000011E-3</v>
      </c>
      <c r="L135" s="25">
        <v>6.5819999999999999</v>
      </c>
      <c r="M135" s="25">
        <v>6.5819999999999999</v>
      </c>
      <c r="N135" s="11" t="s">
        <v>496</v>
      </c>
      <c r="O135" s="26" t="str">
        <f>VLOOKUP(TRN!D135,SYS!$G$5:$H$360,2,FALSE)</f>
        <v>新新田変電所</v>
      </c>
      <c r="P135" s="26" t="str">
        <f>VLOOKUP(TRN!E135,SYS!$G$5:$H$360,2,FALSE)</f>
        <v>新坂戸変電所</v>
      </c>
      <c r="S135" s="1"/>
      <c r="T135" s="88">
        <v>0.2560801372067662</v>
      </c>
      <c r="U135" s="89">
        <v>0.38884995405670625</v>
      </c>
      <c r="V135" s="25">
        <v>6.5819999999999999</v>
      </c>
      <c r="W135" s="25">
        <v>6.5819999999999999</v>
      </c>
      <c r="AC135" s="18"/>
    </row>
    <row r="136" spans="1:29" x14ac:dyDescent="0.2">
      <c r="A136" s="3">
        <v>131</v>
      </c>
      <c r="B136" s="3" t="s">
        <v>1037</v>
      </c>
      <c r="C136" s="3" t="s">
        <v>1041</v>
      </c>
      <c r="D136" s="21">
        <f>VLOOKUP(B136,SYS!$F$5:$G$360,2,FALSE)</f>
        <v>84</v>
      </c>
      <c r="E136" s="21">
        <f>VLOOKUP(C136,SYS!$F$5:$G$360,2,FALSE)</f>
        <v>86</v>
      </c>
      <c r="F136" s="49">
        <v>35</v>
      </c>
      <c r="G136" s="49">
        <v>3.2919999999999998E-2</v>
      </c>
      <c r="H136" s="3">
        <v>-1</v>
      </c>
      <c r="I136" s="3">
        <v>-1</v>
      </c>
      <c r="J136" s="11">
        <v>0</v>
      </c>
      <c r="K136" s="25">
        <f t="shared" si="13"/>
        <v>7.0000000000000001E-3</v>
      </c>
      <c r="L136" s="25">
        <v>6.5819999999999999</v>
      </c>
      <c r="M136" s="25">
        <v>6.5819999999999999</v>
      </c>
      <c r="N136" s="11" t="s">
        <v>497</v>
      </c>
      <c r="O136" s="26" t="str">
        <f>VLOOKUP(TRN!D136,SYS!$G$5:$H$360,2,FALSE)</f>
        <v>新岡部変電所</v>
      </c>
      <c r="P136" s="26" t="str">
        <f>VLOOKUP(TRN!E136,SYS!$G$5:$H$360,2,FALSE)</f>
        <v>新秩父開閉所</v>
      </c>
      <c r="S136" s="1"/>
      <c r="T136" s="88">
        <v>0.23838196189967462</v>
      </c>
      <c r="U136" s="89">
        <v>0.52053036304213351</v>
      </c>
      <c r="V136" s="25">
        <v>6.5819999999999999</v>
      </c>
      <c r="W136" s="25">
        <v>6.5819999999999999</v>
      </c>
      <c r="AC136" s="18"/>
    </row>
    <row r="137" spans="1:29" x14ac:dyDescent="0.2">
      <c r="A137" s="3">
        <v>132</v>
      </c>
      <c r="B137" s="3" t="s">
        <v>1037</v>
      </c>
      <c r="C137" s="3" t="s">
        <v>1043</v>
      </c>
      <c r="D137" s="21">
        <f>VLOOKUP(B137,SYS!$F$5:$G$360,2,FALSE)</f>
        <v>84</v>
      </c>
      <c r="E137" s="21">
        <f>VLOOKUP(C137,SYS!$F$5:$G$360,2,FALSE)</f>
        <v>87</v>
      </c>
      <c r="F137" s="49">
        <v>13</v>
      </c>
      <c r="G137" s="64">
        <f t="shared" si="14"/>
        <v>7.2340256368927713E-2</v>
      </c>
      <c r="H137" s="3">
        <v>-1</v>
      </c>
      <c r="I137" s="3">
        <v>-1</v>
      </c>
      <c r="J137" s="11">
        <v>0</v>
      </c>
      <c r="K137" s="25">
        <f t="shared" si="13"/>
        <v>2.6000000000000003E-3</v>
      </c>
      <c r="L137" s="25">
        <v>3.6190000000000002</v>
      </c>
      <c r="M137" s="25">
        <v>3.6190000000000002</v>
      </c>
      <c r="N137" s="11" t="s">
        <v>498</v>
      </c>
      <c r="O137" s="26" t="str">
        <f>VLOOKUP(TRN!D137,SYS!$G$5:$H$360,2,FALSE)</f>
        <v>新岡部変電所</v>
      </c>
      <c r="P137" s="26" t="str">
        <f>VLOOKUP(TRN!E137,SYS!$G$5:$H$360,2,FALSE)</f>
        <v>北熊谷変電所</v>
      </c>
      <c r="S137" s="1"/>
      <c r="T137" s="88">
        <v>0.57865587868639456</v>
      </c>
      <c r="U137" s="89">
        <v>0.55344910872897957</v>
      </c>
      <c r="V137" s="25">
        <v>3.6190000000000002</v>
      </c>
      <c r="W137" s="25">
        <v>3.6190000000000002</v>
      </c>
      <c r="AC137" s="18"/>
    </row>
    <row r="138" spans="1:29" x14ac:dyDescent="0.2">
      <c r="A138" s="3">
        <v>133</v>
      </c>
      <c r="B138" s="3" t="s">
        <v>1037</v>
      </c>
      <c r="C138" s="3" t="s">
        <v>1045</v>
      </c>
      <c r="D138" s="21">
        <f>VLOOKUP(B138,SYS!$F$5:$G$360,2,FALSE)</f>
        <v>84</v>
      </c>
      <c r="E138" s="21">
        <f>VLOOKUP(C138,SYS!$F$5:$G$360,2,FALSE)</f>
        <v>88</v>
      </c>
      <c r="F138" s="49">
        <v>25</v>
      </c>
      <c r="G138" s="64">
        <f t="shared" si="14"/>
        <v>0.30300855069345994</v>
      </c>
      <c r="H138" s="3">
        <v>-1</v>
      </c>
      <c r="I138" s="3">
        <v>-1</v>
      </c>
      <c r="J138" s="11">
        <v>0</v>
      </c>
      <c r="K138" s="25">
        <f t="shared" si="13"/>
        <v>5.0000000000000001E-3</v>
      </c>
      <c r="L138" s="25">
        <v>0.86399999999999999</v>
      </c>
      <c r="M138" s="25">
        <v>0.86399999999999999</v>
      </c>
      <c r="N138" s="11" t="s">
        <v>499</v>
      </c>
      <c r="O138" s="26" t="str">
        <f>VLOOKUP(TRN!D138,SYS!$G$5:$H$360,2,FALSE)</f>
        <v>新岡部変電所</v>
      </c>
      <c r="P138" s="26" t="str">
        <f>VLOOKUP(TRN!E138,SYS!$G$5:$H$360,2,FALSE)</f>
        <v>西毛変電所</v>
      </c>
      <c r="S138" s="1"/>
      <c r="T138" s="88">
        <v>71276.721084162622</v>
      </c>
      <c r="U138" s="89">
        <v>2.2864131936570091</v>
      </c>
      <c r="V138" s="25">
        <v>0.86399999999999999</v>
      </c>
      <c r="W138" s="25">
        <v>0.86399999999999999</v>
      </c>
      <c r="AC138" s="18"/>
    </row>
    <row r="139" spans="1:29" x14ac:dyDescent="0.2">
      <c r="A139" s="3">
        <v>134</v>
      </c>
      <c r="B139" s="3" t="s">
        <v>1035</v>
      </c>
      <c r="C139" s="3" t="s">
        <v>1047</v>
      </c>
      <c r="D139" s="21">
        <f>VLOOKUP(B139,SYS!$F$5:$G$360,2,FALSE)</f>
        <v>83</v>
      </c>
      <c r="E139" s="21">
        <f>VLOOKUP(C139,SYS!$F$5:$G$360,2,FALSE)</f>
        <v>89</v>
      </c>
      <c r="F139" s="49">
        <v>168</v>
      </c>
      <c r="G139" s="49">
        <v>0.16596</v>
      </c>
      <c r="H139" s="3">
        <v>-1</v>
      </c>
      <c r="I139" s="3">
        <v>-1</v>
      </c>
      <c r="J139" s="11">
        <v>0</v>
      </c>
      <c r="K139" s="25">
        <f t="shared" si="13"/>
        <v>3.3600000000000005E-2</v>
      </c>
      <c r="L139" s="25">
        <v>6.5819999999999999</v>
      </c>
      <c r="M139" s="25">
        <v>6.5819999999999999</v>
      </c>
      <c r="N139" s="11" t="s">
        <v>500</v>
      </c>
      <c r="O139" s="26" t="str">
        <f>VLOOKUP(TRN!D139,SYS!$G$5:$H$360,2,FALSE)</f>
        <v>西群馬開閉所</v>
      </c>
      <c r="P139" s="26" t="str">
        <f>VLOOKUP(TRN!E139,SYS!$G$5:$H$360,2,FALSE)</f>
        <v>新富士変電所</v>
      </c>
      <c r="S139" s="1"/>
      <c r="T139" s="88">
        <v>0.24977903540574153</v>
      </c>
      <c r="U139" s="89">
        <v>0.42199591341317638</v>
      </c>
      <c r="V139" s="25">
        <v>6.5819999999999999</v>
      </c>
      <c r="W139" s="25">
        <v>6.5819999999999999</v>
      </c>
      <c r="AC139" s="18"/>
    </row>
    <row r="140" spans="1:29" x14ac:dyDescent="0.2">
      <c r="A140" s="3">
        <v>135</v>
      </c>
      <c r="B140" s="3" t="s">
        <v>1035</v>
      </c>
      <c r="C140" s="3" t="s">
        <v>1015</v>
      </c>
      <c r="D140" s="21">
        <f>VLOOKUP(B140,SYS!$F$5:$G$360,2,FALSE)</f>
        <v>83</v>
      </c>
      <c r="E140" s="21">
        <f>VLOOKUP(C140,SYS!$F$5:$G$360,2,FALSE)</f>
        <v>90</v>
      </c>
      <c r="F140" s="49">
        <v>10</v>
      </c>
      <c r="G140" s="49">
        <v>9.1400000000000006E-3</v>
      </c>
      <c r="H140" s="3">
        <v>-1</v>
      </c>
      <c r="I140" s="3">
        <v>-1</v>
      </c>
      <c r="J140" s="11">
        <v>0</v>
      </c>
      <c r="K140" s="25">
        <f t="shared" si="13"/>
        <v>2E-3</v>
      </c>
      <c r="L140" s="25">
        <v>6.5819999999999999</v>
      </c>
      <c r="M140" s="25">
        <v>6.5819999999999999</v>
      </c>
      <c r="N140" s="11" t="s">
        <v>501</v>
      </c>
      <c r="O140" s="26" t="str">
        <f>VLOOKUP(TRN!D140,SYS!$G$5:$H$360,2,FALSE)</f>
        <v>西群馬開閉所</v>
      </c>
      <c r="P140" s="26" t="str">
        <f>VLOOKUP(TRN!E140,SYS!$G$5:$H$360,2,FALSE)</f>
        <v>新榛名変電所</v>
      </c>
      <c r="S140" s="1"/>
      <c r="T140" s="88">
        <v>0.28279813803831966</v>
      </c>
      <c r="U140" s="89">
        <v>0.39701637260753864</v>
      </c>
      <c r="V140" s="25">
        <v>6.5819999999999999</v>
      </c>
      <c r="W140" s="25">
        <v>6.5819999999999999</v>
      </c>
      <c r="AC140" s="18"/>
    </row>
    <row r="141" spans="1:29" x14ac:dyDescent="0.2">
      <c r="A141" s="3">
        <v>136</v>
      </c>
      <c r="B141" s="3" t="s">
        <v>1035</v>
      </c>
      <c r="C141" s="3" t="s">
        <v>1049</v>
      </c>
      <c r="D141" s="21">
        <f>VLOOKUP(B141,SYS!$F$5:$G$360,2,FALSE)</f>
        <v>83</v>
      </c>
      <c r="E141" s="21">
        <f>VLOOKUP(C141,SYS!$F$5:$G$360,2,FALSE)</f>
        <v>91</v>
      </c>
      <c r="F141" s="49">
        <v>110</v>
      </c>
      <c r="G141" s="49">
        <v>0.11319</v>
      </c>
      <c r="H141" s="3">
        <v>-1</v>
      </c>
      <c r="I141" s="3">
        <v>-1</v>
      </c>
      <c r="J141" s="11">
        <v>0</v>
      </c>
      <c r="K141" s="25">
        <f t="shared" si="13"/>
        <v>2.2000000000000002E-2</v>
      </c>
      <c r="L141" s="25">
        <v>6.5819999999999999</v>
      </c>
      <c r="M141" s="25">
        <v>6.5819999999999999</v>
      </c>
      <c r="N141" s="11" t="s">
        <v>502</v>
      </c>
      <c r="O141" s="26" t="str">
        <f>VLOOKUP(TRN!D141,SYS!$G$5:$H$360,2,FALSE)</f>
        <v>西群馬開閉所</v>
      </c>
      <c r="P141" s="26" t="str">
        <f>VLOOKUP(TRN!E141,SYS!$G$5:$H$360,2,FALSE)</f>
        <v>新所沢変電所</v>
      </c>
      <c r="S141" s="1"/>
      <c r="T141" s="88">
        <v>0.23848246877106621</v>
      </c>
      <c r="U141" s="89">
        <v>0.46085023635314282</v>
      </c>
      <c r="V141" s="25">
        <v>6.5819999999999999</v>
      </c>
      <c r="W141" s="25">
        <v>6.5819999999999999</v>
      </c>
      <c r="AC141" s="18"/>
    </row>
    <row r="142" spans="1:29" x14ac:dyDescent="0.2">
      <c r="A142" s="3">
        <v>137</v>
      </c>
      <c r="B142" s="3" t="s">
        <v>1015</v>
      </c>
      <c r="C142" s="3" t="s">
        <v>1041</v>
      </c>
      <c r="D142" s="21">
        <f>VLOOKUP(B142,SYS!$F$5:$G$360,2,FALSE)</f>
        <v>90</v>
      </c>
      <c r="E142" s="21">
        <f>VLOOKUP(C142,SYS!$F$5:$G$360,2,FALSE)</f>
        <v>86</v>
      </c>
      <c r="F142" s="49">
        <v>68</v>
      </c>
      <c r="G142" s="49">
        <v>6.3E-2</v>
      </c>
      <c r="H142" s="3">
        <v>-1</v>
      </c>
      <c r="I142" s="3">
        <v>-1</v>
      </c>
      <c r="J142" s="11">
        <v>0</v>
      </c>
      <c r="K142" s="25">
        <f t="shared" si="13"/>
        <v>1.3600000000000001E-2</v>
      </c>
      <c r="L142" s="25">
        <v>6.5819999999999999</v>
      </c>
      <c r="M142" s="25">
        <v>6.5819999999999999</v>
      </c>
      <c r="N142" s="11" t="s">
        <v>503</v>
      </c>
      <c r="O142" s="26" t="str">
        <f>VLOOKUP(TRN!D142,SYS!$G$5:$H$360,2,FALSE)</f>
        <v>新榛名変電所</v>
      </c>
      <c r="P142" s="26" t="str">
        <f>VLOOKUP(TRN!E142,SYS!$G$5:$H$360,2,FALSE)</f>
        <v>新秩父開閉所</v>
      </c>
      <c r="S142" s="1"/>
      <c r="T142" s="88">
        <v>0.31312480870504839</v>
      </c>
      <c r="U142" s="89">
        <v>0.43370065947140107</v>
      </c>
      <c r="V142" s="25">
        <v>6.5819999999999999</v>
      </c>
      <c r="W142" s="25">
        <v>6.5819999999999999</v>
      </c>
      <c r="AC142" s="18"/>
    </row>
    <row r="143" spans="1:29" x14ac:dyDescent="0.2">
      <c r="A143" s="3">
        <v>138</v>
      </c>
      <c r="B143" s="3" t="s">
        <v>1051</v>
      </c>
      <c r="C143" s="3" t="s">
        <v>1047</v>
      </c>
      <c r="D143" s="21">
        <f>VLOOKUP(B143,SYS!$F$5:$G$360,2,FALSE)</f>
        <v>92</v>
      </c>
      <c r="E143" s="21">
        <f>VLOOKUP(C143,SYS!$F$5:$G$360,2,FALSE)</f>
        <v>89</v>
      </c>
      <c r="F143" s="49">
        <v>26</v>
      </c>
      <c r="G143" s="49">
        <v>2.69E-2</v>
      </c>
      <c r="H143" s="3">
        <v>-1</v>
      </c>
      <c r="I143" s="3">
        <v>-1</v>
      </c>
      <c r="J143" s="11">
        <v>0</v>
      </c>
      <c r="K143" s="25">
        <f t="shared" si="13"/>
        <v>5.2000000000000006E-3</v>
      </c>
      <c r="L143" s="25">
        <v>6.5819999999999999</v>
      </c>
      <c r="M143" s="25">
        <v>6.5819999999999999</v>
      </c>
      <c r="N143" s="11" t="s">
        <v>504</v>
      </c>
      <c r="O143" s="26" t="str">
        <f>VLOOKUP(TRN!D143,SYS!$G$5:$H$360,2,FALSE)</f>
        <v>新秦野変電所</v>
      </c>
      <c r="P143" s="26" t="str">
        <f>VLOOKUP(TRN!E143,SYS!$G$5:$H$360,2,FALSE)</f>
        <v>新富士変電所</v>
      </c>
      <c r="S143" s="1"/>
      <c r="T143" s="88">
        <v>0.34929245967210176</v>
      </c>
      <c r="U143" s="89">
        <v>0.26594169763525216</v>
      </c>
      <c r="V143" s="25">
        <v>6.5819999999999999</v>
      </c>
      <c r="W143" s="25">
        <v>6.5819999999999999</v>
      </c>
      <c r="AC143" s="18"/>
    </row>
    <row r="144" spans="1:29" x14ac:dyDescent="0.2">
      <c r="A144" s="3">
        <v>139</v>
      </c>
      <c r="B144" s="3" t="s">
        <v>1047</v>
      </c>
      <c r="C144" s="3" t="s">
        <v>1053</v>
      </c>
      <c r="D144" s="21">
        <f>VLOOKUP(B144,SYS!$F$5:$G$360,2,FALSE)</f>
        <v>89</v>
      </c>
      <c r="E144" s="21">
        <f>VLOOKUP(C144,SYS!$F$5:$G$360,2,FALSE)</f>
        <v>93</v>
      </c>
      <c r="F144" s="49">
        <v>57</v>
      </c>
      <c r="G144" s="64">
        <f t="shared" si="14"/>
        <v>0.44372777593076174</v>
      </c>
      <c r="H144" s="3">
        <v>-1</v>
      </c>
      <c r="I144" s="3">
        <v>-1</v>
      </c>
      <c r="J144" s="11">
        <v>0</v>
      </c>
      <c r="K144" s="25">
        <f t="shared" si="13"/>
        <v>1.14E-2</v>
      </c>
      <c r="L144" s="25">
        <v>0.59</v>
      </c>
      <c r="M144" s="25">
        <v>0.59</v>
      </c>
      <c r="N144" s="11" t="s">
        <v>505</v>
      </c>
      <c r="O144" s="26" t="str">
        <f>VLOOKUP(TRN!D144,SYS!$G$5:$H$360,2,FALSE)</f>
        <v>新富士変電所</v>
      </c>
      <c r="P144" s="26" t="str">
        <f>VLOOKUP(TRN!E144,SYS!$G$5:$H$360,2,FALSE)</f>
        <v>北相模変電所</v>
      </c>
      <c r="S144" s="1"/>
      <c r="T144" s="88">
        <v>2.6006980009329901</v>
      </c>
      <c r="U144" s="89">
        <v>6.57054427288712</v>
      </c>
      <c r="V144" s="25">
        <v>0.59</v>
      </c>
      <c r="W144" s="25">
        <v>0.59</v>
      </c>
      <c r="AC144" s="18"/>
    </row>
    <row r="145" spans="1:29" x14ac:dyDescent="0.2">
      <c r="A145" s="3">
        <v>140</v>
      </c>
      <c r="B145" s="3" t="s">
        <v>1055</v>
      </c>
      <c r="C145" s="3" t="s">
        <v>1051</v>
      </c>
      <c r="D145" s="21">
        <f>VLOOKUP(B145,SYS!$F$5:$G$360,2,FALSE)</f>
        <v>94</v>
      </c>
      <c r="E145" s="21">
        <f>VLOOKUP(C145,SYS!$F$5:$G$360,2,FALSE)</f>
        <v>92</v>
      </c>
      <c r="F145" s="49">
        <v>40</v>
      </c>
      <c r="G145" s="49">
        <v>4.1799999999999997E-2</v>
      </c>
      <c r="H145" s="3">
        <v>-1</v>
      </c>
      <c r="I145" s="3">
        <v>-1</v>
      </c>
      <c r="J145" s="11">
        <v>0</v>
      </c>
      <c r="K145" s="25">
        <f t="shared" si="13"/>
        <v>8.0000000000000002E-3</v>
      </c>
      <c r="L145" s="25">
        <v>6.5819999999999999</v>
      </c>
      <c r="M145" s="25">
        <v>6.5819999999999999</v>
      </c>
      <c r="N145" s="11" t="s">
        <v>506</v>
      </c>
      <c r="O145" s="26" t="str">
        <f>VLOOKUP(TRN!D145,SYS!$G$5:$H$360,2,FALSE)</f>
        <v>新多摩変電所</v>
      </c>
      <c r="P145" s="26" t="str">
        <f>VLOOKUP(TRN!E145,SYS!$G$5:$H$360,2,FALSE)</f>
        <v>新秦野変電所</v>
      </c>
      <c r="S145" s="1"/>
      <c r="T145" s="88">
        <v>0.25342992251096214</v>
      </c>
      <c r="U145" s="89">
        <v>0.37823010437364152</v>
      </c>
      <c r="V145" s="25">
        <v>6.5819999999999999</v>
      </c>
      <c r="W145" s="25">
        <v>6.5819999999999999</v>
      </c>
    </row>
    <row r="146" spans="1:29" x14ac:dyDescent="0.2">
      <c r="A146" s="3">
        <v>141</v>
      </c>
      <c r="B146" s="3" t="s">
        <v>1041</v>
      </c>
      <c r="C146" s="3" t="s">
        <v>1055</v>
      </c>
      <c r="D146" s="21">
        <f>VLOOKUP(B146,SYS!$F$5:$G$360,2,FALSE)</f>
        <v>86</v>
      </c>
      <c r="E146" s="21">
        <f>VLOOKUP(C146,SYS!$F$5:$G$360,2,FALSE)</f>
        <v>94</v>
      </c>
      <c r="F146" s="49">
        <v>49</v>
      </c>
      <c r="G146" s="49">
        <v>4.4740000000000002E-2</v>
      </c>
      <c r="H146" s="3">
        <v>-1</v>
      </c>
      <c r="I146" s="3">
        <v>-1</v>
      </c>
      <c r="J146" s="11">
        <v>0</v>
      </c>
      <c r="K146" s="25">
        <f t="shared" si="13"/>
        <v>9.7999999999999997E-3</v>
      </c>
      <c r="L146" s="26">
        <v>4.9359999999999999</v>
      </c>
      <c r="M146" s="26">
        <v>4.9359999999999999</v>
      </c>
      <c r="N146" s="11" t="s">
        <v>507</v>
      </c>
      <c r="O146" s="26" t="str">
        <f>VLOOKUP(TRN!D146,SYS!$G$5:$H$360,2,FALSE)</f>
        <v>新秩父開閉所</v>
      </c>
      <c r="P146" s="26" t="str">
        <f>VLOOKUP(TRN!E146,SYS!$G$5:$H$360,2,FALSE)</f>
        <v>新多摩変電所</v>
      </c>
      <c r="S146" s="1"/>
      <c r="T146" s="88">
        <v>0.23621506881675147</v>
      </c>
      <c r="U146" s="89">
        <v>808.27873125971212</v>
      </c>
      <c r="V146" s="26">
        <v>4.9359999999999999</v>
      </c>
      <c r="W146" s="26">
        <v>4.9359999999999999</v>
      </c>
    </row>
    <row r="147" spans="1:29" x14ac:dyDescent="0.2">
      <c r="A147" s="3">
        <v>142</v>
      </c>
      <c r="B147" s="3" t="s">
        <v>1124</v>
      </c>
      <c r="C147" s="3" t="s">
        <v>1055</v>
      </c>
      <c r="D147" s="21">
        <f>VLOOKUP(B147,SYS!$F$5:$G$360,2,FALSE)</f>
        <v>129</v>
      </c>
      <c r="E147" s="21">
        <f>VLOOKUP(C147,SYS!$F$5:$G$360,2,FALSE)</f>
        <v>94</v>
      </c>
      <c r="F147" s="49">
        <v>18</v>
      </c>
      <c r="G147" s="49">
        <v>1.5509999999999999E-2</v>
      </c>
      <c r="H147" s="3">
        <v>-1</v>
      </c>
      <c r="I147" s="3">
        <v>-1</v>
      </c>
      <c r="J147" s="11">
        <v>0</v>
      </c>
      <c r="K147" s="25">
        <f t="shared" si="13"/>
        <v>3.6000000000000003E-3</v>
      </c>
      <c r="L147" s="25">
        <v>6.5819999999999999</v>
      </c>
      <c r="M147" s="25">
        <v>6.5819999999999999</v>
      </c>
      <c r="N147" s="11" t="s">
        <v>508</v>
      </c>
      <c r="O147" s="26" t="str">
        <f>VLOOKUP(TRN!D147,SYS!$G$5:$H$360,2,FALSE)</f>
        <v>新所沢線</v>
      </c>
      <c r="P147" s="26" t="str">
        <f>VLOOKUP(TRN!E147,SYS!$G$5:$H$360,2,FALSE)</f>
        <v>新多摩変電所</v>
      </c>
      <c r="S147" s="1"/>
      <c r="T147" s="88">
        <v>0.2944333021150991</v>
      </c>
      <c r="U147" s="89">
        <v>0.31213601589430207</v>
      </c>
      <c r="V147" s="25">
        <v>6.5819999999999999</v>
      </c>
      <c r="W147" s="25">
        <v>6.5819999999999999</v>
      </c>
      <c r="AC147" s="18"/>
    </row>
    <row r="148" spans="1:29" x14ac:dyDescent="0.2">
      <c r="A148" s="3">
        <v>143</v>
      </c>
      <c r="B148" s="3" t="s">
        <v>1520</v>
      </c>
      <c r="C148" s="3" t="s">
        <v>1057</v>
      </c>
      <c r="D148" s="21">
        <f>VLOOKUP(B148,SYS!$F$5:$G$360,2,FALSE)</f>
        <v>95</v>
      </c>
      <c r="E148" s="21">
        <f>VLOOKUP(C148,SYS!$F$5:$G$360,2,FALSE)</f>
        <v>96</v>
      </c>
      <c r="F148" s="49">
        <v>11</v>
      </c>
      <c r="G148" s="64">
        <f t="shared" si="14"/>
        <v>9.6427030496924276E-2</v>
      </c>
      <c r="H148" s="3">
        <v>-1</v>
      </c>
      <c r="I148" s="3">
        <v>-1</v>
      </c>
      <c r="J148" s="11">
        <v>0</v>
      </c>
      <c r="K148" s="25">
        <f t="shared" si="13"/>
        <v>2.2000000000000001E-3</v>
      </c>
      <c r="L148" s="25">
        <v>2.7149999999999999</v>
      </c>
      <c r="M148" s="25">
        <v>2.7149999999999999</v>
      </c>
      <c r="N148" s="11" t="s">
        <v>509</v>
      </c>
      <c r="O148" s="26" t="str">
        <f>VLOOKUP(TRN!D148,SYS!$G$5:$H$360,2,FALSE)</f>
        <v>新飯能変電所</v>
      </c>
      <c r="P148" s="26" t="str">
        <f>VLOOKUP(TRN!E148,SYS!$G$5:$H$360,2,FALSE)</f>
        <v>青梅変電所</v>
      </c>
      <c r="S148" s="1"/>
      <c r="T148" s="88">
        <v>0.68878740181020881</v>
      </c>
      <c r="U148" s="89">
        <v>0.81332716932066562</v>
      </c>
      <c r="V148" s="25">
        <v>2.7149999999999999</v>
      </c>
      <c r="W148" s="25">
        <v>2.7149999999999999</v>
      </c>
      <c r="AC148" s="18"/>
    </row>
    <row r="149" spans="1:29" x14ac:dyDescent="0.2">
      <c r="A149" s="3">
        <v>144</v>
      </c>
      <c r="B149" s="3" t="s">
        <v>1055</v>
      </c>
      <c r="C149" s="3" t="s">
        <v>925</v>
      </c>
      <c r="D149" s="21">
        <f>VLOOKUP(B149,SYS!$F$5:$G$360,2,FALSE)</f>
        <v>94</v>
      </c>
      <c r="E149" s="21">
        <f>VLOOKUP(C149,SYS!$F$5:$G$360,2,FALSE)</f>
        <v>97</v>
      </c>
      <c r="F149" s="49">
        <v>27</v>
      </c>
      <c r="G149" s="64">
        <f t="shared" si="14"/>
        <v>8.5360087316318681E-2</v>
      </c>
      <c r="H149" s="3">
        <v>-1</v>
      </c>
      <c r="I149" s="3">
        <v>-1</v>
      </c>
      <c r="J149" s="11">
        <v>0</v>
      </c>
      <c r="K149" s="25">
        <f t="shared" si="13"/>
        <v>5.4000000000000003E-3</v>
      </c>
      <c r="L149" s="25">
        <v>3.0670000000000002</v>
      </c>
      <c r="M149" s="25">
        <v>3.0670000000000002</v>
      </c>
      <c r="N149" s="11" t="s">
        <v>510</v>
      </c>
      <c r="O149" s="26" t="str">
        <f>VLOOKUP(TRN!D149,SYS!$G$5:$H$360,2,FALSE)</f>
        <v>新多摩変電所</v>
      </c>
      <c r="P149" s="26" t="str">
        <f>VLOOKUP(TRN!E149,SYS!$G$5:$H$360,2,FALSE)</f>
        <v>西東京変電所</v>
      </c>
      <c r="S149" s="1"/>
      <c r="T149" s="88">
        <v>0.38359556687556345</v>
      </c>
      <c r="U149" s="89">
        <v>41599.169427844361</v>
      </c>
      <c r="V149" s="25">
        <v>3.0670000000000002</v>
      </c>
      <c r="W149" s="25">
        <v>3.0670000000000002</v>
      </c>
      <c r="AC149" s="18"/>
    </row>
    <row r="150" spans="1:29" x14ac:dyDescent="0.2">
      <c r="A150" s="3">
        <v>145</v>
      </c>
      <c r="B150" s="3" t="s">
        <v>1522</v>
      </c>
      <c r="C150" s="3" t="s">
        <v>1059</v>
      </c>
      <c r="D150" s="21">
        <f>VLOOKUP(B150,SYS!$F$5:$G$360,2,FALSE)</f>
        <v>98</v>
      </c>
      <c r="E150" s="21">
        <f>VLOOKUP(C150,SYS!$F$5:$G$360,2,FALSE)</f>
        <v>130</v>
      </c>
      <c r="F150" s="49">
        <v>9</v>
      </c>
      <c r="G150" s="64">
        <f t="shared" si="14"/>
        <v>0.1514166499705896</v>
      </c>
      <c r="H150" s="3">
        <v>-1</v>
      </c>
      <c r="I150" s="3">
        <v>-1</v>
      </c>
      <c r="J150" s="11">
        <v>0</v>
      </c>
      <c r="K150" s="25">
        <f t="shared" si="13"/>
        <v>1.8000000000000002E-3</v>
      </c>
      <c r="L150" s="25">
        <v>1.7290000000000001</v>
      </c>
      <c r="M150" s="25">
        <v>1.7290000000000001</v>
      </c>
      <c r="N150" s="11" t="s">
        <v>511</v>
      </c>
      <c r="O150" s="26" t="str">
        <f>VLOOKUP(TRN!D150,SYS!$G$5:$H$360,2,FALSE)</f>
        <v>港北変電所</v>
      </c>
      <c r="P150" s="26" t="str">
        <f>VLOOKUP(TRN!E150,SYS!$G$5:$H$360,2,FALSE)</f>
        <v>港北線</v>
      </c>
      <c r="S150" s="1"/>
      <c r="T150" s="88">
        <v>2.7342372886720772</v>
      </c>
      <c r="U150" s="89">
        <v>0.80567916789161687</v>
      </c>
      <c r="V150" s="25">
        <v>1.7290000000000001</v>
      </c>
      <c r="W150" s="25">
        <v>1.7290000000000001</v>
      </c>
      <c r="AC150" s="18"/>
    </row>
    <row r="151" spans="1:29" x14ac:dyDescent="0.2">
      <c r="A151" s="3">
        <v>146</v>
      </c>
      <c r="B151" s="3" t="s">
        <v>925</v>
      </c>
      <c r="C151" s="3" t="s">
        <v>1061</v>
      </c>
      <c r="D151" s="21">
        <f>VLOOKUP(B151,SYS!$F$5:$G$360,2,FALSE)</f>
        <v>97</v>
      </c>
      <c r="E151" s="21">
        <f>VLOOKUP(C151,SYS!$F$5:$G$360,2,FALSE)</f>
        <v>99</v>
      </c>
      <c r="F151" s="49">
        <v>8</v>
      </c>
      <c r="G151" s="64">
        <f t="shared" si="14"/>
        <v>0.1514166499705896</v>
      </c>
      <c r="H151" s="3">
        <v>-1</v>
      </c>
      <c r="I151" s="3">
        <v>-1</v>
      </c>
      <c r="J151" s="11">
        <v>0</v>
      </c>
      <c r="K151" s="25">
        <f t="shared" ref="K151:K214" si="15">F151*0.0002</f>
        <v>1.6000000000000001E-3</v>
      </c>
      <c r="L151" s="25">
        <v>1.7290000000000001</v>
      </c>
      <c r="M151" s="25">
        <v>1.7290000000000001</v>
      </c>
      <c r="N151" s="11" t="s">
        <v>512</v>
      </c>
      <c r="O151" s="26" t="str">
        <f>VLOOKUP(TRN!D151,SYS!$G$5:$H$360,2,FALSE)</f>
        <v>西東京変電所</v>
      </c>
      <c r="P151" s="26" t="str">
        <f>VLOOKUP(TRN!E151,SYS!$G$5:$H$360,2,FALSE)</f>
        <v>北多摩変電所</v>
      </c>
      <c r="S151" s="1"/>
      <c r="T151" s="88">
        <v>0.9612203497897952</v>
      </c>
      <c r="U151" s="89">
        <v>1.5655019959087142</v>
      </c>
      <c r="V151" s="25">
        <v>1.7290000000000001</v>
      </c>
      <c r="W151" s="25">
        <v>1.7290000000000001</v>
      </c>
      <c r="AC151" s="18"/>
    </row>
    <row r="152" spans="1:29" x14ac:dyDescent="0.2">
      <c r="A152" s="3">
        <v>147</v>
      </c>
      <c r="B152" s="3" t="s">
        <v>1061</v>
      </c>
      <c r="C152" s="3" t="s">
        <v>1063</v>
      </c>
      <c r="D152" s="21">
        <f>VLOOKUP(B152,SYS!$F$5:$G$360,2,FALSE)</f>
        <v>99</v>
      </c>
      <c r="E152" s="21">
        <f>VLOOKUP(C152,SYS!$F$5:$G$360,2,FALSE)</f>
        <v>100</v>
      </c>
      <c r="F152" s="49">
        <v>22</v>
      </c>
      <c r="G152" s="64">
        <f t="shared" si="14"/>
        <v>0.41423953765688198</v>
      </c>
      <c r="H152" s="3">
        <v>-1</v>
      </c>
      <c r="I152" s="3">
        <v>-1</v>
      </c>
      <c r="J152" s="11">
        <v>0</v>
      </c>
      <c r="K152" s="25">
        <f t="shared" si="15"/>
        <v>4.4000000000000003E-3</v>
      </c>
      <c r="L152" s="25">
        <v>0.63200000000000001</v>
      </c>
      <c r="M152" s="25">
        <v>0.63200000000000001</v>
      </c>
      <c r="N152" s="11" t="s">
        <v>513</v>
      </c>
      <c r="O152" s="26" t="str">
        <f>VLOOKUP(TRN!D152,SYS!$G$5:$H$360,2,FALSE)</f>
        <v>北多摩変電所</v>
      </c>
      <c r="P152" s="26" t="str">
        <f>VLOOKUP(TRN!E152,SYS!$G$5:$H$360,2,FALSE)</f>
        <v>東新宿変電所</v>
      </c>
      <c r="R152"/>
      <c r="S152" s="1"/>
      <c r="T152" s="88">
        <v>2.9337610850692797</v>
      </c>
      <c r="U152" s="89">
        <v>3.6099445602414062</v>
      </c>
      <c r="V152" s="25">
        <v>0.63200000000000001</v>
      </c>
      <c r="W152" s="25">
        <v>0.63200000000000001</v>
      </c>
    </row>
    <row r="153" spans="1:29" x14ac:dyDescent="0.2">
      <c r="A153" s="3">
        <v>148</v>
      </c>
      <c r="B153" s="3" t="s">
        <v>1061</v>
      </c>
      <c r="C153" s="3" t="s">
        <v>1065</v>
      </c>
      <c r="D153" s="21">
        <f>VLOOKUP(B153,SYS!$F$5:$G$360,2,FALSE)</f>
        <v>99</v>
      </c>
      <c r="E153" s="21">
        <f>VLOOKUP(C153,SYS!$F$5:$G$360,2,FALSE)</f>
        <v>101</v>
      </c>
      <c r="F153" s="49">
        <v>14</v>
      </c>
      <c r="G153" s="64">
        <f t="shared" si="14"/>
        <v>8.7266462599716474E-2</v>
      </c>
      <c r="H153" s="3">
        <v>-1</v>
      </c>
      <c r="I153" s="3">
        <v>-1</v>
      </c>
      <c r="J153" s="11">
        <v>0</v>
      </c>
      <c r="K153" s="25">
        <f t="shared" si="15"/>
        <v>2.8E-3</v>
      </c>
      <c r="L153" s="95">
        <v>3</v>
      </c>
      <c r="M153" s="95">
        <v>3</v>
      </c>
      <c r="N153" s="11" t="s">
        <v>514</v>
      </c>
      <c r="O153" s="26" t="str">
        <f>VLOOKUP(TRN!D153,SYS!$G$5:$H$360,2,FALSE)</f>
        <v>北多摩変電所</v>
      </c>
      <c r="P153" s="26" t="str">
        <f>VLOOKUP(TRN!E153,SYS!$G$5:$H$360,2,FALSE)</f>
        <v>新宿変電所</v>
      </c>
      <c r="Q153" s="25">
        <v>0.876</v>
      </c>
      <c r="S153" s="1"/>
      <c r="T153" s="88">
        <v>1.7060021250302539</v>
      </c>
      <c r="U153" s="89">
        <v>2.7902844865006746</v>
      </c>
      <c r="V153" s="58">
        <v>3</v>
      </c>
      <c r="W153" s="58">
        <v>3</v>
      </c>
      <c r="AC153" s="18"/>
    </row>
    <row r="154" spans="1:29" x14ac:dyDescent="0.2">
      <c r="A154" s="3">
        <v>149</v>
      </c>
      <c r="B154" s="3" t="s">
        <v>1065</v>
      </c>
      <c r="C154" s="3" t="s">
        <v>1067</v>
      </c>
      <c r="D154" s="21">
        <f>VLOOKUP(B154,SYS!$F$5:$G$360,2,FALSE)</f>
        <v>101</v>
      </c>
      <c r="E154" s="21">
        <f>VLOOKUP(C154,SYS!$F$5:$G$360,2,FALSE)</f>
        <v>102</v>
      </c>
      <c r="F154" s="49">
        <v>1</v>
      </c>
      <c r="G154" s="64">
        <f t="shared" si="14"/>
        <v>0.31504138122641329</v>
      </c>
      <c r="H154" s="3">
        <v>-1</v>
      </c>
      <c r="I154" s="3">
        <v>-1</v>
      </c>
      <c r="J154" s="11">
        <v>0</v>
      </c>
      <c r="K154" s="25">
        <f t="shared" si="15"/>
        <v>2.0000000000000001E-4</v>
      </c>
      <c r="L154" s="25">
        <v>0.83099999999999996</v>
      </c>
      <c r="M154" s="25">
        <v>0.83099999999999996</v>
      </c>
      <c r="N154" s="11" t="s">
        <v>515</v>
      </c>
      <c r="O154" s="26" t="str">
        <f>VLOOKUP(TRN!D154,SYS!$G$5:$H$360,2,FALSE)</f>
        <v>新宿変電所</v>
      </c>
      <c r="P154" s="26" t="str">
        <f>VLOOKUP(TRN!E154,SYS!$G$5:$H$360,2,FALSE)</f>
        <v>城南変電所</v>
      </c>
      <c r="S154" s="1"/>
      <c r="T154" s="88">
        <v>2.5147296544278839</v>
      </c>
      <c r="U154" s="89">
        <v>2.6512880495081874</v>
      </c>
      <c r="V154" s="25">
        <v>0.83099999999999996</v>
      </c>
      <c r="W154" s="25">
        <v>0.83099999999999996</v>
      </c>
      <c r="AC154" s="18"/>
    </row>
    <row r="155" spans="1:29" x14ac:dyDescent="0.2">
      <c r="A155" s="3">
        <v>150</v>
      </c>
      <c r="B155" s="3" t="s">
        <v>925</v>
      </c>
      <c r="C155" s="3" t="s">
        <v>1069</v>
      </c>
      <c r="D155" s="21">
        <f>VLOOKUP(B155,SYS!$F$5:$G$360,2,FALSE)</f>
        <v>97</v>
      </c>
      <c r="E155" s="21">
        <f>VLOOKUP(C155,SYS!$F$5:$G$360,2,FALSE)</f>
        <v>103</v>
      </c>
      <c r="F155" s="49">
        <v>17</v>
      </c>
      <c r="G155" s="64">
        <f t="shared" si="14"/>
        <v>0.34860104900019895</v>
      </c>
      <c r="H155" s="3">
        <v>-1</v>
      </c>
      <c r="I155" s="3">
        <v>-1</v>
      </c>
      <c r="J155" s="11">
        <v>0</v>
      </c>
      <c r="K155" s="25">
        <f t="shared" si="15"/>
        <v>3.4000000000000002E-3</v>
      </c>
      <c r="L155" s="25">
        <v>0.751</v>
      </c>
      <c r="M155" s="25">
        <v>0.751</v>
      </c>
      <c r="N155" s="11" t="s">
        <v>516</v>
      </c>
      <c r="O155" s="26" t="str">
        <f>VLOOKUP(TRN!D155,SYS!$G$5:$H$360,2,FALSE)</f>
        <v>西東京変電所</v>
      </c>
      <c r="P155" s="26" t="str">
        <f>VLOOKUP(TRN!E155,SYS!$G$5:$H$360,2,FALSE)</f>
        <v>多摩変電所</v>
      </c>
      <c r="S155" s="1"/>
      <c r="T155" s="88">
        <v>1889.8343671528125</v>
      </c>
      <c r="U155" s="89">
        <v>1.911777898105278</v>
      </c>
      <c r="V155" s="25">
        <v>0.751</v>
      </c>
      <c r="W155" s="25">
        <v>0.751</v>
      </c>
      <c r="AC155" s="18"/>
    </row>
    <row r="156" spans="1:29" x14ac:dyDescent="0.2">
      <c r="A156" s="3">
        <v>151</v>
      </c>
      <c r="B156" s="3" t="s">
        <v>1053</v>
      </c>
      <c r="C156" s="3" t="s">
        <v>925</v>
      </c>
      <c r="D156" s="21">
        <f>VLOOKUP(B156,SYS!$F$5:$G$360,2,FALSE)</f>
        <v>93</v>
      </c>
      <c r="E156" s="21">
        <f>VLOOKUP(C156,SYS!$F$5:$G$360,2,FALSE)</f>
        <v>97</v>
      </c>
      <c r="F156" s="32">
        <v>12</v>
      </c>
      <c r="G156" s="64">
        <f t="shared" ref="G156:G197" si="16">$L$2/L156</f>
        <v>0.44372777593076174</v>
      </c>
      <c r="H156" s="3">
        <v>-1</v>
      </c>
      <c r="I156" s="3">
        <v>-1</v>
      </c>
      <c r="J156" s="11">
        <v>0</v>
      </c>
      <c r="K156" s="25">
        <f t="shared" si="15"/>
        <v>2.4000000000000002E-3</v>
      </c>
      <c r="L156" s="25">
        <v>0.59</v>
      </c>
      <c r="M156" s="25">
        <v>0.59</v>
      </c>
      <c r="N156" s="11" t="s">
        <v>517</v>
      </c>
      <c r="O156" s="26" t="str">
        <f>VLOOKUP(TRN!D156,SYS!$G$5:$H$360,2,FALSE)</f>
        <v>北相模変電所</v>
      </c>
      <c r="P156" s="26" t="str">
        <f>VLOOKUP(TRN!E156,SYS!$G$5:$H$360,2,FALSE)</f>
        <v>西東京変電所</v>
      </c>
      <c r="S156" s="1"/>
      <c r="T156" s="88">
        <v>2.9190956387062719</v>
      </c>
      <c r="U156" s="89">
        <v>6.0098693883722492</v>
      </c>
      <c r="V156" s="25">
        <v>0.59</v>
      </c>
      <c r="W156" s="25">
        <v>0.59</v>
      </c>
      <c r="AC156" s="18"/>
    </row>
    <row r="157" spans="1:29" x14ac:dyDescent="0.2">
      <c r="A157" s="3">
        <v>152</v>
      </c>
      <c r="B157" s="3" t="s">
        <v>1071</v>
      </c>
      <c r="C157" s="3" t="s">
        <v>1051</v>
      </c>
      <c r="D157" s="21">
        <f>VLOOKUP(B157,SYS!$F$5:$G$360,2,FALSE)</f>
        <v>104</v>
      </c>
      <c r="E157" s="21">
        <f>VLOOKUP(C157,SYS!$F$5:$G$360,2,FALSE)</f>
        <v>92</v>
      </c>
      <c r="F157" s="49">
        <v>28</v>
      </c>
      <c r="G157" s="64">
        <f t="shared" si="16"/>
        <v>0.1446405457453864</v>
      </c>
      <c r="H157" s="3">
        <v>-1</v>
      </c>
      <c r="I157" s="3">
        <v>-1</v>
      </c>
      <c r="J157" s="11">
        <v>0</v>
      </c>
      <c r="K157" s="25">
        <f t="shared" si="15"/>
        <v>5.5999999999999999E-3</v>
      </c>
      <c r="L157" s="25">
        <v>1.81</v>
      </c>
      <c r="M157" s="25">
        <v>1.81</v>
      </c>
      <c r="N157" s="11" t="s">
        <v>518</v>
      </c>
      <c r="O157" s="26" t="str">
        <f>VLOOKUP(TRN!D157,SYS!$G$5:$H$360,2,FALSE)</f>
        <v>京浜変電所</v>
      </c>
      <c r="P157" s="26" t="str">
        <f>VLOOKUP(TRN!E157,SYS!$G$5:$H$360,2,FALSE)</f>
        <v>新秦野変電所</v>
      </c>
      <c r="S157" s="1"/>
      <c r="T157" s="88">
        <v>218872.07416767089</v>
      </c>
      <c r="U157" s="89">
        <v>0.7551299897256798</v>
      </c>
      <c r="V157" s="25">
        <v>1.81</v>
      </c>
      <c r="W157" s="25">
        <v>1.81</v>
      </c>
      <c r="AC157" s="18"/>
    </row>
    <row r="158" spans="1:29" x14ac:dyDescent="0.2">
      <c r="A158" s="3">
        <v>153</v>
      </c>
      <c r="B158" s="3" t="s">
        <v>1071</v>
      </c>
      <c r="C158" s="3" t="s">
        <v>925</v>
      </c>
      <c r="D158" s="21">
        <f>VLOOKUP(B158,SYS!$F$5:$G$360,2,FALSE)</f>
        <v>104</v>
      </c>
      <c r="E158" s="21">
        <f>VLOOKUP(C158,SYS!$F$5:$G$360,2,FALSE)</f>
        <v>97</v>
      </c>
      <c r="F158" s="49">
        <v>23</v>
      </c>
      <c r="G158" s="64">
        <f t="shared" si="16"/>
        <v>0.35235449232725358</v>
      </c>
      <c r="H158" s="3">
        <v>-1</v>
      </c>
      <c r="I158" s="3">
        <v>-1</v>
      </c>
      <c r="J158" s="11">
        <v>0</v>
      </c>
      <c r="K158" s="25">
        <f t="shared" si="15"/>
        <v>4.5999999999999999E-3</v>
      </c>
      <c r="L158" s="25">
        <v>0.74299999999999999</v>
      </c>
      <c r="M158" s="25">
        <v>0.74299999999999999</v>
      </c>
      <c r="N158" s="56" t="s">
        <v>519</v>
      </c>
      <c r="O158" s="26" t="str">
        <f>VLOOKUP(TRN!D158,SYS!$G$5:$H$360,2,FALSE)</f>
        <v>京浜変電所</v>
      </c>
      <c r="P158" s="26" t="str">
        <f>VLOOKUP(TRN!E158,SYS!$G$5:$H$360,2,FALSE)</f>
        <v>西東京変電所</v>
      </c>
      <c r="S158" s="1"/>
      <c r="T158" s="88">
        <v>939.21189433505458</v>
      </c>
      <c r="U158" s="89">
        <v>3.0757887466993972</v>
      </c>
      <c r="V158" s="25">
        <v>0.74299999999999999</v>
      </c>
      <c r="W158" s="25">
        <v>0.74299999999999999</v>
      </c>
      <c r="AC158" s="18"/>
    </row>
    <row r="159" spans="1:29" x14ac:dyDescent="0.2">
      <c r="A159" s="3">
        <v>154</v>
      </c>
      <c r="B159" s="3" t="s">
        <v>925</v>
      </c>
      <c r="C159" s="3" t="s">
        <v>1073</v>
      </c>
      <c r="D159" s="21">
        <f>VLOOKUP(B159,SYS!$F$5:$G$360,2,FALSE)</f>
        <v>97</v>
      </c>
      <c r="E159" s="21">
        <f>VLOOKUP(C159,SYS!$F$5:$G$360,2,FALSE)</f>
        <v>105</v>
      </c>
      <c r="F159" s="49">
        <v>8</v>
      </c>
      <c r="G159" s="64">
        <f t="shared" si="16"/>
        <v>0.35235449232725358</v>
      </c>
      <c r="H159" s="3">
        <v>-1</v>
      </c>
      <c r="I159" s="3">
        <v>-1</v>
      </c>
      <c r="J159" s="11">
        <v>0</v>
      </c>
      <c r="K159" s="25">
        <f t="shared" si="15"/>
        <v>1.6000000000000001E-3</v>
      </c>
      <c r="L159" s="25">
        <v>0.74299999999999999</v>
      </c>
      <c r="M159" s="25">
        <v>0.74299999999999999</v>
      </c>
      <c r="N159" s="11" t="s">
        <v>520</v>
      </c>
      <c r="O159" s="26" t="str">
        <f>VLOOKUP(TRN!D159,SYS!$G$5:$H$360,2,FALSE)</f>
        <v>西東京変電所</v>
      </c>
      <c r="P159" s="26" t="str">
        <f>VLOOKUP(TRN!E159,SYS!$G$5:$H$360,2,FALSE)</f>
        <v>西横浜変電所</v>
      </c>
      <c r="S159" s="1"/>
      <c r="T159" s="88">
        <v>2.1702489268668157</v>
      </c>
      <c r="U159" s="89">
        <v>3.8816178570201947</v>
      </c>
      <c r="V159" s="25">
        <v>0.74299999999999999</v>
      </c>
      <c r="W159" s="25">
        <v>0.74299999999999999</v>
      </c>
      <c r="AC159" s="18"/>
    </row>
    <row r="160" spans="1:29" x14ac:dyDescent="0.2">
      <c r="A160" s="3">
        <v>155</v>
      </c>
      <c r="B160" s="3" t="s">
        <v>1524</v>
      </c>
      <c r="C160" s="3" t="s">
        <v>1071</v>
      </c>
      <c r="D160" s="21">
        <f>VLOOKUP(B160,SYS!$F$5:$G$360,2,FALSE)</f>
        <v>106</v>
      </c>
      <c r="E160" s="21">
        <f>VLOOKUP(C160,SYS!$F$5:$G$360,2,FALSE)</f>
        <v>104</v>
      </c>
      <c r="F160" s="49">
        <v>29</v>
      </c>
      <c r="G160" s="64">
        <f t="shared" si="16"/>
        <v>0.1446405457453864</v>
      </c>
      <c r="H160" s="3">
        <v>-1</v>
      </c>
      <c r="I160" s="3">
        <v>-1</v>
      </c>
      <c r="J160" s="11">
        <v>0</v>
      </c>
      <c r="K160" s="25">
        <f t="shared" si="15"/>
        <v>5.8000000000000005E-3</v>
      </c>
      <c r="L160" s="25">
        <v>1.81</v>
      </c>
      <c r="M160" s="25">
        <v>1.81</v>
      </c>
      <c r="N160" s="11" t="s">
        <v>521</v>
      </c>
      <c r="O160" s="26" t="str">
        <f>VLOOKUP(TRN!D160,SYS!$G$5:$H$360,2,FALSE)</f>
        <v>南川崎変電所</v>
      </c>
      <c r="P160" s="26" t="str">
        <f>VLOOKUP(TRN!E160,SYS!$G$5:$H$360,2,FALSE)</f>
        <v>京浜変電所</v>
      </c>
      <c r="S160" s="1"/>
      <c r="T160" s="88">
        <v>1.7483628621964327</v>
      </c>
      <c r="U160" s="89">
        <v>0.83826156278564412</v>
      </c>
      <c r="V160" s="25">
        <v>1.81</v>
      </c>
      <c r="W160" s="25">
        <v>1.81</v>
      </c>
      <c r="AC160" s="18"/>
    </row>
    <row r="161" spans="1:29" x14ac:dyDescent="0.2">
      <c r="A161" s="3">
        <v>156</v>
      </c>
      <c r="B161" s="3" t="s">
        <v>1524</v>
      </c>
      <c r="C161" s="3" t="s">
        <v>1077</v>
      </c>
      <c r="D161" s="21">
        <f>VLOOKUP(B161,SYS!$F$5:$G$360,2,FALSE)</f>
        <v>106</v>
      </c>
      <c r="E161" s="21">
        <f>VLOOKUP(C161,SYS!$F$5:$G$360,2,FALSE)</f>
        <v>107</v>
      </c>
      <c r="F161" s="49">
        <v>10</v>
      </c>
      <c r="G161" s="64">
        <f t="shared" si="16"/>
        <v>0.21529554917693208</v>
      </c>
      <c r="H161" s="3">
        <v>-1</v>
      </c>
      <c r="I161" s="3">
        <v>-1</v>
      </c>
      <c r="J161" s="11">
        <v>0</v>
      </c>
      <c r="K161" s="25">
        <f t="shared" si="15"/>
        <v>2E-3</v>
      </c>
      <c r="L161" s="25">
        <v>1.216</v>
      </c>
      <c r="M161" s="25">
        <v>1.216</v>
      </c>
      <c r="N161" s="11" t="s">
        <v>522</v>
      </c>
      <c r="O161" s="26" t="str">
        <f>VLOOKUP(TRN!D161,SYS!$G$5:$H$360,2,FALSE)</f>
        <v>南川崎変電所</v>
      </c>
      <c r="P161" s="26" t="str">
        <f>VLOOKUP(TRN!E161,SYS!$G$5:$H$360,2,FALSE)</f>
        <v>池上変電所</v>
      </c>
      <c r="S161" s="1"/>
      <c r="T161" s="88">
        <v>1.2709029443632656</v>
      </c>
      <c r="U161" s="89">
        <v>2.4659322641677219</v>
      </c>
      <c r="V161" s="25">
        <v>1.216</v>
      </c>
      <c r="W161" s="25">
        <v>1.216</v>
      </c>
      <c r="AC161" s="18"/>
    </row>
    <row r="162" spans="1:29" x14ac:dyDescent="0.2">
      <c r="A162" s="3">
        <v>157</v>
      </c>
      <c r="B162" s="3" t="s">
        <v>1049</v>
      </c>
      <c r="C162" s="3" t="s">
        <v>1079</v>
      </c>
      <c r="D162" s="21">
        <f>VLOOKUP(B162,SYS!$F$5:$G$360,2,FALSE)</f>
        <v>91</v>
      </c>
      <c r="E162" s="21">
        <f>VLOOKUP(C162,SYS!$F$5:$G$360,2,FALSE)</f>
        <v>108</v>
      </c>
      <c r="F162" s="49">
        <v>2</v>
      </c>
      <c r="G162" s="64">
        <f t="shared" si="16"/>
        <v>0.35235449232725358</v>
      </c>
      <c r="H162" s="3">
        <v>-1</v>
      </c>
      <c r="I162" s="3">
        <v>-1</v>
      </c>
      <c r="J162" s="11">
        <v>0</v>
      </c>
      <c r="K162" s="25">
        <f t="shared" si="15"/>
        <v>4.0000000000000002E-4</v>
      </c>
      <c r="L162" s="25">
        <v>0.74299999999999999</v>
      </c>
      <c r="M162" s="25">
        <v>0.74299999999999999</v>
      </c>
      <c r="N162" s="11" t="s">
        <v>523</v>
      </c>
      <c r="O162" s="26" t="str">
        <f>VLOOKUP(TRN!D162,SYS!$G$5:$H$360,2,FALSE)</f>
        <v>新所沢変電所</v>
      </c>
      <c r="P162" s="26" t="str">
        <f>VLOOKUP(TRN!E162,SYS!$G$5:$H$360,2,FALSE)</f>
        <v>中東京変電所</v>
      </c>
      <c r="S162" s="1"/>
      <c r="T162" s="88">
        <v>2.0007252763465035</v>
      </c>
      <c r="U162" s="89">
        <v>4.3879525146186449</v>
      </c>
      <c r="V162" s="25">
        <v>0.74299999999999999</v>
      </c>
      <c r="W162" s="25">
        <v>0.74299999999999999</v>
      </c>
      <c r="AC162" s="18"/>
    </row>
    <row r="163" spans="1:29" x14ac:dyDescent="0.2">
      <c r="A163" s="3">
        <v>158</v>
      </c>
      <c r="B163" s="3" t="s">
        <v>1049</v>
      </c>
      <c r="C163" s="3" t="s">
        <v>1079</v>
      </c>
      <c r="D163" s="21">
        <f>VLOOKUP(B163,SYS!$F$5:$G$360,2,FALSE)</f>
        <v>91</v>
      </c>
      <c r="E163" s="21">
        <f>VLOOKUP(C163,SYS!$F$5:$G$360,2,FALSE)</f>
        <v>108</v>
      </c>
      <c r="F163" s="49">
        <v>2</v>
      </c>
      <c r="G163" s="64">
        <f t="shared" si="16"/>
        <v>0.35235449232725358</v>
      </c>
      <c r="H163" s="3">
        <v>-1</v>
      </c>
      <c r="I163" s="3">
        <v>-1</v>
      </c>
      <c r="J163" s="11">
        <v>0</v>
      </c>
      <c r="K163" s="25">
        <f t="shared" si="15"/>
        <v>4.0000000000000002E-4</v>
      </c>
      <c r="L163" s="25">
        <v>0.74299999999999999</v>
      </c>
      <c r="M163" s="25">
        <v>0.74299999999999999</v>
      </c>
      <c r="N163" s="11" t="s">
        <v>524</v>
      </c>
      <c r="O163" s="26" t="str">
        <f>VLOOKUP(TRN!D163,SYS!$G$5:$H$360,2,FALSE)</f>
        <v>新所沢変電所</v>
      </c>
      <c r="P163" s="26" t="str">
        <f>VLOOKUP(TRN!E163,SYS!$G$5:$H$360,2,FALSE)</f>
        <v>中東京変電所</v>
      </c>
      <c r="S163" s="1"/>
      <c r="T163" s="88">
        <v>2.0007252763498982</v>
      </c>
      <c r="U163" s="89">
        <v>4.3879525146039233</v>
      </c>
      <c r="V163" s="25">
        <v>0.74299999999999999</v>
      </c>
      <c r="W163" s="25">
        <v>0.74299999999999999</v>
      </c>
      <c r="AC163" s="18"/>
    </row>
    <row r="164" spans="1:29" x14ac:dyDescent="0.2">
      <c r="A164" s="3">
        <v>159</v>
      </c>
      <c r="B164" s="3" t="s">
        <v>1049</v>
      </c>
      <c r="C164" s="3" t="s">
        <v>1081</v>
      </c>
      <c r="D164" s="21">
        <f>VLOOKUP(B164,SYS!$F$5:$G$360,2,FALSE)</f>
        <v>91</v>
      </c>
      <c r="E164" s="21">
        <f>VLOOKUP(C164,SYS!$F$5:$G$360,2,FALSE)</f>
        <v>109</v>
      </c>
      <c r="F164" s="49">
        <v>14</v>
      </c>
      <c r="G164" s="64">
        <f t="shared" si="16"/>
        <v>7.4565476445214871E-2</v>
      </c>
      <c r="H164" s="3">
        <v>-1</v>
      </c>
      <c r="I164" s="3">
        <v>-1</v>
      </c>
      <c r="J164" s="11">
        <v>0</v>
      </c>
      <c r="K164" s="25">
        <f t="shared" si="15"/>
        <v>2.8E-3</v>
      </c>
      <c r="L164" s="25">
        <v>3.5110000000000001</v>
      </c>
      <c r="M164" s="25">
        <v>3.5110000000000001</v>
      </c>
      <c r="N164" s="11" t="s">
        <v>525</v>
      </c>
      <c r="O164" s="26" t="str">
        <f>VLOOKUP(TRN!D164,SYS!$G$5:$H$360,2,FALSE)</f>
        <v>新所沢変電所</v>
      </c>
      <c r="P164" s="26" t="str">
        <f>VLOOKUP(TRN!E164,SYS!$G$5:$H$360,2,FALSE)</f>
        <v>南狭山変電所</v>
      </c>
      <c r="S164" s="1"/>
      <c r="T164" s="88">
        <v>0.43801227792007391</v>
      </c>
      <c r="U164" s="89">
        <v>0.88391186663031507</v>
      </c>
      <c r="V164" s="25">
        <v>3.5110000000000001</v>
      </c>
      <c r="W164" s="25">
        <v>3.5110000000000001</v>
      </c>
      <c r="AC164" s="18"/>
    </row>
    <row r="165" spans="1:29" x14ac:dyDescent="0.2">
      <c r="A165" s="3">
        <v>160</v>
      </c>
      <c r="B165" s="3" t="s">
        <v>1081</v>
      </c>
      <c r="C165" s="3" t="s">
        <v>1083</v>
      </c>
      <c r="D165" s="21">
        <f>VLOOKUP(B165,SYS!$F$5:$G$360,2,FALSE)</f>
        <v>109</v>
      </c>
      <c r="E165" s="21">
        <f>VLOOKUP(C165,SYS!$F$5:$G$360,2,FALSE)</f>
        <v>110</v>
      </c>
      <c r="F165" s="49">
        <v>13</v>
      </c>
      <c r="G165" s="64">
        <f t="shared" si="16"/>
        <v>8.5332264602069552E-2</v>
      </c>
      <c r="H165" s="3">
        <v>-1</v>
      </c>
      <c r="I165" s="3">
        <v>-1</v>
      </c>
      <c r="J165" s="11">
        <v>0</v>
      </c>
      <c r="K165" s="25">
        <f t="shared" si="15"/>
        <v>2.6000000000000003E-3</v>
      </c>
      <c r="L165" s="25">
        <v>3.0680000000000001</v>
      </c>
      <c r="M165" s="25">
        <v>3.0680000000000001</v>
      </c>
      <c r="N165" s="11" t="s">
        <v>526</v>
      </c>
      <c r="O165" s="26" t="str">
        <f>VLOOKUP(TRN!D165,SYS!$G$5:$H$360,2,FALSE)</f>
        <v>南狭山変電所</v>
      </c>
      <c r="P165" s="26" t="str">
        <f>VLOOKUP(TRN!E165,SYS!$G$5:$H$360,2,FALSE)</f>
        <v>新座変電所</v>
      </c>
      <c r="R165" s="25">
        <v>0.73199999999999998</v>
      </c>
      <c r="S165" s="1"/>
      <c r="T165" s="88">
        <v>0.53575142123288411</v>
      </c>
      <c r="U165" s="89">
        <v>0.89897393549707472</v>
      </c>
      <c r="V165" s="25">
        <v>3.0680000000000001</v>
      </c>
      <c r="W165" s="25">
        <v>3.0680000000000001</v>
      </c>
      <c r="AC165" s="18"/>
    </row>
    <row r="166" spans="1:29" x14ac:dyDescent="0.2">
      <c r="A166" s="3">
        <v>161</v>
      </c>
      <c r="B166" s="3" t="s">
        <v>1083</v>
      </c>
      <c r="C166" s="3" t="s">
        <v>1085</v>
      </c>
      <c r="D166" s="21">
        <f>VLOOKUP(B166,SYS!$F$5:$G$360,2,FALSE)</f>
        <v>110</v>
      </c>
      <c r="E166" s="21">
        <f>VLOOKUP(C166,SYS!$F$5:$G$360,2,FALSE)</f>
        <v>111</v>
      </c>
      <c r="F166" s="49">
        <v>14</v>
      </c>
      <c r="G166" s="64">
        <f t="shared" si="16"/>
        <v>0.26179938779914941</v>
      </c>
      <c r="H166" s="3">
        <v>-1</v>
      </c>
      <c r="I166" s="3">
        <v>-1</v>
      </c>
      <c r="J166" s="11">
        <v>0</v>
      </c>
      <c r="K166" s="25">
        <f t="shared" si="15"/>
        <v>2.8E-3</v>
      </c>
      <c r="L166" s="58">
        <v>1</v>
      </c>
      <c r="M166" s="58">
        <v>1</v>
      </c>
      <c r="N166" s="11" t="s">
        <v>527</v>
      </c>
      <c r="O166" s="26" t="str">
        <f>VLOOKUP(TRN!D166,SYS!$G$5:$H$360,2,FALSE)</f>
        <v>新座変電所</v>
      </c>
      <c r="P166" s="26" t="str">
        <f>VLOOKUP(TRN!E166,SYS!$G$5:$H$360,2,FALSE)</f>
        <v>練馬変電所</v>
      </c>
      <c r="Q166" s="25">
        <v>0.68400000000000005</v>
      </c>
      <c r="R166" s="25">
        <v>1.089</v>
      </c>
      <c r="S166" s="1"/>
      <c r="T166" s="88">
        <v>1.5739727924273961</v>
      </c>
      <c r="U166" s="89">
        <v>3.2193297740294553</v>
      </c>
      <c r="V166" s="58">
        <v>1</v>
      </c>
      <c r="W166" s="58">
        <v>1</v>
      </c>
      <c r="AC166" s="18"/>
    </row>
    <row r="167" spans="1:29" x14ac:dyDescent="0.2">
      <c r="A167" s="3">
        <v>162</v>
      </c>
      <c r="B167" s="3" t="s">
        <v>1083</v>
      </c>
      <c r="C167" s="3" t="s">
        <v>1087</v>
      </c>
      <c r="D167" s="21">
        <f>VLOOKUP(B167,SYS!$F$5:$G$360,2,FALSE)</f>
        <v>110</v>
      </c>
      <c r="E167" s="21">
        <f>VLOOKUP(C167,SYS!$F$5:$G$360,2,FALSE)</f>
        <v>112</v>
      </c>
      <c r="F167" s="32">
        <v>21</v>
      </c>
      <c r="G167" s="64">
        <f t="shared" si="16"/>
        <v>0.24040347823613353</v>
      </c>
      <c r="H167" s="3">
        <v>-1</v>
      </c>
      <c r="I167" s="3">
        <v>-1</v>
      </c>
      <c r="J167" s="11">
        <v>0</v>
      </c>
      <c r="K167" s="25">
        <f t="shared" si="15"/>
        <v>4.2000000000000006E-3</v>
      </c>
      <c r="L167" s="58">
        <v>1.089</v>
      </c>
      <c r="M167" s="58">
        <v>1.089</v>
      </c>
      <c r="N167" s="11" t="s">
        <v>528</v>
      </c>
      <c r="O167" s="26" t="str">
        <f>VLOOKUP(TRN!D167,SYS!$G$5:$H$360,2,FALSE)</f>
        <v>新座変電所</v>
      </c>
      <c r="P167" s="26" t="str">
        <f>VLOOKUP(TRN!E167,SYS!$G$5:$H$360,2,FALSE)</f>
        <v>豊島変電所</v>
      </c>
      <c r="S167" s="1"/>
      <c r="T167" s="88">
        <v>1.5586203711758331</v>
      </c>
      <c r="U167" s="89">
        <v>10.588561252668496</v>
      </c>
      <c r="V167" s="58">
        <v>1.089</v>
      </c>
      <c r="W167" s="58">
        <v>1.089</v>
      </c>
      <c r="AC167" s="18"/>
    </row>
    <row r="168" spans="1:29" x14ac:dyDescent="0.2">
      <c r="A168" s="3">
        <v>163</v>
      </c>
      <c r="B168" s="3" t="s">
        <v>1085</v>
      </c>
      <c r="C168" s="3" t="s">
        <v>1089</v>
      </c>
      <c r="D168" s="21">
        <f>VLOOKUP(B168,SYS!$F$5:$G$360,2,FALSE)</f>
        <v>111</v>
      </c>
      <c r="E168" s="21">
        <f>VLOOKUP(C168,SYS!$F$5:$G$360,2,FALSE)</f>
        <v>113</v>
      </c>
      <c r="F168" s="49">
        <v>12</v>
      </c>
      <c r="G168" s="64">
        <f t="shared" si="16"/>
        <v>0.29988475120177482</v>
      </c>
      <c r="H168" s="3">
        <v>-1</v>
      </c>
      <c r="I168" s="3">
        <v>-1</v>
      </c>
      <c r="J168" s="11">
        <v>0</v>
      </c>
      <c r="K168" s="25">
        <f t="shared" si="15"/>
        <v>2.4000000000000002E-3</v>
      </c>
      <c r="L168" s="25">
        <v>0.873</v>
      </c>
      <c r="M168" s="25">
        <v>0.873</v>
      </c>
      <c r="N168" s="11" t="s">
        <v>529</v>
      </c>
      <c r="O168" s="26" t="str">
        <f>VLOOKUP(TRN!D168,SYS!$G$5:$H$360,2,FALSE)</f>
        <v>練馬変電所</v>
      </c>
      <c r="P168" s="26" t="str">
        <f>VLOOKUP(TRN!E168,SYS!$G$5:$H$360,2,FALSE)</f>
        <v>水道橋変電所</v>
      </c>
      <c r="S168" s="1"/>
      <c r="T168" s="88">
        <v>2.1835954575418235</v>
      </c>
      <c r="U168" s="89">
        <v>2.5384662231455075</v>
      </c>
      <c r="V168" s="25">
        <v>0.873</v>
      </c>
      <c r="W168" s="25">
        <v>0.873</v>
      </c>
      <c r="AC168" s="18"/>
    </row>
    <row r="169" spans="1:29" x14ac:dyDescent="0.2">
      <c r="A169" s="3">
        <v>164</v>
      </c>
      <c r="B169" s="3" t="s">
        <v>1089</v>
      </c>
      <c r="C169" s="3" t="s">
        <v>1063</v>
      </c>
      <c r="D169" s="21">
        <f>VLOOKUP(B169,SYS!$F$5:$G$360,2,FALSE)</f>
        <v>113</v>
      </c>
      <c r="E169" s="21">
        <f>VLOOKUP(C169,SYS!$F$5:$G$360,2,FALSE)</f>
        <v>100</v>
      </c>
      <c r="F169" s="49">
        <v>4</v>
      </c>
      <c r="G169" s="64">
        <f t="shared" si="16"/>
        <v>0.76549528596242511</v>
      </c>
      <c r="H169" s="3">
        <v>-1</v>
      </c>
      <c r="I169" s="3">
        <v>-1</v>
      </c>
      <c r="J169" s="11">
        <v>0</v>
      </c>
      <c r="K169" s="25">
        <f t="shared" si="15"/>
        <v>8.0000000000000004E-4</v>
      </c>
      <c r="L169" s="25">
        <v>0.34200000000000003</v>
      </c>
      <c r="M169" s="25">
        <v>0.34200000000000003</v>
      </c>
      <c r="N169" s="11" t="s">
        <v>530</v>
      </c>
      <c r="O169" s="26" t="str">
        <f>VLOOKUP(TRN!D169,SYS!$G$5:$H$360,2,FALSE)</f>
        <v>水道橋変電所</v>
      </c>
      <c r="P169" s="26" t="str">
        <f>VLOOKUP(TRN!E169,SYS!$G$5:$H$360,2,FALSE)</f>
        <v>東新宿変電所</v>
      </c>
      <c r="S169" s="1"/>
      <c r="T169" s="88">
        <v>5.2264193460392407</v>
      </c>
      <c r="U169" s="89">
        <v>7.1548831490168086</v>
      </c>
      <c r="V169" s="25">
        <v>0.34200000000000003</v>
      </c>
      <c r="W169" s="25">
        <v>0.34200000000000003</v>
      </c>
      <c r="AC169" s="18"/>
    </row>
    <row r="170" spans="1:29" x14ac:dyDescent="0.2">
      <c r="A170" s="3">
        <v>165</v>
      </c>
      <c r="B170" s="3" t="s">
        <v>1033</v>
      </c>
      <c r="C170" s="3" t="s">
        <v>1526</v>
      </c>
      <c r="D170" s="21">
        <f>VLOOKUP(B170,SYS!$F$5:$G$360,2,FALSE)</f>
        <v>81</v>
      </c>
      <c r="E170" s="21">
        <f>VLOOKUP(C170,SYS!$F$5:$G$360,2,FALSE)</f>
        <v>114</v>
      </c>
      <c r="F170" s="49">
        <v>8</v>
      </c>
      <c r="G170" s="64">
        <f t="shared" si="16"/>
        <v>7.23202728726932E-2</v>
      </c>
      <c r="H170" s="3">
        <v>-1</v>
      </c>
      <c r="I170" s="3">
        <v>-1</v>
      </c>
      <c r="J170" s="11">
        <v>0</v>
      </c>
      <c r="K170" s="25">
        <f t="shared" si="15"/>
        <v>1.6000000000000001E-3</v>
      </c>
      <c r="L170" s="25">
        <v>3.62</v>
      </c>
      <c r="M170" s="25">
        <v>3.62</v>
      </c>
      <c r="N170" s="11" t="s">
        <v>531</v>
      </c>
      <c r="O170" s="26" t="str">
        <f>VLOOKUP(TRN!D170,SYS!$G$5:$H$360,2,FALSE)</f>
        <v>新坂戸変電所</v>
      </c>
      <c r="P170" s="26" t="str">
        <f>VLOOKUP(TRN!E170,SYS!$G$5:$H$360,2,FALSE)</f>
        <v>南川越変電所</v>
      </c>
      <c r="S170" s="1"/>
      <c r="T170" s="88">
        <v>0.4591533449219074</v>
      </c>
      <c r="U170" s="89">
        <v>0.71052165544475565</v>
      </c>
      <c r="V170" s="25">
        <v>3.62</v>
      </c>
      <c r="W170" s="25">
        <v>3.62</v>
      </c>
      <c r="AC170" s="18"/>
    </row>
    <row r="171" spans="1:29" x14ac:dyDescent="0.2">
      <c r="A171" s="3">
        <v>166</v>
      </c>
      <c r="B171" s="3" t="s">
        <v>1526</v>
      </c>
      <c r="C171" s="3" t="s">
        <v>1069</v>
      </c>
      <c r="D171" s="21">
        <f>VLOOKUP(B171,SYS!$F$5:$G$360,2,FALSE)</f>
        <v>114</v>
      </c>
      <c r="E171" s="21">
        <f>VLOOKUP(C171,SYS!$F$5:$G$360,2,FALSE)</f>
        <v>103</v>
      </c>
      <c r="F171" s="49">
        <v>13</v>
      </c>
      <c r="G171" s="64">
        <f t="shared" si="16"/>
        <v>0.34860104900019895</v>
      </c>
      <c r="H171" s="3">
        <v>-1</v>
      </c>
      <c r="I171" s="3">
        <v>-1</v>
      </c>
      <c r="J171" s="11">
        <v>0</v>
      </c>
      <c r="K171" s="25">
        <f t="shared" si="15"/>
        <v>2.6000000000000003E-3</v>
      </c>
      <c r="L171" s="25">
        <v>0.751</v>
      </c>
      <c r="M171" s="25">
        <v>0.751</v>
      </c>
      <c r="N171" s="11" t="s">
        <v>532</v>
      </c>
      <c r="O171" s="26" t="str">
        <f>VLOOKUP(TRN!D171,SYS!$G$5:$H$360,2,FALSE)</f>
        <v>南川越変電所</v>
      </c>
      <c r="P171" s="26" t="str">
        <f>VLOOKUP(TRN!E171,SYS!$G$5:$H$360,2,FALSE)</f>
        <v>多摩変電所</v>
      </c>
      <c r="S171" s="1"/>
      <c r="T171" s="88">
        <v>1.5584962117393666</v>
      </c>
      <c r="U171" s="89">
        <v>788916.76233483164</v>
      </c>
      <c r="V171" s="25">
        <v>0.751</v>
      </c>
      <c r="W171" s="25">
        <v>0.751</v>
      </c>
      <c r="AC171" s="18"/>
    </row>
    <row r="172" spans="1:29" x14ac:dyDescent="0.2">
      <c r="A172" s="3">
        <v>167</v>
      </c>
      <c r="B172" s="3" t="s">
        <v>1033</v>
      </c>
      <c r="C172" s="3" t="s">
        <v>1122</v>
      </c>
      <c r="D172" s="21">
        <f>VLOOKUP(B172,SYS!$F$5:$G$360,2,FALSE)</f>
        <v>81</v>
      </c>
      <c r="E172" s="21">
        <f>VLOOKUP(C172,SYS!$F$5:$G$360,2,FALSE)</f>
        <v>128</v>
      </c>
      <c r="F172" s="49">
        <v>13</v>
      </c>
      <c r="G172" s="64">
        <f t="shared" si="16"/>
        <v>0.17453292519943295</v>
      </c>
      <c r="H172" s="3">
        <v>-1</v>
      </c>
      <c r="I172" s="3">
        <v>-1</v>
      </c>
      <c r="J172" s="11">
        <v>0</v>
      </c>
      <c r="K172" s="25">
        <f t="shared" si="15"/>
        <v>2.6000000000000003E-3</v>
      </c>
      <c r="L172" s="58">
        <v>1.5</v>
      </c>
      <c r="M172" s="58">
        <v>1.5</v>
      </c>
      <c r="N172" s="11" t="s">
        <v>533</v>
      </c>
      <c r="O172" s="26" t="str">
        <f>VLOOKUP(TRN!D172,SYS!$G$5:$H$360,2,FALSE)</f>
        <v>新坂戸変電所</v>
      </c>
      <c r="P172" s="26" t="str">
        <f>VLOOKUP(TRN!E172,SYS!$G$5:$H$360,2,FALSE)</f>
        <v>東京中線</v>
      </c>
      <c r="Q172" s="25">
        <v>0.74299999999999999</v>
      </c>
      <c r="S172" s="1"/>
      <c r="T172" s="88">
        <v>537.34138213486926</v>
      </c>
      <c r="U172" s="89">
        <v>2.0018529871206501</v>
      </c>
      <c r="V172" s="58">
        <v>1.5</v>
      </c>
      <c r="W172" s="58">
        <v>1.5</v>
      </c>
      <c r="AC172" s="18"/>
    </row>
    <row r="173" spans="1:29" x14ac:dyDescent="0.2">
      <c r="A173" s="3">
        <v>168</v>
      </c>
      <c r="B173" s="3" t="s">
        <v>1093</v>
      </c>
      <c r="C173" s="3" t="s">
        <v>1095</v>
      </c>
      <c r="D173" s="21">
        <f>VLOOKUP(B173,SYS!$F$5:$G$360,2,FALSE)</f>
        <v>115</v>
      </c>
      <c r="E173" s="21">
        <f>VLOOKUP(C173,SYS!$F$5:$G$360,2,FALSE)</f>
        <v>116</v>
      </c>
      <c r="F173" s="49">
        <v>10</v>
      </c>
      <c r="G173" s="64">
        <f t="shared" si="16"/>
        <v>0.72121043470840063</v>
      </c>
      <c r="H173" s="3">
        <v>-1</v>
      </c>
      <c r="I173" s="3">
        <v>-1</v>
      </c>
      <c r="J173" s="11">
        <v>0</v>
      </c>
      <c r="K173" s="25">
        <f t="shared" si="15"/>
        <v>2E-3</v>
      </c>
      <c r="L173" s="25">
        <v>0.36299999999999999</v>
      </c>
      <c r="M173" s="25">
        <v>0.36299999999999999</v>
      </c>
      <c r="N173" s="11" t="s">
        <v>534</v>
      </c>
      <c r="O173" s="26" t="str">
        <f>VLOOKUP(TRN!D173,SYS!$G$5:$H$360,2,FALSE)</f>
        <v>上尾変電所</v>
      </c>
      <c r="P173" s="26" t="str">
        <f>VLOOKUP(TRN!E173,SYS!$G$5:$H$360,2,FALSE)</f>
        <v>北与野変電所</v>
      </c>
      <c r="S173" s="1"/>
      <c r="T173" s="88">
        <v>4.5593941788501136</v>
      </c>
      <c r="U173" s="89">
        <v>9.7778566804521798</v>
      </c>
      <c r="V173" s="25">
        <v>0.36299999999999999</v>
      </c>
      <c r="W173" s="25">
        <v>0.36299999999999999</v>
      </c>
      <c r="AC173" s="18"/>
    </row>
    <row r="174" spans="1:29" x14ac:dyDescent="0.2">
      <c r="A174" s="3">
        <v>169</v>
      </c>
      <c r="B174" s="3" t="s">
        <v>1029</v>
      </c>
      <c r="C174" s="3" t="s">
        <v>1097</v>
      </c>
      <c r="D174" s="21">
        <f>VLOOKUP(B174,SYS!$F$5:$G$360,2,FALSE)</f>
        <v>79</v>
      </c>
      <c r="E174" s="21">
        <f>VLOOKUP(C174,SYS!$F$5:$G$360,2,FALSE)</f>
        <v>117</v>
      </c>
      <c r="F174" s="49">
        <v>18</v>
      </c>
      <c r="G174" s="64">
        <f t="shared" si="16"/>
        <v>0.2892810914907728</v>
      </c>
      <c r="H174" s="3">
        <v>-1</v>
      </c>
      <c r="I174" s="3">
        <v>-1</v>
      </c>
      <c r="J174" s="11">
        <v>0</v>
      </c>
      <c r="K174" s="25">
        <f t="shared" si="15"/>
        <v>3.6000000000000003E-3</v>
      </c>
      <c r="L174" s="25">
        <v>0.90500000000000003</v>
      </c>
      <c r="M174" s="25">
        <v>0.90500000000000003</v>
      </c>
      <c r="N174" s="11" t="s">
        <v>535</v>
      </c>
      <c r="O174" s="26" t="str">
        <f>VLOOKUP(TRN!D174,SYS!$G$5:$H$360,2,FALSE)</f>
        <v>北東京変電所</v>
      </c>
      <c r="P174" s="26" t="str">
        <f>VLOOKUP(TRN!E174,SYS!$G$5:$H$360,2,FALSE)</f>
        <v>西越谷変電所</v>
      </c>
      <c r="S174" s="1"/>
      <c r="T174" s="88">
        <v>1.9444696789676312</v>
      </c>
      <c r="U174" s="89">
        <v>3.045377649325931</v>
      </c>
      <c r="V174" s="25">
        <v>0.90500000000000003</v>
      </c>
      <c r="W174" s="25">
        <v>0.90500000000000003</v>
      </c>
      <c r="AC174" s="18"/>
    </row>
    <row r="175" spans="1:29" x14ac:dyDescent="0.2">
      <c r="A175" s="3">
        <v>170</v>
      </c>
      <c r="B175" s="3" t="s">
        <v>1029</v>
      </c>
      <c r="C175" s="3" t="s">
        <v>1099</v>
      </c>
      <c r="D175" s="21">
        <f>VLOOKUP(B175,SYS!$F$5:$G$360,2,FALSE)</f>
        <v>79</v>
      </c>
      <c r="E175" s="21">
        <f>VLOOKUP(C175,SYS!$F$5:$G$360,2,FALSE)</f>
        <v>118</v>
      </c>
      <c r="F175" s="49">
        <v>27</v>
      </c>
      <c r="G175" s="64">
        <f t="shared" si="16"/>
        <v>0.1308996938995747</v>
      </c>
      <c r="H175" s="3">
        <v>-1</v>
      </c>
      <c r="I175" s="3">
        <v>-1</v>
      </c>
      <c r="J175" s="11">
        <v>0</v>
      </c>
      <c r="K175" s="25">
        <f t="shared" si="15"/>
        <v>5.4000000000000003E-3</v>
      </c>
      <c r="L175" s="22">
        <v>2</v>
      </c>
      <c r="M175" s="22">
        <v>2</v>
      </c>
      <c r="N175" s="11" t="s">
        <v>536</v>
      </c>
      <c r="O175" s="26" t="str">
        <f>VLOOKUP(TRN!D175,SYS!$G$5:$H$360,2,FALSE)</f>
        <v>北東京変電所</v>
      </c>
      <c r="P175" s="26" t="str">
        <f>VLOOKUP(TRN!E175,SYS!$G$5:$H$360,2,FALSE)</f>
        <v>京北変電所</v>
      </c>
      <c r="S175" s="1"/>
      <c r="T175" s="88">
        <v>0.70148225229588468</v>
      </c>
      <c r="U175" s="89">
        <v>21823.11325859201</v>
      </c>
      <c r="V175" s="25">
        <v>1.7290000000000001</v>
      </c>
      <c r="W175" s="25">
        <v>1.7290000000000001</v>
      </c>
      <c r="AC175" s="18"/>
    </row>
    <row r="176" spans="1:29" x14ac:dyDescent="0.2">
      <c r="A176" s="3">
        <v>171</v>
      </c>
      <c r="B176" s="3" t="s">
        <v>1087</v>
      </c>
      <c r="C176" s="3" t="s">
        <v>1099</v>
      </c>
      <c r="D176" s="21">
        <f>VLOOKUP(B176,SYS!$F$5:$G$360,2,FALSE)</f>
        <v>112</v>
      </c>
      <c r="E176" s="21">
        <f>VLOOKUP(C176,SYS!$F$5:$G$360,2,FALSE)</f>
        <v>118</v>
      </c>
      <c r="F176" s="49">
        <v>20</v>
      </c>
      <c r="G176" s="64">
        <f t="shared" si="16"/>
        <v>0.1308996938995747</v>
      </c>
      <c r="H176" s="3">
        <v>-1</v>
      </c>
      <c r="I176" s="3">
        <v>-1</v>
      </c>
      <c r="J176" s="11">
        <v>0</v>
      </c>
      <c r="K176" s="25">
        <f t="shared" si="15"/>
        <v>4.0000000000000001E-3</v>
      </c>
      <c r="L176" s="22">
        <v>2</v>
      </c>
      <c r="M176" s="22">
        <v>2</v>
      </c>
      <c r="N176" s="11" t="s">
        <v>537</v>
      </c>
      <c r="O176" s="26" t="str">
        <f>VLOOKUP(TRN!D176,SYS!$G$5:$H$360,2,FALSE)</f>
        <v>豊島変電所</v>
      </c>
      <c r="P176" s="26" t="str">
        <f>VLOOKUP(TRN!E176,SYS!$G$5:$H$360,2,FALSE)</f>
        <v>京北変電所</v>
      </c>
      <c r="S176" s="1"/>
      <c r="T176" s="88">
        <v>3.7619528709553789</v>
      </c>
      <c r="U176" s="89">
        <v>1.6498537612625872</v>
      </c>
      <c r="V176" s="25">
        <v>0.92400000000000004</v>
      </c>
      <c r="W176" s="25">
        <v>0.92400000000000004</v>
      </c>
      <c r="AC176" s="18"/>
    </row>
    <row r="177" spans="1:29" x14ac:dyDescent="0.2">
      <c r="A177" s="3">
        <v>172</v>
      </c>
      <c r="B177" s="3" t="s">
        <v>1101</v>
      </c>
      <c r="C177" s="3" t="s">
        <v>1087</v>
      </c>
      <c r="D177" s="21">
        <f>VLOOKUP(B177,SYS!$F$5:$G$360,2,FALSE)</f>
        <v>119</v>
      </c>
      <c r="E177" s="21">
        <f>VLOOKUP(C177,SYS!$F$5:$G$360,2,FALSE)</f>
        <v>112</v>
      </c>
      <c r="F177" s="49">
        <v>11</v>
      </c>
      <c r="G177" s="64">
        <f t="shared" si="16"/>
        <v>0.1308996938995747</v>
      </c>
      <c r="H177" s="3">
        <v>-1</v>
      </c>
      <c r="I177" s="3">
        <v>-1</v>
      </c>
      <c r="J177" s="11">
        <v>0</v>
      </c>
      <c r="K177" s="25">
        <f t="shared" si="15"/>
        <v>2.2000000000000001E-3</v>
      </c>
      <c r="L177" s="22">
        <v>2</v>
      </c>
      <c r="M177" s="22">
        <v>2</v>
      </c>
      <c r="N177" s="11" t="s">
        <v>538</v>
      </c>
      <c r="O177" s="26" t="str">
        <f>VLOOKUP(TRN!D177,SYS!$G$5:$H$360,2,FALSE)</f>
        <v>東内幸町変電所</v>
      </c>
      <c r="P177" s="26" t="str">
        <f>VLOOKUP(TRN!E177,SYS!$G$5:$H$360,2,FALSE)</f>
        <v>豊島変電所</v>
      </c>
      <c r="S177" s="1"/>
      <c r="T177" s="88">
        <v>1.9811216352326044</v>
      </c>
      <c r="U177" s="89">
        <v>2.4661172781345386</v>
      </c>
      <c r="V177" s="25">
        <v>0.94799999999999995</v>
      </c>
      <c r="W177" s="25">
        <v>0.94799999999999995</v>
      </c>
      <c r="AC177" s="18"/>
    </row>
    <row r="178" spans="1:29" x14ac:dyDescent="0.2">
      <c r="A178" s="3">
        <v>173</v>
      </c>
      <c r="B178" s="3" t="s">
        <v>1105</v>
      </c>
      <c r="C178" s="3" t="s">
        <v>1101</v>
      </c>
      <c r="D178" s="21">
        <f>VLOOKUP(B178,SYS!$F$5:$G$360,2,FALSE)</f>
        <v>120</v>
      </c>
      <c r="E178" s="21">
        <f>VLOOKUP(C178,SYS!$F$5:$G$360,2,FALSE)</f>
        <v>119</v>
      </c>
      <c r="F178" s="49">
        <v>1</v>
      </c>
      <c r="G178" s="64">
        <f t="shared" si="16"/>
        <v>0.1308996938995747</v>
      </c>
      <c r="H178" s="3">
        <v>-1</v>
      </c>
      <c r="I178" s="3">
        <v>-1</v>
      </c>
      <c r="J178" s="11">
        <v>0</v>
      </c>
      <c r="K178" s="25">
        <f t="shared" si="15"/>
        <v>2.0000000000000001E-4</v>
      </c>
      <c r="L178" s="22">
        <v>2</v>
      </c>
      <c r="M178" s="22">
        <v>2</v>
      </c>
      <c r="N178" s="11" t="s">
        <v>539</v>
      </c>
      <c r="O178" s="26" t="str">
        <f>VLOOKUP(TRN!D178,SYS!$G$5:$H$360,2,FALSE)</f>
        <v>高輪変電所</v>
      </c>
      <c r="P178" s="26" t="str">
        <f>VLOOKUP(TRN!E178,SYS!$G$5:$H$360,2,FALSE)</f>
        <v>東内幸町変電所</v>
      </c>
      <c r="S178" s="1"/>
      <c r="T178" s="88">
        <v>2.198388543777126</v>
      </c>
      <c r="U178" s="89">
        <v>1.231479266094599</v>
      </c>
      <c r="V178" s="25">
        <v>1.2889999999999999</v>
      </c>
      <c r="W178" s="25">
        <v>1.2889999999999999</v>
      </c>
      <c r="AC178" s="18"/>
    </row>
    <row r="179" spans="1:29" x14ac:dyDescent="0.2">
      <c r="A179" s="3">
        <v>174</v>
      </c>
      <c r="B179" s="3" t="s">
        <v>1518</v>
      </c>
      <c r="C179" s="3" t="s">
        <v>1107</v>
      </c>
      <c r="D179" s="21">
        <f>VLOOKUP(B179,SYS!$F$5:$G$360,2,FALSE)</f>
        <v>80</v>
      </c>
      <c r="E179" s="21">
        <f>VLOOKUP(C179,SYS!$F$5:$G$360,2,FALSE)</f>
        <v>121</v>
      </c>
      <c r="F179" s="49">
        <v>20</v>
      </c>
      <c r="G179" s="64">
        <f t="shared" si="16"/>
        <v>0.23521957574047567</v>
      </c>
      <c r="H179" s="3">
        <v>-1</v>
      </c>
      <c r="I179" s="3">
        <v>-1</v>
      </c>
      <c r="J179" s="11">
        <v>0</v>
      </c>
      <c r="K179" s="25">
        <f t="shared" si="15"/>
        <v>4.0000000000000001E-3</v>
      </c>
      <c r="L179" s="25">
        <v>1.113</v>
      </c>
      <c r="M179" s="25">
        <v>1.113</v>
      </c>
      <c r="N179" s="11" t="s">
        <v>540</v>
      </c>
      <c r="O179" s="26" t="str">
        <f>VLOOKUP(TRN!D179,SYS!$G$5:$H$360,2,FALSE)</f>
        <v>北葛飾変電所</v>
      </c>
      <c r="P179" s="26" t="str">
        <f>VLOOKUP(TRN!E179,SYS!$G$5:$H$360,2,FALSE)</f>
        <v>上野変電所</v>
      </c>
      <c r="S179" s="1"/>
      <c r="T179" s="88">
        <v>1.4222886712073373</v>
      </c>
      <c r="U179" s="89">
        <v>2.6722135591876781</v>
      </c>
      <c r="V179" s="25">
        <v>1.113</v>
      </c>
      <c r="W179" s="25">
        <v>1.113</v>
      </c>
      <c r="AC179" s="18"/>
    </row>
    <row r="180" spans="1:29" x14ac:dyDescent="0.2">
      <c r="A180" s="3">
        <v>175</v>
      </c>
      <c r="B180" s="3" t="s">
        <v>1107</v>
      </c>
      <c r="C180" s="3" t="s">
        <v>1089</v>
      </c>
      <c r="D180" s="21">
        <f>VLOOKUP(B180,SYS!$F$5:$G$360,2,FALSE)</f>
        <v>121</v>
      </c>
      <c r="E180" s="21">
        <f>VLOOKUP(C180,SYS!$F$5:$G$360,2,FALSE)</f>
        <v>113</v>
      </c>
      <c r="F180" s="49">
        <v>7</v>
      </c>
      <c r="G180" s="64">
        <f t="shared" si="16"/>
        <v>0.30196007819971099</v>
      </c>
      <c r="H180" s="3">
        <v>-1</v>
      </c>
      <c r="I180" s="3">
        <v>-1</v>
      </c>
      <c r="J180" s="11">
        <v>0</v>
      </c>
      <c r="K180" s="25">
        <f t="shared" si="15"/>
        <v>1.4E-3</v>
      </c>
      <c r="L180" s="25">
        <v>0.86699999999999999</v>
      </c>
      <c r="M180" s="25">
        <v>0.86699999999999999</v>
      </c>
      <c r="N180" s="11" t="s">
        <v>541</v>
      </c>
      <c r="O180" s="26" t="str">
        <f>VLOOKUP(TRN!D180,SYS!$G$5:$H$360,2,FALSE)</f>
        <v>上野変電所</v>
      </c>
      <c r="P180" s="26" t="str">
        <f>VLOOKUP(TRN!E180,SYS!$G$5:$H$360,2,FALSE)</f>
        <v>水道橋変電所</v>
      </c>
      <c r="S180" s="1"/>
      <c r="T180" s="88">
        <v>1.7337004035586363</v>
      </c>
      <c r="U180" s="89">
        <v>3.9543793096587065</v>
      </c>
      <c r="V180" s="25">
        <v>0.86699999999999999</v>
      </c>
      <c r="W180" s="25">
        <v>0.86699999999999999</v>
      </c>
      <c r="AC180" s="18"/>
    </row>
    <row r="181" spans="1:29" x14ac:dyDescent="0.2">
      <c r="A181" s="3">
        <v>176</v>
      </c>
      <c r="B181" s="3" t="s">
        <v>1518</v>
      </c>
      <c r="C181" s="3" t="s">
        <v>1109</v>
      </c>
      <c r="D181" s="21">
        <f>VLOOKUP(B181,SYS!$F$5:$G$360,2,FALSE)</f>
        <v>80</v>
      </c>
      <c r="E181" s="21">
        <f>VLOOKUP(C181,SYS!$F$5:$G$360,2,FALSE)</f>
        <v>122</v>
      </c>
      <c r="F181" s="49">
        <v>29</v>
      </c>
      <c r="G181" s="64">
        <f t="shared" si="16"/>
        <v>2.1336543422913561E-4</v>
      </c>
      <c r="H181" s="3">
        <v>-1</v>
      </c>
      <c r="I181" s="3">
        <v>-1</v>
      </c>
      <c r="J181" s="11">
        <v>0</v>
      </c>
      <c r="K181" s="25">
        <f t="shared" si="15"/>
        <v>5.8000000000000005E-3</v>
      </c>
      <c r="L181" s="67">
        <v>1227</v>
      </c>
      <c r="M181" s="67">
        <v>1227</v>
      </c>
      <c r="N181" s="11" t="s">
        <v>542</v>
      </c>
      <c r="O181" s="26" t="str">
        <f>VLOOKUP(TRN!D181,SYS!$G$5:$H$360,2,FALSE)</f>
        <v>北葛飾変電所</v>
      </c>
      <c r="P181" s="26" t="str">
        <f>VLOOKUP(TRN!E181,SYS!$G$5:$H$360,2,FALSE)</f>
        <v>永代橋変電所</v>
      </c>
      <c r="S181" s="1"/>
      <c r="T181" s="88">
        <v>-1.3331856379755142E-2</v>
      </c>
      <c r="U181" s="89">
        <v>-1.3335167414237339E-2</v>
      </c>
      <c r="V181" s="67">
        <v>1227</v>
      </c>
      <c r="W181" s="67">
        <v>1227</v>
      </c>
      <c r="AC181" s="18"/>
    </row>
    <row r="182" spans="1:29" x14ac:dyDescent="0.2">
      <c r="A182" s="3">
        <v>177</v>
      </c>
      <c r="B182" s="3" t="s">
        <v>1021</v>
      </c>
      <c r="C182" s="3" t="s">
        <v>1111</v>
      </c>
      <c r="D182" s="21">
        <f>VLOOKUP(B182,SYS!$F$5:$G$360,2,FALSE)</f>
        <v>75</v>
      </c>
      <c r="E182" s="21">
        <f>VLOOKUP(C182,SYS!$F$5:$G$360,2,FALSE)</f>
        <v>123</v>
      </c>
      <c r="F182" s="49">
        <v>40</v>
      </c>
      <c r="G182" s="64">
        <f t="shared" si="16"/>
        <v>0.13635384781205698</v>
      </c>
      <c r="H182" s="3">
        <v>-1</v>
      </c>
      <c r="I182" s="3">
        <v>-1</v>
      </c>
      <c r="J182" s="11">
        <v>0</v>
      </c>
      <c r="K182" s="25">
        <f t="shared" si="15"/>
        <v>8.0000000000000002E-3</v>
      </c>
      <c r="L182" s="25">
        <v>1.92</v>
      </c>
      <c r="M182" s="25">
        <v>1.92</v>
      </c>
      <c r="N182" s="11" t="s">
        <v>543</v>
      </c>
      <c r="O182" s="26" t="str">
        <f>VLOOKUP(TRN!D182,SYS!$G$5:$H$360,2,FALSE)</f>
        <v>新京葉変電所</v>
      </c>
      <c r="P182" s="26" t="str">
        <f>VLOOKUP(TRN!E182,SYS!$G$5:$H$360,2,FALSE)</f>
        <v>新豊洲変電所</v>
      </c>
      <c r="S182" s="1"/>
      <c r="T182" s="88">
        <v>0.6834423555919138</v>
      </c>
      <c r="U182" s="89">
        <v>3.0752578926204239</v>
      </c>
      <c r="V182" s="25">
        <v>1.92</v>
      </c>
      <c r="W182" s="25">
        <v>1.92</v>
      </c>
      <c r="AC182" s="18"/>
    </row>
    <row r="183" spans="1:29" x14ac:dyDescent="0.2">
      <c r="A183" s="3">
        <v>178</v>
      </c>
      <c r="B183" s="3" t="s">
        <v>1021</v>
      </c>
      <c r="C183" s="3" t="s">
        <v>1126</v>
      </c>
      <c r="D183" s="21">
        <f>VLOOKUP(B183,SYS!$F$5:$G$360,2,FALSE)</f>
        <v>75</v>
      </c>
      <c r="E183" s="21">
        <f>VLOOKUP(C183,SYS!$F$5:$G$360,2,FALSE)</f>
        <v>131</v>
      </c>
      <c r="F183" s="49">
        <v>15</v>
      </c>
      <c r="G183" s="64">
        <f t="shared" si="16"/>
        <v>8.6005055124556307E-2</v>
      </c>
      <c r="H183" s="3">
        <v>-1</v>
      </c>
      <c r="I183" s="3">
        <v>-1</v>
      </c>
      <c r="J183" s="11">
        <v>0</v>
      </c>
      <c r="K183" s="25">
        <f t="shared" si="15"/>
        <v>3.0000000000000001E-3</v>
      </c>
      <c r="L183" s="32">
        <v>3.044</v>
      </c>
      <c r="M183" s="32">
        <v>3.044</v>
      </c>
      <c r="N183" s="11" t="s">
        <v>544</v>
      </c>
      <c r="O183" s="26" t="str">
        <f>VLOOKUP(TRN!D183,SYS!$G$5:$H$360,2,FALSE)</f>
        <v>新京葉変電所</v>
      </c>
      <c r="P183" s="26" t="str">
        <f>VLOOKUP(TRN!E183,SYS!$G$5:$H$360,2,FALSE)</f>
        <v>江東線</v>
      </c>
      <c r="Q183" s="26">
        <v>1.718</v>
      </c>
      <c r="R183"/>
      <c r="S183" s="1"/>
      <c r="T183" s="88">
        <v>0.45266348359191144</v>
      </c>
      <c r="U183" s="89">
        <v>1.3166549198866968</v>
      </c>
      <c r="V183" s="32">
        <v>3.044</v>
      </c>
      <c r="W183" s="32">
        <v>3.044</v>
      </c>
      <c r="AC183" s="18"/>
    </row>
    <row r="184" spans="1:29" x14ac:dyDescent="0.2">
      <c r="A184" s="3">
        <v>179</v>
      </c>
      <c r="B184" s="3" t="s">
        <v>1528</v>
      </c>
      <c r="C184" s="3" t="s">
        <v>1067</v>
      </c>
      <c r="D184" s="21">
        <f>VLOOKUP(B184,SYS!$F$5:$G$360,2,FALSE)</f>
        <v>124</v>
      </c>
      <c r="E184" s="21">
        <f>VLOOKUP(C184,SYS!$F$5:$G$360,2,FALSE)</f>
        <v>102</v>
      </c>
      <c r="F184" s="49">
        <v>16</v>
      </c>
      <c r="G184" s="64">
        <f t="shared" si="16"/>
        <v>8.7266462599716474E-2</v>
      </c>
      <c r="H184" s="3">
        <v>-1</v>
      </c>
      <c r="I184" s="3">
        <v>-1</v>
      </c>
      <c r="J184" s="11">
        <v>0</v>
      </c>
      <c r="K184" s="25">
        <f t="shared" si="15"/>
        <v>3.2000000000000002E-3</v>
      </c>
      <c r="L184" s="96">
        <v>3</v>
      </c>
      <c r="M184" s="96">
        <v>3</v>
      </c>
      <c r="N184" s="11" t="s">
        <v>545</v>
      </c>
      <c r="O184" s="26" t="str">
        <f>VLOOKUP(TRN!D184,SYS!$G$5:$H$360,2,FALSE)</f>
        <v>江東変電所</v>
      </c>
      <c r="P184" s="26" t="str">
        <f>VLOOKUP(TRN!E184,SYS!$G$5:$H$360,2,FALSE)</f>
        <v>城南変電所</v>
      </c>
      <c r="Q184" s="26">
        <v>0.83199999999999996</v>
      </c>
      <c r="S184" s="1"/>
      <c r="T184" s="88">
        <v>0.76659807697193139</v>
      </c>
      <c r="U184" s="89">
        <v>543511.93288968992</v>
      </c>
      <c r="V184" s="32">
        <v>1.5</v>
      </c>
      <c r="W184" s="32">
        <v>1.5</v>
      </c>
      <c r="AC184" s="18"/>
    </row>
    <row r="185" spans="1:29" x14ac:dyDescent="0.2">
      <c r="A185" s="3">
        <v>180</v>
      </c>
      <c r="B185" s="3" t="s">
        <v>1530</v>
      </c>
      <c r="C185" s="3" t="s">
        <v>1532</v>
      </c>
      <c r="D185" s="21">
        <f>VLOOKUP(B185,SYS!$F$5:$G$360,2,FALSE)</f>
        <v>125</v>
      </c>
      <c r="E185" s="21">
        <f>VLOOKUP(C185,SYS!$F$5:$G$360,2,FALSE)</f>
        <v>126</v>
      </c>
      <c r="F185" s="49">
        <v>33</v>
      </c>
      <c r="G185" s="64">
        <f t="shared" si="16"/>
        <v>0.24106757624231068</v>
      </c>
      <c r="H185" s="3">
        <v>-1</v>
      </c>
      <c r="I185" s="3">
        <v>-1</v>
      </c>
      <c r="J185" s="11">
        <v>0</v>
      </c>
      <c r="K185" s="25">
        <f t="shared" si="15"/>
        <v>6.6E-3</v>
      </c>
      <c r="L185" s="26">
        <v>1.0860000000000001</v>
      </c>
      <c r="M185" s="26">
        <v>1.0860000000000001</v>
      </c>
      <c r="N185" s="11" t="s">
        <v>546</v>
      </c>
      <c r="O185" s="26" t="str">
        <f>VLOOKUP(TRN!D185,SYS!$G$5:$H$360,2,FALSE)</f>
        <v>葛南変電所</v>
      </c>
      <c r="P185" s="26" t="str">
        <f>VLOOKUP(TRN!E185,SYS!$G$5:$H$360,2,FALSE)</f>
        <v>世田谷変電所</v>
      </c>
      <c r="S185" s="1"/>
      <c r="T185" s="88">
        <v>2.2937540819218163</v>
      </c>
      <c r="U185" s="89">
        <v>1.5827455198383069</v>
      </c>
      <c r="V185" s="26">
        <v>1.0860000000000001</v>
      </c>
      <c r="W185" s="26">
        <v>1.0860000000000001</v>
      </c>
      <c r="AC185" s="18"/>
    </row>
    <row r="186" spans="1:29" x14ac:dyDescent="0.2">
      <c r="A186" s="3">
        <v>181</v>
      </c>
      <c r="B186" s="3" t="s">
        <v>1532</v>
      </c>
      <c r="C186" s="3" t="s">
        <v>1120</v>
      </c>
      <c r="D186" s="21">
        <f>VLOOKUP(B186,SYS!$F$5:$G$360,2,FALSE)</f>
        <v>126</v>
      </c>
      <c r="E186" s="21">
        <f>VLOOKUP(C186,SYS!$F$5:$G$360,2,FALSE)</f>
        <v>127</v>
      </c>
      <c r="F186" s="7">
        <v>14</v>
      </c>
      <c r="G186" s="64">
        <f t="shared" si="16"/>
        <v>0.2220520676837569</v>
      </c>
      <c r="H186" s="3">
        <v>-1</v>
      </c>
      <c r="I186" s="3">
        <v>-1</v>
      </c>
      <c r="J186" s="11">
        <v>0</v>
      </c>
      <c r="K186" s="25">
        <f t="shared" si="15"/>
        <v>2.8E-3</v>
      </c>
      <c r="L186" s="26">
        <v>1.179</v>
      </c>
      <c r="M186" s="26">
        <v>1.179</v>
      </c>
      <c r="N186" s="11" t="s">
        <v>547</v>
      </c>
      <c r="O186" s="26" t="str">
        <f>VLOOKUP(TRN!D186,SYS!$G$5:$H$360,2,FALSE)</f>
        <v>世田谷変電所</v>
      </c>
      <c r="P186" s="26" t="str">
        <f>VLOOKUP(TRN!E186,SYS!$G$5:$H$360,2,FALSE)</f>
        <v>荏田変電所</v>
      </c>
      <c r="R186" s="62" t="s">
        <v>823</v>
      </c>
      <c r="S186" s="1"/>
      <c r="T186" s="88">
        <v>3.0449413766047693</v>
      </c>
      <c r="U186" s="89">
        <v>1.2342696404276832</v>
      </c>
      <c r="V186" s="26">
        <v>1.179</v>
      </c>
      <c r="W186" s="26">
        <v>1.179</v>
      </c>
    </row>
    <row r="187" spans="1:29" x14ac:dyDescent="0.2">
      <c r="A187" s="3">
        <v>182</v>
      </c>
      <c r="B187" s="3" t="s">
        <v>1111</v>
      </c>
      <c r="C187" s="3" t="s">
        <v>1101</v>
      </c>
      <c r="D187" s="21">
        <f>VLOOKUP(B187,SYS!$F$5:$G$360,2,FALSE)</f>
        <v>123</v>
      </c>
      <c r="E187" s="21">
        <f>VLOOKUP(C187,SYS!$F$5:$G$360,2,FALSE)</f>
        <v>119</v>
      </c>
      <c r="F187" s="7">
        <v>7</v>
      </c>
      <c r="G187" s="64">
        <f t="shared" si="16"/>
        <v>0.20138414446088415</v>
      </c>
      <c r="H187" s="3">
        <v>-1</v>
      </c>
      <c r="I187" s="3">
        <v>-1</v>
      </c>
      <c r="J187" s="11">
        <v>0</v>
      </c>
      <c r="K187" s="25">
        <f t="shared" si="15"/>
        <v>1.4E-3</v>
      </c>
      <c r="L187" s="32">
        <v>1.3</v>
      </c>
      <c r="M187" s="32">
        <v>1.3</v>
      </c>
      <c r="N187" s="11" t="s">
        <v>548</v>
      </c>
      <c r="O187" s="26" t="str">
        <f>VLOOKUP(TRN!D187,SYS!$G$5:$H$360,2,FALSE)</f>
        <v>新豊洲変電所</v>
      </c>
      <c r="P187" s="26" t="str">
        <f>VLOOKUP(TRN!E187,SYS!$G$5:$H$360,2,FALSE)</f>
        <v>東内幸町変電所</v>
      </c>
      <c r="Q187" s="26">
        <v>1.0109999999999999</v>
      </c>
      <c r="S187" s="1"/>
      <c r="T187" s="88">
        <v>0.97511910678386959</v>
      </c>
      <c r="U187" s="89">
        <v>4.8954991816584226</v>
      </c>
      <c r="V187" s="32">
        <v>1.3</v>
      </c>
      <c r="W187" s="32">
        <v>1.3</v>
      </c>
    </row>
    <row r="188" spans="1:29" x14ac:dyDescent="0.2">
      <c r="A188" s="3">
        <v>183</v>
      </c>
      <c r="B188" s="3" t="s">
        <v>1111</v>
      </c>
      <c r="C188" s="3" t="s">
        <v>1109</v>
      </c>
      <c r="D188" s="21">
        <f>VLOOKUP(B188,SYS!$F$5:$G$360,2,FALSE)</f>
        <v>123</v>
      </c>
      <c r="E188" s="21">
        <f>VLOOKUP(C188,SYS!$F$5:$G$360,2,FALSE)</f>
        <v>122</v>
      </c>
      <c r="F188" s="7">
        <v>5</v>
      </c>
      <c r="G188" s="64">
        <f t="shared" si="16"/>
        <v>0.2685121926145122</v>
      </c>
      <c r="H188" s="3">
        <v>-1</v>
      </c>
      <c r="I188" s="3">
        <v>-1</v>
      </c>
      <c r="J188" s="11">
        <v>0</v>
      </c>
      <c r="K188" s="25">
        <f t="shared" si="15"/>
        <v>1E-3</v>
      </c>
      <c r="L188" s="32">
        <v>0.97499999999999998</v>
      </c>
      <c r="M188" s="32">
        <v>0.97499999999999998</v>
      </c>
      <c r="N188" s="11" t="s">
        <v>549</v>
      </c>
      <c r="O188" s="26" t="str">
        <f>VLOOKUP(TRN!D188,SYS!$G$5:$H$360,2,FALSE)</f>
        <v>新豊洲変電所</v>
      </c>
      <c r="P188" s="26" t="str">
        <f>VLOOKUP(TRN!E188,SYS!$G$5:$H$360,2,FALSE)</f>
        <v>永代橋変電所</v>
      </c>
      <c r="S188" s="1"/>
      <c r="T188" s="88">
        <v>1.8647592608026109</v>
      </c>
      <c r="U188" s="89">
        <v>3.1375994832213512</v>
      </c>
      <c r="V188" s="32">
        <v>0.97499999999999998</v>
      </c>
      <c r="W188" s="32">
        <v>0.97499999999999998</v>
      </c>
    </row>
    <row r="189" spans="1:29" x14ac:dyDescent="0.2">
      <c r="A189" s="3">
        <v>184</v>
      </c>
      <c r="B189" s="3" t="s">
        <v>1122</v>
      </c>
      <c r="C189" s="3" t="s">
        <v>1093</v>
      </c>
      <c r="D189" s="21">
        <f>VLOOKUP(B189,SYS!$F$5:$G$360,2,FALSE)</f>
        <v>128</v>
      </c>
      <c r="E189" s="21">
        <f>VLOOKUP(C189,SYS!$F$5:$G$360,2,FALSE)</f>
        <v>115</v>
      </c>
      <c r="F189" s="7">
        <v>0</v>
      </c>
      <c r="G189" s="64">
        <f t="shared" si="16"/>
        <v>0.1446405457453864</v>
      </c>
      <c r="H189" s="3">
        <v>-1</v>
      </c>
      <c r="I189" s="3">
        <v>-1</v>
      </c>
      <c r="J189" s="11">
        <v>0</v>
      </c>
      <c r="K189" s="25">
        <f t="shared" si="15"/>
        <v>0</v>
      </c>
      <c r="L189" s="26">
        <v>1.81</v>
      </c>
      <c r="M189" s="26">
        <v>1.81</v>
      </c>
      <c r="N189" s="11" t="s">
        <v>550</v>
      </c>
      <c r="O189" s="26" t="str">
        <f>VLOOKUP(TRN!D189,SYS!$G$5:$H$360,2,FALSE)</f>
        <v>東京中線</v>
      </c>
      <c r="P189" s="26" t="str">
        <f>VLOOKUP(TRN!E189,SYS!$G$5:$H$360,2,FALSE)</f>
        <v>上尾変電所</v>
      </c>
      <c r="S189" s="1"/>
      <c r="T189" s="88">
        <v>0.86583254138503096</v>
      </c>
      <c r="U189" s="89">
        <v>1.6664924167607571</v>
      </c>
      <c r="V189" s="26">
        <v>1.81</v>
      </c>
      <c r="W189" s="26">
        <v>1.81</v>
      </c>
    </row>
    <row r="190" spans="1:29" x14ac:dyDescent="0.2">
      <c r="A190" s="3">
        <v>185</v>
      </c>
      <c r="B190" s="3" t="s">
        <v>1124</v>
      </c>
      <c r="C190" s="3" t="s">
        <v>1049</v>
      </c>
      <c r="D190" s="21">
        <f>VLOOKUP(B190,SYS!$F$5:$G$360,2,FALSE)</f>
        <v>129</v>
      </c>
      <c r="E190" s="21">
        <f>VLOOKUP(C190,SYS!$F$5:$G$360,2,FALSE)</f>
        <v>91</v>
      </c>
      <c r="F190" s="7">
        <v>18</v>
      </c>
      <c r="G190" s="64">
        <f t="shared" si="16"/>
        <v>3.9775051321657463E-2</v>
      </c>
      <c r="H190" s="3">
        <v>-1</v>
      </c>
      <c r="I190" s="3">
        <v>-1</v>
      </c>
      <c r="J190" s="11">
        <v>0</v>
      </c>
      <c r="K190" s="25">
        <f t="shared" si="15"/>
        <v>3.6000000000000003E-3</v>
      </c>
      <c r="L190" s="26">
        <v>6.5819999999999999</v>
      </c>
      <c r="M190" s="26">
        <v>6.5819999999999999</v>
      </c>
      <c r="N190" s="11" t="s">
        <v>551</v>
      </c>
      <c r="O190" s="26" t="str">
        <f>VLOOKUP(TRN!D190,SYS!$G$5:$H$360,2,FALSE)</f>
        <v>新所沢線</v>
      </c>
      <c r="P190" s="26" t="str">
        <f>VLOOKUP(TRN!E190,SYS!$G$5:$H$360,2,FALSE)</f>
        <v>新所沢変電所</v>
      </c>
      <c r="S190" s="1"/>
      <c r="T190" s="88">
        <v>0.3175238616349646</v>
      </c>
      <c r="U190" s="89">
        <v>0.29139527531329967</v>
      </c>
      <c r="V190" s="26">
        <v>6.5819999999999999</v>
      </c>
      <c r="W190" s="26">
        <v>6.5819999999999999</v>
      </c>
    </row>
    <row r="191" spans="1:29" x14ac:dyDescent="0.2">
      <c r="A191" s="3">
        <v>186</v>
      </c>
      <c r="B191" s="3" t="s">
        <v>1124</v>
      </c>
      <c r="C191" s="3" t="s">
        <v>1520</v>
      </c>
      <c r="D191" s="21">
        <f>VLOOKUP(B191,SYS!$F$5:$G$360,2,FALSE)</f>
        <v>129</v>
      </c>
      <c r="E191" s="21">
        <f>VLOOKUP(C191,SYS!$F$5:$G$360,2,FALSE)</f>
        <v>95</v>
      </c>
      <c r="F191" s="7">
        <v>0</v>
      </c>
      <c r="G191" s="64">
        <f t="shared" si="16"/>
        <v>3.9775051321657463E-2</v>
      </c>
      <c r="H191" s="3">
        <v>-1</v>
      </c>
      <c r="I191" s="3">
        <v>-1</v>
      </c>
      <c r="J191" s="11">
        <v>0</v>
      </c>
      <c r="K191" s="25">
        <f t="shared" si="15"/>
        <v>0</v>
      </c>
      <c r="L191" s="26">
        <v>6.5819999999999999</v>
      </c>
      <c r="M191" s="26">
        <v>6.5819999999999999</v>
      </c>
      <c r="N191" s="11" t="s">
        <v>552</v>
      </c>
      <c r="O191" s="26" t="str">
        <f>VLOOKUP(TRN!D191,SYS!$G$5:$H$360,2,FALSE)</f>
        <v>新所沢線</v>
      </c>
      <c r="P191" s="26" t="str">
        <f>VLOOKUP(TRN!E191,SYS!$G$5:$H$360,2,FALSE)</f>
        <v>新飯能変電所</v>
      </c>
      <c r="S191" s="1"/>
      <c r="T191" s="88">
        <v>0.29437305089756677</v>
      </c>
      <c r="U191" s="89">
        <v>0.30763791776030847</v>
      </c>
      <c r="V191" s="26">
        <v>6.5819999999999999</v>
      </c>
      <c r="W191" s="26">
        <v>6.5819999999999999</v>
      </c>
    </row>
    <row r="192" spans="1:29" x14ac:dyDescent="0.2">
      <c r="A192" s="3">
        <v>187</v>
      </c>
      <c r="B192" s="3" t="s">
        <v>1122</v>
      </c>
      <c r="C192" s="3" t="s">
        <v>1029</v>
      </c>
      <c r="D192" s="21">
        <f>VLOOKUP(B192,SYS!$F$5:$G$360,2,FALSE)</f>
        <v>128</v>
      </c>
      <c r="E192" s="21">
        <f>VLOOKUP(C192,SYS!$F$5:$G$360,2,FALSE)</f>
        <v>79</v>
      </c>
      <c r="F192" s="7">
        <v>13</v>
      </c>
      <c r="G192" s="64">
        <f t="shared" si="16"/>
        <v>0.35667491525769673</v>
      </c>
      <c r="H192" s="3">
        <v>-1</v>
      </c>
      <c r="I192" s="3">
        <v>-1</v>
      </c>
      <c r="J192" s="11">
        <v>0</v>
      </c>
      <c r="K192" s="25">
        <f t="shared" si="15"/>
        <v>2.6000000000000003E-3</v>
      </c>
      <c r="L192" s="26">
        <v>0.73399999999999999</v>
      </c>
      <c r="M192" s="26">
        <v>0.73399999999999999</v>
      </c>
      <c r="N192" s="11" t="s">
        <v>553</v>
      </c>
      <c r="O192" s="26" t="str">
        <f>VLOOKUP(TRN!D192,SYS!$G$5:$H$360,2,FALSE)</f>
        <v>東京中線</v>
      </c>
      <c r="P192" s="26" t="str">
        <f>VLOOKUP(TRN!E192,SYS!$G$5:$H$360,2,FALSE)</f>
        <v>北東京変電所</v>
      </c>
      <c r="S192" s="1"/>
      <c r="T192" s="88">
        <v>2.3667113816858727</v>
      </c>
      <c r="U192" s="89">
        <v>57224.75685168722</v>
      </c>
      <c r="V192" s="26">
        <v>0.73399999999999999</v>
      </c>
      <c r="W192" s="26">
        <v>0.73399999999999999</v>
      </c>
    </row>
    <row r="193" spans="1:23" x14ac:dyDescent="0.2">
      <c r="A193" s="3">
        <v>188</v>
      </c>
      <c r="B193" s="3" t="s">
        <v>1120</v>
      </c>
      <c r="C193" s="3" t="s">
        <v>1059</v>
      </c>
      <c r="D193" s="21">
        <f>VLOOKUP(B193,SYS!$F$5:$G$360,2,FALSE)</f>
        <v>127</v>
      </c>
      <c r="E193" s="21">
        <f>VLOOKUP(C193,SYS!$F$5:$G$360,2,FALSE)</f>
        <v>130</v>
      </c>
      <c r="F193" s="7">
        <v>0</v>
      </c>
      <c r="G193" s="64">
        <f t="shared" si="16"/>
        <v>0.1514166499705896</v>
      </c>
      <c r="H193" s="3">
        <v>-1</v>
      </c>
      <c r="I193" s="3">
        <v>-1</v>
      </c>
      <c r="J193" s="11">
        <v>0</v>
      </c>
      <c r="K193" s="25">
        <f t="shared" si="15"/>
        <v>0</v>
      </c>
      <c r="L193" s="26">
        <v>1.7290000000000001</v>
      </c>
      <c r="M193" s="26">
        <v>1.7290000000000001</v>
      </c>
      <c r="N193" s="11" t="s">
        <v>554</v>
      </c>
      <c r="O193" s="26" t="str">
        <f>VLOOKUP(TRN!D193,SYS!$G$5:$H$360,2,FALSE)</f>
        <v>荏田変電所</v>
      </c>
      <c r="P193" s="26" t="str">
        <f>VLOOKUP(TRN!E193,SYS!$G$5:$H$360,2,FALSE)</f>
        <v>港北線</v>
      </c>
      <c r="S193" s="1"/>
      <c r="T193" s="88">
        <v>1.9405544306984905</v>
      </c>
      <c r="U193" s="89">
        <v>0.85711122312031529</v>
      </c>
      <c r="V193" s="26">
        <v>1.7290000000000001</v>
      </c>
      <c r="W193" s="26">
        <v>1.7290000000000001</v>
      </c>
    </row>
    <row r="194" spans="1:23" x14ac:dyDescent="0.2">
      <c r="A194" s="3">
        <v>189</v>
      </c>
      <c r="B194" s="3" t="s">
        <v>1059</v>
      </c>
      <c r="C194" s="3" t="s">
        <v>925</v>
      </c>
      <c r="D194" s="21">
        <f>VLOOKUP(B194,SYS!$F$5:$G$360,2,FALSE)</f>
        <v>130</v>
      </c>
      <c r="E194" s="21">
        <f>VLOOKUP(C194,SYS!$F$5:$G$360,2,FALSE)</f>
        <v>97</v>
      </c>
      <c r="F194" s="7">
        <v>9</v>
      </c>
      <c r="G194" s="64">
        <f t="shared" si="16"/>
        <v>0.1514166499705896</v>
      </c>
      <c r="H194" s="3">
        <v>-1</v>
      </c>
      <c r="I194" s="3">
        <v>-1</v>
      </c>
      <c r="J194" s="11">
        <v>0</v>
      </c>
      <c r="K194" s="25">
        <f t="shared" si="15"/>
        <v>1.8000000000000002E-3</v>
      </c>
      <c r="L194" s="26">
        <v>1.7290000000000001</v>
      </c>
      <c r="M194" s="26">
        <v>1.7290000000000001</v>
      </c>
      <c r="N194" s="11" t="s">
        <v>555</v>
      </c>
      <c r="O194" s="26" t="str">
        <f>VLOOKUP(TRN!D194,SYS!$G$5:$H$360,2,FALSE)</f>
        <v>港北線</v>
      </c>
      <c r="P194" s="26" t="str">
        <f>VLOOKUP(TRN!E194,SYS!$G$5:$H$360,2,FALSE)</f>
        <v>西東京変電所</v>
      </c>
      <c r="S194" s="1"/>
      <c r="T194" s="88">
        <v>539152.9696520461</v>
      </c>
      <c r="U194" s="89">
        <v>341.72339278601635</v>
      </c>
      <c r="V194" s="26">
        <v>1.7290000000000001</v>
      </c>
      <c r="W194" s="26">
        <v>1.7290000000000001</v>
      </c>
    </row>
    <row r="195" spans="1:23" x14ac:dyDescent="0.2">
      <c r="A195" s="3">
        <v>190</v>
      </c>
      <c r="B195" s="3" t="s">
        <v>1528</v>
      </c>
      <c r="C195" s="3" t="s">
        <v>1126</v>
      </c>
      <c r="D195" s="21">
        <f>VLOOKUP(B195,SYS!$F$5:$G$360,2,FALSE)</f>
        <v>124</v>
      </c>
      <c r="E195" s="21">
        <f>VLOOKUP(C195,SYS!$F$5:$G$360,2,FALSE)</f>
        <v>131</v>
      </c>
      <c r="F195" s="7">
        <v>0</v>
      </c>
      <c r="G195" s="64">
        <f t="shared" si="16"/>
        <v>0.15238613958041292</v>
      </c>
      <c r="H195" s="3">
        <v>-1</v>
      </c>
      <c r="I195" s="3">
        <v>-1</v>
      </c>
      <c r="J195" s="11">
        <v>0</v>
      </c>
      <c r="K195" s="25">
        <f t="shared" si="15"/>
        <v>0</v>
      </c>
      <c r="L195" s="26">
        <v>1.718</v>
      </c>
      <c r="M195" s="26">
        <v>1.718</v>
      </c>
      <c r="N195" s="11" t="s">
        <v>556</v>
      </c>
      <c r="O195" s="26" t="str">
        <f>VLOOKUP(TRN!D195,SYS!$G$5:$H$360,2,FALSE)</f>
        <v>江東変電所</v>
      </c>
      <c r="P195" s="26" t="str">
        <f>VLOOKUP(TRN!E195,SYS!$G$5:$H$360,2,FALSE)</f>
        <v>江東線</v>
      </c>
      <c r="S195" s="1"/>
      <c r="T195" s="88">
        <v>2.2928167593579576</v>
      </c>
      <c r="U195" s="89">
        <v>0.80284631756639846</v>
      </c>
      <c r="V195" s="26">
        <v>1.718</v>
      </c>
      <c r="W195" s="26">
        <v>1.718</v>
      </c>
    </row>
    <row r="196" spans="1:23" x14ac:dyDescent="0.2">
      <c r="A196" s="3">
        <v>191</v>
      </c>
      <c r="B196" s="3" t="s">
        <v>1126</v>
      </c>
      <c r="C196" s="3" t="s">
        <v>1528</v>
      </c>
      <c r="D196" s="21">
        <f>VLOOKUP(B196,SYS!$F$5:$G$360,2,FALSE)</f>
        <v>131</v>
      </c>
      <c r="E196" s="21">
        <f>VLOOKUP(C196,SYS!$F$5:$G$360,2,FALSE)</f>
        <v>124</v>
      </c>
      <c r="F196" s="7">
        <v>15</v>
      </c>
      <c r="G196" s="64">
        <f t="shared" si="16"/>
        <v>0.15238613958041292</v>
      </c>
      <c r="H196" s="3">
        <v>-1</v>
      </c>
      <c r="I196" s="3">
        <v>-1</v>
      </c>
      <c r="J196" s="11">
        <v>0</v>
      </c>
      <c r="K196" s="25">
        <f t="shared" si="15"/>
        <v>3.0000000000000001E-3</v>
      </c>
      <c r="L196" s="26">
        <v>1.718</v>
      </c>
      <c r="M196" s="26">
        <v>1.718</v>
      </c>
      <c r="N196" s="11" t="s">
        <v>557</v>
      </c>
      <c r="O196" s="26" t="str">
        <f>VLOOKUP(TRN!D196,SYS!$G$5:$H$360,2,FALSE)</f>
        <v>江東線</v>
      </c>
      <c r="P196" s="26" t="str">
        <f>VLOOKUP(TRN!E196,SYS!$G$5:$H$360,2,FALSE)</f>
        <v>江東変電所</v>
      </c>
      <c r="R196" s="18" t="s">
        <v>821</v>
      </c>
      <c r="S196" s="1"/>
      <c r="T196" s="88">
        <v>0.80284631749015023</v>
      </c>
      <c r="U196" s="89">
        <v>2.2928167606022547</v>
      </c>
      <c r="V196" s="26">
        <v>1.718</v>
      </c>
      <c r="W196" s="26">
        <v>1.718</v>
      </c>
    </row>
    <row r="197" spans="1:23" x14ac:dyDescent="0.2">
      <c r="A197" s="3">
        <v>192</v>
      </c>
      <c r="B197" s="3" t="s">
        <v>1128</v>
      </c>
      <c r="C197" s="3" t="s">
        <v>1041</v>
      </c>
      <c r="D197" s="21">
        <f>VLOOKUP(B197,SYS!$F$5:$G$360,2,FALSE)</f>
        <v>132</v>
      </c>
      <c r="E197" s="21">
        <f>VLOOKUP(C197,SYS!$F$5:$G$360,2,FALSE)</f>
        <v>86</v>
      </c>
      <c r="F197" s="7">
        <v>105</v>
      </c>
      <c r="G197" s="64">
        <f t="shared" si="16"/>
        <v>0.26179938779914941</v>
      </c>
      <c r="H197" s="3">
        <v>-1</v>
      </c>
      <c r="I197" s="3">
        <v>-1</v>
      </c>
      <c r="J197" s="11">
        <v>0</v>
      </c>
      <c r="K197" s="25">
        <f t="shared" si="15"/>
        <v>2.1000000000000001E-2</v>
      </c>
      <c r="L197" s="64">
        <v>1</v>
      </c>
      <c r="M197" s="64">
        <v>1</v>
      </c>
      <c r="N197" s="11" t="s">
        <v>558</v>
      </c>
      <c r="O197" s="26" t="str">
        <f>VLOOKUP(TRN!D197,SYS!$G$5:$H$360,2,FALSE)</f>
        <v>新信濃変電所</v>
      </c>
      <c r="P197" s="26" t="str">
        <f>VLOOKUP(TRN!E197,SYS!$G$5:$H$360,2,FALSE)</f>
        <v>新秩父開閉所</v>
      </c>
      <c r="S197" s="1"/>
      <c r="T197" s="88">
        <v>12258.387615849735</v>
      </c>
      <c r="U197" s="89">
        <v>137229.38533694379</v>
      </c>
      <c r="V197" s="64">
        <v>1</v>
      </c>
      <c r="W197" s="64">
        <v>1</v>
      </c>
    </row>
    <row r="198" spans="1:23" x14ac:dyDescent="0.2">
      <c r="A198" s="3">
        <v>193</v>
      </c>
      <c r="B198" s="3" t="s">
        <v>1130</v>
      </c>
      <c r="C198" s="3" t="s">
        <v>1132</v>
      </c>
      <c r="D198" s="21">
        <f>VLOOKUP(B198,SYS!$F$5:$G$360,2,FALSE)</f>
        <v>133</v>
      </c>
      <c r="E198" s="21">
        <f>VLOOKUP(C198,SYS!$F$5:$G$360,2,FALSE)</f>
        <v>134</v>
      </c>
      <c r="F198" s="11">
        <v>91</v>
      </c>
      <c r="G198" s="11">
        <v>9.8489999999999994E-2</v>
      </c>
      <c r="H198" s="3">
        <v>-1</v>
      </c>
      <c r="I198" s="3">
        <v>-1</v>
      </c>
      <c r="J198" s="11">
        <v>0</v>
      </c>
      <c r="K198" s="25">
        <f t="shared" si="15"/>
        <v>1.8200000000000001E-2</v>
      </c>
      <c r="L198" s="68">
        <v>13.162000000000001</v>
      </c>
      <c r="M198" s="68">
        <v>13.162000000000001</v>
      </c>
      <c r="N198" s="11" t="s">
        <v>559</v>
      </c>
      <c r="O198" s="26" t="str">
        <f>VLOOKUP(TRN!D198,SYS!$G$5:$H$360,2,FALSE)</f>
        <v>三重開閉所</v>
      </c>
      <c r="P198" s="26" t="str">
        <f>VLOOKUP(TRN!E198,SYS!$G$5:$H$360,2,FALSE)</f>
        <v>岐阜開閉所</v>
      </c>
      <c r="S198" s="1"/>
      <c r="T198" s="88">
        <v>0.13981575327167284</v>
      </c>
      <c r="U198" s="89">
        <v>0.14817789351198737</v>
      </c>
      <c r="V198" s="68">
        <v>13.162000000000001</v>
      </c>
      <c r="W198" s="68">
        <v>13.162000000000001</v>
      </c>
    </row>
    <row r="199" spans="1:23" x14ac:dyDescent="0.2">
      <c r="A199" s="3">
        <v>194</v>
      </c>
      <c r="B199" s="3" t="s">
        <v>1130</v>
      </c>
      <c r="C199" s="3" t="s">
        <v>1134</v>
      </c>
      <c r="D199" s="21">
        <f>VLOOKUP(B199,SYS!$F$5:$G$360,2,FALSE)</f>
        <v>133</v>
      </c>
      <c r="E199" s="21">
        <f>VLOOKUP(C199,SYS!$F$5:$G$360,2,FALSE)</f>
        <v>135</v>
      </c>
      <c r="F199" s="7">
        <v>6</v>
      </c>
      <c r="G199" s="49">
        <v>8.4899999999999993E-3</v>
      </c>
      <c r="H199" s="3">
        <v>-1</v>
      </c>
      <c r="I199" s="3">
        <v>-1</v>
      </c>
      <c r="J199" s="11">
        <v>0</v>
      </c>
      <c r="K199" s="25">
        <f t="shared" si="15"/>
        <v>1.2000000000000001E-3</v>
      </c>
      <c r="L199" s="69">
        <v>3.7839999999999998</v>
      </c>
      <c r="M199" s="69">
        <v>3.7839999999999998</v>
      </c>
      <c r="N199" s="11" t="s">
        <v>560</v>
      </c>
      <c r="O199" s="26" t="str">
        <f>VLOOKUP(TRN!D199,SYS!$G$5:$H$360,2,FALSE)</f>
        <v>三重開閉所</v>
      </c>
      <c r="P199" s="26" t="str">
        <f>VLOOKUP(TRN!E199,SYS!$G$5:$H$360,2,FALSE)</f>
        <v>西部変電所</v>
      </c>
      <c r="S199" s="1"/>
      <c r="T199" s="88">
        <v>0.50115570939393927</v>
      </c>
      <c r="U199" s="89">
        <v>0.77401337422848349</v>
      </c>
      <c r="V199" s="69">
        <v>3.7839999999999998</v>
      </c>
      <c r="W199" s="69">
        <v>3.7839999999999998</v>
      </c>
    </row>
    <row r="200" spans="1:23" x14ac:dyDescent="0.2">
      <c r="A200" s="3">
        <v>195</v>
      </c>
      <c r="B200" s="3" t="s">
        <v>1134</v>
      </c>
      <c r="C200" s="3" t="s">
        <v>1136</v>
      </c>
      <c r="D200" s="21">
        <f>VLOOKUP(B200,SYS!$F$5:$G$360,2,FALSE)</f>
        <v>135</v>
      </c>
      <c r="E200" s="21">
        <f>VLOOKUP(C200,SYS!$F$5:$G$360,2,FALSE)</f>
        <v>136</v>
      </c>
      <c r="F200" s="7">
        <v>80</v>
      </c>
      <c r="G200" s="49">
        <v>0.1116</v>
      </c>
      <c r="H200" s="3">
        <v>-1</v>
      </c>
      <c r="I200" s="3">
        <v>-1</v>
      </c>
      <c r="J200" s="11">
        <v>0</v>
      </c>
      <c r="K200" s="25">
        <f t="shared" si="15"/>
        <v>1.6E-2</v>
      </c>
      <c r="L200" s="68">
        <v>5.5679999999999996</v>
      </c>
      <c r="M200" s="68">
        <v>5.5679999999999996</v>
      </c>
      <c r="N200" s="11" t="s">
        <v>561</v>
      </c>
      <c r="O200" s="26" t="str">
        <f>VLOOKUP(TRN!D200,SYS!$G$5:$H$360,2,FALSE)</f>
        <v>西部変電所</v>
      </c>
      <c r="P200" s="26" t="str">
        <f>VLOOKUP(TRN!E200,SYS!$G$5:$H$360,2,FALSE)</f>
        <v>北部変電所</v>
      </c>
      <c r="S200" s="1"/>
      <c r="T200" s="88">
        <v>0.34207168945870031</v>
      </c>
      <c r="U200" s="89">
        <v>0.39456567694107642</v>
      </c>
      <c r="V200" s="68">
        <v>5.5679999999999996</v>
      </c>
      <c r="W200" s="68">
        <v>5.5679999999999996</v>
      </c>
    </row>
    <row r="201" spans="1:23" x14ac:dyDescent="0.2">
      <c r="A201" s="3">
        <v>196</v>
      </c>
      <c r="B201" s="3" t="s">
        <v>1132</v>
      </c>
      <c r="C201" s="3" t="s">
        <v>1138</v>
      </c>
      <c r="D201" s="21">
        <f>VLOOKUP(B201,SYS!$F$5:$G$360,2,FALSE)</f>
        <v>134</v>
      </c>
      <c r="E201" s="21">
        <f>VLOOKUP(C201,SYS!$F$5:$G$360,2,FALSE)</f>
        <v>137</v>
      </c>
      <c r="F201" s="7">
        <v>82</v>
      </c>
      <c r="G201" s="49">
        <v>8.6720000000000005E-2</v>
      </c>
      <c r="H201" s="3">
        <v>-1</v>
      </c>
      <c r="I201" s="3">
        <v>-1</v>
      </c>
      <c r="J201" s="11">
        <v>0</v>
      </c>
      <c r="K201" s="25">
        <f t="shared" si="15"/>
        <v>1.6400000000000001E-2</v>
      </c>
      <c r="L201" s="68">
        <v>9.8719999999999999</v>
      </c>
      <c r="M201" s="68">
        <v>9.8719999999999999</v>
      </c>
      <c r="N201" s="11" t="s">
        <v>562</v>
      </c>
      <c r="O201" s="26" t="str">
        <f>VLOOKUP(TRN!D201,SYS!$G$5:$H$360,2,FALSE)</f>
        <v>岐阜開閉所</v>
      </c>
      <c r="P201" s="26" t="str">
        <f>VLOOKUP(TRN!E201,SYS!$G$5:$H$360,2,FALSE)</f>
        <v>愛知変電所</v>
      </c>
      <c r="S201" s="1"/>
      <c r="T201" s="88">
        <v>0.1856734616246361</v>
      </c>
      <c r="U201" s="89">
        <v>0.20873438464614605</v>
      </c>
      <c r="V201" s="68">
        <v>9.8719999999999999</v>
      </c>
      <c r="W201" s="68">
        <v>9.8719999999999999</v>
      </c>
    </row>
    <row r="202" spans="1:23" x14ac:dyDescent="0.2">
      <c r="A202" s="3">
        <v>197</v>
      </c>
      <c r="B202" s="3" t="s">
        <v>1136</v>
      </c>
      <c r="C202" s="3" t="s">
        <v>1140</v>
      </c>
      <c r="D202" s="21">
        <f>VLOOKUP(B202,SYS!$F$5:$G$360,2,FALSE)</f>
        <v>136</v>
      </c>
      <c r="E202" s="21">
        <f>VLOOKUP(C202,SYS!$F$5:$G$360,2,FALSE)</f>
        <v>138</v>
      </c>
      <c r="F202" s="7">
        <v>76</v>
      </c>
      <c r="G202" s="49">
        <v>0.10582</v>
      </c>
      <c r="H202" s="3">
        <v>-1</v>
      </c>
      <c r="I202" s="3">
        <v>-1</v>
      </c>
      <c r="J202" s="11">
        <v>0</v>
      </c>
      <c r="K202" s="25">
        <f t="shared" si="15"/>
        <v>1.52E-2</v>
      </c>
      <c r="L202" s="68">
        <v>5.5679999999999996</v>
      </c>
      <c r="M202" s="68">
        <v>5.5679999999999996</v>
      </c>
      <c r="N202" s="11" t="s">
        <v>563</v>
      </c>
      <c r="O202" s="26" t="str">
        <f>VLOOKUP(TRN!D202,SYS!$G$5:$H$360,2,FALSE)</f>
        <v>北部変電所</v>
      </c>
      <c r="P202" s="26" t="str">
        <f>VLOOKUP(TRN!E202,SYS!$G$5:$H$360,2,FALSE)</f>
        <v>東部変電所</v>
      </c>
      <c r="S202" s="1"/>
      <c r="T202" s="88">
        <v>0.31418774095422719</v>
      </c>
      <c r="U202" s="89">
        <v>0.52777160451512362</v>
      </c>
      <c r="V202" s="68">
        <v>5.5679999999999996</v>
      </c>
      <c r="W202" s="68">
        <v>5.5679999999999996</v>
      </c>
    </row>
    <row r="203" spans="1:23" x14ac:dyDescent="0.2">
      <c r="A203" s="3">
        <v>198</v>
      </c>
      <c r="B203" s="3" t="s">
        <v>1132</v>
      </c>
      <c r="C203" s="3" t="s">
        <v>1136</v>
      </c>
      <c r="D203" s="21">
        <f>VLOOKUP(B203,SYS!$F$5:$G$360,2,FALSE)</f>
        <v>134</v>
      </c>
      <c r="E203" s="21">
        <f>VLOOKUP(C203,SYS!$F$5:$G$360,2,FALSE)</f>
        <v>136</v>
      </c>
      <c r="F203" s="7">
        <v>13</v>
      </c>
      <c r="G203" s="49">
        <v>1.392E-2</v>
      </c>
      <c r="H203" s="3">
        <v>-1</v>
      </c>
      <c r="I203" s="3">
        <v>-1</v>
      </c>
      <c r="J203" s="11">
        <v>0</v>
      </c>
      <c r="K203" s="25">
        <f t="shared" si="15"/>
        <v>2.6000000000000003E-3</v>
      </c>
      <c r="L203" s="69">
        <v>3.7839999999999998</v>
      </c>
      <c r="M203" s="69">
        <v>3.7839999999999998</v>
      </c>
      <c r="N203" s="11" t="s">
        <v>564</v>
      </c>
      <c r="O203" s="26" t="str">
        <f>VLOOKUP(TRN!D203,SYS!$G$5:$H$360,2,FALSE)</f>
        <v>岐阜開閉所</v>
      </c>
      <c r="P203" s="26" t="str">
        <f>VLOOKUP(TRN!E203,SYS!$G$5:$H$360,2,FALSE)</f>
        <v>北部変電所</v>
      </c>
      <c r="S203" s="1"/>
      <c r="T203" s="88">
        <v>0.45627352062358378</v>
      </c>
      <c r="U203" s="89">
        <v>0.64120529954829164</v>
      </c>
      <c r="V203" s="69">
        <v>3.7839999999999998</v>
      </c>
      <c r="W203" s="69">
        <v>3.7839999999999998</v>
      </c>
    </row>
    <row r="204" spans="1:23" x14ac:dyDescent="0.2">
      <c r="A204" s="3">
        <v>199</v>
      </c>
      <c r="B204" s="3" t="s">
        <v>1132</v>
      </c>
      <c r="C204" s="3" t="s">
        <v>1240</v>
      </c>
      <c r="D204" s="21">
        <f>VLOOKUP(B204,SYS!$F$5:$G$360,2,FALSE)</f>
        <v>134</v>
      </c>
      <c r="E204" s="21">
        <f>VLOOKUP(C204,SYS!$F$5:$G$360,2,FALSE)</f>
        <v>198</v>
      </c>
      <c r="F204" s="7">
        <v>55</v>
      </c>
      <c r="G204" s="64">
        <f t="shared" ref="G204:G267" si="17">$L$2/L204</f>
        <v>5.3038773865305797E-2</v>
      </c>
      <c r="H204" s="3">
        <v>-1</v>
      </c>
      <c r="I204" s="3">
        <v>-1</v>
      </c>
      <c r="J204" s="11">
        <v>0</v>
      </c>
      <c r="K204" s="25">
        <f t="shared" si="15"/>
        <v>1.1000000000000001E-2</v>
      </c>
      <c r="L204" s="69">
        <v>4.9359999999999999</v>
      </c>
      <c r="M204" s="69">
        <v>4.9359999999999999</v>
      </c>
      <c r="N204" s="11" t="s">
        <v>565</v>
      </c>
      <c r="O204" s="26" t="str">
        <f>VLOOKUP(TRN!D204,SYS!$G$5:$H$360,2,FALSE)</f>
        <v>岐阜開閉所</v>
      </c>
      <c r="P204" s="26" t="str">
        <f>VLOOKUP(TRN!E204,SYS!$G$5:$H$360,2,FALSE)</f>
        <v>飛騨変換所</v>
      </c>
      <c r="S204" s="1"/>
      <c r="T204" s="88">
        <v>0.47118612609719496</v>
      </c>
      <c r="U204" s="89">
        <v>0.36028629519916155</v>
      </c>
      <c r="V204" s="69">
        <v>4.9359999999999999</v>
      </c>
      <c r="W204" s="69">
        <v>4.9359999999999999</v>
      </c>
    </row>
    <row r="205" spans="1:23" x14ac:dyDescent="0.2">
      <c r="A205" s="3">
        <v>200</v>
      </c>
      <c r="B205" s="3" t="s">
        <v>1138</v>
      </c>
      <c r="C205" s="3" t="s">
        <v>1144</v>
      </c>
      <c r="D205" s="21">
        <f>VLOOKUP(B205,SYS!$F$5:$G$360,2,FALSE)</f>
        <v>137</v>
      </c>
      <c r="E205" s="21">
        <f>VLOOKUP(C205,SYS!$F$5:$G$360,2,FALSE)</f>
        <v>140</v>
      </c>
      <c r="F205" s="7">
        <v>43</v>
      </c>
      <c r="G205" s="11">
        <v>4.5879999999999997E-2</v>
      </c>
      <c r="H205" s="3">
        <v>-1</v>
      </c>
      <c r="I205" s="3">
        <v>-1</v>
      </c>
      <c r="J205" s="11">
        <v>0</v>
      </c>
      <c r="K205" s="25">
        <f t="shared" si="15"/>
        <v>8.6E-3</v>
      </c>
      <c r="L205" s="68">
        <v>12.044</v>
      </c>
      <c r="M205" s="68">
        <v>12.044</v>
      </c>
      <c r="N205" s="11" t="s">
        <v>566</v>
      </c>
      <c r="O205" s="26" t="str">
        <f>VLOOKUP(TRN!D205,SYS!$G$5:$H$360,2,FALSE)</f>
        <v>愛知変電所</v>
      </c>
      <c r="P205" s="26" t="str">
        <f>VLOOKUP(TRN!E205,SYS!$G$5:$H$360,2,FALSE)</f>
        <v>豊根開閉所</v>
      </c>
      <c r="S205" s="1"/>
      <c r="T205" s="88">
        <v>0.17361843235456731</v>
      </c>
      <c r="U205" s="89">
        <v>0.14674894018170839</v>
      </c>
      <c r="V205" s="68">
        <v>12.044</v>
      </c>
      <c r="W205" s="68">
        <v>12.044</v>
      </c>
    </row>
    <row r="206" spans="1:23" x14ac:dyDescent="0.2">
      <c r="A206" s="3">
        <v>201</v>
      </c>
      <c r="B206" s="3" t="s">
        <v>1140</v>
      </c>
      <c r="C206" s="3" t="s">
        <v>1146</v>
      </c>
      <c r="D206" s="21">
        <f>VLOOKUP(B206,SYS!$F$5:$G$360,2,FALSE)</f>
        <v>138</v>
      </c>
      <c r="E206" s="21">
        <f>VLOOKUP(C206,SYS!$F$5:$G$360,2,FALSE)</f>
        <v>141</v>
      </c>
      <c r="F206" s="7">
        <v>42</v>
      </c>
      <c r="G206" s="11">
        <v>5.8389999999999997E-2</v>
      </c>
      <c r="H206" s="3">
        <v>-1</v>
      </c>
      <c r="I206" s="3">
        <v>-1</v>
      </c>
      <c r="J206" s="11">
        <v>0</v>
      </c>
      <c r="K206" s="25">
        <f t="shared" si="15"/>
        <v>8.4000000000000012E-3</v>
      </c>
      <c r="L206" s="68">
        <v>5.5679999999999996</v>
      </c>
      <c r="M206" s="68">
        <v>5.5679999999999996</v>
      </c>
      <c r="N206" s="11" t="s">
        <v>567</v>
      </c>
      <c r="O206" s="26" t="str">
        <f>VLOOKUP(TRN!D206,SYS!$G$5:$H$360,2,FALSE)</f>
        <v>東部変電所</v>
      </c>
      <c r="P206" s="26" t="str">
        <f>VLOOKUP(TRN!E206,SYS!$G$5:$H$360,2,FALSE)</f>
        <v>東栄変電所</v>
      </c>
      <c r="S206" s="1"/>
      <c r="T206" s="88">
        <v>26556.937249179347</v>
      </c>
      <c r="U206" s="89">
        <v>0.29929763410824628</v>
      </c>
      <c r="V206" s="68">
        <v>5.5679999999999996</v>
      </c>
      <c r="W206" s="68">
        <v>5.5679999999999996</v>
      </c>
    </row>
    <row r="207" spans="1:23" x14ac:dyDescent="0.2">
      <c r="A207" s="3">
        <v>202</v>
      </c>
      <c r="B207" s="3" t="s">
        <v>1140</v>
      </c>
      <c r="C207" s="3" t="s">
        <v>1148</v>
      </c>
      <c r="D207" s="21">
        <f>VLOOKUP(B207,SYS!$F$5:$G$360,2,FALSE)</f>
        <v>138</v>
      </c>
      <c r="E207" s="21">
        <f>VLOOKUP(C207,SYS!$F$5:$G$360,2,FALSE)</f>
        <v>142</v>
      </c>
      <c r="F207" s="7">
        <v>31</v>
      </c>
      <c r="G207" s="11">
        <v>3.9899999999999998E-2</v>
      </c>
      <c r="H207" s="3">
        <v>-1</v>
      </c>
      <c r="I207" s="3">
        <v>-1</v>
      </c>
      <c r="J207" s="11">
        <v>0</v>
      </c>
      <c r="K207" s="25">
        <f t="shared" si="15"/>
        <v>6.2000000000000006E-3</v>
      </c>
      <c r="L207" s="69">
        <v>4.9359999999999999</v>
      </c>
      <c r="M207" s="69">
        <v>4.9359999999999999</v>
      </c>
      <c r="N207" s="11" t="s">
        <v>568</v>
      </c>
      <c r="O207" s="26" t="str">
        <f>VLOOKUP(TRN!D207,SYS!$G$5:$H$360,2,FALSE)</f>
        <v>東部変電所</v>
      </c>
      <c r="P207" s="26" t="str">
        <f>VLOOKUP(TRN!E207,SYS!$G$5:$H$360,2,FALSE)</f>
        <v>新三河変電所</v>
      </c>
      <c r="S207" s="1"/>
      <c r="T207" s="88">
        <v>0.45097818198988293</v>
      </c>
      <c r="U207" s="89">
        <v>0.4238939609439546</v>
      </c>
      <c r="V207" s="69">
        <v>4.9359999999999999</v>
      </c>
      <c r="W207" s="69">
        <v>4.9359999999999999</v>
      </c>
    </row>
    <row r="208" spans="1:23" x14ac:dyDescent="0.2">
      <c r="A208" s="3">
        <v>203</v>
      </c>
      <c r="B208" s="3" t="s">
        <v>1146</v>
      </c>
      <c r="C208" s="3" t="s">
        <v>1144</v>
      </c>
      <c r="D208" s="21">
        <f>VLOOKUP(B208,SYS!$F$5:$G$360,2,FALSE)</f>
        <v>141</v>
      </c>
      <c r="E208" s="21">
        <f>VLOOKUP(C208,SYS!$F$5:$G$360,2,FALSE)</f>
        <v>140</v>
      </c>
      <c r="F208" s="7">
        <v>11</v>
      </c>
      <c r="G208" s="11">
        <v>1.575E-2</v>
      </c>
      <c r="H208" s="3">
        <v>-1</v>
      </c>
      <c r="I208" s="3">
        <v>-1</v>
      </c>
      <c r="J208" s="11">
        <v>0</v>
      </c>
      <c r="K208" s="25">
        <f t="shared" si="15"/>
        <v>2.2000000000000001E-3</v>
      </c>
      <c r="L208" s="69">
        <v>3.7839999999999998</v>
      </c>
      <c r="M208" s="69">
        <v>3.7839999999999998</v>
      </c>
      <c r="N208" s="11" t="s">
        <v>569</v>
      </c>
      <c r="O208" s="26" t="str">
        <f>VLOOKUP(TRN!D208,SYS!$G$5:$H$360,2,FALSE)</f>
        <v>東栄変電所</v>
      </c>
      <c r="P208" s="26" t="str">
        <f>VLOOKUP(TRN!E208,SYS!$G$5:$H$360,2,FALSE)</f>
        <v>豊根開閉所</v>
      </c>
      <c r="S208" s="1"/>
      <c r="T208" s="88">
        <v>2.1705404274035436</v>
      </c>
      <c r="U208" s="89">
        <v>0.47027782665964202</v>
      </c>
      <c r="V208" s="69">
        <v>3.7839999999999998</v>
      </c>
      <c r="W208" s="69">
        <v>3.7839999999999998</v>
      </c>
    </row>
    <row r="209" spans="1:23" x14ac:dyDescent="0.2">
      <c r="A209" s="3">
        <v>204</v>
      </c>
      <c r="B209" s="3" t="s">
        <v>1144</v>
      </c>
      <c r="C209" s="3" t="s">
        <v>1150</v>
      </c>
      <c r="D209" s="21">
        <f>VLOOKUP(B209,SYS!$F$5:$G$360,2,FALSE)</f>
        <v>140</v>
      </c>
      <c r="E209" s="21">
        <f>VLOOKUP(C209,SYS!$F$5:$G$360,2,FALSE)</f>
        <v>143</v>
      </c>
      <c r="F209" s="7">
        <v>70</v>
      </c>
      <c r="G209" s="64">
        <f t="shared" si="17"/>
        <v>5.3038773865305797E-2</v>
      </c>
      <c r="H209" s="3">
        <v>-1</v>
      </c>
      <c r="I209" s="3">
        <v>-1</v>
      </c>
      <c r="J209" s="11">
        <v>0</v>
      </c>
      <c r="K209" s="25">
        <f t="shared" si="15"/>
        <v>1.4E-2</v>
      </c>
      <c r="L209" s="69">
        <v>4.9359999999999999</v>
      </c>
      <c r="M209" s="69">
        <v>4.9359999999999999</v>
      </c>
      <c r="N209" s="11" t="s">
        <v>570</v>
      </c>
      <c r="O209" s="26" t="str">
        <f>VLOOKUP(TRN!D209,SYS!$G$5:$H$360,2,FALSE)</f>
        <v>豊根開閉所</v>
      </c>
      <c r="P209" s="26" t="str">
        <f>VLOOKUP(TRN!E209,SYS!$G$5:$H$360,2,FALSE)</f>
        <v>南信変電所</v>
      </c>
      <c r="S209" s="1"/>
      <c r="T209" s="88">
        <v>4365.5929693337957</v>
      </c>
      <c r="U209" s="89">
        <v>0.37333060089279246</v>
      </c>
      <c r="V209" s="69">
        <v>4.9359999999999999</v>
      </c>
      <c r="W209" s="69">
        <v>4.9359999999999999</v>
      </c>
    </row>
    <row r="210" spans="1:23" x14ac:dyDescent="0.2">
      <c r="A210" s="3">
        <v>205</v>
      </c>
      <c r="B210" s="3" t="s">
        <v>1150</v>
      </c>
      <c r="C210" s="3" t="s">
        <v>991</v>
      </c>
      <c r="D210" s="21">
        <f>VLOOKUP(B210,SYS!$F$5:$G$360,2,FALSE)</f>
        <v>143</v>
      </c>
      <c r="E210" s="21">
        <f>VLOOKUP(C210,SYS!$F$5:$G$360,2,FALSE)</f>
        <v>144</v>
      </c>
      <c r="F210" s="7">
        <v>45</v>
      </c>
      <c r="G210" s="64">
        <f t="shared" si="17"/>
        <v>6.9185884724933783E-2</v>
      </c>
      <c r="H210" s="3">
        <v>-1</v>
      </c>
      <c r="I210" s="3">
        <v>-1</v>
      </c>
      <c r="J210" s="11">
        <v>0</v>
      </c>
      <c r="K210" s="25">
        <f t="shared" si="15"/>
        <v>9.0000000000000011E-3</v>
      </c>
      <c r="L210" s="69">
        <v>3.7839999999999998</v>
      </c>
      <c r="M210" s="69">
        <v>3.7839999999999998</v>
      </c>
      <c r="N210" s="11" t="s">
        <v>571</v>
      </c>
      <c r="O210" s="26" t="str">
        <f>VLOOKUP(TRN!D210,SYS!$G$5:$H$360,2,FALSE)</f>
        <v>南信変電所</v>
      </c>
      <c r="P210" s="26" t="str">
        <f>VLOOKUP(TRN!E210,SYS!$G$5:$H$360,2,FALSE)</f>
        <v>信濃変電所</v>
      </c>
      <c r="S210" s="1"/>
      <c r="T210" s="88">
        <v>0.66525998718907997</v>
      </c>
      <c r="U210" s="89">
        <v>0.51704716799511141</v>
      </c>
      <c r="V210" s="69">
        <v>3.7839999999999998</v>
      </c>
      <c r="W210" s="69">
        <v>3.7839999999999998</v>
      </c>
    </row>
    <row r="211" spans="1:23" x14ac:dyDescent="0.2">
      <c r="A211" s="3">
        <v>206</v>
      </c>
      <c r="B211" s="3" t="s">
        <v>1146</v>
      </c>
      <c r="C211" s="3" t="s">
        <v>1152</v>
      </c>
      <c r="D211" s="21">
        <f>VLOOKUP(B211,SYS!$F$5:$G$360,2,FALSE)</f>
        <v>141</v>
      </c>
      <c r="E211" s="21">
        <f>VLOOKUP(C211,SYS!$F$5:$G$360,2,FALSE)</f>
        <v>145</v>
      </c>
      <c r="F211" s="7">
        <v>46</v>
      </c>
      <c r="G211" s="11">
        <v>5.9549999999999999E-2</v>
      </c>
      <c r="H211" s="3">
        <v>-1</v>
      </c>
      <c r="I211" s="3">
        <v>-1</v>
      </c>
      <c r="J211" s="11">
        <v>0</v>
      </c>
      <c r="K211" s="25">
        <f t="shared" si="15"/>
        <v>9.1999999999999998E-3</v>
      </c>
      <c r="L211" s="68">
        <v>6.5819999999999999</v>
      </c>
      <c r="M211" s="68">
        <v>6.5819999999999999</v>
      </c>
      <c r="N211" s="11" t="s">
        <v>572</v>
      </c>
      <c r="O211" s="26" t="str">
        <f>VLOOKUP(TRN!D211,SYS!$G$5:$H$360,2,FALSE)</f>
        <v>東栄変電所</v>
      </c>
      <c r="P211" s="26" t="str">
        <f>VLOOKUP(TRN!E211,SYS!$G$5:$H$360,2,FALSE)</f>
        <v>駿遠変電所</v>
      </c>
      <c r="S211" s="1"/>
      <c r="T211" s="88">
        <v>0.36579021632502506</v>
      </c>
      <c r="U211" s="89">
        <v>0.26572613990298299</v>
      </c>
      <c r="V211" s="68">
        <v>6.5819999999999999</v>
      </c>
      <c r="W211" s="68">
        <v>6.5819999999999999</v>
      </c>
    </row>
    <row r="212" spans="1:23" x14ac:dyDescent="0.2">
      <c r="A212" s="3">
        <v>207</v>
      </c>
      <c r="B212" s="3" t="s">
        <v>1144</v>
      </c>
      <c r="C212" s="3" t="s">
        <v>1154</v>
      </c>
      <c r="D212" s="21">
        <f>VLOOKUP(B212,SYS!$F$5:$G$360,2,FALSE)</f>
        <v>140</v>
      </c>
      <c r="E212" s="21">
        <f>VLOOKUP(C212,SYS!$F$5:$G$360,2,FALSE)</f>
        <v>146</v>
      </c>
      <c r="F212" s="7">
        <v>50</v>
      </c>
      <c r="G212" s="11">
        <v>5.3620000000000001E-2</v>
      </c>
      <c r="H212" s="3">
        <v>-1</v>
      </c>
      <c r="I212" s="3">
        <v>-1</v>
      </c>
      <c r="J212" s="11">
        <v>0</v>
      </c>
      <c r="K212" s="25">
        <f t="shared" si="15"/>
        <v>0.01</v>
      </c>
      <c r="L212" s="68">
        <v>12.804</v>
      </c>
      <c r="M212" s="68">
        <v>12.804</v>
      </c>
      <c r="N212" s="11" t="s">
        <v>573</v>
      </c>
      <c r="O212" s="26" t="str">
        <f>VLOOKUP(TRN!D212,SYS!$G$5:$H$360,2,FALSE)</f>
        <v>豊根開閉所</v>
      </c>
      <c r="P212" s="26" t="str">
        <f>VLOOKUP(TRN!E212,SYS!$G$5:$H$360,2,FALSE)</f>
        <v>静岡変電所</v>
      </c>
      <c r="S212" s="1"/>
      <c r="T212" s="88">
        <v>0.15828677955069148</v>
      </c>
      <c r="U212" s="89">
        <v>0.1388056588894912</v>
      </c>
      <c r="V212" s="68">
        <v>12.804</v>
      </c>
      <c r="W212" s="68">
        <v>12.804</v>
      </c>
    </row>
    <row r="213" spans="1:23" x14ac:dyDescent="0.2">
      <c r="A213" s="3">
        <v>208</v>
      </c>
      <c r="B213" s="3" t="s">
        <v>1154</v>
      </c>
      <c r="C213" s="3" t="s">
        <v>1152</v>
      </c>
      <c r="D213" s="21">
        <f>VLOOKUP(B213,SYS!$F$5:$G$360,2,FALSE)</f>
        <v>146</v>
      </c>
      <c r="E213" s="21">
        <f>VLOOKUP(C213,SYS!$F$5:$G$360,2,FALSE)</f>
        <v>145</v>
      </c>
      <c r="F213" s="7">
        <v>7</v>
      </c>
      <c r="G213" s="11">
        <v>7.4599999999999996E-3</v>
      </c>
      <c r="H213" s="3">
        <v>-1</v>
      </c>
      <c r="I213" s="3">
        <v>-1</v>
      </c>
      <c r="J213" s="11">
        <v>0</v>
      </c>
      <c r="K213" s="25">
        <f t="shared" si="15"/>
        <v>1.4E-3</v>
      </c>
      <c r="L213" s="26">
        <v>3.7839999999999998</v>
      </c>
      <c r="M213" s="26">
        <v>3.7839999999999998</v>
      </c>
      <c r="N213" s="11" t="s">
        <v>574</v>
      </c>
      <c r="O213" s="26" t="str">
        <f>VLOOKUP(TRN!D213,SYS!$G$5:$H$360,2,FALSE)</f>
        <v>静岡変電所</v>
      </c>
      <c r="P213" s="26" t="str">
        <f>VLOOKUP(TRN!E213,SYS!$G$5:$H$360,2,FALSE)</f>
        <v>駿遠変電所</v>
      </c>
      <c r="S213" s="1"/>
      <c r="T213" s="88">
        <v>0.54840920356704448</v>
      </c>
      <c r="U213" s="89">
        <v>0.51937571279510619</v>
      </c>
      <c r="V213" s="26">
        <v>3.7839999999999998</v>
      </c>
      <c r="W213" s="26">
        <v>3.7839999999999998</v>
      </c>
    </row>
    <row r="214" spans="1:23" x14ac:dyDescent="0.2">
      <c r="A214" s="3">
        <v>209</v>
      </c>
      <c r="B214" s="3" t="s">
        <v>1134</v>
      </c>
      <c r="C214" s="3" t="s">
        <v>1536</v>
      </c>
      <c r="D214" s="21">
        <f>VLOOKUP(B214,SYS!$F$5:$G$360,2,FALSE)</f>
        <v>135</v>
      </c>
      <c r="E214" s="21">
        <f>VLOOKUP(C214,SYS!$F$5:$G$360,2,FALSE)</f>
        <v>147</v>
      </c>
      <c r="F214" s="7">
        <v>46</v>
      </c>
      <c r="G214" s="64">
        <f t="shared" si="17"/>
        <v>0.16868517255099832</v>
      </c>
      <c r="H214" s="3">
        <v>-1</v>
      </c>
      <c r="I214" s="3">
        <v>-1</v>
      </c>
      <c r="J214" s="11">
        <v>0</v>
      </c>
      <c r="K214" s="25">
        <f t="shared" si="15"/>
        <v>9.1999999999999998E-3</v>
      </c>
      <c r="L214" s="26">
        <v>1.552</v>
      </c>
      <c r="M214" s="26">
        <v>1.552</v>
      </c>
      <c r="N214" s="11" t="s">
        <v>575</v>
      </c>
      <c r="O214" s="26" t="str">
        <f>VLOOKUP(TRN!D214,SYS!$G$5:$H$360,2,FALSE)</f>
        <v>西部変電所</v>
      </c>
      <c r="P214" s="26" t="str">
        <f>VLOOKUP(TRN!E214,SYS!$G$5:$H$360,2,FALSE)</f>
        <v>鈴鹿開閉所</v>
      </c>
      <c r="S214" s="1"/>
      <c r="T214" s="88">
        <v>20707.402484463575</v>
      </c>
      <c r="U214" s="89">
        <v>1.4151206545433304</v>
      </c>
      <c r="V214" s="26">
        <v>1.552</v>
      </c>
      <c r="W214" s="26">
        <v>1.552</v>
      </c>
    </row>
    <row r="215" spans="1:23" x14ac:dyDescent="0.2">
      <c r="A215" s="3">
        <v>210</v>
      </c>
      <c r="B215" s="3" t="s">
        <v>1536</v>
      </c>
      <c r="C215" s="3" t="s">
        <v>1156</v>
      </c>
      <c r="D215" s="21">
        <f>VLOOKUP(B215,SYS!$F$5:$G$360,2,FALSE)</f>
        <v>147</v>
      </c>
      <c r="E215" s="21">
        <f>VLOOKUP(C215,SYS!$F$5:$G$360,2,FALSE)</f>
        <v>148</v>
      </c>
      <c r="F215" s="7">
        <v>49</v>
      </c>
      <c r="G215" s="64">
        <f t="shared" si="17"/>
        <v>0.19421319569669837</v>
      </c>
      <c r="H215" s="3">
        <v>-1</v>
      </c>
      <c r="I215" s="3">
        <v>-1</v>
      </c>
      <c r="J215" s="11">
        <v>0</v>
      </c>
      <c r="K215" s="25">
        <f t="shared" ref="K215:K278" si="18">F215*0.0002</f>
        <v>9.7999999999999997E-3</v>
      </c>
      <c r="L215" s="26">
        <v>1.3480000000000001</v>
      </c>
      <c r="M215" s="26">
        <v>1.3480000000000001</v>
      </c>
      <c r="N215" s="11" t="s">
        <v>576</v>
      </c>
      <c r="O215" s="26" t="str">
        <f>VLOOKUP(TRN!D215,SYS!$G$5:$H$360,2,FALSE)</f>
        <v>鈴鹿開閉所</v>
      </c>
      <c r="P215" s="26" t="str">
        <f>VLOOKUP(TRN!E215,SYS!$G$5:$H$360,2,FALSE)</f>
        <v>伊勢開閉所</v>
      </c>
      <c r="S215" s="1"/>
      <c r="T215" s="88">
        <v>320.75230818671878</v>
      </c>
      <c r="U215" s="89">
        <v>1.9111730236440527</v>
      </c>
    </row>
    <row r="216" spans="1:23" x14ac:dyDescent="0.2">
      <c r="A216" s="3">
        <v>211</v>
      </c>
      <c r="B216" s="3" t="s">
        <v>1156</v>
      </c>
      <c r="C216" s="3" t="s">
        <v>1158</v>
      </c>
      <c r="D216" s="21">
        <f>VLOOKUP(B216,SYS!$F$5:$G$360,2,FALSE)</f>
        <v>148</v>
      </c>
      <c r="E216" s="21">
        <f>VLOOKUP(C216,SYS!$F$5:$G$360,2,FALSE)</f>
        <v>149</v>
      </c>
      <c r="F216" s="7">
        <v>23</v>
      </c>
      <c r="G216" s="64">
        <f t="shared" si="17"/>
        <v>0.19292511996989639</v>
      </c>
      <c r="H216" s="3">
        <v>-1</v>
      </c>
      <c r="I216" s="3">
        <v>-1</v>
      </c>
      <c r="J216" s="11">
        <v>0</v>
      </c>
      <c r="K216" s="25">
        <f t="shared" si="18"/>
        <v>4.5999999999999999E-3</v>
      </c>
      <c r="L216" s="26">
        <v>1.357</v>
      </c>
      <c r="M216" s="26">
        <v>1.357</v>
      </c>
      <c r="N216" s="11" t="s">
        <v>577</v>
      </c>
      <c r="O216" s="26" t="str">
        <f>VLOOKUP(TRN!D216,SYS!$G$5:$H$360,2,FALSE)</f>
        <v>伊勢開閉所</v>
      </c>
      <c r="P216" s="26" t="str">
        <f>VLOOKUP(TRN!E216,SYS!$G$5:$H$360,2,FALSE)</f>
        <v>南勢変電所</v>
      </c>
      <c r="S216" s="1"/>
      <c r="T216" s="88">
        <v>1.5240507624386384</v>
      </c>
      <c r="U216" s="89">
        <v>1.9430390185130659</v>
      </c>
    </row>
    <row r="217" spans="1:23" x14ac:dyDescent="0.2">
      <c r="A217" s="3">
        <v>212</v>
      </c>
      <c r="B217" s="3" t="s">
        <v>1156</v>
      </c>
      <c r="C217" s="3" t="s">
        <v>1538</v>
      </c>
      <c r="D217" s="21">
        <f>VLOOKUP(B217,SYS!$F$5:$G$360,2,FALSE)</f>
        <v>148</v>
      </c>
      <c r="E217" s="21">
        <f>VLOOKUP(C217,SYS!$F$5:$G$360,2,FALSE)</f>
        <v>150</v>
      </c>
      <c r="F217" s="7">
        <v>31</v>
      </c>
      <c r="G217" s="64">
        <f t="shared" si="17"/>
        <v>0.24791608693101269</v>
      </c>
      <c r="H217" s="3">
        <v>-1</v>
      </c>
      <c r="I217" s="3">
        <v>-1</v>
      </c>
      <c r="J217" s="11">
        <v>0</v>
      </c>
      <c r="K217" s="25">
        <f t="shared" si="18"/>
        <v>6.2000000000000006E-3</v>
      </c>
      <c r="L217" s="26">
        <v>1.056</v>
      </c>
      <c r="M217" s="26">
        <v>1.056</v>
      </c>
      <c r="N217" s="11" t="s">
        <v>578</v>
      </c>
      <c r="O217" s="26" t="str">
        <f>VLOOKUP(TRN!D217,SYS!$G$5:$H$360,2,FALSE)</f>
        <v>伊勢開閉所</v>
      </c>
      <c r="P217" s="26" t="str">
        <f>VLOOKUP(TRN!E217,SYS!$G$5:$H$360,2,FALSE)</f>
        <v>中勢変電所</v>
      </c>
      <c r="S217" s="1"/>
      <c r="T217" s="88">
        <v>1.7224906373152831</v>
      </c>
      <c r="U217" s="89">
        <v>2.2507061534175667</v>
      </c>
    </row>
    <row r="218" spans="1:23" x14ac:dyDescent="0.2">
      <c r="A218" s="3">
        <v>213</v>
      </c>
      <c r="B218" s="3" t="s">
        <v>1156</v>
      </c>
      <c r="C218" s="3" t="s">
        <v>1162</v>
      </c>
      <c r="D218" s="21">
        <f>VLOOKUP(B218,SYS!$F$5:$G$360,2,FALSE)</f>
        <v>148</v>
      </c>
      <c r="E218" s="21">
        <f>VLOOKUP(C218,SYS!$F$5:$G$360,2,FALSE)</f>
        <v>151</v>
      </c>
      <c r="F218" s="7">
        <v>56</v>
      </c>
      <c r="G218" s="64">
        <f t="shared" si="17"/>
        <v>0.39666573908962027</v>
      </c>
      <c r="H218" s="3">
        <v>-1</v>
      </c>
      <c r="I218" s="3">
        <v>-1</v>
      </c>
      <c r="J218" s="11">
        <v>0</v>
      </c>
      <c r="K218" s="25">
        <f t="shared" si="18"/>
        <v>1.12E-2</v>
      </c>
      <c r="L218" s="26">
        <v>0.66</v>
      </c>
      <c r="M218" s="26">
        <v>0.66</v>
      </c>
      <c r="N218" s="11" t="s">
        <v>579</v>
      </c>
      <c r="O218" s="26" t="str">
        <f>VLOOKUP(TRN!D218,SYS!$G$5:$H$360,2,FALSE)</f>
        <v>伊勢開閉所</v>
      </c>
      <c r="P218" s="26" t="str">
        <f>VLOOKUP(TRN!E218,SYS!$G$5:$H$360,2,FALSE)</f>
        <v>尾鷲三田変電所</v>
      </c>
      <c r="S218" s="1"/>
      <c r="T218" s="88">
        <v>3.4451657809248015</v>
      </c>
      <c r="U218" s="89">
        <v>2.981442813832047</v>
      </c>
    </row>
    <row r="219" spans="1:23" x14ac:dyDescent="0.2">
      <c r="A219" s="3">
        <v>214</v>
      </c>
      <c r="B219" s="3" t="s">
        <v>1134</v>
      </c>
      <c r="C219" s="3" t="s">
        <v>1164</v>
      </c>
      <c r="D219" s="21">
        <f>VLOOKUP(B219,SYS!$F$5:$G$360,2,FALSE)</f>
        <v>135</v>
      </c>
      <c r="E219" s="21">
        <f>VLOOKUP(C219,SYS!$F$5:$G$360,2,FALSE)</f>
        <v>152</v>
      </c>
      <c r="F219" s="7">
        <v>18</v>
      </c>
      <c r="G219" s="64">
        <f t="shared" si="17"/>
        <v>0.10368292586104927</v>
      </c>
      <c r="H219" s="3">
        <v>-1</v>
      </c>
      <c r="I219" s="3">
        <v>-1</v>
      </c>
      <c r="J219" s="11">
        <v>0</v>
      </c>
      <c r="K219" s="25">
        <f t="shared" si="18"/>
        <v>3.6000000000000003E-3</v>
      </c>
      <c r="L219" s="26">
        <v>2.5249999999999999</v>
      </c>
      <c r="M219" s="26">
        <v>2.5249999999999999</v>
      </c>
      <c r="N219" s="11" t="s">
        <v>580</v>
      </c>
      <c r="O219" s="26" t="str">
        <f>VLOOKUP(TRN!D219,SYS!$G$5:$H$360,2,FALSE)</f>
        <v>西部変電所</v>
      </c>
      <c r="P219" s="26" t="str">
        <f>VLOOKUP(TRN!E219,SYS!$G$5:$H$360,2,FALSE)</f>
        <v>西名古屋変電所</v>
      </c>
      <c r="S219" s="1"/>
      <c r="T219" s="88">
        <v>0.81652186546024064</v>
      </c>
      <c r="U219" s="89">
        <v>0.85772718426036931</v>
      </c>
    </row>
    <row r="220" spans="1:23" x14ac:dyDescent="0.2">
      <c r="A220" s="3">
        <v>215</v>
      </c>
      <c r="B220" s="3" t="s">
        <v>1164</v>
      </c>
      <c r="C220" s="3" t="s">
        <v>1540</v>
      </c>
      <c r="D220" s="21">
        <f>VLOOKUP(B220,SYS!$F$5:$G$360,2,FALSE)</f>
        <v>152</v>
      </c>
      <c r="E220" s="21">
        <f>VLOOKUP(C220,SYS!$F$5:$G$360,2,FALSE)</f>
        <v>153</v>
      </c>
      <c r="F220" s="7">
        <v>35</v>
      </c>
      <c r="G220" s="64">
        <f t="shared" si="17"/>
        <v>0.24791608693101269</v>
      </c>
      <c r="H220" s="3">
        <v>-1</v>
      </c>
      <c r="I220" s="3">
        <v>-1</v>
      </c>
      <c r="J220" s="11">
        <v>0</v>
      </c>
      <c r="K220" s="25">
        <f t="shared" si="18"/>
        <v>7.0000000000000001E-3</v>
      </c>
      <c r="L220" s="26">
        <v>1.056</v>
      </c>
      <c r="M220" s="26">
        <v>1.056</v>
      </c>
      <c r="N220" s="11" t="s">
        <v>581</v>
      </c>
      <c r="O220" s="26" t="str">
        <f>VLOOKUP(TRN!D220,SYS!$G$5:$H$360,2,FALSE)</f>
        <v>西名古屋変電所</v>
      </c>
      <c r="P220" s="26" t="str">
        <f>VLOOKUP(TRN!E220,SYS!$G$5:$H$360,2,FALSE)</f>
        <v>亀山変電所</v>
      </c>
      <c r="S220" s="1"/>
      <c r="T220" s="88">
        <v>11791.552256493944</v>
      </c>
      <c r="U220" s="89">
        <v>2.330241132212314</v>
      </c>
    </row>
    <row r="221" spans="1:23" x14ac:dyDescent="0.2">
      <c r="A221" s="3">
        <v>216</v>
      </c>
      <c r="B221" s="3" t="s">
        <v>1540</v>
      </c>
      <c r="C221" s="3" t="s">
        <v>1538</v>
      </c>
      <c r="D221" s="21">
        <f>VLOOKUP(B221,SYS!$F$5:$G$360,2,FALSE)</f>
        <v>153</v>
      </c>
      <c r="E221" s="21">
        <f>VLOOKUP(C221,SYS!$F$5:$G$360,2,FALSE)</f>
        <v>150</v>
      </c>
      <c r="F221" s="7">
        <v>18</v>
      </c>
      <c r="G221" s="64">
        <f t="shared" si="17"/>
        <v>0.24791608693101269</v>
      </c>
      <c r="H221" s="3">
        <v>-1</v>
      </c>
      <c r="I221" s="3">
        <v>-1</v>
      </c>
      <c r="J221" s="11">
        <v>0</v>
      </c>
      <c r="K221" s="25">
        <f t="shared" si="18"/>
        <v>3.6000000000000003E-3</v>
      </c>
      <c r="L221" s="26">
        <v>1.056</v>
      </c>
      <c r="M221" s="26">
        <v>1.056</v>
      </c>
      <c r="N221" s="11" t="s">
        <v>582</v>
      </c>
      <c r="O221" s="26" t="str">
        <f>VLOOKUP(TRN!D221,SYS!$G$5:$H$360,2,FALSE)</f>
        <v>亀山変電所</v>
      </c>
      <c r="P221" s="26" t="str">
        <f>VLOOKUP(TRN!E221,SYS!$G$5:$H$360,2,FALSE)</f>
        <v>中勢変電所</v>
      </c>
      <c r="S221" s="1"/>
      <c r="T221" s="88">
        <v>2.0458161236543644</v>
      </c>
      <c r="U221" s="89">
        <v>2.2877450084171298</v>
      </c>
    </row>
    <row r="222" spans="1:23" x14ac:dyDescent="0.2">
      <c r="A222" s="3">
        <v>217</v>
      </c>
      <c r="B222" s="3" t="s">
        <v>1134</v>
      </c>
      <c r="C222" s="3" t="s">
        <v>1168</v>
      </c>
      <c r="D222" s="21">
        <f>VLOOKUP(B222,SYS!$F$5:$G$360,2,FALSE)</f>
        <v>135</v>
      </c>
      <c r="E222" s="21">
        <f>VLOOKUP(C222,SYS!$F$5:$G$360,2,FALSE)</f>
        <v>154</v>
      </c>
      <c r="F222" s="7">
        <v>20</v>
      </c>
      <c r="G222" s="64">
        <f t="shared" si="17"/>
        <v>5.1444171310502926E-2</v>
      </c>
      <c r="H222" s="3">
        <v>-1</v>
      </c>
      <c r="I222" s="3">
        <v>-1</v>
      </c>
      <c r="J222" s="11">
        <v>0</v>
      </c>
      <c r="K222" s="25">
        <f t="shared" si="18"/>
        <v>4.0000000000000001E-3</v>
      </c>
      <c r="L222" s="26">
        <v>5.0890000000000004</v>
      </c>
      <c r="M222" s="26">
        <v>5.0890000000000004</v>
      </c>
      <c r="N222" s="11" t="s">
        <v>583</v>
      </c>
      <c r="O222" s="26" t="str">
        <f>VLOOKUP(TRN!D222,SYS!$G$5:$H$360,2,FALSE)</f>
        <v>西部変電所</v>
      </c>
      <c r="P222" s="26" t="str">
        <f>VLOOKUP(TRN!E222,SYS!$G$5:$H$360,2,FALSE)</f>
        <v>西尾張変電所</v>
      </c>
      <c r="S222" s="1"/>
      <c r="T222" s="88">
        <v>0.38465383898980499</v>
      </c>
      <c r="U222" s="89">
        <v>0.41585045207262084</v>
      </c>
    </row>
    <row r="223" spans="1:23" x14ac:dyDescent="0.2">
      <c r="A223" s="3">
        <v>218</v>
      </c>
      <c r="B223" s="3" t="s">
        <v>1168</v>
      </c>
      <c r="C223" s="3" t="s">
        <v>1164</v>
      </c>
      <c r="D223" s="21">
        <f>VLOOKUP(B223,SYS!$F$5:$G$360,2,FALSE)</f>
        <v>154</v>
      </c>
      <c r="E223" s="21">
        <f>VLOOKUP(C223,SYS!$F$5:$G$360,2,FALSE)</f>
        <v>152</v>
      </c>
      <c r="F223" s="7">
        <v>10</v>
      </c>
      <c r="G223" s="64">
        <f t="shared" si="17"/>
        <v>5.5999869047946398E-2</v>
      </c>
      <c r="H223" s="3">
        <v>-1</v>
      </c>
      <c r="I223" s="3">
        <v>-1</v>
      </c>
      <c r="J223" s="11">
        <v>0</v>
      </c>
      <c r="K223" s="25">
        <f t="shared" si="18"/>
        <v>2E-3</v>
      </c>
      <c r="L223" s="26">
        <v>4.6749999999999998</v>
      </c>
      <c r="M223" s="26">
        <v>4.6749999999999998</v>
      </c>
      <c r="N223" s="11" t="s">
        <v>584</v>
      </c>
      <c r="O223" s="26" t="str">
        <f>VLOOKUP(TRN!D223,SYS!$G$5:$H$360,2,FALSE)</f>
        <v>西尾張変電所</v>
      </c>
      <c r="P223" s="26" t="str">
        <f>VLOOKUP(TRN!E223,SYS!$G$5:$H$360,2,FALSE)</f>
        <v>西名古屋変電所</v>
      </c>
      <c r="S223" s="1"/>
      <c r="T223" s="88">
        <v>0.43995939495774977</v>
      </c>
      <c r="U223" s="89">
        <v>0.42395557933857853</v>
      </c>
    </row>
    <row r="224" spans="1:23" x14ac:dyDescent="0.2">
      <c r="A224" s="3">
        <v>219</v>
      </c>
      <c r="B224" s="3" t="s">
        <v>1164</v>
      </c>
      <c r="C224" s="3" t="s">
        <v>1170</v>
      </c>
      <c r="D224" s="21">
        <f>VLOOKUP(B224,SYS!$F$5:$G$360,2,FALSE)</f>
        <v>152</v>
      </c>
      <c r="E224" s="21">
        <f>VLOOKUP(C224,SYS!$F$5:$G$360,2,FALSE)</f>
        <v>155</v>
      </c>
      <c r="F224" s="7">
        <v>16</v>
      </c>
      <c r="G224" s="64">
        <f t="shared" si="17"/>
        <v>3.6935579542769388E-2</v>
      </c>
      <c r="H224" s="3">
        <v>-1</v>
      </c>
      <c r="I224" s="3">
        <v>-1</v>
      </c>
      <c r="J224" s="11">
        <v>0</v>
      </c>
      <c r="K224" s="25">
        <f t="shared" si="18"/>
        <v>3.2000000000000002E-3</v>
      </c>
      <c r="L224" s="32">
        <v>7.0880000000000001</v>
      </c>
      <c r="M224" s="32">
        <v>7.0880000000000001</v>
      </c>
      <c r="N224" s="11" t="s">
        <v>585</v>
      </c>
      <c r="O224" s="26" t="str">
        <f>VLOOKUP(TRN!D224,SYS!$G$5:$H$360,2,FALSE)</f>
        <v>西名古屋変電所</v>
      </c>
      <c r="P224" s="26" t="str">
        <f>VLOOKUP(TRN!E224,SYS!$G$5:$H$360,2,FALSE)</f>
        <v>川越変電所</v>
      </c>
      <c r="Q224" s="26">
        <v>4.83</v>
      </c>
      <c r="S224" s="1"/>
      <c r="T224" s="88">
        <v>0.28692316665272927</v>
      </c>
      <c r="U224" s="89">
        <v>0.26973157902884198</v>
      </c>
    </row>
    <row r="225" spans="1:21" x14ac:dyDescent="0.2">
      <c r="A225" s="3">
        <v>220</v>
      </c>
      <c r="B225" s="3" t="s">
        <v>1168</v>
      </c>
      <c r="C225" s="3" t="s">
        <v>1172</v>
      </c>
      <c r="D225" s="21">
        <f>VLOOKUP(B225,SYS!$F$5:$G$360,2,FALSE)</f>
        <v>154</v>
      </c>
      <c r="E225" s="21">
        <f>VLOOKUP(C225,SYS!$F$5:$G$360,2,FALSE)</f>
        <v>156</v>
      </c>
      <c r="F225" s="7">
        <v>6</v>
      </c>
      <c r="G225" s="64">
        <f t="shared" si="17"/>
        <v>0.12389937898681941</v>
      </c>
      <c r="H225" s="3">
        <v>-1</v>
      </c>
      <c r="I225" s="3">
        <v>-1</v>
      </c>
      <c r="J225" s="11">
        <v>0</v>
      </c>
      <c r="K225" s="25">
        <f t="shared" si="18"/>
        <v>1.2000000000000001E-3</v>
      </c>
      <c r="L225" s="26">
        <v>2.113</v>
      </c>
      <c r="M225" s="26">
        <v>2.113</v>
      </c>
      <c r="N225" s="11" t="s">
        <v>586</v>
      </c>
      <c r="O225" s="26" t="str">
        <f>VLOOKUP(TRN!D225,SYS!$G$5:$H$360,2,FALSE)</f>
        <v>西尾張変電所</v>
      </c>
      <c r="P225" s="26" t="str">
        <f>VLOOKUP(TRN!E225,SYS!$G$5:$H$360,2,FALSE)</f>
        <v>海部開閉所</v>
      </c>
      <c r="S225" s="1"/>
      <c r="T225" s="88">
        <v>1.2817841667577674</v>
      </c>
      <c r="U225" s="89">
        <v>0.88085002546542179</v>
      </c>
    </row>
    <row r="226" spans="1:21" x14ac:dyDescent="0.2">
      <c r="A226" s="3">
        <v>221</v>
      </c>
      <c r="B226" s="3" t="s">
        <v>1172</v>
      </c>
      <c r="C226" s="3" t="s">
        <v>1174</v>
      </c>
      <c r="D226" s="21">
        <f>VLOOKUP(B226,SYS!$F$5:$G$360,2,FALSE)</f>
        <v>156</v>
      </c>
      <c r="E226" s="21">
        <f>VLOOKUP(C226,SYS!$F$5:$G$360,2,FALSE)</f>
        <v>157</v>
      </c>
      <c r="F226" s="7">
        <v>16</v>
      </c>
      <c r="G226" s="64">
        <f t="shared" si="17"/>
        <v>0.30799927976370517</v>
      </c>
      <c r="H226" s="3">
        <v>-1</v>
      </c>
      <c r="I226" s="3">
        <v>-1</v>
      </c>
      <c r="J226" s="11">
        <v>0</v>
      </c>
      <c r="K226" s="25">
        <f t="shared" si="18"/>
        <v>3.2000000000000002E-3</v>
      </c>
      <c r="L226" s="26">
        <v>0.85</v>
      </c>
      <c r="M226" s="26">
        <v>0.85</v>
      </c>
      <c r="N226" s="11" t="s">
        <v>587</v>
      </c>
      <c r="O226" s="26" t="str">
        <f>VLOOKUP(TRN!D226,SYS!$G$5:$H$360,2,FALSE)</f>
        <v>海部開閉所</v>
      </c>
      <c r="P226" s="26" t="str">
        <f>VLOOKUP(TRN!E226,SYS!$G$5:$H$360,2,FALSE)</f>
        <v>牛島町変電所</v>
      </c>
      <c r="S226" s="1"/>
      <c r="T226" s="88">
        <v>3.3316856431208919</v>
      </c>
      <c r="U226" s="89">
        <v>2.5297517352615566</v>
      </c>
    </row>
    <row r="227" spans="1:21" x14ac:dyDescent="0.2">
      <c r="A227" s="3">
        <v>222</v>
      </c>
      <c r="B227" s="3" t="s">
        <v>1176</v>
      </c>
      <c r="C227" s="3" t="s">
        <v>1178</v>
      </c>
      <c r="D227" s="21">
        <f>VLOOKUP(B227,SYS!$F$5:$G$360,2,FALSE)</f>
        <v>158</v>
      </c>
      <c r="E227" s="21">
        <f>VLOOKUP(C227,SYS!$F$5:$G$360,2,FALSE)</f>
        <v>159</v>
      </c>
      <c r="F227" s="7">
        <v>5</v>
      </c>
      <c r="G227" s="64">
        <f t="shared" si="17"/>
        <v>0.30799927976370517</v>
      </c>
      <c r="H227" s="3">
        <v>-1</v>
      </c>
      <c r="I227" s="3">
        <v>-1</v>
      </c>
      <c r="J227" s="11">
        <v>0</v>
      </c>
      <c r="K227" s="25">
        <f t="shared" si="18"/>
        <v>1E-3</v>
      </c>
      <c r="L227" s="26">
        <v>0.85</v>
      </c>
      <c r="M227" s="26">
        <v>0.85</v>
      </c>
      <c r="N227" s="11" t="s">
        <v>588</v>
      </c>
      <c r="O227" s="26" t="str">
        <f>VLOOKUP(TRN!D227,SYS!$G$5:$H$360,2,FALSE)</f>
        <v>名城変電所</v>
      </c>
      <c r="P227" s="26" t="str">
        <f>VLOOKUP(TRN!E227,SYS!$G$5:$H$360,2,FALSE)</f>
        <v>松ヶ枝変電所</v>
      </c>
      <c r="S227" s="1"/>
      <c r="T227" s="88">
        <v>2.3408816629081395</v>
      </c>
      <c r="U227" s="89">
        <v>2.6900294563931251</v>
      </c>
    </row>
    <row r="228" spans="1:21" x14ac:dyDescent="0.2">
      <c r="A228" s="3">
        <v>223</v>
      </c>
      <c r="B228" s="3" t="s">
        <v>1134</v>
      </c>
      <c r="C228" s="3" t="s">
        <v>881</v>
      </c>
      <c r="D228" s="21">
        <f>VLOOKUP(B228,SYS!$F$5:$G$360,2,FALSE)</f>
        <v>135</v>
      </c>
      <c r="E228" s="21">
        <f>VLOOKUP(C228,SYS!$F$5:$G$360,2,FALSE)</f>
        <v>160</v>
      </c>
      <c r="F228" s="7">
        <v>32</v>
      </c>
      <c r="G228" s="64">
        <f t="shared" si="17"/>
        <v>0.10368292586104927</v>
      </c>
      <c r="H228" s="3">
        <v>-1</v>
      </c>
      <c r="I228" s="3">
        <v>-1</v>
      </c>
      <c r="J228" s="11">
        <v>0</v>
      </c>
      <c r="K228" s="25">
        <f t="shared" si="18"/>
        <v>6.4000000000000003E-3</v>
      </c>
      <c r="L228" s="26">
        <v>2.5249999999999999</v>
      </c>
      <c r="M228" s="26">
        <v>2.5249999999999999</v>
      </c>
      <c r="N228" s="11" t="s">
        <v>589</v>
      </c>
      <c r="O228" s="26" t="str">
        <f>VLOOKUP(TRN!D228,SYS!$G$5:$H$360,2,FALSE)</f>
        <v>西部変電所</v>
      </c>
      <c r="P228" s="26" t="str">
        <f>VLOOKUP(TRN!E228,SYS!$G$5:$H$360,2,FALSE)</f>
        <v>西濃開閉所</v>
      </c>
      <c r="S228" s="1"/>
      <c r="T228" s="88">
        <v>0.71270585863568525</v>
      </c>
      <c r="U228" s="89">
        <v>0.93593872752523199</v>
      </c>
    </row>
    <row r="229" spans="1:21" x14ac:dyDescent="0.2">
      <c r="A229" s="3">
        <v>224</v>
      </c>
      <c r="B229" s="3" t="s">
        <v>1136</v>
      </c>
      <c r="C229" s="3" t="s">
        <v>881</v>
      </c>
      <c r="D229" s="21">
        <f>VLOOKUP(B229,SYS!$F$5:$G$360,2,FALSE)</f>
        <v>136</v>
      </c>
      <c r="E229" s="21">
        <f>VLOOKUP(C229,SYS!$F$5:$G$360,2,FALSE)</f>
        <v>160</v>
      </c>
      <c r="F229" s="7">
        <v>31</v>
      </c>
      <c r="G229" s="64">
        <f t="shared" si="17"/>
        <v>0.12058930806040968</v>
      </c>
      <c r="H229" s="3">
        <v>-1</v>
      </c>
      <c r="I229" s="3">
        <v>-1</v>
      </c>
      <c r="J229" s="11">
        <v>0</v>
      </c>
      <c r="K229" s="25">
        <f t="shared" si="18"/>
        <v>6.2000000000000006E-3</v>
      </c>
      <c r="L229" s="26">
        <v>2.1709999999999998</v>
      </c>
      <c r="M229" s="26">
        <v>2.1709999999999998</v>
      </c>
      <c r="N229" s="11" t="s">
        <v>590</v>
      </c>
      <c r="O229" s="26" t="str">
        <f>VLOOKUP(TRN!D229,SYS!$G$5:$H$360,2,FALSE)</f>
        <v>北部変電所</v>
      </c>
      <c r="P229" s="26" t="str">
        <f>VLOOKUP(TRN!E229,SYS!$G$5:$H$360,2,FALSE)</f>
        <v>西濃開閉所</v>
      </c>
      <c r="S229" s="1"/>
      <c r="T229" s="88">
        <v>78.900208068758928</v>
      </c>
      <c r="U229" s="89">
        <v>1.0021800243535295</v>
      </c>
    </row>
    <row r="230" spans="1:21" x14ac:dyDescent="0.2">
      <c r="A230" s="3">
        <v>225</v>
      </c>
      <c r="B230" s="3" t="s">
        <v>1136</v>
      </c>
      <c r="C230" s="3" t="s">
        <v>1180</v>
      </c>
      <c r="D230" s="21">
        <f>VLOOKUP(B230,SYS!$F$5:$G$360,2,FALSE)</f>
        <v>136</v>
      </c>
      <c r="E230" s="21">
        <f>VLOOKUP(C230,SYS!$F$5:$G$360,2,FALSE)</f>
        <v>161</v>
      </c>
      <c r="F230" s="7">
        <v>11</v>
      </c>
      <c r="G230" s="64">
        <f t="shared" si="17"/>
        <v>0.12131574967523143</v>
      </c>
      <c r="H230" s="3">
        <v>-1</v>
      </c>
      <c r="I230" s="3">
        <v>-1</v>
      </c>
      <c r="J230" s="11">
        <v>0</v>
      </c>
      <c r="K230" s="25">
        <f t="shared" si="18"/>
        <v>2.2000000000000001E-3</v>
      </c>
      <c r="L230" s="26">
        <v>2.1579999999999999</v>
      </c>
      <c r="M230" s="26">
        <v>2.1579999999999999</v>
      </c>
      <c r="N230" s="11" t="s">
        <v>591</v>
      </c>
      <c r="O230" s="26" t="str">
        <f>VLOOKUP(TRN!D230,SYS!$G$5:$H$360,2,FALSE)</f>
        <v>北部変電所</v>
      </c>
      <c r="P230" s="26" t="str">
        <f>VLOOKUP(TRN!E230,SYS!$G$5:$H$360,2,FALSE)</f>
        <v>中濃変電所</v>
      </c>
      <c r="S230" s="1"/>
      <c r="T230" s="88">
        <v>0.92306644089337042</v>
      </c>
      <c r="U230" s="89">
        <v>0.99066689620049841</v>
      </c>
    </row>
    <row r="231" spans="1:21" x14ac:dyDescent="0.2">
      <c r="A231" s="3">
        <v>226</v>
      </c>
      <c r="B231" s="3" t="s">
        <v>1180</v>
      </c>
      <c r="C231" s="3" t="s">
        <v>1182</v>
      </c>
      <c r="D231" s="21">
        <f>VLOOKUP(B231,SYS!$F$5:$G$360,2,FALSE)</f>
        <v>161</v>
      </c>
      <c r="E231" s="21">
        <f>VLOOKUP(C231,SYS!$F$5:$G$360,2,FALSE)</f>
        <v>162</v>
      </c>
      <c r="F231" s="7">
        <v>16</v>
      </c>
      <c r="G231" s="64">
        <f t="shared" si="17"/>
        <v>0.10492961434835647</v>
      </c>
      <c r="H231" s="3">
        <v>-1</v>
      </c>
      <c r="I231" s="3">
        <v>-1</v>
      </c>
      <c r="J231" s="11">
        <v>0</v>
      </c>
      <c r="K231" s="25">
        <f t="shared" si="18"/>
        <v>3.2000000000000002E-3</v>
      </c>
      <c r="L231" s="26">
        <v>2.4950000000000001</v>
      </c>
      <c r="M231" s="26">
        <v>2.4950000000000001</v>
      </c>
      <c r="N231" s="11" t="s">
        <v>592</v>
      </c>
      <c r="O231" s="26" t="str">
        <f>VLOOKUP(TRN!D231,SYS!$G$5:$H$360,2,FALSE)</f>
        <v>中濃変電所</v>
      </c>
      <c r="P231" s="26" t="str">
        <f>VLOOKUP(TRN!E231,SYS!$G$5:$H$360,2,FALSE)</f>
        <v>犬山変電所</v>
      </c>
      <c r="S231" s="1"/>
      <c r="T231" s="88">
        <v>0.70474863183095737</v>
      </c>
      <c r="U231" s="89">
        <v>0.97237492603010112</v>
      </c>
    </row>
    <row r="232" spans="1:21" x14ac:dyDescent="0.2">
      <c r="A232" s="3">
        <v>227</v>
      </c>
      <c r="B232" s="3" t="s">
        <v>1136</v>
      </c>
      <c r="C232" s="3" t="s">
        <v>1184</v>
      </c>
      <c r="D232" s="21">
        <f>VLOOKUP(B232,SYS!$F$5:$G$360,2,FALSE)</f>
        <v>136</v>
      </c>
      <c r="E232" s="21">
        <f>VLOOKUP(C232,SYS!$F$5:$G$360,2,FALSE)</f>
        <v>163</v>
      </c>
      <c r="F232" s="7">
        <v>34</v>
      </c>
      <c r="G232" s="64">
        <f t="shared" si="17"/>
        <v>0.40715301368452472</v>
      </c>
      <c r="H232" s="3">
        <v>-1</v>
      </c>
      <c r="I232" s="3">
        <v>-1</v>
      </c>
      <c r="J232" s="11">
        <v>0</v>
      </c>
      <c r="K232" s="25">
        <f t="shared" si="18"/>
        <v>6.8000000000000005E-3</v>
      </c>
      <c r="L232" s="26">
        <v>0.64300000000000002</v>
      </c>
      <c r="M232" s="26">
        <v>0.64300000000000002</v>
      </c>
      <c r="N232" s="11" t="s">
        <v>593</v>
      </c>
      <c r="O232" s="26" t="str">
        <f>VLOOKUP(TRN!D232,SYS!$G$5:$H$360,2,FALSE)</f>
        <v>北部変電所</v>
      </c>
      <c r="P232" s="26" t="str">
        <f>VLOOKUP(TRN!E232,SYS!$G$5:$H$360,2,FALSE)</f>
        <v>馬瀬一変電所</v>
      </c>
      <c r="S232" s="1"/>
      <c r="T232" s="88">
        <v>3.4662890306340959</v>
      </c>
      <c r="U232" s="89">
        <v>2.9747815798854185</v>
      </c>
    </row>
    <row r="233" spans="1:21" x14ac:dyDescent="0.2">
      <c r="A233" s="3">
        <v>228</v>
      </c>
      <c r="B233" s="3" t="s">
        <v>1186</v>
      </c>
      <c r="C233" s="3" t="s">
        <v>1542</v>
      </c>
      <c r="D233" s="21">
        <f>VLOOKUP(B233,SYS!$F$5:$G$360,2,FALSE)</f>
        <v>164</v>
      </c>
      <c r="E233" s="21">
        <f>VLOOKUP(C233,SYS!$F$5:$G$360,2,FALSE)</f>
        <v>165</v>
      </c>
      <c r="F233" s="7">
        <v>51</v>
      </c>
      <c r="G233" s="64">
        <f t="shared" si="17"/>
        <v>0.40715301368452472</v>
      </c>
      <c r="H233" s="3">
        <v>-1</v>
      </c>
      <c r="I233" s="3">
        <v>-1</v>
      </c>
      <c r="J233" s="11">
        <v>0</v>
      </c>
      <c r="K233" s="25">
        <f t="shared" si="18"/>
        <v>1.0200000000000001E-2</v>
      </c>
      <c r="L233" s="26">
        <v>0.64300000000000002</v>
      </c>
      <c r="M233" s="26">
        <v>0.64300000000000002</v>
      </c>
      <c r="N233" s="11" t="s">
        <v>594</v>
      </c>
      <c r="O233" s="26" t="str">
        <f>VLOOKUP(TRN!D233,SYS!$G$5:$H$360,2,FALSE)</f>
        <v>馬瀬変電所</v>
      </c>
      <c r="P233" s="26" t="str">
        <f>VLOOKUP(TRN!E233,SYS!$G$5:$H$360,2,FALSE)</f>
        <v>高根変電所</v>
      </c>
      <c r="S233" s="1"/>
      <c r="T233" s="88">
        <v>3.0895916045208671</v>
      </c>
      <c r="U233" s="89">
        <v>3.2550788304360676</v>
      </c>
    </row>
    <row r="234" spans="1:21" x14ac:dyDescent="0.2">
      <c r="A234" s="3">
        <v>229</v>
      </c>
      <c r="B234" s="3" t="s">
        <v>1542</v>
      </c>
      <c r="C234" s="3" t="s">
        <v>1160</v>
      </c>
      <c r="D234" s="21">
        <f>VLOOKUP(B234,SYS!$F$5:$G$360,2,FALSE)</f>
        <v>165</v>
      </c>
      <c r="E234" s="21">
        <f>VLOOKUP(C234,SYS!$F$5:$G$360,2,FALSE)</f>
        <v>166</v>
      </c>
      <c r="F234" s="7">
        <v>48</v>
      </c>
      <c r="G234" s="64">
        <f t="shared" si="17"/>
        <v>0.40715301368452472</v>
      </c>
      <c r="H234" s="3">
        <v>-1</v>
      </c>
      <c r="I234" s="3">
        <v>-1</v>
      </c>
      <c r="J234" s="11">
        <v>0</v>
      </c>
      <c r="K234" s="25">
        <f t="shared" si="18"/>
        <v>9.6000000000000009E-3</v>
      </c>
      <c r="L234" s="26">
        <v>0.64300000000000002</v>
      </c>
      <c r="M234" s="26">
        <v>0.64300000000000002</v>
      </c>
      <c r="N234" s="11" t="s">
        <v>595</v>
      </c>
      <c r="O234" s="26" t="str">
        <f>VLOOKUP(TRN!D234,SYS!$G$5:$H$360,2,FALSE)</f>
        <v>高根変電所</v>
      </c>
      <c r="P234" s="26" t="str">
        <f>VLOOKUP(TRN!E234,SYS!$G$5:$H$360,2,FALSE)</f>
        <v>中信変電所</v>
      </c>
      <c r="S234" s="1"/>
      <c r="T234" s="88">
        <v>2.8725397271487267</v>
      </c>
      <c r="U234" s="89">
        <v>3.9456449828743994</v>
      </c>
    </row>
    <row r="235" spans="1:21" x14ac:dyDescent="0.2">
      <c r="A235" s="3">
        <v>230</v>
      </c>
      <c r="B235" s="3" t="s">
        <v>991</v>
      </c>
      <c r="C235" s="3" t="s">
        <v>1160</v>
      </c>
      <c r="D235" s="21">
        <f>VLOOKUP(B235,SYS!$F$5:$G$360,2,FALSE)</f>
        <v>144</v>
      </c>
      <c r="E235" s="21">
        <f>VLOOKUP(C235,SYS!$F$5:$G$360,2,FALSE)</f>
        <v>166</v>
      </c>
      <c r="F235" s="7">
        <v>11</v>
      </c>
      <c r="G235" s="64">
        <f t="shared" si="17"/>
        <v>0.20357650684226236</v>
      </c>
      <c r="H235" s="3">
        <v>-1</v>
      </c>
      <c r="I235" s="3">
        <v>-1</v>
      </c>
      <c r="J235" s="11">
        <v>0</v>
      </c>
      <c r="K235" s="25">
        <f t="shared" si="18"/>
        <v>2.2000000000000001E-3</v>
      </c>
      <c r="L235" s="26">
        <v>1.286</v>
      </c>
      <c r="M235" s="26">
        <v>1.286</v>
      </c>
      <c r="N235" s="11" t="s">
        <v>596</v>
      </c>
      <c r="O235" s="26" t="str">
        <f>VLOOKUP(TRN!D235,SYS!$G$5:$H$360,2,FALSE)</f>
        <v>信濃変電所</v>
      </c>
      <c r="P235" s="26" t="str">
        <f>VLOOKUP(TRN!E235,SYS!$G$5:$H$360,2,FALSE)</f>
        <v>中信変電所</v>
      </c>
      <c r="S235" s="1"/>
      <c r="T235" s="88">
        <v>1.4642739566413878</v>
      </c>
      <c r="U235" s="89">
        <v>2.4074319512429736</v>
      </c>
    </row>
    <row r="236" spans="1:21" x14ac:dyDescent="0.2">
      <c r="A236" s="3">
        <v>231</v>
      </c>
      <c r="B236" s="3" t="s">
        <v>991</v>
      </c>
      <c r="C236" s="3" t="s">
        <v>1188</v>
      </c>
      <c r="D236" s="21">
        <f>VLOOKUP(B236,SYS!$F$5:$G$360,2,FALSE)</f>
        <v>144</v>
      </c>
      <c r="E236" s="21">
        <f>VLOOKUP(C236,SYS!$F$5:$G$360,2,FALSE)</f>
        <v>167</v>
      </c>
      <c r="F236" s="7">
        <v>71</v>
      </c>
      <c r="G236" s="64">
        <f t="shared" si="17"/>
        <v>6.4292580500773425E-2</v>
      </c>
      <c r="H236" s="3">
        <v>-1</v>
      </c>
      <c r="I236" s="3">
        <v>-1</v>
      </c>
      <c r="J236" s="11">
        <v>0</v>
      </c>
      <c r="K236" s="25">
        <f t="shared" si="18"/>
        <v>1.4200000000000001E-2</v>
      </c>
      <c r="L236" s="26">
        <v>4.0720000000000001</v>
      </c>
      <c r="M236" s="26">
        <v>4.0720000000000001</v>
      </c>
      <c r="N236" s="11" t="s">
        <v>597</v>
      </c>
      <c r="O236" s="26" t="str">
        <f>VLOOKUP(TRN!D236,SYS!$G$5:$H$360,2,FALSE)</f>
        <v>信濃変電所</v>
      </c>
      <c r="P236" s="26" t="str">
        <f>VLOOKUP(TRN!E236,SYS!$G$5:$H$360,2,FALSE)</f>
        <v>東信変電所</v>
      </c>
      <c r="S236" s="1"/>
      <c r="T236" s="88">
        <v>0.52144777314083102</v>
      </c>
      <c r="U236" s="89">
        <v>0.4928560437673431</v>
      </c>
    </row>
    <row r="237" spans="1:21" x14ac:dyDescent="0.2">
      <c r="A237" s="3">
        <v>232</v>
      </c>
      <c r="B237" s="3" t="s">
        <v>1188</v>
      </c>
      <c r="C237" s="3" t="s">
        <v>1017</v>
      </c>
      <c r="D237" s="21">
        <f>VLOOKUP(B237,SYS!$F$5:$G$360,2,FALSE)</f>
        <v>167</v>
      </c>
      <c r="E237" s="21">
        <f>VLOOKUP(C237,SYS!$F$5:$G$360,2,FALSE)</f>
        <v>168</v>
      </c>
      <c r="F237" s="7">
        <v>47</v>
      </c>
      <c r="G237" s="64">
        <f t="shared" si="17"/>
        <v>8.1304157701599183E-2</v>
      </c>
      <c r="H237" s="3">
        <v>-1</v>
      </c>
      <c r="I237" s="3">
        <v>-1</v>
      </c>
      <c r="J237" s="11">
        <v>0</v>
      </c>
      <c r="K237" s="25">
        <f t="shared" si="18"/>
        <v>9.4000000000000004E-3</v>
      </c>
      <c r="L237" s="26">
        <v>3.22</v>
      </c>
      <c r="M237" s="26">
        <v>3.22</v>
      </c>
      <c r="N237" s="11" t="s">
        <v>598</v>
      </c>
      <c r="O237" s="26" t="str">
        <f>VLOOKUP(TRN!D237,SYS!$G$5:$H$360,2,FALSE)</f>
        <v>東信変電所</v>
      </c>
      <c r="P237" s="26" t="str">
        <f>VLOOKUP(TRN!E237,SYS!$G$5:$H$360,2,FALSE)</f>
        <v>新北信変電所</v>
      </c>
      <c r="S237" s="1"/>
      <c r="T237" s="88">
        <v>0.64946039492638097</v>
      </c>
      <c r="U237" s="89">
        <v>0.614333919933717</v>
      </c>
    </row>
    <row r="238" spans="1:21" x14ac:dyDescent="0.2">
      <c r="A238" s="3">
        <v>233</v>
      </c>
      <c r="B238" s="3" t="s">
        <v>991</v>
      </c>
      <c r="C238" s="3" t="s">
        <v>1190</v>
      </c>
      <c r="D238" s="21">
        <f>VLOOKUP(B238,SYS!$F$5:$G$360,2,FALSE)</f>
        <v>144</v>
      </c>
      <c r="E238" s="21">
        <f>VLOOKUP(C238,SYS!$F$5:$G$360,2,FALSE)</f>
        <v>169</v>
      </c>
      <c r="F238" s="7">
        <v>46</v>
      </c>
      <c r="G238" s="64">
        <f t="shared" si="17"/>
        <v>0.21441391302141638</v>
      </c>
      <c r="H238" s="3">
        <v>-1</v>
      </c>
      <c r="I238" s="3">
        <v>-1</v>
      </c>
      <c r="J238" s="11">
        <v>0</v>
      </c>
      <c r="K238" s="25">
        <f t="shared" si="18"/>
        <v>9.1999999999999998E-3</v>
      </c>
      <c r="L238" s="26">
        <v>1.2210000000000001</v>
      </c>
      <c r="M238" s="26">
        <v>1.2210000000000001</v>
      </c>
      <c r="N238" s="11" t="s">
        <v>599</v>
      </c>
      <c r="O238" s="26" t="str">
        <f>VLOOKUP(TRN!D238,SYS!$G$5:$H$360,2,FALSE)</f>
        <v>信濃変電所</v>
      </c>
      <c r="P238" s="26" t="str">
        <f>VLOOKUP(TRN!E238,SYS!$G$5:$H$360,2,FALSE)</f>
        <v>佐久変電所</v>
      </c>
      <c r="S238" s="1"/>
      <c r="T238" s="88">
        <v>10172.922138695103</v>
      </c>
      <c r="U238" s="89">
        <v>1.4205013533386561</v>
      </c>
    </row>
    <row r="239" spans="1:21" x14ac:dyDescent="0.2">
      <c r="A239" s="3">
        <v>234</v>
      </c>
      <c r="B239" s="3" t="s">
        <v>1140</v>
      </c>
      <c r="C239" s="3" t="s">
        <v>1192</v>
      </c>
      <c r="D239" s="21">
        <f>VLOOKUP(B239,SYS!$F$5:$G$360,2,FALSE)</f>
        <v>138</v>
      </c>
      <c r="E239" s="21">
        <f>VLOOKUP(C239,SYS!$F$5:$G$360,2,FALSE)</f>
        <v>170</v>
      </c>
      <c r="F239" s="7">
        <v>40</v>
      </c>
      <c r="G239" s="11">
        <v>9.5939999999999998E-2</v>
      </c>
      <c r="H239" s="3">
        <v>-1</v>
      </c>
      <c r="I239" s="3">
        <v>-1</v>
      </c>
      <c r="J239" s="11">
        <v>0</v>
      </c>
      <c r="K239" s="25">
        <f t="shared" si="18"/>
        <v>8.0000000000000002E-3</v>
      </c>
      <c r="L239" s="64">
        <v>2</v>
      </c>
      <c r="M239" s="64">
        <v>2</v>
      </c>
      <c r="N239" s="11" t="s">
        <v>600</v>
      </c>
      <c r="O239" s="26" t="str">
        <f>VLOOKUP(TRN!D239,SYS!$G$5:$H$360,2,FALSE)</f>
        <v>東部変電所</v>
      </c>
      <c r="P239" s="26" t="str">
        <f>VLOOKUP(TRN!E239,SYS!$G$5:$H$360,2,FALSE)</f>
        <v>電名変電所</v>
      </c>
      <c r="S239" s="1"/>
      <c r="T239" s="88">
        <v>179471.90645861303</v>
      </c>
      <c r="U239" s="89">
        <v>0.89666453317536976</v>
      </c>
    </row>
    <row r="240" spans="1:21" x14ac:dyDescent="0.2">
      <c r="A240" s="3">
        <v>235</v>
      </c>
      <c r="B240" s="3" t="s">
        <v>1138</v>
      </c>
      <c r="C240" s="3" t="s">
        <v>1192</v>
      </c>
      <c r="D240" s="21">
        <f>VLOOKUP(B240,SYS!$F$5:$G$360,2,FALSE)</f>
        <v>137</v>
      </c>
      <c r="E240" s="21">
        <f>VLOOKUP(C240,SYS!$F$5:$G$360,2,FALSE)</f>
        <v>170</v>
      </c>
      <c r="F240" s="7">
        <v>4</v>
      </c>
      <c r="G240" s="11">
        <v>1.593E-2</v>
      </c>
      <c r="H240" s="3">
        <v>-1</v>
      </c>
      <c r="I240" s="3">
        <v>-1</v>
      </c>
      <c r="J240" s="11">
        <v>0</v>
      </c>
      <c r="K240" s="25">
        <f t="shared" si="18"/>
        <v>8.0000000000000004E-4</v>
      </c>
      <c r="L240" s="26">
        <v>2.7149999999999999</v>
      </c>
      <c r="M240" s="26">
        <v>2.7149999999999999</v>
      </c>
      <c r="N240" s="11" t="s">
        <v>601</v>
      </c>
      <c r="O240" s="26" t="str">
        <f>VLOOKUP(TRN!D240,SYS!$G$5:$H$360,2,FALSE)</f>
        <v>愛知変電所</v>
      </c>
      <c r="P240" s="26" t="str">
        <f>VLOOKUP(TRN!E240,SYS!$G$5:$H$360,2,FALSE)</f>
        <v>電名変電所</v>
      </c>
      <c r="S240" s="1"/>
      <c r="T240" s="88">
        <v>0.61676849330490791</v>
      </c>
      <c r="U240" s="89">
        <v>5407.4029192542394</v>
      </c>
    </row>
    <row r="241" spans="1:21" x14ac:dyDescent="0.2">
      <c r="A241" s="3">
        <v>236</v>
      </c>
      <c r="B241" s="3" t="s">
        <v>1192</v>
      </c>
      <c r="C241" s="3" t="s">
        <v>1182</v>
      </c>
      <c r="D241" s="21">
        <f>VLOOKUP(B241,SYS!$F$5:$G$360,2,FALSE)</f>
        <v>170</v>
      </c>
      <c r="E241" s="21">
        <f>VLOOKUP(C241,SYS!$F$5:$G$360,2,FALSE)</f>
        <v>162</v>
      </c>
      <c r="F241" s="7">
        <v>5</v>
      </c>
      <c r="G241" s="64">
        <f t="shared" si="17"/>
        <v>0.10368292586104927</v>
      </c>
      <c r="H241" s="3">
        <v>-1</v>
      </c>
      <c r="I241" s="3">
        <v>-1</v>
      </c>
      <c r="J241" s="11">
        <v>0</v>
      </c>
      <c r="K241" s="25">
        <f t="shared" si="18"/>
        <v>1E-3</v>
      </c>
      <c r="L241" s="26">
        <v>2.5249999999999999</v>
      </c>
      <c r="M241" s="26">
        <v>2.5249999999999999</v>
      </c>
      <c r="N241" s="11" t="s">
        <v>602</v>
      </c>
      <c r="O241" s="26" t="str">
        <f>VLOOKUP(TRN!D241,SYS!$G$5:$H$360,2,FALSE)</f>
        <v>電名変電所</v>
      </c>
      <c r="P241" s="26" t="str">
        <f>VLOOKUP(TRN!E241,SYS!$G$5:$H$360,2,FALSE)</f>
        <v>犬山変電所</v>
      </c>
      <c r="S241" s="1"/>
      <c r="T241" s="88">
        <v>0.88901142993959048</v>
      </c>
      <c r="U241" s="89">
        <v>0.83344713746339583</v>
      </c>
    </row>
    <row r="242" spans="1:21" x14ac:dyDescent="0.2">
      <c r="A242" s="3">
        <v>237</v>
      </c>
      <c r="B242" s="3" t="s">
        <v>1192</v>
      </c>
      <c r="C242" s="3" t="s">
        <v>1117</v>
      </c>
      <c r="D242" s="21">
        <f>VLOOKUP(B242,SYS!$F$5:$G$360,2,FALSE)</f>
        <v>170</v>
      </c>
      <c r="E242" s="21">
        <f>VLOOKUP(C242,SYS!$F$5:$G$360,2,FALSE)</f>
        <v>171</v>
      </c>
      <c r="F242" s="7">
        <v>25</v>
      </c>
      <c r="G242" s="11">
        <v>9.7269999999999995E-2</v>
      </c>
      <c r="H242" s="3">
        <v>-1</v>
      </c>
      <c r="I242" s="3">
        <v>-1</v>
      </c>
      <c r="J242" s="11">
        <v>0</v>
      </c>
      <c r="K242" s="25">
        <f t="shared" si="18"/>
        <v>5.0000000000000001E-3</v>
      </c>
      <c r="L242" s="26">
        <v>3.0659999999999998</v>
      </c>
      <c r="M242" s="26">
        <v>3.0659999999999998</v>
      </c>
      <c r="N242" s="11" t="s">
        <v>603</v>
      </c>
      <c r="O242" s="26" t="str">
        <f>VLOOKUP(TRN!D242,SYS!$G$5:$H$360,2,FALSE)</f>
        <v>電名変電所</v>
      </c>
      <c r="P242" s="26" t="str">
        <f>VLOOKUP(TRN!E242,SYS!$G$5:$H$360,2,FALSE)</f>
        <v>瀬戸変電所</v>
      </c>
      <c r="S242" s="1"/>
      <c r="T242" s="88">
        <v>0.66970701796120558</v>
      </c>
      <c r="U242" s="89">
        <v>0.64727676361336106</v>
      </c>
    </row>
    <row r="243" spans="1:21" x14ac:dyDescent="0.2">
      <c r="A243" s="3">
        <v>238</v>
      </c>
      <c r="B243" s="3" t="s">
        <v>1138</v>
      </c>
      <c r="C243" s="3" t="s">
        <v>1117</v>
      </c>
      <c r="D243" s="21">
        <f>VLOOKUP(B243,SYS!$F$5:$G$360,2,FALSE)</f>
        <v>137</v>
      </c>
      <c r="E243" s="21">
        <f>VLOOKUP(C243,SYS!$F$5:$G$360,2,FALSE)</f>
        <v>171</v>
      </c>
      <c r="F243" s="7">
        <v>18</v>
      </c>
      <c r="G243" s="11">
        <v>9.4999999999999998E-3</v>
      </c>
      <c r="H243" s="3">
        <v>-1</v>
      </c>
      <c r="I243" s="3">
        <v>-1</v>
      </c>
      <c r="J243" s="11">
        <v>0</v>
      </c>
      <c r="K243" s="25">
        <f t="shared" si="18"/>
        <v>3.6000000000000003E-3</v>
      </c>
      <c r="L243" s="26">
        <v>4.0720000000000001</v>
      </c>
      <c r="M243" s="26">
        <v>4.0720000000000001</v>
      </c>
      <c r="N243" s="11" t="s">
        <v>604</v>
      </c>
      <c r="O243" s="26" t="str">
        <f>VLOOKUP(TRN!D243,SYS!$G$5:$H$360,2,FALSE)</f>
        <v>愛知変電所</v>
      </c>
      <c r="P243" s="26" t="str">
        <f>VLOOKUP(TRN!E243,SYS!$G$5:$H$360,2,FALSE)</f>
        <v>瀬戸変電所</v>
      </c>
      <c r="S243" s="1"/>
      <c r="T243" s="88">
        <v>0.41941166746390013</v>
      </c>
      <c r="U243" s="89">
        <v>0.61300238984217559</v>
      </c>
    </row>
    <row r="244" spans="1:21" x14ac:dyDescent="0.2">
      <c r="A244" s="3">
        <v>239</v>
      </c>
      <c r="B244" s="3" t="s">
        <v>1117</v>
      </c>
      <c r="C244" s="3" t="s">
        <v>1544</v>
      </c>
      <c r="D244" s="21">
        <f>VLOOKUP(B244,SYS!$F$5:$G$360,2,FALSE)</f>
        <v>171</v>
      </c>
      <c r="E244" s="21">
        <f>VLOOKUP(C244,SYS!$F$5:$G$360,2,FALSE)</f>
        <v>172</v>
      </c>
      <c r="F244" s="7">
        <v>9</v>
      </c>
      <c r="G244" s="64">
        <f t="shared" si="17"/>
        <v>7.6999819940926292E-2</v>
      </c>
      <c r="H244" s="3">
        <v>-1</v>
      </c>
      <c r="I244" s="3">
        <v>-1</v>
      </c>
      <c r="J244" s="11">
        <v>0</v>
      </c>
      <c r="K244" s="25">
        <f t="shared" si="18"/>
        <v>1.8000000000000002E-3</v>
      </c>
      <c r="L244" s="26">
        <v>3.4</v>
      </c>
      <c r="M244" s="26">
        <v>3.4</v>
      </c>
      <c r="N244" s="11" t="s">
        <v>605</v>
      </c>
      <c r="O244" s="26" t="str">
        <f>VLOOKUP(TRN!D244,SYS!$G$5:$H$360,2,FALSE)</f>
        <v>瀬戸変電所</v>
      </c>
      <c r="P244" s="26" t="str">
        <f>VLOOKUP(TRN!E244,SYS!$G$5:$H$360,2,FALSE)</f>
        <v>北豊田変電所</v>
      </c>
      <c r="S244" s="1"/>
      <c r="T244" s="88">
        <v>0.50062087934927246</v>
      </c>
      <c r="U244" s="89">
        <v>0.7412769803207081</v>
      </c>
    </row>
    <row r="245" spans="1:21" x14ac:dyDescent="0.2">
      <c r="A245" s="3">
        <v>240</v>
      </c>
      <c r="B245" s="3" t="s">
        <v>1544</v>
      </c>
      <c r="C245" s="3" t="s">
        <v>1196</v>
      </c>
      <c r="D245" s="21">
        <f>VLOOKUP(B245,SYS!$F$5:$G$360,2,FALSE)</f>
        <v>172</v>
      </c>
      <c r="E245" s="21">
        <f>VLOOKUP(C245,SYS!$F$5:$G$360,2,FALSE)</f>
        <v>173</v>
      </c>
      <c r="F245" s="7">
        <v>27</v>
      </c>
      <c r="G245" s="64">
        <f t="shared" si="17"/>
        <v>5.1444171310502926E-2</v>
      </c>
      <c r="H245" s="57">
        <v>-1</v>
      </c>
      <c r="I245" s="57">
        <v>-1</v>
      </c>
      <c r="J245" s="32">
        <v>0</v>
      </c>
      <c r="K245" s="25">
        <f t="shared" si="18"/>
        <v>5.4000000000000003E-3</v>
      </c>
      <c r="L245" s="26">
        <v>5.0890000000000004</v>
      </c>
      <c r="M245" s="26">
        <v>5.0890000000000004</v>
      </c>
      <c r="N245" s="11" t="s">
        <v>606</v>
      </c>
      <c r="O245" s="26" t="str">
        <f>VLOOKUP(TRN!D245,SYS!$G$5:$H$360,2,FALSE)</f>
        <v>北豊田変電所</v>
      </c>
      <c r="P245" s="26" t="str">
        <f>VLOOKUP(TRN!E245,SYS!$G$5:$H$360,2,FALSE)</f>
        <v>東浦開閉所</v>
      </c>
      <c r="R245" s="44">
        <v>0.376</v>
      </c>
      <c r="S245" s="32">
        <v>0.376</v>
      </c>
      <c r="T245" s="88">
        <v>0.35111313655629739</v>
      </c>
      <c r="U245" s="89">
        <v>0.44219308029169185</v>
      </c>
    </row>
    <row r="246" spans="1:21" x14ac:dyDescent="0.2">
      <c r="A246" s="3">
        <v>241</v>
      </c>
      <c r="B246" s="3" t="s">
        <v>1198</v>
      </c>
      <c r="C246" s="3" t="s">
        <v>1214</v>
      </c>
      <c r="D246" s="21">
        <f>VLOOKUP(B246,SYS!$F$5:$G$360,2,FALSE)</f>
        <v>174</v>
      </c>
      <c r="E246" s="21">
        <f>VLOOKUP(C246,SYS!$F$5:$G$360,2,FALSE)</f>
        <v>184</v>
      </c>
      <c r="F246" s="32">
        <v>2</v>
      </c>
      <c r="G246" s="64">
        <f t="shared" si="17"/>
        <v>0.19566471434914007</v>
      </c>
      <c r="H246" s="3">
        <v>-1</v>
      </c>
      <c r="I246" s="3">
        <v>-1</v>
      </c>
      <c r="J246" s="11">
        <v>0</v>
      </c>
      <c r="K246" s="25">
        <f t="shared" si="18"/>
        <v>4.0000000000000002E-4</v>
      </c>
      <c r="L246" s="26">
        <v>1.3380000000000001</v>
      </c>
      <c r="M246" s="26">
        <v>1.3380000000000001</v>
      </c>
      <c r="N246" s="11" t="s">
        <v>607</v>
      </c>
      <c r="O246" s="26" t="str">
        <f>VLOOKUP(TRN!D246,SYS!$G$5:$H$360,2,FALSE)</f>
        <v>東名古屋分岐点</v>
      </c>
      <c r="P246" s="26" t="str">
        <f>VLOOKUP(TRN!E246,SYS!$G$5:$H$360,2,FALSE)</f>
        <v>東名古屋変電所</v>
      </c>
      <c r="S246" s="1"/>
      <c r="T246" s="88">
        <v>1.4078820293644854</v>
      </c>
      <c r="U246" s="89">
        <v>1.6721063685661801</v>
      </c>
    </row>
    <row r="247" spans="1:21" x14ac:dyDescent="0.2">
      <c r="A247" s="3">
        <v>242</v>
      </c>
      <c r="B247" s="3" t="s">
        <v>1196</v>
      </c>
      <c r="C247" s="3" t="s">
        <v>1200</v>
      </c>
      <c r="D247" s="21">
        <f>VLOOKUP(B247,SYS!$F$5:$G$360,2,FALSE)</f>
        <v>173</v>
      </c>
      <c r="E247" s="21">
        <f>VLOOKUP(C247,SYS!$F$5:$G$360,2,FALSE)</f>
        <v>175</v>
      </c>
      <c r="F247" s="7">
        <v>12</v>
      </c>
      <c r="G247" s="64">
        <f t="shared" si="17"/>
        <v>6.6514072103442429E-2</v>
      </c>
      <c r="H247" s="3">
        <v>-1</v>
      </c>
      <c r="I247" s="3">
        <v>-1</v>
      </c>
      <c r="J247" s="11">
        <v>0</v>
      </c>
      <c r="K247" s="25">
        <f t="shared" si="18"/>
        <v>2.4000000000000002E-3</v>
      </c>
      <c r="L247" s="26">
        <v>3.9359999999999999</v>
      </c>
      <c r="M247" s="26">
        <v>3.9359999999999999</v>
      </c>
      <c r="N247" s="11" t="s">
        <v>608</v>
      </c>
      <c r="O247" s="26" t="str">
        <f>VLOOKUP(TRN!D247,SYS!$G$5:$H$360,2,FALSE)</f>
        <v>東浦開閉所</v>
      </c>
      <c r="P247" s="26" t="str">
        <f>VLOOKUP(TRN!E247,SYS!$G$5:$H$360,2,FALSE)</f>
        <v>知多火力変電所</v>
      </c>
      <c r="S247" s="1"/>
      <c r="T247" s="88">
        <v>0.42331164980950758</v>
      </c>
      <c r="U247" s="89">
        <v>0.64251123325845727</v>
      </c>
    </row>
    <row r="248" spans="1:21" x14ac:dyDescent="0.2">
      <c r="A248" s="3">
        <v>243</v>
      </c>
      <c r="B248" s="3" t="s">
        <v>1140</v>
      </c>
      <c r="C248" s="3" t="s">
        <v>1544</v>
      </c>
      <c r="D248" s="21">
        <f>VLOOKUP(B248,SYS!$F$5:$G$360,2,FALSE)</f>
        <v>138</v>
      </c>
      <c r="E248" s="21">
        <f>VLOOKUP(C248,SYS!$F$5:$G$360,2,FALSE)</f>
        <v>172</v>
      </c>
      <c r="F248" s="7">
        <v>15</v>
      </c>
      <c r="G248" s="64">
        <f t="shared" si="17"/>
        <v>8.527667355021154E-2</v>
      </c>
      <c r="H248" s="3">
        <v>-1</v>
      </c>
      <c r="I248" s="3">
        <v>-1</v>
      </c>
      <c r="J248" s="11">
        <v>0</v>
      </c>
      <c r="K248" s="25">
        <f t="shared" si="18"/>
        <v>3.0000000000000001E-3</v>
      </c>
      <c r="L248" s="26">
        <v>3.07</v>
      </c>
      <c r="M248" s="26">
        <v>3.07</v>
      </c>
      <c r="N248" s="11" t="s">
        <v>609</v>
      </c>
      <c r="O248" s="26" t="str">
        <f>VLOOKUP(TRN!D248,SYS!$G$5:$H$360,2,FALSE)</f>
        <v>東部変電所</v>
      </c>
      <c r="P248" s="26" t="str">
        <f>VLOOKUP(TRN!E248,SYS!$G$5:$H$360,2,FALSE)</f>
        <v>北豊田変電所</v>
      </c>
      <c r="S248" s="1"/>
      <c r="T248" s="88">
        <v>0.7996016304478587</v>
      </c>
      <c r="U248" s="89">
        <v>0.68965678337093805</v>
      </c>
    </row>
    <row r="249" spans="1:21" x14ac:dyDescent="0.2">
      <c r="A249" s="3">
        <v>244</v>
      </c>
      <c r="B249" s="3" t="s">
        <v>1544</v>
      </c>
      <c r="C249" s="3" t="s">
        <v>1202</v>
      </c>
      <c r="D249" s="21">
        <f>VLOOKUP(B249,SYS!$F$5:$G$360,2,FALSE)</f>
        <v>172</v>
      </c>
      <c r="E249" s="21">
        <f>VLOOKUP(C249,SYS!$F$5:$G$360,2,FALSE)</f>
        <v>176</v>
      </c>
      <c r="F249" s="7">
        <v>10</v>
      </c>
      <c r="G249" s="64">
        <f t="shared" si="17"/>
        <v>0.12256525646027594</v>
      </c>
      <c r="H249" s="3">
        <v>-1</v>
      </c>
      <c r="I249" s="3">
        <v>-1</v>
      </c>
      <c r="J249" s="11">
        <v>0</v>
      </c>
      <c r="K249" s="25">
        <f t="shared" si="18"/>
        <v>2E-3</v>
      </c>
      <c r="L249" s="26">
        <v>2.1360000000000001</v>
      </c>
      <c r="M249" s="26">
        <v>2.1360000000000001</v>
      </c>
      <c r="N249" s="11" t="s">
        <v>610</v>
      </c>
      <c r="O249" s="26" t="str">
        <f>VLOOKUP(TRN!D249,SYS!$G$5:$H$360,2,FALSE)</f>
        <v>北豊田変電所</v>
      </c>
      <c r="P249" s="26" t="str">
        <f>VLOOKUP(TRN!E249,SYS!$G$5:$H$360,2,FALSE)</f>
        <v>梅森開閉所</v>
      </c>
      <c r="S249" s="1"/>
      <c r="T249" s="88">
        <v>1.1601300383402091</v>
      </c>
      <c r="U249" s="89">
        <v>0.92337596799594079</v>
      </c>
    </row>
    <row r="250" spans="1:21" x14ac:dyDescent="0.2">
      <c r="A250" s="3">
        <v>245</v>
      </c>
      <c r="B250" s="3" t="s">
        <v>1202</v>
      </c>
      <c r="C250" s="3" t="s">
        <v>1166</v>
      </c>
      <c r="D250" s="21">
        <f>VLOOKUP(B250,SYS!$F$5:$G$360,2,FALSE)</f>
        <v>176</v>
      </c>
      <c r="E250" s="21">
        <f>VLOOKUP(C250,SYS!$F$5:$G$360,2,FALSE)</f>
        <v>177</v>
      </c>
      <c r="F250" s="7">
        <v>12</v>
      </c>
      <c r="G250" s="64">
        <f t="shared" si="17"/>
        <v>0.25173018057610519</v>
      </c>
      <c r="H250" s="3">
        <v>-1</v>
      </c>
      <c r="I250" s="3">
        <v>-1</v>
      </c>
      <c r="J250" s="11">
        <v>0</v>
      </c>
      <c r="K250" s="25">
        <f t="shared" si="18"/>
        <v>2.4000000000000002E-3</v>
      </c>
      <c r="L250" s="26">
        <v>1.04</v>
      </c>
      <c r="M250" s="26">
        <v>1.04</v>
      </c>
      <c r="N250" s="11" t="s">
        <v>611</v>
      </c>
      <c r="O250" s="26" t="str">
        <f>VLOOKUP(TRN!D250,SYS!$G$5:$H$360,2,FALSE)</f>
        <v>梅森開閉所</v>
      </c>
      <c r="P250" s="26" t="str">
        <f>VLOOKUP(TRN!E250,SYS!$G$5:$H$360,2,FALSE)</f>
        <v>金山変電所</v>
      </c>
      <c r="S250" s="1"/>
      <c r="T250" s="88">
        <v>1647.9853135114026</v>
      </c>
      <c r="U250" s="89">
        <v>2.0837205320533299</v>
      </c>
    </row>
    <row r="251" spans="1:21" x14ac:dyDescent="0.2">
      <c r="A251" s="3">
        <v>246</v>
      </c>
      <c r="B251" s="3" t="s">
        <v>1166</v>
      </c>
      <c r="C251" s="3" t="s">
        <v>1178</v>
      </c>
      <c r="D251" s="21">
        <f>VLOOKUP(B251,SYS!$F$5:$G$360,2,FALSE)</f>
        <v>177</v>
      </c>
      <c r="E251" s="21">
        <f>VLOOKUP(C251,SYS!$F$5:$G$360,2,FALSE)</f>
        <v>159</v>
      </c>
      <c r="F251" s="7">
        <v>3</v>
      </c>
      <c r="G251" s="64">
        <f t="shared" si="17"/>
        <v>0.25173018057610519</v>
      </c>
      <c r="H251" s="3">
        <v>-1</v>
      </c>
      <c r="I251" s="3">
        <v>-1</v>
      </c>
      <c r="J251" s="11">
        <v>0</v>
      </c>
      <c r="K251" s="25">
        <f t="shared" si="18"/>
        <v>6.0000000000000006E-4</v>
      </c>
      <c r="L251" s="26">
        <v>1.04</v>
      </c>
      <c r="M251" s="26">
        <v>1.04</v>
      </c>
      <c r="N251" s="11" t="s">
        <v>612</v>
      </c>
      <c r="O251" s="26" t="str">
        <f>VLOOKUP(TRN!D251,SYS!$G$5:$H$360,2,FALSE)</f>
        <v>金山変電所</v>
      </c>
      <c r="P251" s="26" t="str">
        <f>VLOOKUP(TRN!E251,SYS!$G$5:$H$360,2,FALSE)</f>
        <v>松ヶ枝変電所</v>
      </c>
      <c r="S251" s="1"/>
      <c r="T251" s="88">
        <v>41.753075930838421</v>
      </c>
      <c r="U251" s="89">
        <v>1.9092328951137221</v>
      </c>
    </row>
    <row r="252" spans="1:21" x14ac:dyDescent="0.2">
      <c r="A252" s="3">
        <v>247</v>
      </c>
      <c r="B252" s="3" t="s">
        <v>1178</v>
      </c>
      <c r="C252" s="3" t="s">
        <v>1204</v>
      </c>
      <c r="D252" s="21">
        <f>VLOOKUP(B252,SYS!$F$5:$G$360,2,FALSE)</f>
        <v>159</v>
      </c>
      <c r="E252" s="21">
        <f>VLOOKUP(C252,SYS!$F$5:$G$360,2,FALSE)</f>
        <v>178</v>
      </c>
      <c r="F252" s="7">
        <v>1</v>
      </c>
      <c r="G252" s="11">
        <v>2.5500000000000002E-3</v>
      </c>
      <c r="H252" s="3">
        <v>-1</v>
      </c>
      <c r="I252" s="3">
        <v>-1</v>
      </c>
      <c r="J252" s="11">
        <v>0</v>
      </c>
      <c r="K252" s="25">
        <f t="shared" si="18"/>
        <v>2.0000000000000001E-4</v>
      </c>
      <c r="L252" s="26">
        <v>1.04</v>
      </c>
      <c r="M252" s="26">
        <v>1.04</v>
      </c>
      <c r="N252" s="11" t="s">
        <v>613</v>
      </c>
      <c r="O252" s="26" t="str">
        <f>VLOOKUP(TRN!D252,SYS!$G$5:$H$360,2,FALSE)</f>
        <v>松ヶ枝変電所</v>
      </c>
      <c r="P252" s="26" t="str">
        <f>VLOOKUP(TRN!E252,SYS!$G$5:$H$360,2,FALSE)</f>
        <v>南武平町変電所</v>
      </c>
      <c r="S252" s="1"/>
      <c r="T252" s="88">
        <v>1.7416859998484535</v>
      </c>
      <c r="U252" s="89">
        <v>2.258600424201791</v>
      </c>
    </row>
    <row r="253" spans="1:21" x14ac:dyDescent="0.2">
      <c r="A253" s="3">
        <v>248</v>
      </c>
      <c r="B253" s="3" t="s">
        <v>1204</v>
      </c>
      <c r="C253" s="3" t="s">
        <v>887</v>
      </c>
      <c r="D253" s="21">
        <f>VLOOKUP(B253,SYS!$F$5:$G$360,2,FALSE)</f>
        <v>178</v>
      </c>
      <c r="E253" s="21">
        <f>VLOOKUP(C253,SYS!$F$5:$G$360,2,FALSE)</f>
        <v>179</v>
      </c>
      <c r="F253" s="7">
        <v>3</v>
      </c>
      <c r="G253" s="11">
        <v>4.9100000000000003E-3</v>
      </c>
      <c r="H253" s="3">
        <v>-1</v>
      </c>
      <c r="I253" s="3">
        <v>-1</v>
      </c>
      <c r="J253" s="11">
        <v>0</v>
      </c>
      <c r="K253" s="25">
        <f t="shared" si="18"/>
        <v>6.0000000000000006E-4</v>
      </c>
      <c r="L253" s="26">
        <v>1.18</v>
      </c>
      <c r="M253" s="26">
        <v>1.18</v>
      </c>
      <c r="N253" s="11" t="s">
        <v>614</v>
      </c>
      <c r="O253" s="26" t="str">
        <f>VLOOKUP(TRN!D253,SYS!$G$5:$H$360,2,FALSE)</f>
        <v>南武平町変電所</v>
      </c>
      <c r="P253" s="26" t="str">
        <f>VLOOKUP(TRN!E253,SYS!$G$5:$H$360,2,FALSE)</f>
        <v>下広井変電所</v>
      </c>
      <c r="S253" s="1"/>
      <c r="T253" s="88">
        <v>1.6381165157861184</v>
      </c>
      <c r="U253" s="89">
        <v>1.8202193274599063</v>
      </c>
    </row>
    <row r="254" spans="1:21" x14ac:dyDescent="0.2">
      <c r="A254" s="3">
        <v>249</v>
      </c>
      <c r="B254" s="3" t="s">
        <v>1178</v>
      </c>
      <c r="C254" s="3" t="s">
        <v>1206</v>
      </c>
      <c r="D254" s="21">
        <f>VLOOKUP(B254,SYS!$F$5:$G$360,2,FALSE)</f>
        <v>159</v>
      </c>
      <c r="E254" s="21">
        <f>VLOOKUP(C254,SYS!$F$5:$G$360,2,FALSE)</f>
        <v>180</v>
      </c>
      <c r="F254" s="7">
        <v>19</v>
      </c>
      <c r="G254" s="11">
        <v>3.6450000000000003E-2</v>
      </c>
      <c r="H254" s="3">
        <v>-1</v>
      </c>
      <c r="I254" s="3">
        <v>-1</v>
      </c>
      <c r="J254" s="11">
        <v>0</v>
      </c>
      <c r="K254" s="25">
        <f t="shared" si="18"/>
        <v>3.8E-3</v>
      </c>
      <c r="L254" s="26">
        <v>1.48</v>
      </c>
      <c r="M254" s="26">
        <v>1.48</v>
      </c>
      <c r="N254" s="11" t="s">
        <v>615</v>
      </c>
      <c r="O254" s="26" t="str">
        <f>VLOOKUP(TRN!D254,SYS!$G$5:$H$360,2,FALSE)</f>
        <v>松ヶ枝変電所</v>
      </c>
      <c r="P254" s="26" t="str">
        <f>VLOOKUP(TRN!E254,SYS!$G$5:$H$360,2,FALSE)</f>
        <v>東海変電所</v>
      </c>
      <c r="S254" s="1"/>
      <c r="T254" s="88">
        <v>1.8091216987728849</v>
      </c>
      <c r="U254" s="89">
        <v>1.1173864768675017</v>
      </c>
    </row>
    <row r="255" spans="1:21" x14ac:dyDescent="0.2">
      <c r="A255" s="3">
        <v>250</v>
      </c>
      <c r="B255" s="3" t="s">
        <v>1206</v>
      </c>
      <c r="C255" s="3" t="s">
        <v>1208</v>
      </c>
      <c r="D255" s="21">
        <f>VLOOKUP(B255,SYS!$F$5:$G$360,2,FALSE)</f>
        <v>180</v>
      </c>
      <c r="E255" s="21">
        <f>VLOOKUP(C255,SYS!$F$5:$G$360,2,FALSE)</f>
        <v>181</v>
      </c>
      <c r="F255" s="7">
        <v>6</v>
      </c>
      <c r="G255" s="64">
        <f t="shared" si="17"/>
        <v>0.19292511996989639</v>
      </c>
      <c r="H255" s="3">
        <v>-1</v>
      </c>
      <c r="I255" s="3">
        <v>-1</v>
      </c>
      <c r="J255" s="11">
        <v>0</v>
      </c>
      <c r="K255" s="25">
        <f t="shared" si="18"/>
        <v>1.2000000000000001E-3</v>
      </c>
      <c r="L255" s="26">
        <v>1.357</v>
      </c>
      <c r="M255" s="26">
        <v>1.357</v>
      </c>
      <c r="N255" s="11" t="s">
        <v>616</v>
      </c>
      <c r="O255" s="26" t="str">
        <f>VLOOKUP(TRN!D255,SYS!$G$5:$H$360,2,FALSE)</f>
        <v>東海変電所</v>
      </c>
      <c r="P255" s="26" t="str">
        <f>VLOOKUP(TRN!E255,SYS!$G$5:$H$360,2,FALSE)</f>
        <v>知多第二変電所</v>
      </c>
      <c r="S255" s="1"/>
      <c r="T255" s="88">
        <v>2.3875060117756943</v>
      </c>
      <c r="U255" s="89">
        <v>1.0912925463308762</v>
      </c>
    </row>
    <row r="256" spans="1:21" x14ac:dyDescent="0.2">
      <c r="A256" s="3">
        <v>251</v>
      </c>
      <c r="B256" s="3" t="s">
        <v>1140</v>
      </c>
      <c r="C256" s="3" t="s">
        <v>1210</v>
      </c>
      <c r="D256" s="21">
        <f>VLOOKUP(B256,SYS!$F$5:$G$360,2,FALSE)</f>
        <v>138</v>
      </c>
      <c r="E256" s="21">
        <f>VLOOKUP(C256,SYS!$F$5:$G$360,2,FALSE)</f>
        <v>182</v>
      </c>
      <c r="F256" s="7">
        <v>69</v>
      </c>
      <c r="G256" s="64">
        <f t="shared" si="17"/>
        <v>0.2571703220030937</v>
      </c>
      <c r="H256" s="3">
        <v>-1</v>
      </c>
      <c r="I256" s="3">
        <v>-1</v>
      </c>
      <c r="J256" s="11">
        <v>0</v>
      </c>
      <c r="K256" s="25">
        <f t="shared" si="18"/>
        <v>1.3800000000000002E-2</v>
      </c>
      <c r="L256" s="64">
        <v>1.018</v>
      </c>
      <c r="M256" s="64">
        <v>1.018</v>
      </c>
      <c r="N256" s="11" t="s">
        <v>617</v>
      </c>
      <c r="O256" s="26" t="str">
        <f>VLOOKUP(TRN!D256,SYS!$G$5:$H$360,2,FALSE)</f>
        <v>東部変電所</v>
      </c>
      <c r="P256" s="26" t="str">
        <f>VLOOKUP(TRN!E256,SYS!$G$5:$H$360,2,FALSE)</f>
        <v>佐久間FC</v>
      </c>
      <c r="S256" s="1"/>
      <c r="T256" s="88">
        <v>73888.207584698437</v>
      </c>
      <c r="U256" s="89">
        <v>1.6527516875611059</v>
      </c>
    </row>
    <row r="257" spans="1:21" x14ac:dyDescent="0.2">
      <c r="A257" s="3">
        <v>252</v>
      </c>
      <c r="B257" s="3" t="s">
        <v>1210</v>
      </c>
      <c r="C257" s="3" t="s">
        <v>1212</v>
      </c>
      <c r="D257" s="21">
        <f>VLOOKUP(B257,SYS!$F$5:$G$360,2,FALSE)</f>
        <v>182</v>
      </c>
      <c r="E257" s="21">
        <f>VLOOKUP(C257,SYS!$F$5:$G$360,2,FALSE)</f>
        <v>183</v>
      </c>
      <c r="F257" s="7">
        <v>33</v>
      </c>
      <c r="G257" s="64">
        <f t="shared" si="17"/>
        <v>0.48213515248462135</v>
      </c>
      <c r="H257" s="3">
        <v>-1</v>
      </c>
      <c r="I257" s="3">
        <v>-1</v>
      </c>
      <c r="J257" s="11">
        <v>0</v>
      </c>
      <c r="K257" s="25">
        <f t="shared" si="18"/>
        <v>6.6E-3</v>
      </c>
      <c r="L257" s="26">
        <v>0.54300000000000004</v>
      </c>
      <c r="M257" s="26">
        <v>0.54300000000000004</v>
      </c>
      <c r="N257" s="11" t="s">
        <v>618</v>
      </c>
      <c r="O257" s="26" t="str">
        <f>VLOOKUP(TRN!D257,SYS!$G$5:$H$360,2,FALSE)</f>
        <v>佐久間FC</v>
      </c>
      <c r="P257" s="26" t="str">
        <f>VLOOKUP(TRN!E257,SYS!$G$5:$H$360,2,FALSE)</f>
        <v>川根変電所</v>
      </c>
      <c r="S257" s="1"/>
      <c r="T257" s="88">
        <v>9.1106816926032472</v>
      </c>
      <c r="U257" s="89">
        <v>3.1631475010586718</v>
      </c>
    </row>
    <row r="258" spans="1:21" x14ac:dyDescent="0.2">
      <c r="A258" s="3">
        <v>253</v>
      </c>
      <c r="B258" s="3" t="s">
        <v>1140</v>
      </c>
      <c r="C258" s="3" t="s">
        <v>1214</v>
      </c>
      <c r="D258" s="21">
        <f>VLOOKUP(B258,SYS!$F$5:$G$360,2,FALSE)</f>
        <v>138</v>
      </c>
      <c r="E258" s="21">
        <f>VLOOKUP(C258,SYS!$F$5:$G$360,2,FALSE)</f>
        <v>184</v>
      </c>
      <c r="F258" s="7">
        <v>37</v>
      </c>
      <c r="G258" s="64">
        <f t="shared" si="17"/>
        <v>0.10471975511965977</v>
      </c>
      <c r="H258" s="3">
        <v>-1</v>
      </c>
      <c r="I258" s="3">
        <v>-1</v>
      </c>
      <c r="J258" s="11">
        <v>0</v>
      </c>
      <c r="K258" s="25">
        <f t="shared" si="18"/>
        <v>7.4000000000000003E-3</v>
      </c>
      <c r="L258" s="32">
        <v>2.5</v>
      </c>
      <c r="M258" s="32">
        <v>2.5</v>
      </c>
      <c r="N258" s="11" t="s">
        <v>619</v>
      </c>
      <c r="O258" s="26" t="str">
        <f>VLOOKUP(TRN!D258,SYS!$G$5:$H$360,2,FALSE)</f>
        <v>東部変電所</v>
      </c>
      <c r="P258" s="26" t="str">
        <f>VLOOKUP(TRN!E258,SYS!$G$5:$H$360,2,FALSE)</f>
        <v>東名古屋変電所</v>
      </c>
      <c r="Q258" s="26">
        <v>1.53</v>
      </c>
      <c r="S258" s="1"/>
      <c r="T258" s="88">
        <v>0.5950449982582926</v>
      </c>
      <c r="U258" s="89">
        <v>1.4237088575538597</v>
      </c>
    </row>
    <row r="259" spans="1:21" x14ac:dyDescent="0.2">
      <c r="A259" s="3">
        <v>254</v>
      </c>
      <c r="B259" s="3" t="s">
        <v>1214</v>
      </c>
      <c r="C259" s="3" t="s">
        <v>1200</v>
      </c>
      <c r="D259" s="21">
        <f>VLOOKUP(B259,SYS!$F$5:$G$360,2,FALSE)</f>
        <v>184</v>
      </c>
      <c r="E259" s="21">
        <f>VLOOKUP(C259,SYS!$F$5:$G$360,2,FALSE)</f>
        <v>175</v>
      </c>
      <c r="F259" s="7">
        <v>23</v>
      </c>
      <c r="G259" s="64">
        <f t="shared" si="17"/>
        <v>0.11808722949893974</v>
      </c>
      <c r="H259" s="3">
        <v>-1</v>
      </c>
      <c r="I259" s="3">
        <v>-1</v>
      </c>
      <c r="J259" s="11">
        <v>0</v>
      </c>
      <c r="K259" s="25">
        <f t="shared" si="18"/>
        <v>4.5999999999999999E-3</v>
      </c>
      <c r="L259" s="26">
        <v>2.2170000000000001</v>
      </c>
      <c r="M259" s="26">
        <v>2.2170000000000001</v>
      </c>
      <c r="N259" s="11" t="s">
        <v>620</v>
      </c>
      <c r="O259" s="26" t="str">
        <f>VLOOKUP(TRN!D259,SYS!$G$5:$H$360,2,FALSE)</f>
        <v>東名古屋変電所</v>
      </c>
      <c r="P259" s="26" t="str">
        <f>VLOOKUP(TRN!E259,SYS!$G$5:$H$360,2,FALSE)</f>
        <v>知多火力変電所</v>
      </c>
      <c r="S259" s="1"/>
      <c r="T259" s="88">
        <v>1.0284821408654683</v>
      </c>
      <c r="U259" s="89">
        <v>0.84090964818845726</v>
      </c>
    </row>
    <row r="260" spans="1:21" x14ac:dyDescent="0.2">
      <c r="A260" s="3">
        <v>255</v>
      </c>
      <c r="B260" s="3" t="s">
        <v>1148</v>
      </c>
      <c r="C260" s="3" t="s">
        <v>1091</v>
      </c>
      <c r="D260" s="21">
        <f>VLOOKUP(B260,SYS!$F$5:$G$360,2,FALSE)</f>
        <v>142</v>
      </c>
      <c r="E260" s="21">
        <f>VLOOKUP(C260,SYS!$F$5:$G$360,2,FALSE)</f>
        <v>185</v>
      </c>
      <c r="F260" s="7">
        <v>6</v>
      </c>
      <c r="G260" s="64">
        <f t="shared" si="17"/>
        <v>0.12360688753500917</v>
      </c>
      <c r="H260" s="3">
        <v>-1</v>
      </c>
      <c r="I260" s="3">
        <v>-1</v>
      </c>
      <c r="J260" s="11">
        <v>0</v>
      </c>
      <c r="K260" s="25">
        <f t="shared" si="18"/>
        <v>1.2000000000000001E-3</v>
      </c>
      <c r="L260" s="26">
        <v>2.1179999999999999</v>
      </c>
      <c r="M260" s="26">
        <v>2.1179999999999999</v>
      </c>
      <c r="N260" s="11" t="s">
        <v>621</v>
      </c>
      <c r="O260" s="26" t="str">
        <f>VLOOKUP(TRN!D260,SYS!$G$5:$H$360,2,FALSE)</f>
        <v>新三河変電所</v>
      </c>
      <c r="P260" s="26" t="str">
        <f>VLOOKUP(TRN!E260,SYS!$G$5:$H$360,2,FALSE)</f>
        <v>三河変電所</v>
      </c>
      <c r="S260" s="1"/>
      <c r="T260" s="88">
        <v>1.5289883228243304</v>
      </c>
      <c r="U260" s="89">
        <v>0.95781193512585416</v>
      </c>
    </row>
    <row r="261" spans="1:21" x14ac:dyDescent="0.2">
      <c r="A261" s="3">
        <v>256</v>
      </c>
      <c r="B261" s="3" t="s">
        <v>1091</v>
      </c>
      <c r="C261" s="3" t="s">
        <v>1216</v>
      </c>
      <c r="D261" s="21">
        <f>VLOOKUP(B261,SYS!$F$5:$G$360,2,FALSE)</f>
        <v>185</v>
      </c>
      <c r="E261" s="21">
        <f>VLOOKUP(C261,SYS!$F$5:$G$360,2,FALSE)</f>
        <v>186</v>
      </c>
      <c r="F261" s="7">
        <v>23</v>
      </c>
      <c r="G261" s="64">
        <f t="shared" si="17"/>
        <v>0.15318864119318279</v>
      </c>
      <c r="H261" s="3">
        <v>-1</v>
      </c>
      <c r="I261" s="3">
        <v>-1</v>
      </c>
      <c r="J261" s="11">
        <v>0</v>
      </c>
      <c r="K261" s="25">
        <f t="shared" si="18"/>
        <v>4.5999999999999999E-3</v>
      </c>
      <c r="L261" s="26">
        <v>1.7090000000000001</v>
      </c>
      <c r="M261" s="26">
        <v>1.7090000000000001</v>
      </c>
      <c r="N261" s="11" t="s">
        <v>622</v>
      </c>
      <c r="O261" s="26" t="str">
        <f>VLOOKUP(TRN!D261,SYS!$G$5:$H$360,2,FALSE)</f>
        <v>三河変電所</v>
      </c>
      <c r="P261" s="26" t="str">
        <f>VLOOKUP(TRN!E261,SYS!$G$5:$H$360,2,FALSE)</f>
        <v>額田開閉所</v>
      </c>
      <c r="S261" s="1"/>
      <c r="T261" s="88">
        <v>1.1203511677379594</v>
      </c>
      <c r="U261" s="89">
        <v>1.5052234515065674</v>
      </c>
    </row>
    <row r="262" spans="1:21" x14ac:dyDescent="0.2">
      <c r="A262" s="3">
        <v>257</v>
      </c>
      <c r="B262" s="3" t="s">
        <v>1140</v>
      </c>
      <c r="C262" s="3" t="s">
        <v>1216</v>
      </c>
      <c r="D262" s="21">
        <f>VLOOKUP(B262,SYS!$F$5:$G$360,2,FALSE)</f>
        <v>138</v>
      </c>
      <c r="E262" s="21">
        <f>VLOOKUP(C262,SYS!$F$5:$G$360,2,FALSE)</f>
        <v>186</v>
      </c>
      <c r="F262" s="7">
        <v>19</v>
      </c>
      <c r="G262" s="11">
        <v>9.6560000000000007E-2</v>
      </c>
      <c r="H262" s="3">
        <v>-1</v>
      </c>
      <c r="I262" s="3">
        <v>-1</v>
      </c>
      <c r="J262" s="11">
        <v>0</v>
      </c>
      <c r="K262" s="25">
        <f t="shared" si="18"/>
        <v>3.8E-3</v>
      </c>
      <c r="L262" s="26">
        <v>1.68</v>
      </c>
      <c r="M262" s="26">
        <v>1.68</v>
      </c>
      <c r="N262" s="11" t="s">
        <v>623</v>
      </c>
      <c r="O262" s="26" t="str">
        <f>VLOOKUP(TRN!D262,SYS!$G$5:$H$360,2,FALSE)</f>
        <v>東部変電所</v>
      </c>
      <c r="P262" s="26" t="str">
        <f>VLOOKUP(TRN!E262,SYS!$G$5:$H$360,2,FALSE)</f>
        <v>額田開閉所</v>
      </c>
      <c r="S262" s="1"/>
      <c r="T262" s="88">
        <v>11641.129628032064</v>
      </c>
      <c r="U262" s="89">
        <v>1.5006038076607642</v>
      </c>
    </row>
    <row r="263" spans="1:21" x14ac:dyDescent="0.2">
      <c r="A263" s="3">
        <v>258</v>
      </c>
      <c r="B263" s="3" t="s">
        <v>1216</v>
      </c>
      <c r="C263" s="3" t="s">
        <v>1218</v>
      </c>
      <c r="D263" s="21">
        <f>VLOOKUP(B263,SYS!$F$5:$G$360,2,FALSE)</f>
        <v>186</v>
      </c>
      <c r="E263" s="21">
        <f>VLOOKUP(C263,SYS!$F$5:$G$360,2,FALSE)</f>
        <v>187</v>
      </c>
      <c r="F263" s="7">
        <v>15</v>
      </c>
      <c r="G263" s="11">
        <v>5.7880000000000001E-2</v>
      </c>
      <c r="H263" s="3">
        <v>-1</v>
      </c>
      <c r="I263" s="3">
        <v>-1</v>
      </c>
      <c r="J263" s="11">
        <v>0</v>
      </c>
      <c r="K263" s="25">
        <f t="shared" si="18"/>
        <v>3.0000000000000001E-3</v>
      </c>
      <c r="L263" s="26">
        <v>3.36</v>
      </c>
      <c r="M263" s="26">
        <v>3.36</v>
      </c>
      <c r="N263" s="11" t="s">
        <v>624</v>
      </c>
      <c r="O263" s="26" t="str">
        <f>VLOOKUP(TRN!D263,SYS!$G$5:$H$360,2,FALSE)</f>
        <v>額田開閉所</v>
      </c>
      <c r="P263" s="26" t="str">
        <f>VLOOKUP(TRN!E263,SYS!$G$5:$H$360,2,FALSE)</f>
        <v>幸田変電所</v>
      </c>
      <c r="S263" s="1"/>
      <c r="T263" s="88">
        <v>0.54007319096538531</v>
      </c>
      <c r="U263" s="89">
        <v>0.68593792141543264</v>
      </c>
    </row>
    <row r="264" spans="1:21" x14ac:dyDescent="0.2">
      <c r="A264" s="3">
        <v>259</v>
      </c>
      <c r="B264" s="3" t="s">
        <v>1148</v>
      </c>
      <c r="C264" s="3" t="s">
        <v>1218</v>
      </c>
      <c r="D264" s="21">
        <f>VLOOKUP(B264,SYS!$F$5:$G$360,2,FALSE)</f>
        <v>142</v>
      </c>
      <c r="E264" s="21">
        <f>VLOOKUP(C264,SYS!$F$5:$G$360,2,FALSE)</f>
        <v>187</v>
      </c>
      <c r="F264" s="7">
        <v>26</v>
      </c>
      <c r="G264" s="11">
        <v>0.11007</v>
      </c>
      <c r="H264" s="3">
        <v>-1</v>
      </c>
      <c r="I264" s="3">
        <v>-1</v>
      </c>
      <c r="J264" s="11">
        <v>0</v>
      </c>
      <c r="K264" s="25">
        <f t="shared" si="18"/>
        <v>5.2000000000000006E-3</v>
      </c>
      <c r="L264" s="26">
        <v>2.7149999999999999</v>
      </c>
      <c r="M264" s="26">
        <v>2.7149999999999999</v>
      </c>
      <c r="N264" s="11" t="s">
        <v>625</v>
      </c>
      <c r="O264" s="26" t="str">
        <f>VLOOKUP(TRN!D264,SYS!$G$5:$H$360,2,FALSE)</f>
        <v>新三河変電所</v>
      </c>
      <c r="P264" s="26" t="str">
        <f>VLOOKUP(TRN!E264,SYS!$G$5:$H$360,2,FALSE)</f>
        <v>幸田変電所</v>
      </c>
      <c r="S264" s="1"/>
      <c r="T264" s="88">
        <v>0.69338363288057636</v>
      </c>
      <c r="U264" s="89">
        <v>0.8422338734777467</v>
      </c>
    </row>
    <row r="265" spans="1:21" x14ac:dyDescent="0.2">
      <c r="A265" s="3">
        <v>260</v>
      </c>
      <c r="B265" s="3" t="s">
        <v>1218</v>
      </c>
      <c r="C265" s="3" t="s">
        <v>1546</v>
      </c>
      <c r="D265" s="21">
        <f>VLOOKUP(B265,SYS!$F$5:$G$360,2,FALSE)</f>
        <v>187</v>
      </c>
      <c r="E265" s="21">
        <f>VLOOKUP(C265,SYS!$F$5:$G$360,2,FALSE)</f>
        <v>188</v>
      </c>
      <c r="F265" s="7">
        <v>27</v>
      </c>
      <c r="G265" s="64">
        <f t="shared" si="17"/>
        <v>6.8876450354945912E-2</v>
      </c>
      <c r="H265" s="3">
        <v>-1</v>
      </c>
      <c r="I265" s="3">
        <v>-1</v>
      </c>
      <c r="J265" s="11">
        <v>0</v>
      </c>
      <c r="K265" s="25">
        <f t="shared" si="18"/>
        <v>5.4000000000000003E-3</v>
      </c>
      <c r="L265" s="26">
        <v>3.8010000000000002</v>
      </c>
      <c r="M265" s="26">
        <v>3.8010000000000002</v>
      </c>
      <c r="N265" s="11" t="s">
        <v>626</v>
      </c>
      <c r="O265" s="26" t="str">
        <f>VLOOKUP(TRN!D265,SYS!$G$5:$H$360,2,FALSE)</f>
        <v>幸田変電所</v>
      </c>
      <c r="P265" s="26" t="str">
        <f>VLOOKUP(TRN!E265,SYS!$G$5:$H$360,2,FALSE)</f>
        <v>碧南変電所</v>
      </c>
      <c r="S265" s="1"/>
      <c r="T265" s="88">
        <v>0.46476687984426657</v>
      </c>
      <c r="U265" s="89">
        <v>0.63626551129196962</v>
      </c>
    </row>
    <row r="266" spans="1:21" x14ac:dyDescent="0.2">
      <c r="A266" s="3">
        <v>261</v>
      </c>
      <c r="B266" s="3" t="s">
        <v>1091</v>
      </c>
      <c r="C266" s="3" t="s">
        <v>1222</v>
      </c>
      <c r="D266" s="21">
        <f>VLOOKUP(B266,SYS!$F$5:$G$360,2,FALSE)</f>
        <v>185</v>
      </c>
      <c r="E266" s="21">
        <f>VLOOKUP(C266,SYS!$F$5:$G$360,2,FALSE)</f>
        <v>189</v>
      </c>
      <c r="F266" s="7">
        <v>17</v>
      </c>
      <c r="G266" s="64">
        <f t="shared" si="17"/>
        <v>0.10368292586104927</v>
      </c>
      <c r="H266" s="3">
        <v>-1</v>
      </c>
      <c r="I266" s="3">
        <v>-1</v>
      </c>
      <c r="J266" s="11">
        <v>0</v>
      </c>
      <c r="K266" s="25">
        <f t="shared" si="18"/>
        <v>3.4000000000000002E-3</v>
      </c>
      <c r="L266" s="26">
        <v>2.5249999999999999</v>
      </c>
      <c r="M266" s="26">
        <v>2.5249999999999999</v>
      </c>
      <c r="N266" s="11" t="s">
        <v>627</v>
      </c>
      <c r="O266" s="26" t="str">
        <f>VLOOKUP(TRN!D266,SYS!$G$5:$H$360,2,FALSE)</f>
        <v>三河変電所</v>
      </c>
      <c r="P266" s="26" t="str">
        <f>VLOOKUP(TRN!E266,SYS!$G$5:$H$360,2,FALSE)</f>
        <v>湖西変電所</v>
      </c>
      <c r="S266" s="1"/>
      <c r="T266" s="88">
        <v>1.6306352143051068</v>
      </c>
      <c r="U266" s="89">
        <v>0.73900258984087108</v>
      </c>
    </row>
    <row r="267" spans="1:21" x14ac:dyDescent="0.2">
      <c r="A267" s="3">
        <v>262</v>
      </c>
      <c r="B267" s="3" t="s">
        <v>1222</v>
      </c>
      <c r="C267" s="3" t="s">
        <v>1224</v>
      </c>
      <c r="D267" s="21">
        <f>VLOOKUP(B267,SYS!$F$5:$G$360,2,FALSE)</f>
        <v>189</v>
      </c>
      <c r="E267" s="21">
        <f>VLOOKUP(C267,SYS!$F$5:$G$360,2,FALSE)</f>
        <v>190</v>
      </c>
      <c r="F267" s="7">
        <v>20</v>
      </c>
      <c r="G267" s="64">
        <f t="shared" si="17"/>
        <v>0.10119806254315786</v>
      </c>
      <c r="H267" s="3">
        <v>-1</v>
      </c>
      <c r="I267" s="3">
        <v>-1</v>
      </c>
      <c r="J267" s="11">
        <v>0</v>
      </c>
      <c r="K267" s="25">
        <f t="shared" si="18"/>
        <v>4.0000000000000001E-3</v>
      </c>
      <c r="L267" s="26">
        <v>2.5870000000000002</v>
      </c>
      <c r="M267" s="26">
        <v>2.5870000000000002</v>
      </c>
      <c r="N267" s="11" t="s">
        <v>628</v>
      </c>
      <c r="O267" s="26" t="str">
        <f>VLOOKUP(TRN!D267,SYS!$G$5:$H$360,2,FALSE)</f>
        <v>湖西変電所</v>
      </c>
      <c r="P267" s="26" t="str">
        <f>VLOOKUP(TRN!E267,SYS!$G$5:$H$360,2,FALSE)</f>
        <v>田原変電所</v>
      </c>
      <c r="S267" s="1"/>
      <c r="T267" s="88">
        <v>1.0316409207619863</v>
      </c>
      <c r="U267" s="89">
        <v>0.69294310144636495</v>
      </c>
    </row>
    <row r="268" spans="1:21" x14ac:dyDescent="0.2">
      <c r="A268" s="3">
        <v>263</v>
      </c>
      <c r="B268" s="3" t="s">
        <v>1091</v>
      </c>
      <c r="C268" s="3" t="s">
        <v>1226</v>
      </c>
      <c r="D268" s="21">
        <f>VLOOKUP(B268,SYS!$F$5:$G$360,2,FALSE)</f>
        <v>185</v>
      </c>
      <c r="E268" s="21">
        <f>VLOOKUP(C268,SYS!$F$5:$G$360,2,FALSE)</f>
        <v>191</v>
      </c>
      <c r="F268" s="7">
        <v>32</v>
      </c>
      <c r="G268" s="64">
        <f t="shared" ref="G268:G277" si="19">$L$2/L268</f>
        <v>0.34177465770123944</v>
      </c>
      <c r="H268" s="3">
        <v>-1</v>
      </c>
      <c r="I268" s="3">
        <v>-1</v>
      </c>
      <c r="J268" s="11">
        <v>0</v>
      </c>
      <c r="K268" s="25">
        <f t="shared" si="18"/>
        <v>6.4000000000000003E-3</v>
      </c>
      <c r="L268" s="26">
        <v>0.76600000000000001</v>
      </c>
      <c r="M268" s="26">
        <v>0.76600000000000001</v>
      </c>
      <c r="N268" s="11" t="s">
        <v>629</v>
      </c>
      <c r="O268" s="26" t="str">
        <f>VLOOKUP(TRN!D268,SYS!$G$5:$H$360,2,FALSE)</f>
        <v>三河変電所</v>
      </c>
      <c r="P268" s="26" t="str">
        <f>VLOOKUP(TRN!E268,SYS!$G$5:$H$360,2,FALSE)</f>
        <v>遠江変電所</v>
      </c>
      <c r="S268" s="1"/>
      <c r="T268" s="88">
        <v>6803.0819878071352</v>
      </c>
      <c r="U268" s="89">
        <v>1.9416071937753256</v>
      </c>
    </row>
    <row r="269" spans="1:21" x14ac:dyDescent="0.2">
      <c r="A269" s="3">
        <v>264</v>
      </c>
      <c r="B269" s="3" t="s">
        <v>1152</v>
      </c>
      <c r="C269" s="3" t="s">
        <v>1226</v>
      </c>
      <c r="D269" s="21">
        <f>VLOOKUP(B269,SYS!$F$5:$G$360,2,FALSE)</f>
        <v>145</v>
      </c>
      <c r="E269" s="21">
        <f>VLOOKUP(C269,SYS!$F$5:$G$360,2,FALSE)</f>
        <v>191</v>
      </c>
      <c r="F269" s="7">
        <v>45</v>
      </c>
      <c r="G269" s="11">
        <v>3.0009999999999998E-2</v>
      </c>
      <c r="H269" s="3">
        <v>-1</v>
      </c>
      <c r="I269" s="3">
        <v>-1</v>
      </c>
      <c r="J269" s="11">
        <v>0</v>
      </c>
      <c r="K269" s="25">
        <f t="shared" si="18"/>
        <v>9.0000000000000011E-3</v>
      </c>
      <c r="L269" s="32">
        <v>1.532</v>
      </c>
      <c r="M269" s="32">
        <v>1.532</v>
      </c>
      <c r="N269" s="11" t="s">
        <v>630</v>
      </c>
      <c r="O269" s="26" t="str">
        <f>VLOOKUP(TRN!D269,SYS!$G$5:$H$360,2,FALSE)</f>
        <v>駿遠変電所</v>
      </c>
      <c r="P269" s="26" t="str">
        <f>VLOOKUP(TRN!E269,SYS!$G$5:$H$360,2,FALSE)</f>
        <v>遠江変電所</v>
      </c>
      <c r="Q269" s="26">
        <v>0.76600000000000001</v>
      </c>
      <c r="S269" s="1"/>
      <c r="T269" s="88">
        <v>0.98018850025026727</v>
      </c>
      <c r="U269" s="89">
        <v>2.5355906591303037</v>
      </c>
    </row>
    <row r="270" spans="1:21" x14ac:dyDescent="0.2">
      <c r="A270" s="3">
        <v>265</v>
      </c>
      <c r="B270" s="3" t="s">
        <v>1152</v>
      </c>
      <c r="C270" s="3" t="s">
        <v>1228</v>
      </c>
      <c r="D270" s="21">
        <f>VLOOKUP(B270,SYS!$F$5:$G$360,2,FALSE)</f>
        <v>145</v>
      </c>
      <c r="E270" s="21">
        <f>VLOOKUP(C270,SYS!$F$5:$G$360,2,FALSE)</f>
        <v>192</v>
      </c>
      <c r="F270" s="7">
        <v>24</v>
      </c>
      <c r="G270" s="64">
        <f t="shared" si="19"/>
        <v>8.3749004414315237E-2</v>
      </c>
      <c r="H270" s="3">
        <v>-1</v>
      </c>
      <c r="I270" s="3">
        <v>-1</v>
      </c>
      <c r="J270" s="11">
        <v>0</v>
      </c>
      <c r="K270" s="25">
        <f t="shared" si="18"/>
        <v>4.8000000000000004E-3</v>
      </c>
      <c r="L270" s="32">
        <v>3.1259999999999999</v>
      </c>
      <c r="M270" s="32">
        <v>3.1259999999999999</v>
      </c>
      <c r="N270" s="11" t="s">
        <v>631</v>
      </c>
      <c r="O270" s="26" t="str">
        <f>VLOOKUP(TRN!D270,SYS!$G$5:$H$360,2,FALSE)</f>
        <v>駿遠変電所</v>
      </c>
      <c r="P270" s="26" t="str">
        <f>VLOOKUP(TRN!E270,SYS!$G$5:$H$360,2,FALSE)</f>
        <v>浜岡原子力</v>
      </c>
      <c r="Q270" s="26">
        <v>1.5629999999999999</v>
      </c>
      <c r="S270" s="1"/>
      <c r="T270" s="88">
        <v>3.873540612942354</v>
      </c>
      <c r="U270" s="89">
        <v>0.35886022553665831</v>
      </c>
    </row>
    <row r="271" spans="1:21" x14ac:dyDescent="0.2">
      <c r="A271" s="3">
        <v>266</v>
      </c>
      <c r="B271" s="3" t="s">
        <v>1228</v>
      </c>
      <c r="C271" s="3" t="s">
        <v>1230</v>
      </c>
      <c r="D271" s="21">
        <f>VLOOKUP(B271,SYS!$F$5:$G$360,2,FALSE)</f>
        <v>192</v>
      </c>
      <c r="E271" s="21">
        <f>VLOOKUP(C271,SYS!$F$5:$G$360,2,FALSE)</f>
        <v>193</v>
      </c>
      <c r="F271" s="7">
        <v>0</v>
      </c>
      <c r="G271" s="64">
        <f t="shared" si="19"/>
        <v>0.51033019064161678</v>
      </c>
      <c r="H271" s="3">
        <v>-1</v>
      </c>
      <c r="I271" s="3">
        <v>-1</v>
      </c>
      <c r="J271" s="11">
        <v>0</v>
      </c>
      <c r="K271" s="25">
        <f t="shared" si="18"/>
        <v>0</v>
      </c>
      <c r="L271" s="26">
        <v>0.51300000000000001</v>
      </c>
      <c r="M271" s="26">
        <v>0.51300000000000001</v>
      </c>
      <c r="N271" s="11" t="s">
        <v>632</v>
      </c>
      <c r="O271" s="26" t="str">
        <f>VLOOKUP(TRN!D271,SYS!$G$5:$H$360,2,FALSE)</f>
        <v>浜岡原子力</v>
      </c>
      <c r="P271" s="26" t="str">
        <f>VLOOKUP(TRN!E271,SYS!$G$5:$H$360,2,FALSE)</f>
        <v>新佐倉変電所</v>
      </c>
      <c r="S271" s="1"/>
      <c r="T271" s="88">
        <v>6.0674131550481336</v>
      </c>
      <c r="U271" s="89">
        <v>4.6468802433923493</v>
      </c>
    </row>
    <row r="272" spans="1:21" x14ac:dyDescent="0.2">
      <c r="A272" s="3">
        <v>267</v>
      </c>
      <c r="B272" s="3" t="s">
        <v>1152</v>
      </c>
      <c r="C272" s="3" t="s">
        <v>1232</v>
      </c>
      <c r="D272" s="21">
        <f>VLOOKUP(B272,SYS!$F$5:$G$360,2,FALSE)</f>
        <v>145</v>
      </c>
      <c r="E272" s="21">
        <f>VLOOKUP(C272,SYS!$F$5:$G$360,2,FALSE)</f>
        <v>194</v>
      </c>
      <c r="F272" s="7">
        <v>44</v>
      </c>
      <c r="G272" s="64">
        <f t="shared" si="19"/>
        <v>0.19292511996989639</v>
      </c>
      <c r="H272" s="3">
        <v>-1</v>
      </c>
      <c r="I272" s="3">
        <v>-1</v>
      </c>
      <c r="J272" s="11">
        <v>0</v>
      </c>
      <c r="K272" s="25">
        <f t="shared" si="18"/>
        <v>8.8000000000000005E-3</v>
      </c>
      <c r="L272" s="26">
        <v>1.357</v>
      </c>
      <c r="M272" s="26">
        <v>1.357</v>
      </c>
      <c r="N272" s="11" t="s">
        <v>633</v>
      </c>
      <c r="O272" s="26" t="str">
        <f>VLOOKUP(TRN!D272,SYS!$G$5:$H$360,2,FALSE)</f>
        <v>駿遠変電所</v>
      </c>
      <c r="P272" s="26" t="str">
        <f>VLOOKUP(TRN!E272,SYS!$G$5:$H$360,2,FALSE)</f>
        <v>駿河変電所</v>
      </c>
      <c r="S272" s="1"/>
      <c r="T272" s="88">
        <v>1446.9346093079746</v>
      </c>
      <c r="U272" s="89">
        <v>2.3692235708720322</v>
      </c>
    </row>
    <row r="273" spans="1:21" x14ac:dyDescent="0.2">
      <c r="A273" s="3">
        <v>268</v>
      </c>
      <c r="B273" s="3" t="s">
        <v>1232</v>
      </c>
      <c r="C273" s="3" t="s">
        <v>1234</v>
      </c>
      <c r="D273" s="21">
        <f>VLOOKUP(B273,SYS!$F$5:$G$360,2,FALSE)</f>
        <v>194</v>
      </c>
      <c r="E273" s="21">
        <f>VLOOKUP(C273,SYS!$F$5:$G$360,2,FALSE)</f>
        <v>195</v>
      </c>
      <c r="F273" s="7">
        <v>16</v>
      </c>
      <c r="G273" s="64">
        <f t="shared" si="19"/>
        <v>0.21441391302141638</v>
      </c>
      <c r="H273" s="3">
        <v>-1</v>
      </c>
      <c r="I273" s="3">
        <v>-1</v>
      </c>
      <c r="J273" s="11">
        <v>0</v>
      </c>
      <c r="K273" s="25">
        <f t="shared" si="18"/>
        <v>3.2000000000000002E-3</v>
      </c>
      <c r="L273" s="26">
        <v>1.2210000000000001</v>
      </c>
      <c r="M273" s="26">
        <v>1.2210000000000001</v>
      </c>
      <c r="N273" s="11" t="s">
        <v>634</v>
      </c>
      <c r="O273" s="26" t="str">
        <f>VLOOKUP(TRN!D273,SYS!$G$5:$H$360,2,FALSE)</f>
        <v>駿河変電所</v>
      </c>
      <c r="P273" s="26" t="str">
        <f>VLOOKUP(TRN!E273,SYS!$G$5:$H$360,2,FALSE)</f>
        <v>東清水変電所</v>
      </c>
      <c r="S273" s="1"/>
      <c r="T273" s="88">
        <v>1.6114880494875565</v>
      </c>
      <c r="U273" s="89">
        <v>2.9864922825905955</v>
      </c>
    </row>
    <row r="274" spans="1:21" x14ac:dyDescent="0.2">
      <c r="A274" s="3">
        <v>269</v>
      </c>
      <c r="B274" s="3" t="s">
        <v>1174</v>
      </c>
      <c r="C274" s="3" t="s">
        <v>1176</v>
      </c>
      <c r="D274" s="21">
        <f>VLOOKUP(B274,SYS!$F$5:$G$360,2,FALSE)</f>
        <v>157</v>
      </c>
      <c r="E274" s="21">
        <f>VLOOKUP(C274,SYS!$F$5:$G$360,2,FALSE)</f>
        <v>158</v>
      </c>
      <c r="F274" s="7">
        <v>3</v>
      </c>
      <c r="G274" s="64">
        <f t="shared" si="19"/>
        <v>0.30799927976370517</v>
      </c>
      <c r="H274" s="3">
        <v>-1</v>
      </c>
      <c r="I274" s="3">
        <v>-1</v>
      </c>
      <c r="J274" s="11">
        <v>0</v>
      </c>
      <c r="K274" s="25">
        <f t="shared" si="18"/>
        <v>6.0000000000000006E-4</v>
      </c>
      <c r="L274" s="26">
        <v>0.85</v>
      </c>
      <c r="M274" s="26">
        <v>0.85</v>
      </c>
      <c r="N274" s="11" t="s">
        <v>635</v>
      </c>
      <c r="O274" s="26" t="str">
        <f>VLOOKUP(TRN!D274,SYS!$G$5:$H$360,2,FALSE)</f>
        <v>牛島町変電所</v>
      </c>
      <c r="P274" s="26" t="str">
        <f>VLOOKUP(TRN!E274,SYS!$G$5:$H$360,2,FALSE)</f>
        <v>名城変電所</v>
      </c>
      <c r="S274" s="1"/>
      <c r="T274" s="88">
        <v>1.730820570489122</v>
      </c>
      <c r="U274" s="89">
        <v>6.631756296908776</v>
      </c>
    </row>
    <row r="275" spans="1:21" x14ac:dyDescent="0.2">
      <c r="A275" s="3">
        <v>270</v>
      </c>
      <c r="B275" s="3" t="s">
        <v>1236</v>
      </c>
      <c r="C275" s="3" t="s">
        <v>1154</v>
      </c>
      <c r="D275" s="21">
        <f>VLOOKUP(B275,SYS!$F$5:$G$360,2,FALSE)</f>
        <v>196</v>
      </c>
      <c r="E275" s="21">
        <f>VLOOKUP(C275,SYS!$F$5:$G$360,2,FALSE)</f>
        <v>146</v>
      </c>
      <c r="F275" s="7">
        <v>2</v>
      </c>
      <c r="G275" s="64">
        <f t="shared" si="19"/>
        <v>5.2255366826177527E-2</v>
      </c>
      <c r="H275" s="3">
        <v>-1</v>
      </c>
      <c r="I275" s="3">
        <v>-1</v>
      </c>
      <c r="J275" s="11">
        <v>0</v>
      </c>
      <c r="K275" s="25">
        <f t="shared" si="18"/>
        <v>4.0000000000000002E-4</v>
      </c>
      <c r="L275" s="26">
        <v>5.01</v>
      </c>
      <c r="M275" s="26">
        <v>5.01</v>
      </c>
      <c r="N275" s="11" t="s">
        <v>636</v>
      </c>
      <c r="O275" s="26" t="str">
        <f>VLOOKUP(TRN!D275,SYS!$G$5:$H$360,2,FALSE)</f>
        <v>静岡東分岐点</v>
      </c>
      <c r="P275" s="26" t="str">
        <f>VLOOKUP(TRN!E275,SYS!$G$5:$H$360,2,FALSE)</f>
        <v>静岡変電所</v>
      </c>
      <c r="S275" s="1"/>
      <c r="T275" s="88">
        <v>0.38068766126148224</v>
      </c>
      <c r="U275" s="89">
        <v>0.41910129002197799</v>
      </c>
    </row>
    <row r="276" spans="1:21" x14ac:dyDescent="0.2">
      <c r="A276" s="3">
        <v>271</v>
      </c>
      <c r="B276" s="3" t="s">
        <v>1238</v>
      </c>
      <c r="C276" s="3" t="s">
        <v>1154</v>
      </c>
      <c r="D276" s="21">
        <f>VLOOKUP(B276,SYS!$F$5:$G$360,2,FALSE)</f>
        <v>197</v>
      </c>
      <c r="E276" s="21">
        <f>VLOOKUP(C276,SYS!$F$5:$G$360,2,FALSE)</f>
        <v>146</v>
      </c>
      <c r="F276" s="7">
        <v>3</v>
      </c>
      <c r="G276" s="11">
        <v>1.2970000000000001E-2</v>
      </c>
      <c r="H276" s="3">
        <v>-1</v>
      </c>
      <c r="I276" s="3">
        <v>-1</v>
      </c>
      <c r="J276" s="11">
        <v>0</v>
      </c>
      <c r="K276" s="25">
        <f t="shared" si="18"/>
        <v>6.0000000000000006E-4</v>
      </c>
      <c r="L276" s="26">
        <v>5.01</v>
      </c>
      <c r="M276" s="26">
        <v>5.01</v>
      </c>
      <c r="N276" s="11" t="s">
        <v>637</v>
      </c>
      <c r="O276" s="26" t="str">
        <f>VLOOKUP(TRN!D276,SYS!$G$5:$H$360,2,FALSE)</f>
        <v>静岡西分岐点</v>
      </c>
      <c r="P276" s="26" t="str">
        <f>VLOOKUP(TRN!E276,SYS!$G$5:$H$360,2,FALSE)</f>
        <v>静岡変電所</v>
      </c>
      <c r="S276" s="1"/>
      <c r="T276" s="88">
        <v>0.37851441449726142</v>
      </c>
      <c r="U276" s="89">
        <v>0.42229824826755302</v>
      </c>
    </row>
    <row r="277" spans="1:21" x14ac:dyDescent="0.2">
      <c r="A277" s="3">
        <v>272</v>
      </c>
      <c r="B277" s="3" t="s">
        <v>1240</v>
      </c>
      <c r="C277" s="3" t="s">
        <v>1534</v>
      </c>
      <c r="D277" s="21">
        <f>VLOOKUP(B277,SYS!$F$5:$G$360,2,FALSE)</f>
        <v>198</v>
      </c>
      <c r="E277" s="21">
        <f>VLOOKUP(C277,SYS!$F$5:$G$360,2,FALSE)</f>
        <v>139</v>
      </c>
      <c r="F277" s="7">
        <v>55</v>
      </c>
      <c r="G277" s="64">
        <f t="shared" si="19"/>
        <v>5.3038773865305797E-2</v>
      </c>
      <c r="H277" s="3">
        <v>-1</v>
      </c>
      <c r="I277" s="3">
        <v>-1</v>
      </c>
      <c r="J277" s="11">
        <v>0</v>
      </c>
      <c r="K277" s="25">
        <f t="shared" si="18"/>
        <v>1.1000000000000001E-2</v>
      </c>
      <c r="L277" s="26">
        <v>4.9359999999999999</v>
      </c>
      <c r="M277" s="26">
        <v>4.9359999999999999</v>
      </c>
      <c r="N277" s="11" t="s">
        <v>638</v>
      </c>
      <c r="O277" s="26" t="str">
        <f>VLOOKUP(TRN!D277,SYS!$G$5:$H$360,2,FALSE)</f>
        <v>飛騨変換所</v>
      </c>
      <c r="P277" s="26" t="str">
        <f>VLOOKUP(TRN!E277,SYS!$G$5:$H$360,2,FALSE)</f>
        <v>南福光連係所</v>
      </c>
      <c r="S277" s="1"/>
      <c r="T277" s="88">
        <v>0.43175132680270795</v>
      </c>
      <c r="U277" s="89">
        <v>0.38021047534263691</v>
      </c>
    </row>
    <row r="278" spans="1:21" x14ac:dyDescent="0.2">
      <c r="A278" s="3">
        <v>273</v>
      </c>
      <c r="B278" s="3" t="s">
        <v>1242</v>
      </c>
      <c r="C278" s="3" t="s">
        <v>1244</v>
      </c>
      <c r="D278" s="21">
        <f>VLOOKUP(B278,SYS!$F$5:$G$360,2,FALSE)</f>
        <v>199</v>
      </c>
      <c r="E278" s="21">
        <f>VLOOKUP(C278,SYS!$F$5:$G$360,2,FALSE)</f>
        <v>200</v>
      </c>
      <c r="F278" s="7">
        <v>70</v>
      </c>
      <c r="G278" s="11">
        <v>9.5799999999999996E-2</v>
      </c>
      <c r="H278" s="3">
        <v>-1</v>
      </c>
      <c r="I278" s="3">
        <v>-1</v>
      </c>
      <c r="J278" s="11">
        <v>0</v>
      </c>
      <c r="K278" s="25">
        <f t="shared" si="18"/>
        <v>1.4E-2</v>
      </c>
      <c r="L278" s="26">
        <v>4.5410000000000004</v>
      </c>
      <c r="M278" s="26">
        <v>4.5410000000000004</v>
      </c>
      <c r="N278" s="11" t="s">
        <v>639</v>
      </c>
      <c r="O278" s="26" t="str">
        <f>VLOOKUP(TRN!D278,SYS!$G$5:$H$360,2,FALSE)</f>
        <v>越前変電所</v>
      </c>
      <c r="P278" s="26" t="str">
        <f>VLOOKUP(TRN!E278,SYS!$G$5:$H$360,2,FALSE)</f>
        <v>加賀変電所</v>
      </c>
      <c r="S278" s="1"/>
      <c r="T278" s="88">
        <v>0.52837619313026496</v>
      </c>
      <c r="U278" s="89">
        <v>0.44578059627925903</v>
      </c>
    </row>
    <row r="279" spans="1:21" x14ac:dyDescent="0.2">
      <c r="A279" s="3">
        <v>274</v>
      </c>
      <c r="B279" s="3" t="s">
        <v>1244</v>
      </c>
      <c r="C279" s="3" t="s">
        <v>1246</v>
      </c>
      <c r="D279" s="21">
        <f>VLOOKUP(B279,SYS!$F$5:$G$360,2,FALSE)</f>
        <v>200</v>
      </c>
      <c r="E279" s="21">
        <f>VLOOKUP(C279,SYS!$F$5:$G$360,2,FALSE)</f>
        <v>201</v>
      </c>
      <c r="F279" s="7">
        <v>61</v>
      </c>
      <c r="G279" s="11">
        <v>8.1299999999999997E-2</v>
      </c>
      <c r="H279" s="3">
        <v>-1</v>
      </c>
      <c r="I279" s="3">
        <v>-1</v>
      </c>
      <c r="J279" s="11">
        <v>0</v>
      </c>
      <c r="K279" s="25">
        <f t="shared" ref="K279:K343" si="20">F279*0.0002</f>
        <v>1.2200000000000001E-2</v>
      </c>
      <c r="L279" s="26">
        <v>5.2649999999999997</v>
      </c>
      <c r="M279" s="26">
        <v>5.2649999999999997</v>
      </c>
      <c r="N279" s="11" t="s">
        <v>640</v>
      </c>
      <c r="O279" s="26" t="str">
        <f>VLOOKUP(TRN!D279,SYS!$G$5:$H$360,2,FALSE)</f>
        <v>加賀変電所</v>
      </c>
      <c r="P279" s="26" t="str">
        <f>VLOOKUP(TRN!E279,SYS!$G$5:$H$360,2,FALSE)</f>
        <v>中能登変電所</v>
      </c>
      <c r="S279" s="1"/>
      <c r="T279" s="88">
        <v>0.47617539545501247</v>
      </c>
      <c r="U279" s="89">
        <v>0.31541316140020109</v>
      </c>
    </row>
    <row r="280" spans="1:21" x14ac:dyDescent="0.2">
      <c r="A280" s="3">
        <v>275</v>
      </c>
      <c r="B280" s="3" t="s">
        <v>1142</v>
      </c>
      <c r="C280" s="3" t="s">
        <v>1246</v>
      </c>
      <c r="D280" s="21">
        <f>VLOOKUP(B280,SYS!$F$5:$G$360,2,FALSE)</f>
        <v>202</v>
      </c>
      <c r="E280" s="21">
        <f>VLOOKUP(C280,SYS!$F$5:$G$360,2,FALSE)</f>
        <v>201</v>
      </c>
      <c r="F280" s="7">
        <v>69</v>
      </c>
      <c r="G280" s="11">
        <v>9.74E-2</v>
      </c>
      <c r="H280" s="3">
        <v>-1</v>
      </c>
      <c r="I280" s="3">
        <v>-1</v>
      </c>
      <c r="J280" s="11">
        <v>0</v>
      </c>
      <c r="K280" s="25">
        <f t="shared" si="20"/>
        <v>1.3800000000000002E-2</v>
      </c>
      <c r="L280" s="26">
        <v>5.2649999999999997</v>
      </c>
      <c r="M280" s="26">
        <v>5.2649999999999997</v>
      </c>
      <c r="N280" s="11" t="s">
        <v>641</v>
      </c>
      <c r="O280" s="26" t="str">
        <f>VLOOKUP(TRN!D280,SYS!$G$5:$H$360,2,FALSE)</f>
        <v>南福光変電所</v>
      </c>
      <c r="P280" s="26" t="str">
        <f>VLOOKUP(TRN!E280,SYS!$G$5:$H$360,2,FALSE)</f>
        <v>中能登変電所</v>
      </c>
      <c r="S280" s="1"/>
      <c r="T280" s="88">
        <v>0.44726774646485651</v>
      </c>
      <c r="U280" s="89">
        <v>0.32800762856635723</v>
      </c>
    </row>
    <row r="281" spans="1:21" x14ac:dyDescent="0.2">
      <c r="A281" s="3">
        <v>276</v>
      </c>
      <c r="B281" s="3" t="s">
        <v>1244</v>
      </c>
      <c r="C281" s="3" t="s">
        <v>1142</v>
      </c>
      <c r="D281" s="21">
        <f>VLOOKUP(B281,SYS!$F$5:$G$360,2,FALSE)</f>
        <v>200</v>
      </c>
      <c r="E281" s="21">
        <f>VLOOKUP(C281,SYS!$F$5:$G$360,2,FALSE)</f>
        <v>202</v>
      </c>
      <c r="F281" s="7">
        <v>13</v>
      </c>
      <c r="G281" s="11">
        <v>1.67E-2</v>
      </c>
      <c r="H281" s="3">
        <v>-1</v>
      </c>
      <c r="I281" s="3">
        <v>-1</v>
      </c>
      <c r="J281" s="11">
        <v>0</v>
      </c>
      <c r="K281" s="25">
        <f t="shared" si="20"/>
        <v>2.6000000000000003E-3</v>
      </c>
      <c r="L281" s="26">
        <v>5.2649999999999997</v>
      </c>
      <c r="M281" s="26">
        <v>5.2649999999999997</v>
      </c>
      <c r="N281" s="11" t="s">
        <v>642</v>
      </c>
      <c r="O281" s="26" t="str">
        <f>VLOOKUP(TRN!D281,SYS!$G$5:$H$360,2,FALSE)</f>
        <v>加賀変電所</v>
      </c>
      <c r="P281" s="26" t="str">
        <f>VLOOKUP(TRN!E281,SYS!$G$5:$H$360,2,FALSE)</f>
        <v>南福光変電所</v>
      </c>
      <c r="S281" s="1"/>
      <c r="T281" s="88">
        <v>0.41511585663577449</v>
      </c>
      <c r="U281" s="89">
        <v>0.34971260248087399</v>
      </c>
    </row>
    <row r="282" spans="1:21" x14ac:dyDescent="0.2">
      <c r="A282" s="3">
        <v>277</v>
      </c>
      <c r="B282" s="3" t="s">
        <v>1244</v>
      </c>
      <c r="C282" s="3" t="s">
        <v>1248</v>
      </c>
      <c r="D282" s="21">
        <f>VLOOKUP(B282,SYS!$F$5:$G$360,2,FALSE)</f>
        <v>200</v>
      </c>
      <c r="E282" s="21">
        <f>VLOOKUP(C282,SYS!$F$5:$G$360,2,FALSE)</f>
        <v>203</v>
      </c>
      <c r="F282" s="7">
        <v>57</v>
      </c>
      <c r="G282" s="11">
        <v>0.28842000000000001</v>
      </c>
      <c r="H282" s="3">
        <v>-1</v>
      </c>
      <c r="I282" s="3">
        <v>-1</v>
      </c>
      <c r="J282" s="11">
        <v>0</v>
      </c>
      <c r="K282" s="25">
        <f t="shared" si="20"/>
        <v>1.14E-2</v>
      </c>
      <c r="L282" s="26">
        <v>1.04</v>
      </c>
      <c r="M282" s="26">
        <v>1.04</v>
      </c>
      <c r="N282" s="11" t="s">
        <v>643</v>
      </c>
      <c r="O282" s="26" t="str">
        <f>VLOOKUP(TRN!D282,SYS!$G$5:$H$360,2,FALSE)</f>
        <v>加賀変電所</v>
      </c>
      <c r="P282" s="26" t="str">
        <f>VLOOKUP(TRN!E282,SYS!$G$5:$H$360,2,FALSE)</f>
        <v>東金津変電所</v>
      </c>
      <c r="S282" s="1"/>
      <c r="T282" s="88">
        <v>8598.8590537156379</v>
      </c>
      <c r="U282" s="89">
        <v>2.2773085940578883</v>
      </c>
    </row>
    <row r="283" spans="1:21" x14ac:dyDescent="0.2">
      <c r="A283" s="3">
        <v>278</v>
      </c>
      <c r="B283" s="3" t="s">
        <v>1248</v>
      </c>
      <c r="C283" s="3" t="s">
        <v>989</v>
      </c>
      <c r="D283" s="21">
        <f>VLOOKUP(B283,SYS!$F$5:$G$360,2,FALSE)</f>
        <v>203</v>
      </c>
      <c r="E283" s="21">
        <f>VLOOKUP(C283,SYS!$F$5:$G$360,2,FALSE)</f>
        <v>204</v>
      </c>
      <c r="F283" s="7">
        <v>10</v>
      </c>
      <c r="G283" s="11">
        <v>5.0220000000000001E-2</v>
      </c>
      <c r="H283" s="3">
        <v>-1</v>
      </c>
      <c r="I283" s="3">
        <v>-1</v>
      </c>
      <c r="J283" s="11">
        <v>0</v>
      </c>
      <c r="K283" s="25">
        <f t="shared" si="20"/>
        <v>2E-3</v>
      </c>
      <c r="L283" s="26">
        <v>1.04</v>
      </c>
      <c r="M283" s="26">
        <v>1.04</v>
      </c>
      <c r="N283" s="11" t="s">
        <v>644</v>
      </c>
      <c r="O283" s="26" t="str">
        <f>VLOOKUP(TRN!D283,SYS!$G$5:$H$360,2,FALSE)</f>
        <v>東金津変電所</v>
      </c>
      <c r="P283" s="26" t="str">
        <f>VLOOKUP(TRN!E283,SYS!$G$5:$H$360,2,FALSE)</f>
        <v>新福井変電所</v>
      </c>
      <c r="S283" s="1"/>
      <c r="T283" s="88">
        <v>1.8853184026003464</v>
      </c>
      <c r="U283" s="89">
        <v>2.2034546126879042</v>
      </c>
    </row>
    <row r="284" spans="1:21" x14ac:dyDescent="0.2">
      <c r="A284" s="3">
        <v>279</v>
      </c>
      <c r="B284" s="3" t="s">
        <v>1242</v>
      </c>
      <c r="C284" s="3" t="s">
        <v>989</v>
      </c>
      <c r="D284" s="21">
        <f>VLOOKUP(B284,SYS!$F$5:$G$360,2,FALSE)</f>
        <v>199</v>
      </c>
      <c r="E284" s="21">
        <f>VLOOKUP(C284,SYS!$F$5:$G$360,2,FALSE)</f>
        <v>204</v>
      </c>
      <c r="F284" s="7">
        <v>21</v>
      </c>
      <c r="G284" s="11">
        <v>0.1057</v>
      </c>
      <c r="H284" s="3">
        <v>-1</v>
      </c>
      <c r="I284" s="3">
        <v>-1</v>
      </c>
      <c r="J284" s="11">
        <v>0</v>
      </c>
      <c r="K284" s="25">
        <f t="shared" si="20"/>
        <v>4.2000000000000006E-3</v>
      </c>
      <c r="L284" s="26">
        <v>1.4470000000000001</v>
      </c>
      <c r="M284" s="26">
        <v>1.4470000000000001</v>
      </c>
      <c r="N284" s="11" t="s">
        <v>645</v>
      </c>
      <c r="O284" s="26" t="str">
        <f>VLOOKUP(TRN!D284,SYS!$G$5:$H$360,2,FALSE)</f>
        <v>越前変電所</v>
      </c>
      <c r="P284" s="26" t="str">
        <f>VLOOKUP(TRN!E284,SYS!$G$5:$H$360,2,FALSE)</f>
        <v>新福井変電所</v>
      </c>
      <c r="S284" s="1"/>
      <c r="T284" s="88">
        <v>2.0016444066911738</v>
      </c>
      <c r="U284" s="89">
        <v>1.1594463352696287</v>
      </c>
    </row>
    <row r="285" spans="1:21" x14ac:dyDescent="0.2">
      <c r="A285" s="3">
        <v>280</v>
      </c>
      <c r="B285" s="3" t="s">
        <v>1244</v>
      </c>
      <c r="C285" s="3" t="s">
        <v>1250</v>
      </c>
      <c r="D285" s="21">
        <f>VLOOKUP(B285,SYS!$F$5:$G$360,2,FALSE)</f>
        <v>200</v>
      </c>
      <c r="E285" s="21">
        <f>VLOOKUP(C285,SYS!$F$5:$G$360,2,FALSE)</f>
        <v>205</v>
      </c>
      <c r="F285" s="7">
        <v>25</v>
      </c>
      <c r="G285" s="64">
        <f t="shared" ref="G285:G339" si="21">$L$2/L285</f>
        <v>0.19833286954481014</v>
      </c>
      <c r="H285" s="3">
        <v>-1</v>
      </c>
      <c r="I285" s="3">
        <v>-1</v>
      </c>
      <c r="J285" s="11">
        <v>0</v>
      </c>
      <c r="K285" s="25">
        <f t="shared" si="20"/>
        <v>5.0000000000000001E-3</v>
      </c>
      <c r="L285" s="32">
        <v>1.32</v>
      </c>
      <c r="M285" s="32">
        <v>1.32</v>
      </c>
      <c r="N285" s="11" t="s">
        <v>646</v>
      </c>
      <c r="O285" s="26" t="str">
        <f>VLOOKUP(TRN!D285,SYS!$G$5:$H$360,2,FALSE)</f>
        <v>加賀変電所</v>
      </c>
      <c r="P285" s="26" t="str">
        <f>VLOOKUP(TRN!E285,SYS!$G$5:$H$360,2,FALSE)</f>
        <v>城端開閉所</v>
      </c>
      <c r="Q285" s="26">
        <v>1.04</v>
      </c>
      <c r="S285" s="1"/>
      <c r="T285" s="88">
        <v>6792.4865722204195</v>
      </c>
      <c r="U285" s="89">
        <v>2.0870204356603259</v>
      </c>
    </row>
    <row r="286" spans="1:21" x14ac:dyDescent="0.2">
      <c r="A286" s="3">
        <v>281</v>
      </c>
      <c r="B286" s="3" t="s">
        <v>1250</v>
      </c>
      <c r="C286" s="3" t="s">
        <v>1548</v>
      </c>
      <c r="D286" s="21">
        <f>VLOOKUP(B286,SYS!$F$5:$G$360,2,FALSE)</f>
        <v>205</v>
      </c>
      <c r="E286" s="21">
        <f>VLOOKUP(C286,SYS!$F$5:$G$360,2,FALSE)</f>
        <v>206</v>
      </c>
      <c r="F286" s="7">
        <v>29</v>
      </c>
      <c r="G286" s="64">
        <f t="shared" si="21"/>
        <v>0.19833286954481014</v>
      </c>
      <c r="H286" s="3">
        <v>-1</v>
      </c>
      <c r="I286" s="3">
        <v>-1</v>
      </c>
      <c r="J286" s="11">
        <v>0</v>
      </c>
      <c r="K286" s="25">
        <f t="shared" si="20"/>
        <v>5.8000000000000005E-3</v>
      </c>
      <c r="L286" s="32">
        <v>1.32</v>
      </c>
      <c r="M286" s="32">
        <v>1.32</v>
      </c>
      <c r="N286" s="11" t="s">
        <v>647</v>
      </c>
      <c r="O286" s="26" t="str">
        <f>VLOOKUP(TRN!D286,SYS!$G$5:$H$360,2,FALSE)</f>
        <v>城端開閉所</v>
      </c>
      <c r="P286" s="26" t="str">
        <f>VLOOKUP(TRN!E286,SYS!$G$5:$H$360,2,FALSE)</f>
        <v>新富山変電所</v>
      </c>
      <c r="Q286" s="26">
        <v>1.04</v>
      </c>
      <c r="S286" s="1"/>
      <c r="T286" s="88">
        <v>1.6169073364199416</v>
      </c>
      <c r="U286" s="89">
        <v>2.6001626540578928</v>
      </c>
    </row>
    <row r="287" spans="1:21" x14ac:dyDescent="0.2">
      <c r="A287" s="3">
        <v>282</v>
      </c>
      <c r="B287" s="3" t="s">
        <v>1242</v>
      </c>
      <c r="C287" s="3" t="s">
        <v>1254</v>
      </c>
      <c r="D287" s="21">
        <f>VLOOKUP(B287,SYS!$F$5:$G$360,2,FALSE)</f>
        <v>199</v>
      </c>
      <c r="E287" s="21">
        <f>VLOOKUP(C287,SYS!$F$5:$G$360,2,FALSE)</f>
        <v>207</v>
      </c>
      <c r="F287" s="7">
        <v>31</v>
      </c>
      <c r="G287" s="64">
        <f t="shared" si="21"/>
        <v>0.28960109269817413</v>
      </c>
      <c r="H287" s="3">
        <v>-1</v>
      </c>
      <c r="I287" s="3">
        <v>-1</v>
      </c>
      <c r="J287" s="11">
        <v>0</v>
      </c>
      <c r="K287" s="25">
        <f t="shared" si="20"/>
        <v>6.2000000000000006E-3</v>
      </c>
      <c r="L287" s="26">
        <v>0.90400000000000003</v>
      </c>
      <c r="M287" s="26">
        <v>0.90400000000000003</v>
      </c>
      <c r="N287" s="11" t="s">
        <v>648</v>
      </c>
      <c r="O287" s="26" t="str">
        <f>VLOOKUP(TRN!D287,SYS!$G$5:$H$360,2,FALSE)</f>
        <v>越前変電所</v>
      </c>
      <c r="P287" s="26" t="str">
        <f>VLOOKUP(TRN!E287,SYS!$G$5:$H$360,2,FALSE)</f>
        <v>南条変電所</v>
      </c>
      <c r="S287" s="1"/>
      <c r="T287" s="88">
        <v>138616.07978089305</v>
      </c>
      <c r="U287" s="89">
        <v>1.6366243863979519</v>
      </c>
    </row>
    <row r="288" spans="1:21" x14ac:dyDescent="0.2">
      <c r="A288" s="3">
        <v>283</v>
      </c>
      <c r="B288" s="3" t="s">
        <v>937</v>
      </c>
      <c r="C288" s="3" t="s">
        <v>1550</v>
      </c>
      <c r="D288" s="21">
        <f>VLOOKUP(B288,SYS!$F$5:$G$360,2,FALSE)</f>
        <v>208</v>
      </c>
      <c r="E288" s="21">
        <f>VLOOKUP(C288,SYS!$F$5:$G$360,2,FALSE)</f>
        <v>209</v>
      </c>
      <c r="F288" s="7">
        <v>77</v>
      </c>
      <c r="G288" s="11">
        <v>0.10332</v>
      </c>
      <c r="H288" s="3">
        <v>-1</v>
      </c>
      <c r="I288" s="3">
        <v>-1</v>
      </c>
      <c r="J288" s="11">
        <v>0</v>
      </c>
      <c r="K288" s="25">
        <f t="shared" si="20"/>
        <v>1.54E-2</v>
      </c>
      <c r="L288" s="32">
        <v>5.5679999999999996</v>
      </c>
      <c r="M288" s="32">
        <v>5.5679999999999996</v>
      </c>
      <c r="N288" s="11" t="s">
        <v>649</v>
      </c>
      <c r="O288" s="26" t="str">
        <f>VLOOKUP(TRN!D288,SYS!$G$5:$H$360,2,FALSE)</f>
        <v>北摂変電所</v>
      </c>
      <c r="P288" s="26" t="str">
        <f>VLOOKUP(TRN!E288,SYS!$G$5:$H$360,2,FALSE)</f>
        <v>西播変電所</v>
      </c>
      <c r="Q288" s="26">
        <v>3.0619999999999998</v>
      </c>
      <c r="S288" s="1"/>
      <c r="T288" s="88">
        <v>0.5238805058047854</v>
      </c>
      <c r="U288" s="89">
        <v>0.27304061604222574</v>
      </c>
    </row>
    <row r="289" spans="1:21" x14ac:dyDescent="0.2">
      <c r="A289" s="3">
        <v>284</v>
      </c>
      <c r="B289" s="3" t="s">
        <v>1256</v>
      </c>
      <c r="C289" s="3" t="s">
        <v>937</v>
      </c>
      <c r="D289" s="21">
        <f>VLOOKUP(B289,SYS!$F$5:$G$360,2,FALSE)</f>
        <v>210</v>
      </c>
      <c r="E289" s="21">
        <f>VLOOKUP(C289,SYS!$F$5:$G$360,2,FALSE)</f>
        <v>208</v>
      </c>
      <c r="F289" s="7">
        <v>26</v>
      </c>
      <c r="G289" s="11">
        <v>3.322E-2</v>
      </c>
      <c r="H289" s="3">
        <v>-1</v>
      </c>
      <c r="I289" s="3">
        <v>-1</v>
      </c>
      <c r="J289" s="11">
        <v>0</v>
      </c>
      <c r="K289" s="25">
        <f t="shared" si="20"/>
        <v>5.2000000000000006E-3</v>
      </c>
      <c r="L289" s="26">
        <v>3.29</v>
      </c>
      <c r="M289" s="26">
        <v>3.29</v>
      </c>
      <c r="N289" s="11" t="s">
        <v>650</v>
      </c>
      <c r="O289" s="26" t="str">
        <f>VLOOKUP(TRN!D289,SYS!$G$5:$H$360,2,FALSE)</f>
        <v>猪名川変電所</v>
      </c>
      <c r="P289" s="26" t="str">
        <f>VLOOKUP(TRN!E289,SYS!$G$5:$H$360,2,FALSE)</f>
        <v>北摂変電所</v>
      </c>
      <c r="S289" s="1"/>
      <c r="T289" s="88">
        <v>1.1382648039929066</v>
      </c>
      <c r="U289" s="89">
        <v>0.48480395285436617</v>
      </c>
    </row>
    <row r="290" spans="1:21" x14ac:dyDescent="0.2">
      <c r="A290" s="3">
        <v>285</v>
      </c>
      <c r="B290" s="3" t="s">
        <v>1552</v>
      </c>
      <c r="C290" s="3" t="s">
        <v>1256</v>
      </c>
      <c r="D290" s="21">
        <f>VLOOKUP(B290,SYS!$F$5:$G$360,2,FALSE)</f>
        <v>211</v>
      </c>
      <c r="E290" s="21">
        <f>VLOOKUP(C290,SYS!$F$5:$G$360,2,FALSE)</f>
        <v>210</v>
      </c>
      <c r="F290" s="7">
        <v>38</v>
      </c>
      <c r="G290" s="11">
        <v>5.144E-2</v>
      </c>
      <c r="H290" s="3">
        <v>-1</v>
      </c>
      <c r="I290" s="3">
        <v>-1</v>
      </c>
      <c r="J290" s="11">
        <v>0</v>
      </c>
      <c r="K290" s="25">
        <f t="shared" si="20"/>
        <v>7.6E-3</v>
      </c>
      <c r="L290" s="26">
        <v>3.0619999999999998</v>
      </c>
      <c r="M290" s="26">
        <v>3.0619999999999998</v>
      </c>
      <c r="N290" s="11" t="s">
        <v>651</v>
      </c>
      <c r="O290" s="26" t="str">
        <f>VLOOKUP(TRN!D290,SYS!$G$5:$H$360,2,FALSE)</f>
        <v>京北開閉所</v>
      </c>
      <c r="P290" s="26" t="str">
        <f>VLOOKUP(TRN!E290,SYS!$G$5:$H$360,2,FALSE)</f>
        <v>猪名川変電所</v>
      </c>
      <c r="S290" s="1"/>
      <c r="T290" s="88">
        <v>1.3898223358453698</v>
      </c>
      <c r="U290" s="89">
        <v>0.49523285437570647</v>
      </c>
    </row>
    <row r="291" spans="1:21" x14ac:dyDescent="0.2">
      <c r="A291" s="3">
        <v>286</v>
      </c>
      <c r="B291" s="3" t="s">
        <v>1258</v>
      </c>
      <c r="C291" s="3" t="s">
        <v>1260</v>
      </c>
      <c r="D291" s="21">
        <f>VLOOKUP(B291,SYS!$F$5:$G$360,2,FALSE)</f>
        <v>212</v>
      </c>
      <c r="E291" s="21">
        <f>VLOOKUP(C291,SYS!$F$5:$G$360,2,FALSE)</f>
        <v>213</v>
      </c>
      <c r="F291" s="7">
        <v>14</v>
      </c>
      <c r="G291" s="11">
        <v>1.9300000000000001E-2</v>
      </c>
      <c r="H291" s="3">
        <v>-1</v>
      </c>
      <c r="I291" s="3">
        <v>-1</v>
      </c>
      <c r="J291" s="11">
        <v>0</v>
      </c>
      <c r="K291" s="25">
        <f t="shared" si="20"/>
        <v>2.8E-3</v>
      </c>
      <c r="L291" s="26">
        <v>3.0619999999999998</v>
      </c>
      <c r="M291" s="26">
        <v>3.0619999999999998</v>
      </c>
      <c r="N291" s="11" t="s">
        <v>652</v>
      </c>
      <c r="O291" s="26" t="str">
        <f>VLOOKUP(TRN!D291,SYS!$G$5:$H$360,2,FALSE)</f>
        <v>西京都変電所</v>
      </c>
      <c r="P291" s="26" t="str">
        <f>VLOOKUP(TRN!E291,SYS!$G$5:$H$360,2,FALSE)</f>
        <v>能勢変電所</v>
      </c>
      <c r="S291" s="1"/>
      <c r="T291" s="88">
        <v>3514.9431103910429</v>
      </c>
      <c r="U291" s="89">
        <v>0.44162340605505862</v>
      </c>
    </row>
    <row r="292" spans="1:21" x14ac:dyDescent="0.2">
      <c r="A292" s="3">
        <v>287</v>
      </c>
      <c r="B292" s="3" t="s">
        <v>1262</v>
      </c>
      <c r="C292" s="3" t="s">
        <v>1258</v>
      </c>
      <c r="D292" s="21">
        <f>VLOOKUP(B292,SYS!$F$5:$G$360,2,FALSE)</f>
        <v>214</v>
      </c>
      <c r="E292" s="21">
        <f>VLOOKUP(C292,SYS!$F$5:$G$360,2,FALSE)</f>
        <v>212</v>
      </c>
      <c r="F292" s="7">
        <v>31</v>
      </c>
      <c r="G292" s="11">
        <v>4.0030000000000003E-2</v>
      </c>
      <c r="H292" s="3">
        <v>-1</v>
      </c>
      <c r="I292" s="3">
        <v>-1</v>
      </c>
      <c r="J292" s="11">
        <v>0</v>
      </c>
      <c r="K292" s="25">
        <f t="shared" si="20"/>
        <v>6.2000000000000006E-3</v>
      </c>
      <c r="L292" s="32">
        <v>6.58</v>
      </c>
      <c r="M292" s="32">
        <v>6.58</v>
      </c>
      <c r="N292" s="11" t="s">
        <v>653</v>
      </c>
      <c r="O292" s="26" t="str">
        <f>VLOOKUP(TRN!D292,SYS!$G$5:$H$360,2,FALSE)</f>
        <v>新生駒変電所</v>
      </c>
      <c r="P292" s="26" t="str">
        <f>VLOOKUP(TRN!E292,SYS!$G$5:$H$360,2,FALSE)</f>
        <v>西京都変電所</v>
      </c>
      <c r="Q292" s="26">
        <v>3.29</v>
      </c>
      <c r="S292" s="1"/>
      <c r="T292" s="88">
        <v>0.78141456053779834</v>
      </c>
      <c r="U292" s="89">
        <v>0.21304117569496087</v>
      </c>
    </row>
    <row r="293" spans="1:21" x14ac:dyDescent="0.2">
      <c r="A293" s="3">
        <v>288</v>
      </c>
      <c r="B293" s="3" t="s">
        <v>1264</v>
      </c>
      <c r="C293" s="3" t="s">
        <v>1262</v>
      </c>
      <c r="D293" s="21">
        <f>VLOOKUP(B293,SYS!$F$5:$G$360,2,FALSE)</f>
        <v>215</v>
      </c>
      <c r="E293" s="21">
        <f>VLOOKUP(C293,SYS!$F$5:$G$360,2,FALSE)</f>
        <v>214</v>
      </c>
      <c r="F293" s="7">
        <v>78</v>
      </c>
      <c r="G293" s="11">
        <v>0.10029</v>
      </c>
      <c r="H293" s="3">
        <v>-1</v>
      </c>
      <c r="I293" s="3">
        <v>-1</v>
      </c>
      <c r="J293" s="11">
        <v>0</v>
      </c>
      <c r="K293" s="25">
        <f t="shared" si="20"/>
        <v>1.5600000000000001E-2</v>
      </c>
      <c r="L293" s="26">
        <v>3.29</v>
      </c>
      <c r="M293" s="26">
        <v>3.29</v>
      </c>
      <c r="N293" s="11" t="s">
        <v>654</v>
      </c>
      <c r="O293" s="26" t="str">
        <f>VLOOKUP(TRN!D293,SYS!$G$5:$H$360,2,FALSE)</f>
        <v>東近江開閉所</v>
      </c>
      <c r="P293" s="26" t="str">
        <f>VLOOKUP(TRN!E293,SYS!$G$5:$H$360,2,FALSE)</f>
        <v>新生駒変電所</v>
      </c>
      <c r="S293" s="1"/>
      <c r="T293" s="88">
        <v>0.57920379193985538</v>
      </c>
      <c r="U293" s="89">
        <v>0.70062652411654758</v>
      </c>
    </row>
    <row r="294" spans="1:21" x14ac:dyDescent="0.2">
      <c r="A294" s="3">
        <v>289</v>
      </c>
      <c r="B294" s="3" t="s">
        <v>1266</v>
      </c>
      <c r="C294" s="3" t="s">
        <v>1552</v>
      </c>
      <c r="D294" s="21">
        <f>VLOOKUP(B294,SYS!$F$5:$G$360,2,FALSE)</f>
        <v>216</v>
      </c>
      <c r="E294" s="21">
        <f>VLOOKUP(C294,SYS!$F$5:$G$360,2,FALSE)</f>
        <v>211</v>
      </c>
      <c r="F294" s="7">
        <v>53</v>
      </c>
      <c r="G294" s="11">
        <v>7.0989999999999998E-2</v>
      </c>
      <c r="H294" s="3">
        <v>-1</v>
      </c>
      <c r="I294" s="3">
        <v>-1</v>
      </c>
      <c r="J294" s="11">
        <v>0</v>
      </c>
      <c r="K294" s="25">
        <f t="shared" si="20"/>
        <v>1.06E-2</v>
      </c>
      <c r="L294" s="26">
        <v>3.0619999999999998</v>
      </c>
      <c r="M294" s="26">
        <v>3.0619999999999998</v>
      </c>
      <c r="N294" s="11" t="s">
        <v>655</v>
      </c>
      <c r="O294" s="26" t="str">
        <f>VLOOKUP(TRN!D294,SYS!$G$5:$H$360,2,FALSE)</f>
        <v>南京都変電所</v>
      </c>
      <c r="P294" s="26" t="str">
        <f>VLOOKUP(TRN!E294,SYS!$G$5:$H$360,2,FALSE)</f>
        <v>京北開閉所</v>
      </c>
      <c r="S294" s="1"/>
      <c r="T294" s="88">
        <v>1.2506733565141075</v>
      </c>
      <c r="U294" s="89">
        <v>0.4741442159658078</v>
      </c>
    </row>
    <row r="295" spans="1:21" x14ac:dyDescent="0.2">
      <c r="A295" s="3">
        <v>290</v>
      </c>
      <c r="B295" s="3" t="s">
        <v>1264</v>
      </c>
      <c r="C295" s="3" t="s">
        <v>1266</v>
      </c>
      <c r="D295" s="21">
        <f>VLOOKUP(B295,SYS!$F$5:$G$360,2,FALSE)</f>
        <v>215</v>
      </c>
      <c r="E295" s="21">
        <f>VLOOKUP(C295,SYS!$F$5:$G$360,2,FALSE)</f>
        <v>216</v>
      </c>
      <c r="F295" s="7">
        <v>46</v>
      </c>
      <c r="G295" s="11">
        <v>6.1830000000000003E-2</v>
      </c>
      <c r="H295" s="3">
        <v>-1</v>
      </c>
      <c r="I295" s="3">
        <v>-1</v>
      </c>
      <c r="J295" s="11">
        <v>0</v>
      </c>
      <c r="K295" s="25">
        <f t="shared" si="20"/>
        <v>9.1999999999999998E-3</v>
      </c>
      <c r="L295" s="26">
        <v>3.0619999999999998</v>
      </c>
      <c r="M295" s="26">
        <v>3.0619999999999998</v>
      </c>
      <c r="N295" s="11" t="s">
        <v>656</v>
      </c>
      <c r="O295" s="26" t="str">
        <f>VLOOKUP(TRN!D295,SYS!$G$5:$H$360,2,FALSE)</f>
        <v>東近江開閉所</v>
      </c>
      <c r="P295" s="26" t="str">
        <f>VLOOKUP(TRN!E295,SYS!$G$5:$H$360,2,FALSE)</f>
        <v>南京都変電所</v>
      </c>
      <c r="S295" s="1"/>
      <c r="T295" s="88">
        <v>0.69090566775028961</v>
      </c>
      <c r="U295" s="89">
        <v>0.69903560594398007</v>
      </c>
    </row>
    <row r="296" spans="1:21" x14ac:dyDescent="0.2">
      <c r="A296" s="3">
        <v>291</v>
      </c>
      <c r="B296" s="3" t="s">
        <v>1260</v>
      </c>
      <c r="C296" s="3" t="s">
        <v>1268</v>
      </c>
      <c r="D296" s="21">
        <f>VLOOKUP(B296,SYS!$F$5:$G$360,2,FALSE)</f>
        <v>213</v>
      </c>
      <c r="E296" s="21">
        <f>VLOOKUP(C296,SYS!$F$5:$G$360,2,FALSE)</f>
        <v>217</v>
      </c>
      <c r="F296" s="7">
        <v>91</v>
      </c>
      <c r="G296" s="11">
        <v>0.11670999999999999</v>
      </c>
      <c r="H296" s="3">
        <v>-1</v>
      </c>
      <c r="I296" s="3">
        <v>-1</v>
      </c>
      <c r="J296" s="11">
        <v>0</v>
      </c>
      <c r="K296" s="25">
        <f t="shared" si="20"/>
        <v>1.8200000000000001E-2</v>
      </c>
      <c r="L296" s="26">
        <v>3.29</v>
      </c>
      <c r="M296" s="26">
        <v>3.29</v>
      </c>
      <c r="N296" s="11" t="s">
        <v>657</v>
      </c>
      <c r="O296" s="26" t="str">
        <f>VLOOKUP(TRN!D296,SYS!$G$5:$H$360,2,FALSE)</f>
        <v>能勢変電所</v>
      </c>
      <c r="P296" s="26" t="str">
        <f>VLOOKUP(TRN!E296,SYS!$G$5:$H$360,2,FALSE)</f>
        <v>山崎開閉所</v>
      </c>
      <c r="S296" s="1"/>
      <c r="T296" s="88">
        <v>2.2010451505474995</v>
      </c>
      <c r="U296" s="89">
        <v>0.38661502889200688</v>
      </c>
    </row>
    <row r="297" spans="1:21" x14ac:dyDescent="0.2">
      <c r="A297" s="3">
        <v>292</v>
      </c>
      <c r="B297" s="3" t="s">
        <v>1268</v>
      </c>
      <c r="C297" s="3" t="s">
        <v>1550</v>
      </c>
      <c r="D297" s="21">
        <f>VLOOKUP(B297,SYS!$F$5:$G$360,2,FALSE)</f>
        <v>217</v>
      </c>
      <c r="E297" s="21">
        <f>VLOOKUP(C297,SYS!$F$5:$G$360,2,FALSE)</f>
        <v>209</v>
      </c>
      <c r="F297" s="7">
        <v>40</v>
      </c>
      <c r="G297" s="11">
        <v>5.0880000000000002E-2</v>
      </c>
      <c r="H297" s="3">
        <v>-1</v>
      </c>
      <c r="I297" s="3">
        <v>-1</v>
      </c>
      <c r="J297" s="11">
        <v>0</v>
      </c>
      <c r="K297" s="25">
        <f t="shared" si="20"/>
        <v>8.0000000000000002E-3</v>
      </c>
      <c r="L297" s="26">
        <v>3.29</v>
      </c>
      <c r="M297" s="26">
        <v>3.29</v>
      </c>
      <c r="N297" s="11" t="s">
        <v>658</v>
      </c>
      <c r="O297" s="26" t="str">
        <f>VLOOKUP(TRN!D297,SYS!$G$5:$H$360,2,FALSE)</f>
        <v>山崎開閉所</v>
      </c>
      <c r="P297" s="26" t="str">
        <f>VLOOKUP(TRN!E297,SYS!$G$5:$H$360,2,FALSE)</f>
        <v>西播変電所</v>
      </c>
      <c r="S297" s="1"/>
      <c r="T297" s="88">
        <v>0.67980505108493627</v>
      </c>
      <c r="U297" s="89">
        <v>0.58194496668416573</v>
      </c>
    </row>
    <row r="298" spans="1:21" x14ac:dyDescent="0.2">
      <c r="A298" s="3">
        <v>293</v>
      </c>
      <c r="B298" s="3" t="s">
        <v>1270</v>
      </c>
      <c r="C298" s="3" t="s">
        <v>1268</v>
      </c>
      <c r="D298" s="21">
        <f>VLOOKUP(B298,SYS!$F$5:$G$360,2,FALSE)</f>
        <v>218</v>
      </c>
      <c r="E298" s="21">
        <f>VLOOKUP(C298,SYS!$F$5:$G$360,2,FALSE)</f>
        <v>217</v>
      </c>
      <c r="F298" s="7">
        <v>14</v>
      </c>
      <c r="G298" s="11">
        <v>1.8460000000000001E-2</v>
      </c>
      <c r="H298" s="3">
        <v>-1</v>
      </c>
      <c r="I298" s="3">
        <v>-1</v>
      </c>
      <c r="J298" s="11">
        <v>0</v>
      </c>
      <c r="K298" s="25">
        <f t="shared" si="20"/>
        <v>2.8E-3</v>
      </c>
      <c r="L298" s="26">
        <v>3.29</v>
      </c>
      <c r="M298" s="26">
        <v>3.29</v>
      </c>
      <c r="N298" s="11" t="s">
        <v>659</v>
      </c>
      <c r="O298" s="26" t="str">
        <f>VLOOKUP(TRN!D298,SYS!$G$5:$H$360,2,FALSE)</f>
        <v>大河内発電所</v>
      </c>
      <c r="P298" s="26" t="str">
        <f>VLOOKUP(TRN!E298,SYS!$G$5:$H$360,2,FALSE)</f>
        <v>山崎開閉所</v>
      </c>
      <c r="S298" s="1"/>
      <c r="T298" s="88">
        <v>0.66182937502858386</v>
      </c>
      <c r="U298" s="89">
        <v>0.59866426148195817</v>
      </c>
    </row>
    <row r="299" spans="1:21" x14ac:dyDescent="0.2">
      <c r="A299" s="3">
        <v>294</v>
      </c>
      <c r="B299" s="3" t="s">
        <v>1600</v>
      </c>
      <c r="C299" s="3" t="s">
        <v>1273</v>
      </c>
      <c r="D299" s="21">
        <f>VLOOKUP(B299,SYS!$F$5:$G$360,2,FALSE)</f>
        <v>219</v>
      </c>
      <c r="E299" s="21">
        <f>VLOOKUP(C299,SYS!$F$5:$G$360,2,FALSE)</f>
        <v>220</v>
      </c>
      <c r="F299" s="7">
        <v>14</v>
      </c>
      <c r="G299" s="11">
        <v>1.8460000000000001E-2</v>
      </c>
      <c r="H299" s="3">
        <v>-1</v>
      </c>
      <c r="I299" s="3">
        <v>-1</v>
      </c>
      <c r="J299" s="11">
        <v>0</v>
      </c>
      <c r="K299" s="25">
        <f t="shared" si="20"/>
        <v>2.8E-3</v>
      </c>
      <c r="L299" s="26">
        <v>3.29</v>
      </c>
      <c r="M299" s="26">
        <v>3.29</v>
      </c>
      <c r="N299" s="56" t="s">
        <v>1615</v>
      </c>
      <c r="O299" s="26" t="str">
        <f>VLOOKUP(TRN!D299,SYS!$G$5:$H$360,2,FALSE)</f>
        <v>舞鶴火力</v>
      </c>
      <c r="P299" s="26" t="str">
        <f>VLOOKUP(TRN!E299,SYS!$G$5:$H$360,2,FALSE)</f>
        <v>新綾部変電所</v>
      </c>
      <c r="S299" s="1"/>
      <c r="T299" s="88">
        <v>0.71369424226131484</v>
      </c>
      <c r="U299" s="89">
        <v>0.68700866194908239</v>
      </c>
    </row>
    <row r="300" spans="1:21" x14ac:dyDescent="0.2">
      <c r="A300" s="3">
        <v>295</v>
      </c>
      <c r="B300" s="3" t="s">
        <v>1272</v>
      </c>
      <c r="C300" s="3" t="s">
        <v>1270</v>
      </c>
      <c r="D300" s="21">
        <f>VLOOKUP(B300,SYS!$F$5:$G$360,2,FALSE)</f>
        <v>220</v>
      </c>
      <c r="E300" s="21">
        <f>VLOOKUP(C300,SYS!$F$5:$G$360,2,FALSE)</f>
        <v>218</v>
      </c>
      <c r="F300" s="7">
        <v>61</v>
      </c>
      <c r="G300" s="11">
        <v>7.7869999999999995E-2</v>
      </c>
      <c r="H300" s="3">
        <v>-1</v>
      </c>
      <c r="I300" s="3">
        <v>-1</v>
      </c>
      <c r="J300" s="11">
        <v>0</v>
      </c>
      <c r="K300" s="25">
        <f t="shared" si="20"/>
        <v>1.2200000000000001E-2</v>
      </c>
      <c r="L300" s="26">
        <v>3.29</v>
      </c>
      <c r="M300" s="26">
        <v>3.29</v>
      </c>
      <c r="N300" s="11" t="s">
        <v>660</v>
      </c>
      <c r="O300" s="26" t="str">
        <f>VLOOKUP(TRN!D300,SYS!$G$5:$H$360,2,FALSE)</f>
        <v>新綾部変電所</v>
      </c>
      <c r="P300" s="26" t="str">
        <f>VLOOKUP(TRN!E300,SYS!$G$5:$H$360,2,FALSE)</f>
        <v>大河内発電所</v>
      </c>
      <c r="S300" s="1"/>
      <c r="T300" s="88">
        <v>1.1824501683377215</v>
      </c>
      <c r="U300" s="89">
        <v>0.45730996755593628</v>
      </c>
    </row>
    <row r="301" spans="1:21" x14ac:dyDescent="0.2">
      <c r="A301" s="3">
        <v>296</v>
      </c>
      <c r="B301" s="3" t="s">
        <v>1272</v>
      </c>
      <c r="C301" s="3" t="s">
        <v>1258</v>
      </c>
      <c r="D301" s="21">
        <f>VLOOKUP(B301,SYS!$F$5:$G$360,2,FALSE)</f>
        <v>220</v>
      </c>
      <c r="E301" s="21">
        <f>VLOOKUP(C301,SYS!$F$5:$G$360,2,FALSE)</f>
        <v>212</v>
      </c>
      <c r="F301" s="7">
        <v>59</v>
      </c>
      <c r="G301" s="11">
        <v>7.5259999999999994E-2</v>
      </c>
      <c r="H301" s="3">
        <v>-1</v>
      </c>
      <c r="I301" s="3">
        <v>-1</v>
      </c>
      <c r="J301" s="11">
        <v>0</v>
      </c>
      <c r="K301" s="25">
        <f t="shared" si="20"/>
        <v>1.18E-2</v>
      </c>
      <c r="L301" s="32">
        <v>6.58</v>
      </c>
      <c r="M301" s="32">
        <v>6.58</v>
      </c>
      <c r="N301" s="11" t="s">
        <v>661</v>
      </c>
      <c r="O301" s="26" t="str">
        <f>VLOOKUP(TRN!D301,SYS!$G$5:$H$360,2,FALSE)</f>
        <v>新綾部変電所</v>
      </c>
      <c r="P301" s="26" t="str">
        <f>VLOOKUP(TRN!E301,SYS!$G$5:$H$360,2,FALSE)</f>
        <v>西京都変電所</v>
      </c>
      <c r="Q301" s="26">
        <v>3.29</v>
      </c>
      <c r="S301" s="1"/>
      <c r="T301" s="88">
        <v>0.22527321724071192</v>
      </c>
      <c r="U301" s="89">
        <v>0.44862764565827357</v>
      </c>
    </row>
    <row r="302" spans="1:21" x14ac:dyDescent="0.2">
      <c r="A302" s="3">
        <v>297</v>
      </c>
      <c r="B302" s="3" t="s">
        <v>1274</v>
      </c>
      <c r="C302" s="3" t="s">
        <v>1552</v>
      </c>
      <c r="D302" s="21">
        <f>VLOOKUP(B302,SYS!$F$5:$G$360,2,FALSE)</f>
        <v>221</v>
      </c>
      <c r="E302" s="21">
        <f>VLOOKUP(C302,SYS!$F$5:$G$360,2,FALSE)</f>
        <v>211</v>
      </c>
      <c r="F302" s="7">
        <v>59</v>
      </c>
      <c r="G302" s="11">
        <v>8.0500000000000002E-2</v>
      </c>
      <c r="H302" s="3">
        <v>-1</v>
      </c>
      <c r="I302" s="3">
        <v>-1</v>
      </c>
      <c r="J302" s="11">
        <v>0</v>
      </c>
      <c r="K302" s="25">
        <f t="shared" si="20"/>
        <v>1.18E-2</v>
      </c>
      <c r="L302" s="26">
        <v>3.0619999999999998</v>
      </c>
      <c r="M302" s="26">
        <v>3.0619999999999998</v>
      </c>
      <c r="N302" s="11" t="s">
        <v>662</v>
      </c>
      <c r="O302" s="26" t="str">
        <f>VLOOKUP(TRN!D302,SYS!$G$5:$H$360,2,FALSE)</f>
        <v>嶺南変電所</v>
      </c>
      <c r="P302" s="26" t="str">
        <f>VLOOKUP(TRN!E302,SYS!$G$5:$H$360,2,FALSE)</f>
        <v>京北開閉所</v>
      </c>
      <c r="S302" s="1"/>
      <c r="T302" s="88">
        <v>0.6558610691606398</v>
      </c>
      <c r="U302" s="89">
        <v>0.73755366786218579</v>
      </c>
    </row>
    <row r="303" spans="1:21" x14ac:dyDescent="0.2">
      <c r="A303" s="3">
        <v>298</v>
      </c>
      <c r="B303" s="3" t="s">
        <v>1274</v>
      </c>
      <c r="C303" s="3" t="s">
        <v>1264</v>
      </c>
      <c r="D303" s="21">
        <f>VLOOKUP(B303,SYS!$F$5:$G$360,2,FALSE)</f>
        <v>221</v>
      </c>
      <c r="E303" s="21">
        <f>VLOOKUP(C303,SYS!$F$5:$G$360,2,FALSE)</f>
        <v>215</v>
      </c>
      <c r="F303" s="7">
        <v>89</v>
      </c>
      <c r="G303" s="11">
        <v>0.11445</v>
      </c>
      <c r="H303" s="3">
        <v>-1</v>
      </c>
      <c r="I303" s="3">
        <v>-1</v>
      </c>
      <c r="J303" s="11">
        <v>0</v>
      </c>
      <c r="K303" s="25">
        <f t="shared" si="20"/>
        <v>1.78E-2</v>
      </c>
      <c r="L303" s="26">
        <v>3.29</v>
      </c>
      <c r="M303" s="26">
        <v>3.29</v>
      </c>
      <c r="N303" s="11" t="s">
        <v>663</v>
      </c>
      <c r="O303" s="26" t="str">
        <f>VLOOKUP(TRN!D303,SYS!$G$5:$H$360,2,FALSE)</f>
        <v>嶺南変電所</v>
      </c>
      <c r="P303" s="26" t="str">
        <f>VLOOKUP(TRN!E303,SYS!$G$5:$H$360,2,FALSE)</f>
        <v>東近江開閉所</v>
      </c>
      <c r="S303" s="1"/>
      <c r="T303" s="88">
        <v>0.4820458667963215</v>
      </c>
      <c r="U303" s="89">
        <v>0.87805865289621654</v>
      </c>
    </row>
    <row r="304" spans="1:21" x14ac:dyDescent="0.2">
      <c r="A304" s="3">
        <v>299</v>
      </c>
      <c r="B304" s="3" t="s">
        <v>1552</v>
      </c>
      <c r="C304" s="3" t="s">
        <v>1258</v>
      </c>
      <c r="D304" s="21">
        <f>VLOOKUP(B304,SYS!$F$5:$G$360,2,FALSE)</f>
        <v>211</v>
      </c>
      <c r="E304" s="21">
        <f>VLOOKUP(C304,SYS!$F$5:$G$360,2,FALSE)</f>
        <v>212</v>
      </c>
      <c r="F304" s="32">
        <v>20</v>
      </c>
      <c r="G304" s="11">
        <v>2.632E-2</v>
      </c>
      <c r="H304" s="3">
        <v>-1</v>
      </c>
      <c r="I304" s="3">
        <v>-1</v>
      </c>
      <c r="J304" s="11">
        <v>0</v>
      </c>
      <c r="K304" s="25">
        <f t="shared" si="20"/>
        <v>4.0000000000000001E-3</v>
      </c>
      <c r="L304" s="26">
        <v>3.0619999999999998</v>
      </c>
      <c r="M304" s="26">
        <v>3.0619999999999998</v>
      </c>
      <c r="N304" s="11" t="s">
        <v>664</v>
      </c>
      <c r="O304" s="26" t="str">
        <f>VLOOKUP(TRN!D304,SYS!$G$5:$H$360,2,FALSE)</f>
        <v>京北開閉所</v>
      </c>
      <c r="P304" s="26" t="str">
        <f>VLOOKUP(TRN!E304,SYS!$G$5:$H$360,2,FALSE)</f>
        <v>西京都変電所</v>
      </c>
      <c r="S304" s="1"/>
      <c r="T304" s="88">
        <v>0.61600644477026179</v>
      </c>
      <c r="U304" s="89">
        <v>0.72598724331796916</v>
      </c>
    </row>
    <row r="305" spans="1:21" x14ac:dyDescent="0.2">
      <c r="A305" s="3">
        <v>300</v>
      </c>
      <c r="B305" s="3" t="s">
        <v>1272</v>
      </c>
      <c r="C305" s="3" t="s">
        <v>1256</v>
      </c>
      <c r="D305" s="21">
        <f>VLOOKUP(B305,SYS!$F$5:$G$360,2,FALSE)</f>
        <v>220</v>
      </c>
      <c r="E305" s="21">
        <f>VLOOKUP(C305,SYS!$F$5:$G$360,2,FALSE)</f>
        <v>210</v>
      </c>
      <c r="F305" s="7">
        <v>43</v>
      </c>
      <c r="G305" s="11">
        <v>5.892E-2</v>
      </c>
      <c r="H305" s="3">
        <v>-1</v>
      </c>
      <c r="I305" s="3">
        <v>-1</v>
      </c>
      <c r="J305" s="11">
        <v>0</v>
      </c>
      <c r="K305" s="25">
        <f t="shared" si="20"/>
        <v>8.6E-3</v>
      </c>
      <c r="L305" s="32">
        <v>5.5679999999999996</v>
      </c>
      <c r="M305" s="32">
        <v>5.5679999999999996</v>
      </c>
      <c r="N305" s="11" t="s">
        <v>665</v>
      </c>
      <c r="O305" s="26" t="str">
        <f>VLOOKUP(TRN!D305,SYS!$G$5:$H$360,2,FALSE)</f>
        <v>新綾部変電所</v>
      </c>
      <c r="P305" s="26" t="str">
        <f>VLOOKUP(TRN!E305,SYS!$G$5:$H$360,2,FALSE)</f>
        <v>猪名川変電所</v>
      </c>
      <c r="Q305" s="26">
        <v>3.0619999999999998</v>
      </c>
      <c r="S305" s="1"/>
      <c r="T305" s="88">
        <v>0.27476678418629397</v>
      </c>
      <c r="U305" s="89">
        <v>0.51572164435912626</v>
      </c>
    </row>
    <row r="306" spans="1:21" x14ac:dyDescent="0.2">
      <c r="A306" s="3">
        <v>301</v>
      </c>
      <c r="B306" s="3" t="s">
        <v>1276</v>
      </c>
      <c r="C306" s="3" t="s">
        <v>1031</v>
      </c>
      <c r="D306" s="21">
        <f>VLOOKUP(B306,SYS!$F$5:$G$360,2,FALSE)</f>
        <v>222</v>
      </c>
      <c r="E306" s="21">
        <f>VLOOKUP(C306,SYS!$F$5:$G$360,2,FALSE)</f>
        <v>223</v>
      </c>
      <c r="F306" s="7">
        <v>50</v>
      </c>
      <c r="G306" s="11">
        <v>6.3299999999999995E-2</v>
      </c>
      <c r="H306" s="3">
        <v>-1</v>
      </c>
      <c r="I306" s="3">
        <v>-1</v>
      </c>
      <c r="J306" s="11">
        <v>0</v>
      </c>
      <c r="K306" s="25">
        <f t="shared" si="20"/>
        <v>0.01</v>
      </c>
      <c r="L306" s="26">
        <v>3.29</v>
      </c>
      <c r="M306" s="26">
        <v>3.29</v>
      </c>
      <c r="N306" s="11" t="s">
        <v>666</v>
      </c>
      <c r="O306" s="26" t="str">
        <f>VLOOKUP(TRN!D306,SYS!$G$5:$H$360,2,FALSE)</f>
        <v>東大和開閉所</v>
      </c>
      <c r="P306" s="26" t="str">
        <f>VLOOKUP(TRN!E306,SYS!$G$5:$H$360,2,FALSE)</f>
        <v>紀北変換所</v>
      </c>
      <c r="S306" s="1"/>
      <c r="T306" s="88">
        <v>0.63930969665234583</v>
      </c>
      <c r="U306" s="89">
        <v>0.64678829250246272</v>
      </c>
    </row>
    <row r="307" spans="1:21" x14ac:dyDescent="0.2">
      <c r="A307" s="3">
        <v>302</v>
      </c>
      <c r="B307" s="3" t="s">
        <v>1262</v>
      </c>
      <c r="C307" s="3" t="s">
        <v>1278</v>
      </c>
      <c r="D307" s="21">
        <f>VLOOKUP(B307,SYS!$F$5:$G$360,2,FALSE)</f>
        <v>214</v>
      </c>
      <c r="E307" s="21">
        <f>VLOOKUP(C307,SYS!$F$5:$G$360,2,FALSE)</f>
        <v>224</v>
      </c>
      <c r="F307" s="7">
        <v>37</v>
      </c>
      <c r="G307" s="11">
        <v>3.1099999999999999E-2</v>
      </c>
      <c r="H307" s="3">
        <v>-1</v>
      </c>
      <c r="I307" s="3">
        <v>-1</v>
      </c>
      <c r="J307" s="11">
        <v>0</v>
      </c>
      <c r="K307" s="25">
        <f t="shared" si="20"/>
        <v>7.4000000000000003E-3</v>
      </c>
      <c r="L307" s="26">
        <v>3.0619999999999998</v>
      </c>
      <c r="M307" s="26">
        <v>3.0619999999999998</v>
      </c>
      <c r="N307" s="11" t="s">
        <v>667</v>
      </c>
      <c r="O307" s="26" t="str">
        <f>VLOOKUP(TRN!D307,SYS!$G$5:$H$360,2,FALSE)</f>
        <v>新生駒変電所</v>
      </c>
      <c r="P307" s="26" t="str">
        <f>VLOOKUP(TRN!E307,SYS!$G$5:$H$360,2,FALSE)</f>
        <v>１３４Ｔ（北大和線）</v>
      </c>
      <c r="S307" s="1"/>
      <c r="T307" s="88">
        <v>1578.5168197520309</v>
      </c>
      <c r="U307" s="89">
        <v>0.52486305973060243</v>
      </c>
    </row>
    <row r="308" spans="1:21" x14ac:dyDescent="0.2">
      <c r="A308" s="3">
        <v>303</v>
      </c>
      <c r="B308" s="3" t="s">
        <v>1266</v>
      </c>
      <c r="C308" s="3" t="s">
        <v>1278</v>
      </c>
      <c r="D308" s="21">
        <f>VLOOKUP(B308,SYS!$F$5:$G$360,2,FALSE)</f>
        <v>216</v>
      </c>
      <c r="E308" s="21">
        <f>VLOOKUP(C308,SYS!$F$5:$G$360,2,FALSE)</f>
        <v>224</v>
      </c>
      <c r="F308" s="7">
        <v>0</v>
      </c>
      <c r="G308" s="11">
        <v>2.0000000000000001E-4</v>
      </c>
      <c r="H308" s="3">
        <v>-1</v>
      </c>
      <c r="I308" s="3">
        <v>-1</v>
      </c>
      <c r="J308" s="11">
        <v>0</v>
      </c>
      <c r="K308" s="25">
        <f t="shared" si="20"/>
        <v>0</v>
      </c>
      <c r="L308" s="26">
        <v>3.29</v>
      </c>
      <c r="M308" s="26">
        <v>3.29</v>
      </c>
      <c r="N308" s="11" t="s">
        <v>668</v>
      </c>
      <c r="O308" s="26" t="str">
        <f>VLOOKUP(TRN!D308,SYS!$G$5:$H$360,2,FALSE)</f>
        <v>南京都変電所</v>
      </c>
      <c r="P308" s="26" t="str">
        <f>VLOOKUP(TRN!E308,SYS!$G$5:$H$360,2,FALSE)</f>
        <v>１３４Ｔ（北大和線）</v>
      </c>
      <c r="S308" s="1"/>
      <c r="T308" s="88">
        <v>0.58911463469967829</v>
      </c>
      <c r="U308" s="89">
        <v>9.4797654104319093</v>
      </c>
    </row>
    <row r="309" spans="1:21" x14ac:dyDescent="0.2">
      <c r="A309" s="3">
        <v>304</v>
      </c>
      <c r="B309" s="3" t="s">
        <v>1262</v>
      </c>
      <c r="C309" s="3" t="s">
        <v>1280</v>
      </c>
      <c r="D309" s="21">
        <f>VLOOKUP(B309,SYS!$F$5:$G$360,2,FALSE)</f>
        <v>214</v>
      </c>
      <c r="E309" s="21">
        <f>VLOOKUP(C309,SYS!$F$5:$G$360,2,FALSE)</f>
        <v>225</v>
      </c>
      <c r="F309" s="7">
        <v>20</v>
      </c>
      <c r="G309" s="11">
        <v>2.632E-2</v>
      </c>
      <c r="H309" s="3">
        <v>-1</v>
      </c>
      <c r="I309" s="3">
        <v>-1</v>
      </c>
      <c r="J309" s="11">
        <v>0</v>
      </c>
      <c r="K309" s="25">
        <f t="shared" si="20"/>
        <v>4.0000000000000001E-3</v>
      </c>
      <c r="L309" s="26">
        <v>2.7839999999999998</v>
      </c>
      <c r="M309" s="26">
        <v>2.7839999999999998</v>
      </c>
      <c r="N309" s="11" t="s">
        <v>669</v>
      </c>
      <c r="O309" s="26" t="str">
        <f>VLOOKUP(TRN!D309,SYS!$G$5:$H$360,2,FALSE)</f>
        <v>新生駒変電所</v>
      </c>
      <c r="P309" s="26" t="str">
        <f>VLOOKUP(TRN!E309,SYS!$G$5:$H$360,2,FALSE)</f>
        <v>信貴変電所</v>
      </c>
      <c r="S309" s="1"/>
      <c r="T309" s="88">
        <v>0.64218442069111181</v>
      </c>
      <c r="U309" s="89">
        <v>195351.0928605065</v>
      </c>
    </row>
    <row r="310" spans="1:21" x14ac:dyDescent="0.2">
      <c r="A310" s="3">
        <v>305</v>
      </c>
      <c r="B310" s="3" t="s">
        <v>1550</v>
      </c>
      <c r="C310" s="3" t="s">
        <v>1282</v>
      </c>
      <c r="D310" s="21">
        <f>VLOOKUP(B310,SYS!$F$5:$G$360,2,FALSE)</f>
        <v>209</v>
      </c>
      <c r="E310" s="21">
        <f>VLOOKUP(C310,SYS!$F$5:$G$360,2,FALSE)</f>
        <v>226</v>
      </c>
      <c r="F310" s="7">
        <v>26</v>
      </c>
      <c r="G310" s="64">
        <f t="shared" si="21"/>
        <v>0.34266935575804897</v>
      </c>
      <c r="H310" s="3">
        <v>-1</v>
      </c>
      <c r="I310" s="3">
        <v>-1</v>
      </c>
      <c r="J310" s="11">
        <v>0</v>
      </c>
      <c r="K310" s="25">
        <f t="shared" si="20"/>
        <v>5.2000000000000006E-3</v>
      </c>
      <c r="L310" s="32">
        <v>0.76400000000000001</v>
      </c>
      <c r="M310" s="32">
        <v>0.76400000000000001</v>
      </c>
      <c r="N310" s="11" t="s">
        <v>670</v>
      </c>
      <c r="O310" s="26" t="str">
        <f>VLOOKUP(TRN!D310,SYS!$G$5:$H$360,2,FALSE)</f>
        <v>西播変電所</v>
      </c>
      <c r="P310" s="26" t="str">
        <f>VLOOKUP(TRN!E310,SYS!$G$5:$H$360,2,FALSE)</f>
        <v>姫路変電所</v>
      </c>
      <c r="Q310" s="26">
        <v>0.57399999999999995</v>
      </c>
      <c r="S310" s="1"/>
      <c r="T310" s="88">
        <v>19931.731582323559</v>
      </c>
      <c r="U310" s="89">
        <v>2.4033319314776249</v>
      </c>
    </row>
    <row r="311" spans="1:21" x14ac:dyDescent="0.2">
      <c r="A311" s="3">
        <v>306</v>
      </c>
      <c r="B311" s="3" t="s">
        <v>937</v>
      </c>
      <c r="C311" s="3" t="s">
        <v>1286</v>
      </c>
      <c r="D311" s="21">
        <f>VLOOKUP(B311,SYS!$F$5:$G$360,2,FALSE)</f>
        <v>208</v>
      </c>
      <c r="E311" s="21">
        <f>VLOOKUP(C311,SYS!$F$5:$G$360,2,FALSE)</f>
        <v>228</v>
      </c>
      <c r="F311" s="7">
        <v>16</v>
      </c>
      <c r="G311" s="64">
        <f t="shared" si="21"/>
        <v>9.6462559984948196E-2</v>
      </c>
      <c r="H311" s="3">
        <v>-1</v>
      </c>
      <c r="I311" s="3">
        <v>-1</v>
      </c>
      <c r="J311" s="11">
        <v>0</v>
      </c>
      <c r="K311" s="25">
        <f t="shared" si="20"/>
        <v>3.2000000000000002E-3</v>
      </c>
      <c r="L311" s="26">
        <v>2.714</v>
      </c>
      <c r="M311" s="26">
        <v>2.714</v>
      </c>
      <c r="N311" s="11" t="s">
        <v>671</v>
      </c>
      <c r="O311" s="26" t="str">
        <f>VLOOKUP(TRN!D311,SYS!$G$5:$H$360,2,FALSE)</f>
        <v>北摂変電所</v>
      </c>
      <c r="P311" s="26" t="str">
        <f>VLOOKUP(TRN!E311,SYS!$G$5:$H$360,2,FALSE)</f>
        <v>４２Ｔ（北神線）</v>
      </c>
      <c r="S311" s="1"/>
      <c r="T311" s="88">
        <v>0.61442699213747887</v>
      </c>
      <c r="U311" s="89">
        <v>1.0155566448746316</v>
      </c>
    </row>
    <row r="312" spans="1:21" x14ac:dyDescent="0.2">
      <c r="A312" s="3">
        <v>307</v>
      </c>
      <c r="B312" s="3" t="s">
        <v>1286</v>
      </c>
      <c r="C312" s="3" t="s">
        <v>1556</v>
      </c>
      <c r="D312" s="21">
        <f>VLOOKUP(B312,SYS!$F$5:$G$360,2,FALSE)</f>
        <v>228</v>
      </c>
      <c r="E312" s="21">
        <f>VLOOKUP(C312,SYS!$F$5:$G$360,2,FALSE)</f>
        <v>227</v>
      </c>
      <c r="F312" s="7">
        <v>12</v>
      </c>
      <c r="G312" s="64">
        <f t="shared" si="21"/>
        <v>9.6462559984948196E-2</v>
      </c>
      <c r="H312" s="3">
        <v>-1</v>
      </c>
      <c r="I312" s="3">
        <v>-1</v>
      </c>
      <c r="J312" s="11">
        <v>0</v>
      </c>
      <c r="K312" s="25">
        <f t="shared" si="20"/>
        <v>2.4000000000000002E-3</v>
      </c>
      <c r="L312" s="26">
        <v>2.714</v>
      </c>
      <c r="M312" s="26">
        <v>2.714</v>
      </c>
      <c r="N312" s="11" t="s">
        <v>672</v>
      </c>
      <c r="O312" s="26" t="str">
        <f>VLOOKUP(TRN!D312,SYS!$G$5:$H$360,2,FALSE)</f>
        <v>４２Ｔ（北神線）</v>
      </c>
      <c r="P312" s="26" t="str">
        <f>VLOOKUP(TRN!E312,SYS!$G$5:$H$360,2,FALSE)</f>
        <v>神戸変電所</v>
      </c>
      <c r="S312" s="1"/>
      <c r="T312" s="88">
        <v>0.75182326099848273</v>
      </c>
      <c r="U312" s="89">
        <v>1.7219284479941477</v>
      </c>
    </row>
    <row r="313" spans="1:21" x14ac:dyDescent="0.2">
      <c r="A313" s="3">
        <v>308</v>
      </c>
      <c r="B313" s="3" t="s">
        <v>1286</v>
      </c>
      <c r="C313" s="3" t="s">
        <v>1288</v>
      </c>
      <c r="D313" s="21">
        <f>VLOOKUP(B313,SYS!$F$5:$G$360,2,FALSE)</f>
        <v>228</v>
      </c>
      <c r="E313" s="21">
        <f>VLOOKUP(C313,SYS!$F$5:$G$360,2,FALSE)</f>
        <v>229</v>
      </c>
      <c r="F313" s="7">
        <v>17</v>
      </c>
      <c r="G313" s="64">
        <f t="shared" si="21"/>
        <v>0.1144228093527751</v>
      </c>
      <c r="H313" s="3">
        <v>-1</v>
      </c>
      <c r="I313" s="3">
        <v>-1</v>
      </c>
      <c r="J313" s="11">
        <v>0</v>
      </c>
      <c r="K313" s="25">
        <f t="shared" si="20"/>
        <v>3.4000000000000002E-3</v>
      </c>
      <c r="L313" s="26">
        <v>2.2879999999999998</v>
      </c>
      <c r="M313" s="26">
        <v>2.2879999999999998</v>
      </c>
      <c r="N313" s="11" t="s">
        <v>673</v>
      </c>
      <c r="O313" s="26" t="str">
        <f>VLOOKUP(TRN!D313,SYS!$G$5:$H$360,2,FALSE)</f>
        <v>４２Ｔ（北神線）</v>
      </c>
      <c r="P313" s="26" t="str">
        <f>VLOOKUP(TRN!E313,SYS!$G$5:$H$360,2,FALSE)</f>
        <v>西神戸変電所</v>
      </c>
      <c r="S313" s="1"/>
      <c r="T313" s="88">
        <v>0.89099374824735722</v>
      </c>
      <c r="U313" s="89">
        <v>1.2831218265295234</v>
      </c>
    </row>
    <row r="314" spans="1:21" x14ac:dyDescent="0.2">
      <c r="A314" s="3">
        <v>309</v>
      </c>
      <c r="B314" s="3" t="s">
        <v>1288</v>
      </c>
      <c r="C314" s="3" t="s">
        <v>1290</v>
      </c>
      <c r="D314" s="21">
        <f>VLOOKUP(B314,SYS!$F$5:$G$360,2,FALSE)</f>
        <v>229</v>
      </c>
      <c r="E314" s="21">
        <f>VLOOKUP(C314,SYS!$F$5:$G$360,2,FALSE)</f>
        <v>230</v>
      </c>
      <c r="F314" s="7">
        <v>28</v>
      </c>
      <c r="G314" s="64">
        <f t="shared" si="21"/>
        <v>0.11402412360590132</v>
      </c>
      <c r="H314" s="3">
        <v>-1</v>
      </c>
      <c r="I314" s="3">
        <v>-1</v>
      </c>
      <c r="J314" s="11">
        <v>0</v>
      </c>
      <c r="K314" s="25">
        <f t="shared" si="20"/>
        <v>5.5999999999999999E-3</v>
      </c>
      <c r="L314" s="26">
        <v>2.2959999999999998</v>
      </c>
      <c r="M314" s="26">
        <v>2.2959999999999998</v>
      </c>
      <c r="N314" s="11" t="s">
        <v>674</v>
      </c>
      <c r="O314" s="26" t="str">
        <f>VLOOKUP(TRN!D314,SYS!$G$5:$H$360,2,FALSE)</f>
        <v>西神戸変電所</v>
      </c>
      <c r="P314" s="26" t="str">
        <f>VLOOKUP(TRN!E314,SYS!$G$5:$H$360,2,FALSE)</f>
        <v>新加古川変電所</v>
      </c>
      <c r="S314" s="1"/>
      <c r="T314" s="88">
        <v>0.86232365812771727</v>
      </c>
      <c r="U314" s="89">
        <v>1.0139587162983217</v>
      </c>
    </row>
    <row r="315" spans="1:21" x14ac:dyDescent="0.2">
      <c r="A315" s="3">
        <v>310</v>
      </c>
      <c r="B315" s="3" t="s">
        <v>1290</v>
      </c>
      <c r="C315" s="3" t="s">
        <v>1292</v>
      </c>
      <c r="D315" s="21">
        <f>VLOOKUP(B315,SYS!$F$5:$G$360,2,FALSE)</f>
        <v>230</v>
      </c>
      <c r="E315" s="21">
        <f>VLOOKUP(C315,SYS!$F$5:$G$360,2,FALSE)</f>
        <v>231</v>
      </c>
      <c r="F315" s="7">
        <v>56</v>
      </c>
      <c r="G315" s="64">
        <f t="shared" si="21"/>
        <v>0.46749890678419531</v>
      </c>
      <c r="H315" s="3">
        <v>-1</v>
      </c>
      <c r="I315" s="3">
        <v>-1</v>
      </c>
      <c r="J315" s="11">
        <v>0</v>
      </c>
      <c r="K315" s="25">
        <f t="shared" si="20"/>
        <v>1.12E-2</v>
      </c>
      <c r="L315" s="26">
        <v>0.56000000000000005</v>
      </c>
      <c r="M315" s="26">
        <v>0.56000000000000005</v>
      </c>
      <c r="N315" s="11" t="s">
        <v>675</v>
      </c>
      <c r="O315" s="26" t="str">
        <f>VLOOKUP(TRN!D315,SYS!$G$5:$H$360,2,FALSE)</f>
        <v>新加古川変電所</v>
      </c>
      <c r="P315" s="26" t="str">
        <f>VLOOKUP(TRN!E315,SYS!$G$5:$H$360,2,FALSE)</f>
        <v>伊丹変電所</v>
      </c>
      <c r="S315" s="1"/>
      <c r="T315" s="88">
        <v>3.0890868141235197</v>
      </c>
      <c r="U315" s="89">
        <v>6732.0600817589266</v>
      </c>
    </row>
    <row r="316" spans="1:21" x14ac:dyDescent="0.2">
      <c r="A316" s="3">
        <v>311</v>
      </c>
      <c r="B316" s="3" t="s">
        <v>1288</v>
      </c>
      <c r="C316" s="3" t="s">
        <v>1284</v>
      </c>
      <c r="D316" s="21">
        <f>VLOOKUP(B316,SYS!$F$5:$G$360,2,FALSE)</f>
        <v>229</v>
      </c>
      <c r="E316" s="21">
        <f>VLOOKUP(C316,SYS!$F$5:$G$360,2,FALSE)</f>
        <v>232</v>
      </c>
      <c r="F316" s="7">
        <v>19</v>
      </c>
      <c r="G316" s="64">
        <f t="shared" si="21"/>
        <v>0.13228872551750853</v>
      </c>
      <c r="H316" s="3">
        <v>-1</v>
      </c>
      <c r="I316" s="3">
        <v>-1</v>
      </c>
      <c r="J316" s="11">
        <v>0</v>
      </c>
      <c r="K316" s="25">
        <f t="shared" si="20"/>
        <v>3.8E-3</v>
      </c>
      <c r="L316" s="26">
        <v>1.9790000000000001</v>
      </c>
      <c r="M316" s="26">
        <v>1.9790000000000001</v>
      </c>
      <c r="N316" s="11" t="s">
        <v>676</v>
      </c>
      <c r="O316" s="26" t="str">
        <f>VLOOKUP(TRN!D316,SYS!$G$5:$H$360,2,FALSE)</f>
        <v>西神戸変電所</v>
      </c>
      <c r="P316" s="26" t="str">
        <f>VLOOKUP(TRN!E316,SYS!$G$5:$H$360,2,FALSE)</f>
        <v>新神戸変電所</v>
      </c>
      <c r="S316" s="1"/>
      <c r="T316" s="88">
        <v>0.92289614646805296</v>
      </c>
      <c r="U316" s="89">
        <v>1.2105277892784438</v>
      </c>
    </row>
    <row r="317" spans="1:21" x14ac:dyDescent="0.2">
      <c r="A317" s="3">
        <v>312</v>
      </c>
      <c r="B317" s="3" t="s">
        <v>1256</v>
      </c>
      <c r="C317" s="3" t="s">
        <v>1294</v>
      </c>
      <c r="D317" s="21">
        <f>VLOOKUP(B317,SYS!$F$5:$G$360,2,FALSE)</f>
        <v>210</v>
      </c>
      <c r="E317" s="21">
        <f>VLOOKUP(C317,SYS!$F$5:$G$360,2,FALSE)</f>
        <v>233</v>
      </c>
      <c r="F317" s="7">
        <v>12</v>
      </c>
      <c r="G317" s="64">
        <f t="shared" si="21"/>
        <v>0.11402412360590132</v>
      </c>
      <c r="H317" s="3">
        <v>-1</v>
      </c>
      <c r="I317" s="3">
        <v>-1</v>
      </c>
      <c r="J317" s="11">
        <v>0</v>
      </c>
      <c r="K317" s="25">
        <f t="shared" si="20"/>
        <v>2.4000000000000002E-3</v>
      </c>
      <c r="L317" s="26">
        <v>2.2959999999999998</v>
      </c>
      <c r="M317" s="26">
        <v>2.2959999999999998</v>
      </c>
      <c r="N317" s="11" t="s">
        <v>677</v>
      </c>
      <c r="O317" s="26" t="str">
        <f>VLOOKUP(TRN!D317,SYS!$G$5:$H$360,2,FALSE)</f>
        <v>猪名川変電所</v>
      </c>
      <c r="P317" s="26" t="str">
        <f>VLOOKUP(TRN!E317,SYS!$G$5:$H$360,2,FALSE)</f>
        <v>宝塚開閉所</v>
      </c>
      <c r="S317" s="1"/>
      <c r="T317" s="88">
        <v>0.63570267568477357</v>
      </c>
      <c r="U317" s="89">
        <v>1.4693019760407218</v>
      </c>
    </row>
    <row r="318" spans="1:21" x14ac:dyDescent="0.2">
      <c r="A318" s="3">
        <v>313</v>
      </c>
      <c r="B318" s="3" t="s">
        <v>1294</v>
      </c>
      <c r="C318" s="3" t="s">
        <v>1292</v>
      </c>
      <c r="D318" s="21">
        <f>VLOOKUP(B318,SYS!$F$5:$G$360,2,FALSE)</f>
        <v>233</v>
      </c>
      <c r="E318" s="21">
        <f>VLOOKUP(C318,SYS!$F$5:$G$360,2,FALSE)</f>
        <v>231</v>
      </c>
      <c r="F318" s="7">
        <v>13</v>
      </c>
      <c r="G318" s="64">
        <f t="shared" si="21"/>
        <v>0.19758444362199956</v>
      </c>
      <c r="H318" s="3">
        <v>-1</v>
      </c>
      <c r="I318" s="3">
        <v>-1</v>
      </c>
      <c r="J318" s="11">
        <v>0</v>
      </c>
      <c r="K318" s="25">
        <f t="shared" si="20"/>
        <v>2.6000000000000003E-3</v>
      </c>
      <c r="L318" s="26">
        <v>1.325</v>
      </c>
      <c r="M318" s="26">
        <v>1.325</v>
      </c>
      <c r="N318" s="11" t="s">
        <v>678</v>
      </c>
      <c r="O318" s="26" t="str">
        <f>VLOOKUP(TRN!D318,SYS!$G$5:$H$360,2,FALSE)</f>
        <v>宝塚開閉所</v>
      </c>
      <c r="P318" s="26" t="str">
        <f>VLOOKUP(TRN!E318,SYS!$G$5:$H$360,2,FALSE)</f>
        <v>伊丹変電所</v>
      </c>
      <c r="S318" s="1"/>
      <c r="T318" s="88">
        <v>1.3174903166890772</v>
      </c>
      <c r="U318" s="89">
        <v>2.183840261168724</v>
      </c>
    </row>
    <row r="319" spans="1:21" x14ac:dyDescent="0.2">
      <c r="A319" s="3">
        <v>314</v>
      </c>
      <c r="B319" s="3" t="s">
        <v>1294</v>
      </c>
      <c r="C319" s="3" t="s">
        <v>1284</v>
      </c>
      <c r="D319" s="21">
        <f>VLOOKUP(B319,SYS!$F$5:$G$360,2,FALSE)</f>
        <v>233</v>
      </c>
      <c r="E319" s="21">
        <f>VLOOKUP(C319,SYS!$F$5:$G$360,2,FALSE)</f>
        <v>232</v>
      </c>
      <c r="F319" s="7">
        <v>20</v>
      </c>
      <c r="G319" s="64">
        <f t="shared" si="21"/>
        <v>0.19833286954481014</v>
      </c>
      <c r="H319" s="3">
        <v>-1</v>
      </c>
      <c r="I319" s="3">
        <v>-1</v>
      </c>
      <c r="J319" s="11">
        <v>0</v>
      </c>
      <c r="K319" s="25">
        <f t="shared" si="20"/>
        <v>4.0000000000000001E-3</v>
      </c>
      <c r="L319" s="26">
        <v>1.32</v>
      </c>
      <c r="M319" s="26">
        <v>1.32</v>
      </c>
      <c r="N319" s="11" t="s">
        <v>679</v>
      </c>
      <c r="O319" s="26" t="str">
        <f>VLOOKUP(TRN!D319,SYS!$G$5:$H$360,2,FALSE)</f>
        <v>宝塚開閉所</v>
      </c>
      <c r="P319" s="26" t="str">
        <f>VLOOKUP(TRN!E319,SYS!$G$5:$H$360,2,FALSE)</f>
        <v>新神戸変電所</v>
      </c>
      <c r="S319" s="1"/>
      <c r="T319" s="88">
        <v>1.7379273181949912</v>
      </c>
      <c r="U319" s="89">
        <v>1.6607219208936892</v>
      </c>
    </row>
    <row r="320" spans="1:21" x14ac:dyDescent="0.2">
      <c r="A320" s="3">
        <v>315</v>
      </c>
      <c r="B320" s="3" t="s">
        <v>1260</v>
      </c>
      <c r="C320" s="3" t="s">
        <v>1560</v>
      </c>
      <c r="D320" s="21">
        <f>VLOOKUP(B320,SYS!$F$5:$G$360,2,FALSE)</f>
        <v>213</v>
      </c>
      <c r="E320" s="21">
        <f>VLOOKUP(C320,SYS!$F$5:$G$360,2,FALSE)</f>
        <v>234</v>
      </c>
      <c r="F320" s="7">
        <v>15</v>
      </c>
      <c r="G320" s="64">
        <f t="shared" si="21"/>
        <v>9.6462559984948196E-2</v>
      </c>
      <c r="H320" s="3">
        <v>-1</v>
      </c>
      <c r="I320" s="3">
        <v>-1</v>
      </c>
      <c r="J320" s="11">
        <v>0</v>
      </c>
      <c r="K320" s="25">
        <f t="shared" si="20"/>
        <v>3.0000000000000001E-3</v>
      </c>
      <c r="L320" s="26">
        <v>2.714</v>
      </c>
      <c r="M320" s="26">
        <v>2.714</v>
      </c>
      <c r="N320" s="11" t="s">
        <v>680</v>
      </c>
      <c r="O320" s="26" t="str">
        <f>VLOOKUP(TRN!D320,SYS!$G$5:$H$360,2,FALSE)</f>
        <v>能勢変電所</v>
      </c>
      <c r="P320" s="26" t="str">
        <f>VLOOKUP(TRN!E320,SYS!$G$5:$H$360,2,FALSE)</f>
        <v>西大阪変電所</v>
      </c>
      <c r="S320" s="1"/>
      <c r="T320" s="88">
        <v>0.66107455280378036</v>
      </c>
      <c r="U320" s="89">
        <v>0.88547316086759309</v>
      </c>
    </row>
    <row r="321" spans="1:21" x14ac:dyDescent="0.2">
      <c r="A321" s="3">
        <v>316</v>
      </c>
      <c r="B321" s="3" t="s">
        <v>1294</v>
      </c>
      <c r="C321" s="3" t="s">
        <v>1300</v>
      </c>
      <c r="D321" s="21">
        <f>VLOOKUP(B321,SYS!$F$5:$G$360,2,FALSE)</f>
        <v>233</v>
      </c>
      <c r="E321" s="21">
        <f>VLOOKUP(C321,SYS!$F$5:$G$360,2,FALSE)</f>
        <v>236</v>
      </c>
      <c r="F321" s="7">
        <v>12</v>
      </c>
      <c r="G321" s="64">
        <f t="shared" si="21"/>
        <v>0.26471121112148577</v>
      </c>
      <c r="H321" s="3">
        <v>-1</v>
      </c>
      <c r="I321" s="3">
        <v>-1</v>
      </c>
      <c r="J321" s="11">
        <v>0</v>
      </c>
      <c r="K321" s="25">
        <f t="shared" si="20"/>
        <v>2.4000000000000002E-3</v>
      </c>
      <c r="L321" s="26">
        <v>0.98899999999999999</v>
      </c>
      <c r="M321" s="26">
        <v>0.98899999999999999</v>
      </c>
      <c r="N321" s="11" t="s">
        <v>681</v>
      </c>
      <c r="O321" s="26" t="str">
        <f>VLOOKUP(TRN!D321,SYS!$G$5:$H$360,2,FALSE)</f>
        <v>宝塚開閉所</v>
      </c>
      <c r="P321" s="26" t="str">
        <f>VLOOKUP(TRN!E321,SYS!$G$5:$H$360,2,FALSE)</f>
        <v>１７Ｔ（北大阪線）</v>
      </c>
      <c r="S321" s="1"/>
      <c r="T321" s="88">
        <v>1.9842330171307483</v>
      </c>
      <c r="U321" s="89">
        <v>2.1457656869081263</v>
      </c>
    </row>
    <row r="322" spans="1:21" x14ac:dyDescent="0.2">
      <c r="A322" s="3">
        <v>317</v>
      </c>
      <c r="B322" s="3" t="s">
        <v>1560</v>
      </c>
      <c r="C322" s="3" t="s">
        <v>1300</v>
      </c>
      <c r="D322" s="21">
        <f>VLOOKUP(B322,SYS!$F$5:$G$360,2,FALSE)</f>
        <v>234</v>
      </c>
      <c r="E322" s="21">
        <f>VLOOKUP(C322,SYS!$F$5:$G$360,2,FALSE)</f>
        <v>236</v>
      </c>
      <c r="F322" s="7">
        <v>1</v>
      </c>
      <c r="G322" s="64">
        <f t="shared" si="21"/>
        <v>0.2288456187055502</v>
      </c>
      <c r="H322" s="3">
        <v>-1</v>
      </c>
      <c r="I322" s="3">
        <v>-1</v>
      </c>
      <c r="J322" s="11">
        <v>0</v>
      </c>
      <c r="K322" s="25">
        <f t="shared" si="20"/>
        <v>2.0000000000000001E-4</v>
      </c>
      <c r="L322" s="26">
        <v>1.1439999999999999</v>
      </c>
      <c r="M322" s="26">
        <v>1.1439999999999999</v>
      </c>
      <c r="N322" s="11" t="s">
        <v>682</v>
      </c>
      <c r="O322" s="26" t="str">
        <f>VLOOKUP(TRN!D322,SYS!$G$5:$H$360,2,FALSE)</f>
        <v>西大阪変電所</v>
      </c>
      <c r="P322" s="26" t="str">
        <f>VLOOKUP(TRN!E322,SYS!$G$5:$H$360,2,FALSE)</f>
        <v>１７Ｔ（北大阪線）</v>
      </c>
      <c r="S322" s="1"/>
      <c r="T322" s="88">
        <v>1.5230690813133207</v>
      </c>
      <c r="U322" s="89">
        <v>2.1373348704930537</v>
      </c>
    </row>
    <row r="323" spans="1:21" x14ac:dyDescent="0.2">
      <c r="A323" s="3">
        <v>318</v>
      </c>
      <c r="B323" s="3" t="s">
        <v>1258</v>
      </c>
      <c r="C323" s="3" t="s">
        <v>1302</v>
      </c>
      <c r="D323" s="21">
        <f>VLOOKUP(B323,SYS!$F$5:$G$360,2,FALSE)</f>
        <v>212</v>
      </c>
      <c r="E323" s="21">
        <f>VLOOKUP(C323,SYS!$F$5:$G$360,2,FALSE)</f>
        <v>237</v>
      </c>
      <c r="F323" s="7">
        <v>13</v>
      </c>
      <c r="G323" s="64">
        <f t="shared" si="21"/>
        <v>0.11402412360590132</v>
      </c>
      <c r="H323" s="3">
        <v>-1</v>
      </c>
      <c r="I323" s="3">
        <v>-1</v>
      </c>
      <c r="J323" s="11">
        <v>0</v>
      </c>
      <c r="K323" s="25">
        <f t="shared" si="20"/>
        <v>2.6000000000000003E-3</v>
      </c>
      <c r="L323" s="26">
        <v>2.2959999999999998</v>
      </c>
      <c r="M323" s="26">
        <v>2.2959999999999998</v>
      </c>
      <c r="N323" s="11" t="s">
        <v>683</v>
      </c>
      <c r="O323" s="26" t="str">
        <f>VLOOKUP(TRN!D323,SYS!$G$5:$H$360,2,FALSE)</f>
        <v>西京都変電所</v>
      </c>
      <c r="P323" s="26" t="str">
        <f>VLOOKUP(TRN!E323,SYS!$G$5:$H$360,2,FALSE)</f>
        <v>淀川変電所</v>
      </c>
      <c r="S323" s="1"/>
      <c r="T323" s="88">
        <v>0.68431088064555257</v>
      </c>
      <c r="U323" s="89">
        <v>1.254383172479151</v>
      </c>
    </row>
    <row r="324" spans="1:21" x14ac:dyDescent="0.2">
      <c r="A324" s="3">
        <v>319</v>
      </c>
      <c r="B324" s="3" t="s">
        <v>1302</v>
      </c>
      <c r="C324" s="3" t="s">
        <v>1298</v>
      </c>
      <c r="D324" s="21">
        <f>VLOOKUP(B324,SYS!$F$5:$G$360,2,FALSE)</f>
        <v>237</v>
      </c>
      <c r="E324" s="21">
        <f>VLOOKUP(C324,SYS!$F$5:$G$360,2,FALSE)</f>
        <v>235</v>
      </c>
      <c r="F324" s="7">
        <v>29</v>
      </c>
      <c r="G324" s="64">
        <f t="shared" si="21"/>
        <v>0.26471121112148577</v>
      </c>
      <c r="H324" s="3">
        <v>-1</v>
      </c>
      <c r="I324" s="3">
        <v>-1</v>
      </c>
      <c r="J324" s="11">
        <v>0</v>
      </c>
      <c r="K324" s="25">
        <f t="shared" si="20"/>
        <v>5.8000000000000005E-3</v>
      </c>
      <c r="L324" s="26">
        <v>0.98899999999999999</v>
      </c>
      <c r="M324" s="26">
        <v>0.98899999999999999</v>
      </c>
      <c r="N324" s="11" t="s">
        <v>684</v>
      </c>
      <c r="O324" s="26" t="str">
        <f>VLOOKUP(TRN!D324,SYS!$G$5:$H$360,2,FALSE)</f>
        <v>淀川変電所</v>
      </c>
      <c r="P324" s="26" t="str">
        <f>VLOOKUP(TRN!E324,SYS!$G$5:$H$360,2,FALSE)</f>
        <v>北大阪変電所</v>
      </c>
      <c r="S324" s="1"/>
      <c r="T324" s="88">
        <v>1.7459246584337158</v>
      </c>
      <c r="U324" s="89">
        <v>2.5396716557500176</v>
      </c>
    </row>
    <row r="325" spans="1:21" x14ac:dyDescent="0.2">
      <c r="A325" s="3">
        <v>320</v>
      </c>
      <c r="B325" s="3" t="s">
        <v>1266</v>
      </c>
      <c r="C325" s="3" t="s">
        <v>1562</v>
      </c>
      <c r="D325" s="21">
        <f>VLOOKUP(B325,SYS!$F$5:$G$360,2,FALSE)</f>
        <v>216</v>
      </c>
      <c r="E325" s="21">
        <f>VLOOKUP(C325,SYS!$F$5:$G$360,2,FALSE)</f>
        <v>238</v>
      </c>
      <c r="F325" s="7">
        <v>5</v>
      </c>
      <c r="G325" s="64">
        <f t="shared" si="21"/>
        <v>0.19292511996989639</v>
      </c>
      <c r="H325" s="3">
        <v>-1</v>
      </c>
      <c r="I325" s="3">
        <v>-1</v>
      </c>
      <c r="J325" s="11">
        <v>0</v>
      </c>
      <c r="K325" s="25">
        <f t="shared" si="20"/>
        <v>1E-3</v>
      </c>
      <c r="L325" s="26">
        <v>1.357</v>
      </c>
      <c r="M325" s="26">
        <v>1.357</v>
      </c>
      <c r="N325" s="11" t="s">
        <v>685</v>
      </c>
      <c r="O325" s="26" t="str">
        <f>VLOOKUP(TRN!D325,SYS!$G$5:$H$360,2,FALSE)</f>
        <v>南京都変電所</v>
      </c>
      <c r="P325" s="26" t="str">
        <f>VLOOKUP(TRN!E325,SYS!$G$5:$H$360,2,FALSE)</f>
        <v>喜線山発電所</v>
      </c>
      <c r="S325" s="1"/>
      <c r="T325" s="88">
        <v>2.4713243355842103</v>
      </c>
      <c r="U325" s="89">
        <v>1.4106051996153499</v>
      </c>
    </row>
    <row r="326" spans="1:21" x14ac:dyDescent="0.2">
      <c r="A326" s="3">
        <v>321</v>
      </c>
      <c r="B326" s="3" t="s">
        <v>1562</v>
      </c>
      <c r="C326" s="3" t="s">
        <v>1564</v>
      </c>
      <c r="D326" s="21">
        <f>VLOOKUP(B326,SYS!$F$5:$G$360,2,FALSE)</f>
        <v>238</v>
      </c>
      <c r="E326" s="21">
        <f>VLOOKUP(C326,SYS!$F$5:$G$360,2,FALSE)</f>
        <v>239</v>
      </c>
      <c r="F326" s="7">
        <v>6</v>
      </c>
      <c r="G326" s="64">
        <f t="shared" si="21"/>
        <v>0.19292511996989639</v>
      </c>
      <c r="H326" s="3">
        <v>-1</v>
      </c>
      <c r="I326" s="3">
        <v>-1</v>
      </c>
      <c r="J326" s="11">
        <v>0</v>
      </c>
      <c r="K326" s="25">
        <f t="shared" si="20"/>
        <v>1.2000000000000001E-3</v>
      </c>
      <c r="L326" s="26">
        <v>1.357</v>
      </c>
      <c r="M326" s="26">
        <v>1.357</v>
      </c>
      <c r="N326" s="11" t="s">
        <v>686</v>
      </c>
      <c r="O326" s="26" t="str">
        <f>VLOOKUP(TRN!D326,SYS!$G$5:$H$360,2,FALSE)</f>
        <v>喜線山発電所</v>
      </c>
      <c r="P326" s="26" t="str">
        <f>VLOOKUP(TRN!E326,SYS!$G$5:$H$360,2,FALSE)</f>
        <v>湖南変電所</v>
      </c>
      <c r="S326" s="1"/>
      <c r="T326" s="88">
        <v>1.3393459306479119</v>
      </c>
      <c r="U326" s="89">
        <v>2.1401907948321637</v>
      </c>
    </row>
    <row r="327" spans="1:21" x14ac:dyDescent="0.2">
      <c r="A327" s="3">
        <v>322</v>
      </c>
      <c r="B327" s="3" t="s">
        <v>1564</v>
      </c>
      <c r="C327" s="3" t="s">
        <v>1306</v>
      </c>
      <c r="D327" s="21">
        <f>VLOOKUP(B327,SYS!$F$5:$G$360,2,FALSE)</f>
        <v>239</v>
      </c>
      <c r="E327" s="21">
        <f>VLOOKUP(C327,SYS!$F$5:$G$360,2,FALSE)</f>
        <v>240</v>
      </c>
      <c r="F327" s="7">
        <v>13</v>
      </c>
      <c r="G327" s="64">
        <f t="shared" si="21"/>
        <v>0.45609649442360528</v>
      </c>
      <c r="H327" s="3">
        <v>-1</v>
      </c>
      <c r="I327" s="3">
        <v>-1</v>
      </c>
      <c r="J327" s="11">
        <v>0</v>
      </c>
      <c r="K327" s="25">
        <f t="shared" si="20"/>
        <v>2.6000000000000003E-3</v>
      </c>
      <c r="L327" s="26">
        <v>0.57399999999999995</v>
      </c>
      <c r="M327" s="26">
        <v>0.57399999999999995</v>
      </c>
      <c r="N327" s="11" t="s">
        <v>687</v>
      </c>
      <c r="O327" s="26" t="str">
        <f>VLOOKUP(TRN!D327,SYS!$G$5:$H$360,2,FALSE)</f>
        <v>湖南変電所</v>
      </c>
      <c r="P327" s="26" t="str">
        <f>VLOOKUP(TRN!E327,SYS!$G$5:$H$360,2,FALSE)</f>
        <v>栗東変電所</v>
      </c>
      <c r="S327" s="1"/>
      <c r="T327" s="88">
        <v>32482.192750339767</v>
      </c>
      <c r="U327" s="89">
        <v>4.3604346899832844</v>
      </c>
    </row>
    <row r="328" spans="1:21" x14ac:dyDescent="0.2">
      <c r="A328" s="3">
        <v>323</v>
      </c>
      <c r="B328" s="3" t="s">
        <v>1266</v>
      </c>
      <c r="C328" s="3" t="s">
        <v>1308</v>
      </c>
      <c r="D328" s="21">
        <f>VLOOKUP(B328,SYS!$F$5:$G$360,2,FALSE)</f>
        <v>216</v>
      </c>
      <c r="E328" s="21">
        <f>VLOOKUP(C328,SYS!$F$5:$G$360,2,FALSE)</f>
        <v>241</v>
      </c>
      <c r="F328" s="7">
        <v>31</v>
      </c>
      <c r="G328" s="64">
        <f t="shared" si="21"/>
        <v>0.36462310278433069</v>
      </c>
      <c r="H328" s="3">
        <v>-1</v>
      </c>
      <c r="I328" s="3">
        <v>-1</v>
      </c>
      <c r="J328" s="11">
        <v>0</v>
      </c>
      <c r="K328" s="25">
        <f t="shared" si="20"/>
        <v>6.2000000000000006E-3</v>
      </c>
      <c r="L328" s="26">
        <v>0.71799999999999997</v>
      </c>
      <c r="M328" s="26">
        <v>0.71799999999999997</v>
      </c>
      <c r="N328" s="11" t="s">
        <v>688</v>
      </c>
      <c r="O328" s="26" t="str">
        <f>VLOOKUP(TRN!D328,SYS!$G$5:$H$360,2,FALSE)</f>
        <v>南京都変電所</v>
      </c>
      <c r="P328" s="26" t="str">
        <f>VLOOKUP(TRN!E328,SYS!$G$5:$H$360,2,FALSE)</f>
        <v>甲賀変電所</v>
      </c>
      <c r="S328" s="1"/>
      <c r="T328" s="88">
        <v>56.340979840237367</v>
      </c>
      <c r="U328" s="89">
        <v>4.2991980334522388</v>
      </c>
    </row>
    <row r="329" spans="1:21" x14ac:dyDescent="0.2">
      <c r="A329" s="3">
        <v>324</v>
      </c>
      <c r="B329" s="3" t="s">
        <v>1266</v>
      </c>
      <c r="C329" s="3" t="s">
        <v>1310</v>
      </c>
      <c r="D329" s="21">
        <f>VLOOKUP(B329,SYS!$F$5:$G$360,2,FALSE)</f>
        <v>216</v>
      </c>
      <c r="E329" s="21">
        <f>VLOOKUP(C329,SYS!$F$5:$G$360,2,FALSE)</f>
        <v>242</v>
      </c>
      <c r="F329" s="7">
        <v>21</v>
      </c>
      <c r="G329" s="64">
        <f t="shared" si="21"/>
        <v>9.6462559984948196E-2</v>
      </c>
      <c r="H329" s="3">
        <v>-1</v>
      </c>
      <c r="I329" s="3">
        <v>-1</v>
      </c>
      <c r="J329" s="11">
        <v>0</v>
      </c>
      <c r="K329" s="25">
        <f t="shared" si="20"/>
        <v>4.2000000000000006E-3</v>
      </c>
      <c r="L329" s="26">
        <v>2.714</v>
      </c>
      <c r="M329" s="26">
        <v>2.714</v>
      </c>
      <c r="N329" s="11" t="s">
        <v>689</v>
      </c>
      <c r="O329" s="26" t="str">
        <f>VLOOKUP(TRN!D329,SYS!$G$5:$H$360,2,FALSE)</f>
        <v>南京都変電所</v>
      </c>
      <c r="P329" s="26" t="str">
        <f>VLOOKUP(TRN!E329,SYS!$G$5:$H$360,2,FALSE)</f>
        <v>枚方変電所（洛南）</v>
      </c>
      <c r="S329" s="1"/>
      <c r="T329" s="88">
        <v>0.78026494030796334</v>
      </c>
      <c r="U329" s="89">
        <v>0.71503296972574626</v>
      </c>
    </row>
    <row r="330" spans="1:21" x14ac:dyDescent="0.2">
      <c r="A330" s="3">
        <v>325</v>
      </c>
      <c r="B330" s="3" t="s">
        <v>1312</v>
      </c>
      <c r="C330" s="3" t="s">
        <v>1324</v>
      </c>
      <c r="D330" s="21">
        <f>VLOOKUP(B330,SYS!$F$5:$G$360,2,FALSE)</f>
        <v>243</v>
      </c>
      <c r="E330" s="21">
        <f>VLOOKUP(C330,SYS!$F$5:$G$360,2,FALSE)</f>
        <v>255</v>
      </c>
      <c r="F330" s="7">
        <v>8</v>
      </c>
      <c r="G330" s="64">
        <f t="shared" si="21"/>
        <v>0.26471121112148577</v>
      </c>
      <c r="H330" s="3">
        <v>-1</v>
      </c>
      <c r="I330" s="3">
        <v>-1</v>
      </c>
      <c r="J330" s="11">
        <v>0</v>
      </c>
      <c r="K330" s="25">
        <f t="shared" si="20"/>
        <v>1.6000000000000001E-3</v>
      </c>
      <c r="L330" s="26">
        <v>0.98899999999999999</v>
      </c>
      <c r="M330" s="26">
        <v>0.98899999999999999</v>
      </c>
      <c r="N330" s="11" t="s">
        <v>690</v>
      </c>
      <c r="O330" s="26" t="str">
        <f>VLOOKUP(TRN!D330,SYS!$G$5:$H$360,2,FALSE)</f>
        <v>枚方変電所</v>
      </c>
      <c r="P330" s="26" t="str">
        <f>VLOOKUP(TRN!E330,SYS!$G$5:$H$360,2,FALSE)</f>
        <v>東大阪線分岐点</v>
      </c>
      <c r="S330" s="1"/>
      <c r="T330" s="88">
        <v>2.6445966205614777</v>
      </c>
      <c r="U330" s="89">
        <v>1.6878798863796187</v>
      </c>
    </row>
    <row r="331" spans="1:21" x14ac:dyDescent="0.2">
      <c r="A331" s="3">
        <v>326</v>
      </c>
      <c r="B331" s="3" t="s">
        <v>1262</v>
      </c>
      <c r="C331" s="3" t="s">
        <v>1294</v>
      </c>
      <c r="D331" s="21">
        <f>VLOOKUP(B331,SYS!$F$5:$G$360,2,FALSE)</f>
        <v>214</v>
      </c>
      <c r="E331" s="21">
        <f>VLOOKUP(C331,SYS!$F$5:$G$360,2,FALSE)</f>
        <v>233</v>
      </c>
      <c r="F331" s="7">
        <v>55</v>
      </c>
      <c r="G331" s="64">
        <f t="shared" si="21"/>
        <v>0.1308996938995747</v>
      </c>
      <c r="H331" s="3">
        <v>-1</v>
      </c>
      <c r="I331" s="3">
        <v>-1</v>
      </c>
      <c r="J331" s="11">
        <v>0</v>
      </c>
      <c r="K331" s="25">
        <f t="shared" si="20"/>
        <v>1.1000000000000001E-2</v>
      </c>
      <c r="L331" s="26">
        <v>2</v>
      </c>
      <c r="M331" s="26">
        <v>2</v>
      </c>
      <c r="N331" s="11" t="s">
        <v>691</v>
      </c>
      <c r="O331" s="26" t="str">
        <f>VLOOKUP(TRN!D331,SYS!$G$5:$H$360,2,FALSE)</f>
        <v>新生駒変電所</v>
      </c>
      <c r="P331" s="26" t="str">
        <f>VLOOKUP(TRN!E331,SYS!$G$5:$H$360,2,FALSE)</f>
        <v>宝塚開閉所</v>
      </c>
      <c r="S331" s="1"/>
      <c r="T331" s="88">
        <v>939.23763226663345</v>
      </c>
      <c r="U331" s="89">
        <v>0.843752533413337</v>
      </c>
    </row>
    <row r="332" spans="1:21" x14ac:dyDescent="0.2">
      <c r="A332" s="3">
        <v>327</v>
      </c>
      <c r="B332" s="3" t="s">
        <v>1262</v>
      </c>
      <c r="C332" s="3" t="s">
        <v>1314</v>
      </c>
      <c r="D332" s="21">
        <f>VLOOKUP(B332,SYS!$F$5:$G$360,2,FALSE)</f>
        <v>214</v>
      </c>
      <c r="E332" s="21">
        <f>VLOOKUP(C332,SYS!$F$5:$G$360,2,FALSE)</f>
        <v>245</v>
      </c>
      <c r="F332" s="7">
        <v>9</v>
      </c>
      <c r="G332" s="64">
        <f t="shared" si="21"/>
        <v>9.6462559984948196E-2</v>
      </c>
      <c r="H332" s="3">
        <v>-1</v>
      </c>
      <c r="I332" s="3">
        <v>-1</v>
      </c>
      <c r="J332" s="11">
        <v>0</v>
      </c>
      <c r="K332" s="25">
        <f t="shared" si="20"/>
        <v>1.8000000000000002E-3</v>
      </c>
      <c r="L332" s="26">
        <v>2.714</v>
      </c>
      <c r="M332" s="26">
        <v>2.714</v>
      </c>
      <c r="N332" s="11" t="s">
        <v>692</v>
      </c>
      <c r="O332" s="26" t="str">
        <f>VLOOKUP(TRN!D332,SYS!$G$5:$H$360,2,FALSE)</f>
        <v>新生駒変電所</v>
      </c>
      <c r="P332" s="26" t="str">
        <f>VLOOKUP(TRN!E332,SYS!$G$5:$H$360,2,FALSE)</f>
        <v>東大阪変電所</v>
      </c>
      <c r="S332" s="1"/>
      <c r="T332" s="88">
        <v>0.48074069542582792</v>
      </c>
      <c r="U332" s="89">
        <v>522.37397334275488</v>
      </c>
    </row>
    <row r="333" spans="1:21" x14ac:dyDescent="0.2">
      <c r="A333" s="3">
        <v>328</v>
      </c>
      <c r="B333" s="3" t="s">
        <v>1314</v>
      </c>
      <c r="C333" s="3" t="s">
        <v>1316</v>
      </c>
      <c r="D333" s="21">
        <f>VLOOKUP(B333,SYS!$F$5:$G$360,2,FALSE)</f>
        <v>245</v>
      </c>
      <c r="E333" s="21">
        <f>VLOOKUP(C333,SYS!$F$5:$G$360,2,FALSE)</f>
        <v>246</v>
      </c>
      <c r="F333" s="7">
        <v>28</v>
      </c>
      <c r="G333" s="64">
        <f t="shared" si="21"/>
        <v>0.20169444360489167</v>
      </c>
      <c r="H333" s="3">
        <v>-1</v>
      </c>
      <c r="I333" s="3">
        <v>-1</v>
      </c>
      <c r="J333" s="11">
        <v>0</v>
      </c>
      <c r="K333" s="25">
        <f t="shared" si="20"/>
        <v>5.5999999999999999E-3</v>
      </c>
      <c r="L333" s="32">
        <v>1.298</v>
      </c>
      <c r="M333" s="32">
        <v>1.298</v>
      </c>
      <c r="N333" s="11" t="s">
        <v>693</v>
      </c>
      <c r="O333" s="26" t="str">
        <f>VLOOKUP(TRN!D333,SYS!$G$5:$H$360,2,FALSE)</f>
        <v>東大阪変電所</v>
      </c>
      <c r="P333" s="26" t="str">
        <f>VLOOKUP(TRN!E333,SYS!$G$5:$H$360,2,FALSE)</f>
        <v>南河内変電所</v>
      </c>
      <c r="Q333" s="26">
        <v>0.97699999999999998</v>
      </c>
      <c r="S333" s="1"/>
      <c r="T333" s="88">
        <v>1.4710210307906135</v>
      </c>
      <c r="U333" s="89">
        <v>2.1172426365201624</v>
      </c>
    </row>
    <row r="334" spans="1:21" x14ac:dyDescent="0.2">
      <c r="A334" s="3">
        <v>329</v>
      </c>
      <c r="B334" s="3" t="s">
        <v>1316</v>
      </c>
      <c r="C334" s="3" t="s">
        <v>1220</v>
      </c>
      <c r="D334" s="21">
        <f>VLOOKUP(B334,SYS!$F$5:$G$360,2,FALSE)</f>
        <v>246</v>
      </c>
      <c r="E334" s="21">
        <f>VLOOKUP(C334,SYS!$F$5:$G$360,2,FALSE)</f>
        <v>247</v>
      </c>
      <c r="F334" s="7">
        <v>35</v>
      </c>
      <c r="G334" s="64">
        <f t="shared" si="21"/>
        <v>0.17453292519943295</v>
      </c>
      <c r="H334" s="3">
        <v>-1</v>
      </c>
      <c r="I334" s="3">
        <v>-1</v>
      </c>
      <c r="J334" s="11">
        <v>0</v>
      </c>
      <c r="K334" s="25">
        <f t="shared" si="20"/>
        <v>7.0000000000000001E-3</v>
      </c>
      <c r="L334" s="32">
        <v>1.5</v>
      </c>
      <c r="M334" s="32">
        <v>1.5</v>
      </c>
      <c r="N334" s="11" t="s">
        <v>694</v>
      </c>
      <c r="O334" s="26" t="str">
        <f>VLOOKUP(TRN!D334,SYS!$G$5:$H$360,2,FALSE)</f>
        <v>南河内変電所</v>
      </c>
      <c r="P334" s="26" t="str">
        <f>VLOOKUP(TRN!E334,SYS!$G$5:$H$360,2,FALSE)</f>
        <v>泉南変電所</v>
      </c>
      <c r="Q334" s="26">
        <v>0.97699999999999998</v>
      </c>
      <c r="S334" s="1"/>
      <c r="T334" s="88">
        <v>1.3912268406272248</v>
      </c>
      <c r="U334" s="89">
        <v>1.419570355252106</v>
      </c>
    </row>
    <row r="335" spans="1:21" x14ac:dyDescent="0.2">
      <c r="A335" s="3">
        <v>330</v>
      </c>
      <c r="B335" s="3" t="s">
        <v>977</v>
      </c>
      <c r="C335" s="3" t="s">
        <v>1318</v>
      </c>
      <c r="D335" s="21">
        <f>VLOOKUP(B335,SYS!$F$5:$G$360,2,FALSE)</f>
        <v>248</v>
      </c>
      <c r="E335" s="21">
        <f>VLOOKUP(C335,SYS!$F$5:$G$360,2,FALSE)</f>
        <v>249</v>
      </c>
      <c r="F335" s="7">
        <v>15</v>
      </c>
      <c r="G335" s="64">
        <f t="shared" si="21"/>
        <v>9.6462559984948196E-2</v>
      </c>
      <c r="H335" s="3">
        <v>-1</v>
      </c>
      <c r="I335" s="3">
        <v>-1</v>
      </c>
      <c r="J335" s="11">
        <v>0</v>
      </c>
      <c r="K335" s="25">
        <f t="shared" si="20"/>
        <v>3.0000000000000001E-3</v>
      </c>
      <c r="L335" s="26">
        <v>2.714</v>
      </c>
      <c r="M335" s="26">
        <v>2.714</v>
      </c>
      <c r="N335" s="11" t="s">
        <v>695</v>
      </c>
      <c r="O335" s="26" t="str">
        <f>VLOOKUP(TRN!D335,SYS!$G$5:$H$360,2,FALSE)</f>
        <v>金剛開閉所</v>
      </c>
      <c r="P335" s="26" t="str">
        <f>VLOOKUP(TRN!E335,SYS!$G$5:$H$360,2,FALSE)</f>
        <v>南大阪変電所</v>
      </c>
      <c r="S335" s="1"/>
      <c r="T335" s="88">
        <v>0.71998032783570531</v>
      </c>
      <c r="U335" s="89">
        <v>0.82788264951992818</v>
      </c>
    </row>
    <row r="336" spans="1:21" x14ac:dyDescent="0.2">
      <c r="A336" s="3">
        <v>331</v>
      </c>
      <c r="B336" s="3" t="s">
        <v>1274</v>
      </c>
      <c r="C336" s="3" t="s">
        <v>1113</v>
      </c>
      <c r="D336" s="21">
        <f>VLOOKUP(B336,SYS!$F$5:$G$360,2,FALSE)</f>
        <v>221</v>
      </c>
      <c r="E336" s="21">
        <f>VLOOKUP(C336,SYS!$F$5:$G$360,2,FALSE)</f>
        <v>250</v>
      </c>
      <c r="F336" s="7">
        <v>54</v>
      </c>
      <c r="G336" s="64">
        <f t="shared" si="21"/>
        <v>0.22804824721180264</v>
      </c>
      <c r="H336" s="3">
        <v>-1</v>
      </c>
      <c r="I336" s="3">
        <v>-1</v>
      </c>
      <c r="J336" s="11">
        <v>0</v>
      </c>
      <c r="K336" s="25">
        <f t="shared" si="20"/>
        <v>1.0800000000000001E-2</v>
      </c>
      <c r="L336" s="26">
        <v>1.1479999999999999</v>
      </c>
      <c r="M336" s="26">
        <v>1.1479999999999999</v>
      </c>
      <c r="N336" s="11" t="s">
        <v>696</v>
      </c>
      <c r="O336" s="26" t="str">
        <f>VLOOKUP(TRN!D336,SYS!$G$5:$H$360,2,FALSE)</f>
        <v>嶺南変電所</v>
      </c>
      <c r="P336" s="26" t="str">
        <f>VLOOKUP(TRN!E336,SYS!$G$5:$H$360,2,FALSE)</f>
        <v>湖東変電所</v>
      </c>
      <c r="S336" s="1"/>
      <c r="T336" s="88">
        <v>1.4641763438793955</v>
      </c>
      <c r="U336" s="89">
        <v>2.4277958366086931</v>
      </c>
    </row>
    <row r="337" spans="1:21" x14ac:dyDescent="0.2">
      <c r="A337" s="3">
        <v>332</v>
      </c>
      <c r="B337" s="3" t="s">
        <v>977</v>
      </c>
      <c r="C337" s="3" t="s">
        <v>1554</v>
      </c>
      <c r="D337" s="21">
        <f>VLOOKUP(B337,SYS!$F$5:$G$360,2,FALSE)</f>
        <v>248</v>
      </c>
      <c r="E337" s="21">
        <f>VLOOKUP(C337,SYS!$F$5:$G$360,2,FALSE)</f>
        <v>251</v>
      </c>
      <c r="F337" s="7">
        <v>19</v>
      </c>
      <c r="G337" s="64">
        <f t="shared" si="21"/>
        <v>0.1144228093527751</v>
      </c>
      <c r="H337" s="3">
        <v>-1</v>
      </c>
      <c r="I337" s="3">
        <v>-1</v>
      </c>
      <c r="J337" s="11">
        <v>0</v>
      </c>
      <c r="K337" s="25">
        <f t="shared" si="20"/>
        <v>3.8E-3</v>
      </c>
      <c r="L337" s="26">
        <v>2.2879999999999998</v>
      </c>
      <c r="M337" s="26">
        <v>2.2879999999999998</v>
      </c>
      <c r="N337" s="11" t="s">
        <v>697</v>
      </c>
      <c r="O337" s="26" t="str">
        <f>VLOOKUP(TRN!D337,SYS!$G$5:$H$360,2,FALSE)</f>
        <v>金剛開閉所</v>
      </c>
      <c r="P337" s="26" t="str">
        <f>VLOOKUP(TRN!E337,SYS!$G$5:$H$360,2,FALSE)</f>
        <v>北葛城変電所</v>
      </c>
      <c r="S337" s="1"/>
      <c r="T337" s="88">
        <v>0.89036246057288715</v>
      </c>
      <c r="U337" s="89">
        <v>0.92211180922693514</v>
      </c>
    </row>
    <row r="338" spans="1:21" x14ac:dyDescent="0.2">
      <c r="A338" s="3">
        <v>333</v>
      </c>
      <c r="B338" s="3" t="s">
        <v>1560</v>
      </c>
      <c r="C338" s="3" t="s">
        <v>1320</v>
      </c>
      <c r="D338" s="21">
        <f>VLOOKUP(B338,SYS!$F$5:$G$360,2,FALSE)</f>
        <v>234</v>
      </c>
      <c r="E338" s="21">
        <f>VLOOKUP(C338,SYS!$F$5:$G$360,2,FALSE)</f>
        <v>252</v>
      </c>
      <c r="F338" s="7">
        <v>18</v>
      </c>
      <c r="G338" s="64">
        <f t="shared" si="21"/>
        <v>0.15274176651058893</v>
      </c>
      <c r="H338" s="3">
        <v>-1</v>
      </c>
      <c r="I338" s="3">
        <v>-1</v>
      </c>
      <c r="J338" s="11">
        <v>0</v>
      </c>
      <c r="K338" s="25">
        <f t="shared" si="20"/>
        <v>3.6000000000000003E-3</v>
      </c>
      <c r="L338" s="26">
        <v>1.714</v>
      </c>
      <c r="M338" s="26">
        <v>1.714</v>
      </c>
      <c r="N338" s="11" t="s">
        <v>698</v>
      </c>
      <c r="O338" s="26" t="str">
        <f>VLOOKUP(TRN!D338,SYS!$G$5:$H$360,2,FALSE)</f>
        <v>西大阪変電所</v>
      </c>
      <c r="P338" s="26" t="str">
        <f>VLOOKUP(TRN!E338,SYS!$G$5:$H$360,2,FALSE)</f>
        <v>小曽根変電所</v>
      </c>
      <c r="S338" s="1"/>
      <c r="T338" s="88">
        <v>1.4811686297671778</v>
      </c>
      <c r="U338" s="89">
        <v>1.0618246031358896</v>
      </c>
    </row>
    <row r="339" spans="1:21" x14ac:dyDescent="0.2">
      <c r="A339" s="3">
        <v>334</v>
      </c>
      <c r="B339" s="3" t="s">
        <v>1560</v>
      </c>
      <c r="C339" s="3" t="s">
        <v>1194</v>
      </c>
      <c r="D339" s="21">
        <f>VLOOKUP(B339,SYS!$F$5:$G$360,2,FALSE)</f>
        <v>234</v>
      </c>
      <c r="E339" s="21">
        <f>VLOOKUP(C339,SYS!$F$5:$G$360,2,FALSE)</f>
        <v>253</v>
      </c>
      <c r="F339" s="7">
        <v>14</v>
      </c>
      <c r="G339" s="64">
        <f t="shared" si="21"/>
        <v>0.58307213318296081</v>
      </c>
      <c r="H339" s="3">
        <v>-1</v>
      </c>
      <c r="I339" s="3">
        <v>-1</v>
      </c>
      <c r="J339" s="11">
        <v>0</v>
      </c>
      <c r="K339" s="25">
        <f t="shared" si="20"/>
        <v>2.8E-3</v>
      </c>
      <c r="L339" s="26">
        <v>0.44900000000000001</v>
      </c>
      <c r="M339" s="26">
        <v>0.44900000000000001</v>
      </c>
      <c r="N339" s="11" t="s">
        <v>699</v>
      </c>
      <c r="O339" s="26" t="str">
        <f>VLOOKUP(TRN!D339,SYS!$G$5:$H$360,2,FALSE)</f>
        <v>西大阪変電所</v>
      </c>
      <c r="P339" s="26" t="str">
        <f>VLOOKUP(TRN!E339,SYS!$G$5:$H$360,2,FALSE)</f>
        <v>北豊中変電所</v>
      </c>
      <c r="S339" s="1"/>
      <c r="T339" s="88">
        <v>5.651709894233667</v>
      </c>
      <c r="U339" s="89">
        <v>4.0229179808082449</v>
      </c>
    </row>
    <row r="340" spans="1:21" x14ac:dyDescent="0.2">
      <c r="A340" s="3">
        <v>335</v>
      </c>
      <c r="B340" s="3" t="s">
        <v>1280</v>
      </c>
      <c r="C340" s="3" t="s">
        <v>977</v>
      </c>
      <c r="D340" s="21">
        <f>VLOOKUP(B340,SYS!$F$5:$G$360,2,FALSE)</f>
        <v>225</v>
      </c>
      <c r="E340" s="21">
        <f>VLOOKUP(C340,SYS!$F$5:$G$360,2,FALSE)</f>
        <v>248</v>
      </c>
      <c r="F340" s="7">
        <v>30</v>
      </c>
      <c r="G340" s="11">
        <v>3.5270000000000003E-2</v>
      </c>
      <c r="H340" s="3">
        <v>-1</v>
      </c>
      <c r="I340" s="3">
        <v>-1</v>
      </c>
      <c r="J340" s="11">
        <v>0</v>
      </c>
      <c r="K340" s="25">
        <f t="shared" si="20"/>
        <v>6.0000000000000001E-3</v>
      </c>
      <c r="L340" s="26">
        <v>2.7839999999999998</v>
      </c>
      <c r="M340" s="26">
        <v>2.7839999999999998</v>
      </c>
      <c r="N340" s="11" t="s">
        <v>700</v>
      </c>
      <c r="O340" s="26" t="str">
        <f>VLOOKUP(TRN!D340,SYS!$G$5:$H$360,2,FALSE)</f>
        <v>信貴変電所</v>
      </c>
      <c r="P340" s="26" t="str">
        <f>VLOOKUP(TRN!E340,SYS!$G$5:$H$360,2,FALSE)</f>
        <v>金剛開閉所</v>
      </c>
      <c r="S340" s="1"/>
      <c r="T340" s="88">
        <v>5793.5174338439756</v>
      </c>
      <c r="U340" s="89">
        <v>0.67562601001141986</v>
      </c>
    </row>
    <row r="341" spans="1:21" x14ac:dyDescent="0.2">
      <c r="A341" s="3">
        <v>336</v>
      </c>
      <c r="B341" s="3" t="s">
        <v>977</v>
      </c>
      <c r="C341" s="3" t="s">
        <v>1322</v>
      </c>
      <c r="D341" s="21">
        <f>VLOOKUP(B341,SYS!$F$5:$G$360,2,FALSE)</f>
        <v>248</v>
      </c>
      <c r="E341" s="21">
        <f>VLOOKUP(C341,SYS!$F$5:$G$360,2,FALSE)</f>
        <v>254</v>
      </c>
      <c r="F341" s="7">
        <v>30</v>
      </c>
      <c r="G341" s="11">
        <v>4.7620000000000003E-2</v>
      </c>
      <c r="H341" s="3">
        <v>-1</v>
      </c>
      <c r="I341" s="3">
        <v>-1</v>
      </c>
      <c r="J341" s="11">
        <v>0</v>
      </c>
      <c r="K341" s="25">
        <f t="shared" si="20"/>
        <v>6.0000000000000001E-3</v>
      </c>
      <c r="L341" s="26">
        <v>2.7839999999999998</v>
      </c>
      <c r="M341" s="26">
        <v>2.7839999999999998</v>
      </c>
      <c r="N341" s="11" t="s">
        <v>701</v>
      </c>
      <c r="O341" s="26" t="str">
        <f>VLOOKUP(TRN!D341,SYS!$G$5:$H$360,2,FALSE)</f>
        <v>金剛開閉所</v>
      </c>
      <c r="P341" s="26" t="str">
        <f>VLOOKUP(TRN!E341,SYS!$G$5:$H$360,2,FALSE)</f>
        <v>紀の川変電所</v>
      </c>
      <c r="S341" s="1"/>
      <c r="T341" s="88">
        <v>1.1087273461394265</v>
      </c>
      <c r="U341" s="89">
        <v>0.6125696438475573</v>
      </c>
    </row>
    <row r="342" spans="1:21" x14ac:dyDescent="0.2">
      <c r="A342" s="3">
        <v>337</v>
      </c>
      <c r="B342" s="3" t="s">
        <v>977</v>
      </c>
      <c r="C342" s="3" t="s">
        <v>1031</v>
      </c>
      <c r="D342" s="21">
        <f>VLOOKUP(B342,SYS!$F$5:$G$360,2,FALSE)</f>
        <v>248</v>
      </c>
      <c r="E342" s="21">
        <f>VLOOKUP(C342,SYS!$F$5:$G$360,2,FALSE)</f>
        <v>223</v>
      </c>
      <c r="F342" s="7">
        <v>1</v>
      </c>
      <c r="G342" s="11">
        <v>3.2890000000000003E-2</v>
      </c>
      <c r="H342" s="3">
        <v>-1</v>
      </c>
      <c r="I342" s="3">
        <v>-1</v>
      </c>
      <c r="J342" s="11">
        <v>0</v>
      </c>
      <c r="K342" s="25">
        <f t="shared" si="20"/>
        <v>2.0000000000000001E-4</v>
      </c>
      <c r="L342" s="26">
        <v>3.9</v>
      </c>
      <c r="M342" s="26">
        <v>3.9</v>
      </c>
      <c r="N342" s="11" t="s">
        <v>702</v>
      </c>
      <c r="O342" s="26" t="str">
        <f>VLOOKUP(TRN!D342,SYS!$G$5:$H$360,2,FALSE)</f>
        <v>金剛開閉所</v>
      </c>
      <c r="P342" s="26" t="str">
        <f>VLOOKUP(TRN!E342,SYS!$G$5:$H$360,2,FALSE)</f>
        <v>紀北変換所</v>
      </c>
      <c r="S342" s="1"/>
      <c r="T342" s="88">
        <v>0.90871194417562717</v>
      </c>
      <c r="U342" s="89">
        <v>0.40908551913235208</v>
      </c>
    </row>
    <row r="343" spans="1:21" x14ac:dyDescent="0.2">
      <c r="A343" s="3">
        <v>338</v>
      </c>
      <c r="B343" s="3" t="s">
        <v>1322</v>
      </c>
      <c r="C343" s="3" t="s">
        <v>1031</v>
      </c>
      <c r="D343" s="21">
        <f>VLOOKUP(B343,SYS!$F$5:$G$360,2,FALSE)</f>
        <v>254</v>
      </c>
      <c r="E343" s="21">
        <f>VLOOKUP(C343,SYS!$F$5:$G$360,2,FALSE)</f>
        <v>223</v>
      </c>
      <c r="F343" s="7">
        <v>1</v>
      </c>
      <c r="G343" s="11">
        <v>2.0219999999999998E-2</v>
      </c>
      <c r="H343" s="3">
        <v>-1</v>
      </c>
      <c r="I343" s="3">
        <v>-1</v>
      </c>
      <c r="J343" s="11">
        <v>0</v>
      </c>
      <c r="K343" s="25">
        <f t="shared" si="20"/>
        <v>2.0000000000000001E-4</v>
      </c>
      <c r="L343" s="26">
        <v>3.29</v>
      </c>
      <c r="M343" s="26">
        <v>3.29</v>
      </c>
      <c r="N343" s="11" t="s">
        <v>703</v>
      </c>
      <c r="O343" s="26" t="str">
        <f>VLOOKUP(TRN!D343,SYS!$G$5:$H$360,2,FALSE)</f>
        <v>紀の川変電所</v>
      </c>
      <c r="P343" s="26" t="str">
        <f>VLOOKUP(TRN!E343,SYS!$G$5:$H$360,2,FALSE)</f>
        <v>紀北変換所</v>
      </c>
      <c r="S343" s="1"/>
      <c r="T343" s="88">
        <v>0.69662952941978851</v>
      </c>
      <c r="U343" s="89">
        <v>0.54850299696373594</v>
      </c>
    </row>
    <row r="344" spans="1:21" x14ac:dyDescent="0.2">
      <c r="A344" s="3">
        <v>339</v>
      </c>
      <c r="B344" s="3" t="s">
        <v>1314</v>
      </c>
      <c r="C344" s="3" t="s">
        <v>1324</v>
      </c>
      <c r="D344" s="21">
        <f>VLOOKUP(B344,SYS!$F$5:$G$360,2,FALSE)</f>
        <v>245</v>
      </c>
      <c r="E344" s="21">
        <f>VLOOKUP(C344,SYS!$F$5:$G$360,2,FALSE)</f>
        <v>255</v>
      </c>
      <c r="F344" s="7">
        <v>6</v>
      </c>
      <c r="G344" s="64">
        <f t="shared" ref="G344:G410" si="22">$L$2/L344</f>
        <v>0.26471121112148577</v>
      </c>
      <c r="H344" s="3">
        <v>-1</v>
      </c>
      <c r="I344" s="3">
        <v>-1</v>
      </c>
      <c r="J344" s="11">
        <v>0</v>
      </c>
      <c r="K344" s="25">
        <f t="shared" ref="K344:K410" si="23">F344*0.0002</f>
        <v>1.2000000000000001E-3</v>
      </c>
      <c r="L344" s="26">
        <v>0.98899999999999999</v>
      </c>
      <c r="M344" s="26">
        <v>0.98899999999999999</v>
      </c>
      <c r="N344" s="11" t="s">
        <v>704</v>
      </c>
      <c r="O344" s="26" t="str">
        <f>VLOOKUP(TRN!D344,SYS!$G$5:$H$360,2,FALSE)</f>
        <v>東大阪変電所</v>
      </c>
      <c r="P344" s="26" t="str">
        <f>VLOOKUP(TRN!E344,SYS!$G$5:$H$360,2,FALSE)</f>
        <v>東大阪線分岐点</v>
      </c>
      <c r="S344" s="1"/>
      <c r="T344" s="88">
        <v>1.5719782713653152</v>
      </c>
      <c r="U344" s="89">
        <v>3.2216027960375202</v>
      </c>
    </row>
    <row r="345" spans="1:21" x14ac:dyDescent="0.2">
      <c r="A345" s="3">
        <v>340</v>
      </c>
      <c r="B345" s="3" t="s">
        <v>1324</v>
      </c>
      <c r="C345" s="3" t="s">
        <v>965</v>
      </c>
      <c r="D345" s="21">
        <f>VLOOKUP(B345,SYS!$F$5:$G$360,2,FALSE)</f>
        <v>255</v>
      </c>
      <c r="E345" s="21">
        <f>VLOOKUP(C345,SYS!$F$5:$G$360,2,FALSE)</f>
        <v>244</v>
      </c>
      <c r="F345" s="7">
        <v>8</v>
      </c>
      <c r="G345" s="64">
        <f t="shared" si="22"/>
        <v>9.6462559984948196E-2</v>
      </c>
      <c r="H345" s="3">
        <v>-1</v>
      </c>
      <c r="I345" s="3">
        <v>-1</v>
      </c>
      <c r="J345" s="11">
        <v>0</v>
      </c>
      <c r="K345" s="25">
        <f t="shared" si="23"/>
        <v>1.6000000000000001E-3</v>
      </c>
      <c r="L345" s="26">
        <v>2.714</v>
      </c>
      <c r="M345" s="26">
        <v>2.714</v>
      </c>
      <c r="N345" s="11" t="s">
        <v>705</v>
      </c>
      <c r="O345" s="26" t="str">
        <f>VLOOKUP(TRN!D345,SYS!$G$5:$H$360,2,FALSE)</f>
        <v>東大阪線分岐点</v>
      </c>
      <c r="P345" s="26" t="str">
        <f>VLOOKUP(TRN!E345,SYS!$G$5:$H$360,2,FALSE)</f>
        <v>新寝屋川変電所</v>
      </c>
      <c r="S345" s="1"/>
      <c r="T345" s="88">
        <v>0.72113666688688449</v>
      </c>
      <c r="U345" s="89">
        <v>0.76895969406709153</v>
      </c>
    </row>
    <row r="346" spans="1:21" x14ac:dyDescent="0.2">
      <c r="A346" s="3">
        <v>341</v>
      </c>
      <c r="B346" s="3" t="s">
        <v>1278</v>
      </c>
      <c r="C346" s="3" t="s">
        <v>1276</v>
      </c>
      <c r="D346" s="21">
        <f>VLOOKUP(B346,SYS!$F$5:$G$360,2,FALSE)</f>
        <v>224</v>
      </c>
      <c r="E346" s="21">
        <f>VLOOKUP(C346,SYS!$F$5:$G$360,2,FALSE)</f>
        <v>222</v>
      </c>
      <c r="F346" s="7">
        <v>37</v>
      </c>
      <c r="G346" s="11">
        <v>6.2579999999999997E-2</v>
      </c>
      <c r="H346" s="3">
        <v>-1</v>
      </c>
      <c r="I346" s="3">
        <v>-1</v>
      </c>
      <c r="J346" s="11">
        <v>0</v>
      </c>
      <c r="K346" s="25">
        <f t="shared" si="23"/>
        <v>7.4000000000000003E-3</v>
      </c>
      <c r="L346" s="26">
        <v>3.0619999999999998</v>
      </c>
      <c r="M346" s="26">
        <v>3.0619999999999998</v>
      </c>
      <c r="N346" s="11" t="s">
        <v>706</v>
      </c>
      <c r="O346" s="26" t="str">
        <f>VLOOKUP(TRN!D346,SYS!$G$5:$H$360,2,FALSE)</f>
        <v>１３４Ｔ（北大和線）</v>
      </c>
      <c r="P346" s="26" t="str">
        <f>VLOOKUP(TRN!E346,SYS!$G$5:$H$360,2,FALSE)</f>
        <v>東大和開閉所</v>
      </c>
      <c r="S346" s="1"/>
      <c r="T346" s="88">
        <v>0.78038513497212736</v>
      </c>
      <c r="U346" s="89">
        <v>0.59358889278438176</v>
      </c>
    </row>
    <row r="347" spans="1:21" x14ac:dyDescent="0.2">
      <c r="A347" s="3">
        <v>342</v>
      </c>
      <c r="B347" s="3" t="s">
        <v>1300</v>
      </c>
      <c r="C347" s="3" t="s">
        <v>1298</v>
      </c>
      <c r="D347" s="21">
        <f>VLOOKUP(B347,SYS!$F$5:$G$360,2,FALSE)</f>
        <v>236</v>
      </c>
      <c r="E347" s="21">
        <f>VLOOKUP(C347,SYS!$F$5:$G$360,2,FALSE)</f>
        <v>235</v>
      </c>
      <c r="F347" s="7">
        <v>12</v>
      </c>
      <c r="G347" s="64">
        <f t="shared" si="22"/>
        <v>0.26471121112148577</v>
      </c>
      <c r="H347" s="3">
        <v>-1</v>
      </c>
      <c r="I347" s="3">
        <v>-1</v>
      </c>
      <c r="J347" s="11">
        <v>0</v>
      </c>
      <c r="K347" s="25">
        <f t="shared" si="23"/>
        <v>2.4000000000000002E-3</v>
      </c>
      <c r="L347" s="26">
        <v>0.98899999999999999</v>
      </c>
      <c r="M347" s="26">
        <v>0.98899999999999999</v>
      </c>
      <c r="N347" s="11" t="s">
        <v>707</v>
      </c>
      <c r="O347" s="26" t="str">
        <f>VLOOKUP(TRN!D347,SYS!$G$5:$H$360,2,FALSE)</f>
        <v>１７Ｔ（北大阪線）</v>
      </c>
      <c r="P347" s="26" t="str">
        <f>VLOOKUP(TRN!E347,SYS!$G$5:$H$360,2,FALSE)</f>
        <v>北大阪変電所</v>
      </c>
      <c r="S347" s="1"/>
      <c r="T347" s="88">
        <v>1.6056054716468278</v>
      </c>
      <c r="U347" s="89">
        <v>2.8849719461423522</v>
      </c>
    </row>
    <row r="348" spans="1:21" x14ac:dyDescent="0.2">
      <c r="A348" s="3">
        <v>343</v>
      </c>
      <c r="B348" s="3" t="s">
        <v>1326</v>
      </c>
      <c r="C348" s="3" t="s">
        <v>1566</v>
      </c>
      <c r="D348" s="21">
        <f>VLOOKUP(B348,SYS!$F$5:$G$360,2,FALSE)</f>
        <v>256</v>
      </c>
      <c r="E348" s="21">
        <f>VLOOKUP(C348,SYS!$F$5:$G$360,2,FALSE)</f>
        <v>257</v>
      </c>
      <c r="F348" s="11">
        <v>50</v>
      </c>
      <c r="G348" s="11">
        <v>6.8000000000000005E-2</v>
      </c>
      <c r="H348" s="3">
        <v>-1</v>
      </c>
      <c r="I348" s="3">
        <v>-1</v>
      </c>
      <c r="J348" s="11">
        <v>0</v>
      </c>
      <c r="K348" s="25">
        <f t="shared" si="23"/>
        <v>0.01</v>
      </c>
      <c r="L348" s="26">
        <v>2.06</v>
      </c>
      <c r="M348" s="26">
        <v>2.06</v>
      </c>
      <c r="N348" s="11" t="s">
        <v>708</v>
      </c>
      <c r="O348" s="26" t="str">
        <f>VLOOKUP(TRN!D348,SYS!$G$5:$H$360,2,FALSE)</f>
        <v>東予変電所</v>
      </c>
      <c r="P348" s="26" t="str">
        <f>VLOOKUP(TRN!E348,SYS!$G$5:$H$360,2,FALSE)</f>
        <v>川内変電所</v>
      </c>
      <c r="S348" s="1"/>
      <c r="T348" s="88">
        <v>1.8471670297919283</v>
      </c>
      <c r="U348" s="89">
        <v>0.69728157825576553</v>
      </c>
    </row>
    <row r="349" spans="1:21" x14ac:dyDescent="0.2">
      <c r="A349" s="3">
        <v>344</v>
      </c>
      <c r="B349" s="3" t="s">
        <v>1568</v>
      </c>
      <c r="C349" s="3" t="s">
        <v>1326</v>
      </c>
      <c r="D349" s="21">
        <f>VLOOKUP(B349,SYS!$F$5:$G$360,2,FALSE)</f>
        <v>258</v>
      </c>
      <c r="E349" s="21">
        <f>VLOOKUP(C349,SYS!$F$5:$G$360,2,FALSE)</f>
        <v>256</v>
      </c>
      <c r="F349" s="7">
        <v>63</v>
      </c>
      <c r="G349" s="11">
        <v>8.3000000000000004E-2</v>
      </c>
      <c r="H349" s="3">
        <v>-1</v>
      </c>
      <c r="I349" s="3">
        <v>-1</v>
      </c>
      <c r="J349" s="11">
        <v>0</v>
      </c>
      <c r="K349" s="25">
        <f t="shared" si="23"/>
        <v>1.26E-2</v>
      </c>
      <c r="L349" s="26">
        <v>2.06</v>
      </c>
      <c r="M349" s="26">
        <v>2.06</v>
      </c>
      <c r="N349" s="11" t="s">
        <v>709</v>
      </c>
      <c r="O349" s="26" t="str">
        <f>VLOOKUP(TRN!D349,SYS!$G$5:$H$360,2,FALSE)</f>
        <v>讃岐変電所</v>
      </c>
      <c r="P349" s="26" t="str">
        <f>VLOOKUP(TRN!E349,SYS!$G$5:$H$360,2,FALSE)</f>
        <v>東予変電所</v>
      </c>
      <c r="S349" s="1"/>
      <c r="T349" s="88">
        <v>89098.703351962933</v>
      </c>
      <c r="U349" s="89">
        <v>0.64757987337720158</v>
      </c>
    </row>
    <row r="350" spans="1:21" x14ac:dyDescent="0.2">
      <c r="A350" s="3">
        <v>345</v>
      </c>
      <c r="B350" s="3" t="s">
        <v>1332</v>
      </c>
      <c r="C350" s="3" t="s">
        <v>1568</v>
      </c>
      <c r="D350" s="21">
        <f>VLOOKUP(B350,SYS!$F$5:$G$360,2,FALSE)</f>
        <v>259</v>
      </c>
      <c r="E350" s="21">
        <f>VLOOKUP(C350,SYS!$F$5:$G$360,2,FALSE)</f>
        <v>258</v>
      </c>
      <c r="F350" s="7">
        <v>52</v>
      </c>
      <c r="G350" s="11">
        <v>6.8690000000000001E-2</v>
      </c>
      <c r="H350" s="3">
        <v>-1</v>
      </c>
      <c r="I350" s="3">
        <v>-1</v>
      </c>
      <c r="J350" s="11">
        <v>0</v>
      </c>
      <c r="K350" s="25">
        <f t="shared" si="23"/>
        <v>1.0400000000000001E-2</v>
      </c>
      <c r="L350" s="26">
        <v>3.29</v>
      </c>
      <c r="M350" s="26">
        <v>3.29</v>
      </c>
      <c r="N350" s="11" t="s">
        <v>710</v>
      </c>
      <c r="O350" s="26" t="str">
        <f>VLOOKUP(TRN!D350,SYS!$G$5:$H$360,2,FALSE)</f>
        <v>阿波変電所</v>
      </c>
      <c r="P350" s="26" t="str">
        <f>VLOOKUP(TRN!E350,SYS!$G$5:$H$360,2,FALSE)</f>
        <v>讃岐変電所</v>
      </c>
      <c r="S350" s="1"/>
      <c r="T350" s="88">
        <v>0.85807412343881739</v>
      </c>
      <c r="U350" s="89">
        <v>0.56992282066889632</v>
      </c>
    </row>
    <row r="351" spans="1:21" x14ac:dyDescent="0.2">
      <c r="A351" s="3">
        <v>346</v>
      </c>
      <c r="B351" s="3" t="s">
        <v>1334</v>
      </c>
      <c r="C351" s="3" t="s">
        <v>1332</v>
      </c>
      <c r="D351" s="21">
        <f>VLOOKUP(B351,SYS!$F$5:$G$360,2,FALSE)</f>
        <v>260</v>
      </c>
      <c r="E351" s="21">
        <f>VLOOKUP(C351,SYS!$F$5:$G$360,2,FALSE)</f>
        <v>259</v>
      </c>
      <c r="F351" s="7">
        <v>37</v>
      </c>
      <c r="G351" s="64">
        <f t="shared" si="22"/>
        <v>7.9574282005820493E-2</v>
      </c>
      <c r="H351" s="3">
        <v>-1</v>
      </c>
      <c r="I351" s="3">
        <v>-1</v>
      </c>
      <c r="J351" s="11">
        <v>0</v>
      </c>
      <c r="K351" s="25">
        <f t="shared" si="23"/>
        <v>7.4000000000000003E-3</v>
      </c>
      <c r="L351" s="26">
        <v>3.29</v>
      </c>
      <c r="M351" s="26">
        <v>3.29</v>
      </c>
      <c r="N351" s="11" t="s">
        <v>711</v>
      </c>
      <c r="O351" s="26" t="str">
        <f>VLOOKUP(TRN!D351,SYS!$G$5:$H$360,2,FALSE)</f>
        <v>阿南変換所</v>
      </c>
      <c r="P351" s="26" t="str">
        <f>VLOOKUP(TRN!E351,SYS!$G$5:$H$360,2,FALSE)</f>
        <v>阿波変電所</v>
      </c>
      <c r="R351"/>
      <c r="S351" s="1"/>
      <c r="T351" s="88">
        <v>0.90253373832083916</v>
      </c>
      <c r="U351" s="89">
        <v>0.47051916361328172</v>
      </c>
    </row>
    <row r="352" spans="1:21" x14ac:dyDescent="0.2">
      <c r="A352" s="3">
        <v>347</v>
      </c>
      <c r="B352" s="3" t="s">
        <v>1558</v>
      </c>
      <c r="C352" s="3" t="s">
        <v>1336</v>
      </c>
      <c r="D352" s="21">
        <f>VLOOKUP(B352,SYS!$F$5:$G$360,2,FALSE)</f>
        <v>263</v>
      </c>
      <c r="E352" s="21">
        <f>VLOOKUP(C352,SYS!$F$5:$G$360,2,FALSE)</f>
        <v>261</v>
      </c>
      <c r="F352" s="7">
        <v>50</v>
      </c>
      <c r="G352" s="64">
        <f t="shared" si="22"/>
        <v>0.41034386802374517</v>
      </c>
      <c r="H352" s="3">
        <v>-1</v>
      </c>
      <c r="I352" s="3">
        <v>-1</v>
      </c>
      <c r="J352" s="11">
        <v>0</v>
      </c>
      <c r="K352" s="25">
        <f t="shared" si="23"/>
        <v>0.01</v>
      </c>
      <c r="L352" s="26">
        <v>0.63800000000000001</v>
      </c>
      <c r="M352" s="26">
        <v>0.63800000000000001</v>
      </c>
      <c r="N352" s="11" t="s">
        <v>712</v>
      </c>
      <c r="O352" s="26" t="str">
        <f>VLOOKUP(TRN!D352,SYS!$G$5:$H$360,2,FALSE)</f>
        <v>大洲変電所</v>
      </c>
      <c r="P352" s="26" t="str">
        <f>VLOOKUP(TRN!E352,SYS!$G$5:$H$360,2,FALSE)</f>
        <v>広見変電所</v>
      </c>
      <c r="R352"/>
      <c r="S352" s="1"/>
      <c r="T352" s="88">
        <v>7.7956394488454581</v>
      </c>
      <c r="U352" s="89">
        <v>3.1579142532831499</v>
      </c>
    </row>
    <row r="353" spans="1:21" x14ac:dyDescent="0.2">
      <c r="A353" s="3">
        <v>348</v>
      </c>
      <c r="B353" s="3" t="s">
        <v>1606</v>
      </c>
      <c r="C353" s="3" t="s">
        <v>1567</v>
      </c>
      <c r="D353" s="21">
        <f>VLOOKUP(B353,SYS!$F$5:$G$360,2,FALSE)</f>
        <v>262</v>
      </c>
      <c r="E353" s="21">
        <f>VLOOKUP(C353,SYS!$F$5:$G$360,2,FALSE)</f>
        <v>257</v>
      </c>
      <c r="F353" s="7">
        <v>65</v>
      </c>
      <c r="G353" s="64">
        <f t="shared" si="22"/>
        <v>0.12708708145589775</v>
      </c>
      <c r="H353" s="3">
        <v>-1</v>
      </c>
      <c r="I353" s="3">
        <v>-1</v>
      </c>
      <c r="J353" s="11">
        <v>0</v>
      </c>
      <c r="K353" s="25">
        <f t="shared" si="23"/>
        <v>1.3000000000000001E-2</v>
      </c>
      <c r="L353" s="26">
        <v>2.06</v>
      </c>
      <c r="M353" s="26">
        <v>2.06</v>
      </c>
      <c r="N353" s="56" t="s">
        <v>1608</v>
      </c>
      <c r="O353" s="26" t="str">
        <f>VLOOKUP(TRN!D353,SYS!$G$5:$H$360,2,FALSE)</f>
        <v>伊方原子力</v>
      </c>
      <c r="P353" s="26" t="str">
        <f>VLOOKUP(TRN!E353,SYS!$G$5:$H$360,2,FALSE)</f>
        <v>川内変電所</v>
      </c>
      <c r="R353"/>
      <c r="S353" s="1"/>
      <c r="T353" s="88">
        <v>1.0239947582619973</v>
      </c>
      <c r="U353" s="89">
        <v>0.9535244041351767</v>
      </c>
    </row>
    <row r="354" spans="1:21" x14ac:dyDescent="0.2">
      <c r="A354" s="3">
        <v>349</v>
      </c>
      <c r="B354" s="3" t="s">
        <v>1606</v>
      </c>
      <c r="C354" s="3" t="s">
        <v>1559</v>
      </c>
      <c r="D354" s="21">
        <f>VLOOKUP(B354,SYS!$F$5:$G$360,2,FALSE)</f>
        <v>262</v>
      </c>
      <c r="E354" s="21">
        <f>VLOOKUP(C354,SYS!$F$5:$G$360,2,FALSE)</f>
        <v>263</v>
      </c>
      <c r="F354" s="7">
        <v>22</v>
      </c>
      <c r="G354" s="64">
        <f t="shared" si="22"/>
        <v>0.27413548460643916</v>
      </c>
      <c r="H354" s="3">
        <v>-1</v>
      </c>
      <c r="I354" s="3">
        <v>-1</v>
      </c>
      <c r="J354" s="11">
        <v>0</v>
      </c>
      <c r="K354" s="25">
        <f t="shared" si="23"/>
        <v>4.4000000000000003E-3</v>
      </c>
      <c r="L354" s="26">
        <v>0.95499999999999996</v>
      </c>
      <c r="M354" s="26">
        <v>0.95499999999999996</v>
      </c>
      <c r="N354" s="56" t="s">
        <v>1609</v>
      </c>
      <c r="O354" s="26" t="str">
        <f>VLOOKUP(TRN!D354,SYS!$G$5:$H$360,2,FALSE)</f>
        <v>伊方原子力</v>
      </c>
      <c r="P354" s="26" t="str">
        <f>VLOOKUP(TRN!E354,SYS!$G$5:$H$360,2,FALSE)</f>
        <v>大洲変電所</v>
      </c>
      <c r="R354"/>
      <c r="S354" s="1"/>
      <c r="T354" s="88">
        <v>2.1398039434143943</v>
      </c>
      <c r="U354" s="89">
        <v>2.1227463987001043</v>
      </c>
    </row>
    <row r="355" spans="1:21" x14ac:dyDescent="0.2">
      <c r="A355" s="3">
        <v>350</v>
      </c>
      <c r="B355" s="3" t="s">
        <v>1606</v>
      </c>
      <c r="C355" s="3" t="s">
        <v>1559</v>
      </c>
      <c r="D355" s="21">
        <f>VLOOKUP(B355,SYS!$F$5:$G$360,2,FALSE)</f>
        <v>262</v>
      </c>
      <c r="E355" s="21">
        <f>VLOOKUP(C355,SYS!$F$5:$G$360,2,FALSE)</f>
        <v>263</v>
      </c>
      <c r="F355" s="7">
        <v>22</v>
      </c>
      <c r="G355" s="64">
        <f t="shared" si="22"/>
        <v>0.27413548460643916</v>
      </c>
      <c r="H355" s="3">
        <v>-1</v>
      </c>
      <c r="I355" s="3">
        <v>-1</v>
      </c>
      <c r="J355" s="11">
        <v>0</v>
      </c>
      <c r="K355" s="25">
        <f t="shared" si="23"/>
        <v>4.4000000000000003E-3</v>
      </c>
      <c r="L355" s="26">
        <v>0.95499999999999996</v>
      </c>
      <c r="M355" s="26">
        <v>0.95499999999999996</v>
      </c>
      <c r="N355" s="56" t="s">
        <v>1610</v>
      </c>
      <c r="O355" s="26" t="str">
        <f>VLOOKUP(TRN!D355,SYS!$G$5:$H$360,2,FALSE)</f>
        <v>伊方原子力</v>
      </c>
      <c r="P355" s="26" t="str">
        <f>VLOOKUP(TRN!E355,SYS!$G$5:$H$360,2,FALSE)</f>
        <v>大洲変電所</v>
      </c>
      <c r="R355"/>
      <c r="S355" s="1"/>
      <c r="T355" s="88">
        <v>2.1398039434149418</v>
      </c>
      <c r="U355" s="89">
        <v>2.122746398699586</v>
      </c>
    </row>
    <row r="356" spans="1:21" x14ac:dyDescent="0.2">
      <c r="A356" s="3">
        <v>351</v>
      </c>
      <c r="B356" s="3" t="s">
        <v>1566</v>
      </c>
      <c r="C356" s="3" t="s">
        <v>1558</v>
      </c>
      <c r="D356" s="21">
        <f>VLOOKUP(B356,SYS!$F$5:$G$360,2,FALSE)</f>
        <v>257</v>
      </c>
      <c r="E356" s="21">
        <f>VLOOKUP(C356,SYS!$F$5:$G$360,2,FALSE)</f>
        <v>263</v>
      </c>
      <c r="F356" s="7">
        <v>46</v>
      </c>
      <c r="G356" s="64">
        <f t="shared" si="22"/>
        <v>0.13678128934124839</v>
      </c>
      <c r="H356" s="3">
        <v>-1</v>
      </c>
      <c r="I356" s="3">
        <v>-1</v>
      </c>
      <c r="J356" s="11">
        <v>0</v>
      </c>
      <c r="K356" s="25">
        <f t="shared" si="23"/>
        <v>9.1999999999999998E-3</v>
      </c>
      <c r="L356" s="26">
        <v>1.9139999999999999</v>
      </c>
      <c r="M356" s="26">
        <v>1.9139999999999999</v>
      </c>
      <c r="N356" s="11" t="s">
        <v>713</v>
      </c>
      <c r="O356" s="26" t="str">
        <f>VLOOKUP(TRN!D356,SYS!$G$5:$H$360,2,FALSE)</f>
        <v>川内変電所</v>
      </c>
      <c r="P356" s="26" t="str">
        <f>VLOOKUP(TRN!E356,SYS!$G$5:$H$360,2,FALSE)</f>
        <v>大洲変電所</v>
      </c>
      <c r="R356"/>
      <c r="S356" s="1"/>
      <c r="T356" s="88">
        <v>1.0339521607673903</v>
      </c>
      <c r="U356" s="89">
        <v>1.0993912048499521</v>
      </c>
    </row>
    <row r="357" spans="1:21" x14ac:dyDescent="0.2">
      <c r="A357" s="3">
        <v>352</v>
      </c>
      <c r="B357" s="3" t="s">
        <v>1566</v>
      </c>
      <c r="C357" s="3" t="s">
        <v>1338</v>
      </c>
      <c r="D357" s="21">
        <f>VLOOKUP(B357,SYS!$F$5:$G$360,2,FALSE)</f>
        <v>257</v>
      </c>
      <c r="E357" s="21">
        <f>VLOOKUP(C357,SYS!$F$5:$G$360,2,FALSE)</f>
        <v>264</v>
      </c>
      <c r="F357" s="7">
        <v>18</v>
      </c>
      <c r="G357" s="11">
        <v>0.18</v>
      </c>
      <c r="H357" s="3">
        <v>-1</v>
      </c>
      <c r="I357" s="3">
        <v>-1</v>
      </c>
      <c r="J357" s="11">
        <v>0</v>
      </c>
      <c r="K357" s="25">
        <f t="shared" si="23"/>
        <v>3.6000000000000003E-3</v>
      </c>
      <c r="L357" s="26">
        <v>0.80800000000000005</v>
      </c>
      <c r="M357" s="26">
        <v>0.80800000000000005</v>
      </c>
      <c r="N357" s="11" t="s">
        <v>714</v>
      </c>
      <c r="O357" s="26" t="str">
        <f>VLOOKUP(TRN!D357,SYS!$G$5:$H$360,2,FALSE)</f>
        <v>川内変電所</v>
      </c>
      <c r="P357" s="26" t="str">
        <f>VLOOKUP(TRN!E357,SYS!$G$5:$H$360,2,FALSE)</f>
        <v>松山変電所</v>
      </c>
      <c r="S357" s="1"/>
      <c r="T357" s="88">
        <v>3.7067956565069808</v>
      </c>
      <c r="U357" s="89">
        <v>2.4583752447646421</v>
      </c>
    </row>
    <row r="358" spans="1:21" x14ac:dyDescent="0.2">
      <c r="A358" s="3">
        <v>353</v>
      </c>
      <c r="B358" s="3" t="s">
        <v>1338</v>
      </c>
      <c r="C358" s="3" t="s">
        <v>1340</v>
      </c>
      <c r="D358" s="21">
        <f>VLOOKUP(B358,SYS!$F$5:$G$360,2,FALSE)</f>
        <v>264</v>
      </c>
      <c r="E358" s="21">
        <f>VLOOKUP(C358,SYS!$F$5:$G$360,2,FALSE)</f>
        <v>265</v>
      </c>
      <c r="F358" s="7">
        <v>15</v>
      </c>
      <c r="G358" s="11">
        <v>0.219</v>
      </c>
      <c r="H358" s="3">
        <v>-1</v>
      </c>
      <c r="I358" s="3">
        <v>-1</v>
      </c>
      <c r="J358" s="11">
        <v>0</v>
      </c>
      <c r="K358" s="25">
        <f t="shared" si="23"/>
        <v>3.0000000000000001E-3</v>
      </c>
      <c r="L358" s="26">
        <v>0.40400000000000003</v>
      </c>
      <c r="M358" s="26">
        <v>0.40400000000000003</v>
      </c>
      <c r="N358" s="11" t="s">
        <v>715</v>
      </c>
      <c r="O358" s="26" t="str">
        <f>VLOOKUP(TRN!D358,SYS!$G$5:$H$360,2,FALSE)</f>
        <v>松山変電所</v>
      </c>
      <c r="P358" s="26" t="str">
        <f>VLOOKUP(TRN!E358,SYS!$G$5:$H$360,2,FALSE)</f>
        <v>北松山変電所</v>
      </c>
      <c r="S358" s="1"/>
      <c r="T358" s="88">
        <v>5.1752125683575123</v>
      </c>
      <c r="U358" s="89">
        <v>7.089727918673896</v>
      </c>
    </row>
    <row r="359" spans="1:21" x14ac:dyDescent="0.2">
      <c r="A359" s="3">
        <v>354</v>
      </c>
      <c r="B359" s="3" t="s">
        <v>1570</v>
      </c>
      <c r="C359" s="3" t="s">
        <v>1340</v>
      </c>
      <c r="D359" s="21">
        <f>VLOOKUP(B359,SYS!$F$5:$G$360,2,FALSE)</f>
        <v>266</v>
      </c>
      <c r="E359" s="21">
        <f>VLOOKUP(C359,SYS!$F$5:$G$360,2,FALSE)</f>
        <v>265</v>
      </c>
      <c r="F359" s="7">
        <v>48</v>
      </c>
      <c r="G359" s="11">
        <v>0.67700000000000005</v>
      </c>
      <c r="H359" s="3">
        <v>-1</v>
      </c>
      <c r="I359" s="3">
        <v>-1</v>
      </c>
      <c r="J359" s="11">
        <v>0</v>
      </c>
      <c r="K359" s="25">
        <f t="shared" si="23"/>
        <v>9.6000000000000009E-3</v>
      </c>
      <c r="L359" s="26">
        <v>0.49399999999999999</v>
      </c>
      <c r="M359" s="26">
        <v>0.49399999999999999</v>
      </c>
      <c r="N359" s="11" t="s">
        <v>716</v>
      </c>
      <c r="O359" s="26" t="str">
        <f>VLOOKUP(TRN!D359,SYS!$G$5:$H$360,2,FALSE)</f>
        <v>西条変電所</v>
      </c>
      <c r="P359" s="26" t="str">
        <f>VLOOKUP(TRN!E359,SYS!$G$5:$H$360,2,FALSE)</f>
        <v>北松山変電所</v>
      </c>
      <c r="R359" s="18" t="s">
        <v>829</v>
      </c>
      <c r="S359" s="1"/>
      <c r="T359" s="88">
        <v>4.9722810235997743</v>
      </c>
      <c r="U359" s="89">
        <v>3.6800289691940389</v>
      </c>
    </row>
    <row r="360" spans="1:21" x14ac:dyDescent="0.2">
      <c r="A360" s="3">
        <v>355</v>
      </c>
      <c r="B360" s="3" t="s">
        <v>1570</v>
      </c>
      <c r="C360" s="3" t="s">
        <v>1566</v>
      </c>
      <c r="D360" s="21">
        <f>VLOOKUP(B360,SYS!$F$5:$G$360,2,FALSE)</f>
        <v>266</v>
      </c>
      <c r="E360" s="21">
        <f>VLOOKUP(C360,SYS!$F$5:$G$360,2,FALSE)</f>
        <v>257</v>
      </c>
      <c r="F360" s="7">
        <v>35</v>
      </c>
      <c r="G360" s="11">
        <v>0.34899999999999998</v>
      </c>
      <c r="H360" s="3">
        <v>-1</v>
      </c>
      <c r="I360" s="3">
        <v>-1</v>
      </c>
      <c r="J360" s="11">
        <v>0</v>
      </c>
      <c r="K360" s="25">
        <f t="shared" si="23"/>
        <v>7.0000000000000001E-3</v>
      </c>
      <c r="L360" s="26">
        <v>0.79</v>
      </c>
      <c r="M360" s="26">
        <v>0.79</v>
      </c>
      <c r="N360" s="11" t="s">
        <v>717</v>
      </c>
      <c r="O360" s="26" t="str">
        <f>VLOOKUP(TRN!D360,SYS!$G$5:$H$360,2,FALSE)</f>
        <v>西条変電所</v>
      </c>
      <c r="P360" s="26" t="str">
        <f>VLOOKUP(TRN!E360,SYS!$G$5:$H$360,2,FALSE)</f>
        <v>川内変電所</v>
      </c>
      <c r="S360" s="1"/>
      <c r="T360" s="88">
        <v>3.1056587580680928</v>
      </c>
      <c r="U360" s="89">
        <v>2.2520127316179206</v>
      </c>
    </row>
    <row r="361" spans="1:21" x14ac:dyDescent="0.2">
      <c r="A361" s="3">
        <v>356</v>
      </c>
      <c r="B361" s="3" t="s">
        <v>1326</v>
      </c>
      <c r="C361" s="3" t="s">
        <v>1570</v>
      </c>
      <c r="D361" s="21">
        <f>VLOOKUP(B361,SYS!$F$5:$G$360,2,FALSE)</f>
        <v>256</v>
      </c>
      <c r="E361" s="21">
        <f>VLOOKUP(C361,SYS!$F$5:$G$360,2,FALSE)</f>
        <v>266</v>
      </c>
      <c r="F361" s="7">
        <v>18</v>
      </c>
      <c r="G361" s="11">
        <v>0.18300000000000002</v>
      </c>
      <c r="H361" s="3">
        <v>-1</v>
      </c>
      <c r="I361" s="3">
        <v>-1</v>
      </c>
      <c r="J361" s="11">
        <v>0</v>
      </c>
      <c r="K361" s="25">
        <f t="shared" si="23"/>
        <v>3.6000000000000003E-3</v>
      </c>
      <c r="L361" s="26">
        <v>0.94799999999999995</v>
      </c>
      <c r="M361" s="26">
        <v>0.94799999999999995</v>
      </c>
      <c r="N361" s="11" t="s">
        <v>718</v>
      </c>
      <c r="O361" s="26" t="str">
        <f>VLOOKUP(TRN!D361,SYS!$G$5:$H$360,2,FALSE)</f>
        <v>東予変電所</v>
      </c>
      <c r="P361" s="26" t="str">
        <f>VLOOKUP(TRN!E361,SYS!$G$5:$H$360,2,FALSE)</f>
        <v>西条変電所</v>
      </c>
      <c r="S361" s="1"/>
      <c r="T361" s="88">
        <v>2.6306972168744451</v>
      </c>
      <c r="U361" s="89">
        <v>2.0740386312938326</v>
      </c>
    </row>
    <row r="362" spans="1:21" x14ac:dyDescent="0.2">
      <c r="A362" s="3">
        <v>357</v>
      </c>
      <c r="B362" s="3" t="s">
        <v>1342</v>
      </c>
      <c r="C362" s="3" t="s">
        <v>1326</v>
      </c>
      <c r="D362" s="21">
        <f>VLOOKUP(B362,SYS!$F$5:$G$360,2,FALSE)</f>
        <v>267</v>
      </c>
      <c r="E362" s="21">
        <f>VLOOKUP(C362,SYS!$F$5:$G$360,2,FALSE)</f>
        <v>256</v>
      </c>
      <c r="F362" s="32">
        <v>23</v>
      </c>
      <c r="G362" s="11">
        <v>0.23800000000000002</v>
      </c>
      <c r="H362" s="3">
        <v>-1</v>
      </c>
      <c r="I362" s="3">
        <v>-1</v>
      </c>
      <c r="J362" s="11">
        <v>0</v>
      </c>
      <c r="K362" s="25">
        <f t="shared" si="23"/>
        <v>4.5999999999999999E-3</v>
      </c>
      <c r="L362" s="32">
        <v>0.76</v>
      </c>
      <c r="M362" s="32">
        <v>0.76</v>
      </c>
      <c r="N362" s="11" t="s">
        <v>719</v>
      </c>
      <c r="O362" s="26" t="str">
        <f>VLOOKUP(TRN!D362,SYS!$G$5:$H$360,2,FALSE)</f>
        <v>本川変電所</v>
      </c>
      <c r="P362" s="26" t="str">
        <f>VLOOKUP(TRN!E362,SYS!$G$5:$H$360,2,FALSE)</f>
        <v>東予変電所</v>
      </c>
      <c r="R362"/>
      <c r="T362" s="88">
        <v>2.1687302185047685</v>
      </c>
      <c r="U362" s="89">
        <v>8.968145779766056</v>
      </c>
    </row>
    <row r="363" spans="1:21" x14ac:dyDescent="0.2">
      <c r="A363" s="3">
        <v>358</v>
      </c>
      <c r="B363" s="3" t="s">
        <v>1342</v>
      </c>
      <c r="C363" s="3" t="s">
        <v>1328</v>
      </c>
      <c r="D363" s="21">
        <f>VLOOKUP(B363,SYS!$F$5:$G$360,2,FALSE)</f>
        <v>267</v>
      </c>
      <c r="E363" s="21">
        <f>VLOOKUP(C363,SYS!$F$5:$G$360,2,FALSE)</f>
        <v>268</v>
      </c>
      <c r="F363" s="7">
        <v>29</v>
      </c>
      <c r="G363" s="11">
        <v>0.29499999999999998</v>
      </c>
      <c r="H363" s="3">
        <v>-1</v>
      </c>
      <c r="I363" s="3">
        <v>-1</v>
      </c>
      <c r="J363" s="11">
        <v>0</v>
      </c>
      <c r="K363" s="25">
        <f t="shared" si="23"/>
        <v>5.8000000000000005E-3</v>
      </c>
      <c r="L363" s="26">
        <v>0.80800000000000005</v>
      </c>
      <c r="M363" s="26">
        <v>0.80800000000000005</v>
      </c>
      <c r="N363" s="11" t="s">
        <v>720</v>
      </c>
      <c r="O363" s="26" t="str">
        <f>VLOOKUP(TRN!D363,SYS!$G$5:$H$360,2,FALSE)</f>
        <v>本川変電所</v>
      </c>
      <c r="P363" s="26" t="str">
        <f>VLOOKUP(TRN!E363,SYS!$G$5:$H$360,2,FALSE)</f>
        <v>高知変電所</v>
      </c>
      <c r="S363" s="1"/>
      <c r="T363" s="88">
        <v>4.7499764256862509</v>
      </c>
      <c r="U363" s="89">
        <v>2.1148843935386572</v>
      </c>
    </row>
    <row r="364" spans="1:21" x14ac:dyDescent="0.2">
      <c r="A364" s="3">
        <v>359</v>
      </c>
      <c r="B364" s="3" t="s">
        <v>1328</v>
      </c>
      <c r="C364" s="3" t="s">
        <v>1344</v>
      </c>
      <c r="D364" s="21">
        <f>VLOOKUP(B364,SYS!$F$5:$G$360,2,FALSE)</f>
        <v>268</v>
      </c>
      <c r="E364" s="21">
        <f>VLOOKUP(C364,SYS!$F$5:$G$360,2,FALSE)</f>
        <v>269</v>
      </c>
      <c r="F364" s="7">
        <v>24</v>
      </c>
      <c r="G364" s="11">
        <v>0.34600000000000003</v>
      </c>
      <c r="H364" s="3">
        <v>-1</v>
      </c>
      <c r="I364" s="3">
        <v>-1</v>
      </c>
      <c r="J364" s="11">
        <v>0</v>
      </c>
      <c r="K364" s="25">
        <f t="shared" si="23"/>
        <v>4.8000000000000004E-3</v>
      </c>
      <c r="L364" s="26">
        <v>0.40400000000000003</v>
      </c>
      <c r="M364" s="26">
        <v>0.40400000000000003</v>
      </c>
      <c r="N364" s="11" t="s">
        <v>721</v>
      </c>
      <c r="O364" s="26" t="str">
        <f>VLOOKUP(TRN!D364,SYS!$G$5:$H$360,2,FALSE)</f>
        <v>高知変電所</v>
      </c>
      <c r="P364" s="26" t="str">
        <f>VLOOKUP(TRN!E364,SYS!$G$5:$H$360,2,FALSE)</f>
        <v>新改変電所</v>
      </c>
      <c r="S364" s="1"/>
      <c r="T364" s="88">
        <v>3.6536285453779938</v>
      </c>
      <c r="U364" s="89">
        <v>32007.117901821635</v>
      </c>
    </row>
    <row r="365" spans="1:21" x14ac:dyDescent="0.2">
      <c r="A365" s="3">
        <v>360</v>
      </c>
      <c r="B365" s="3" t="s">
        <v>1344</v>
      </c>
      <c r="C365" s="3" t="s">
        <v>1346</v>
      </c>
      <c r="D365" s="21">
        <f>VLOOKUP(B365,SYS!$F$5:$G$360,2,FALSE)</f>
        <v>269</v>
      </c>
      <c r="E365" s="21">
        <f>VLOOKUP(C365,SYS!$F$5:$G$360,2,FALSE)</f>
        <v>270</v>
      </c>
      <c r="F365" s="7">
        <v>54</v>
      </c>
      <c r="G365" s="11">
        <v>0.748</v>
      </c>
      <c r="H365" s="3">
        <v>-1</v>
      </c>
      <c r="I365" s="3">
        <v>-1</v>
      </c>
      <c r="J365" s="11">
        <v>0</v>
      </c>
      <c r="K365" s="25">
        <f t="shared" si="23"/>
        <v>1.0800000000000001E-2</v>
      </c>
      <c r="L365" s="26">
        <v>0.3</v>
      </c>
      <c r="M365" s="26">
        <v>0.3</v>
      </c>
      <c r="N365" s="11" t="s">
        <v>722</v>
      </c>
      <c r="O365" s="26" t="str">
        <f>VLOOKUP(TRN!D365,SYS!$G$5:$H$360,2,FALSE)</f>
        <v>新改変電所</v>
      </c>
      <c r="P365" s="26" t="str">
        <f>VLOOKUP(TRN!E365,SYS!$G$5:$H$360,2,FALSE)</f>
        <v>井川変電所</v>
      </c>
      <c r="R365" s="60"/>
      <c r="S365" s="1"/>
      <c r="T365" s="88">
        <v>5.1162840129740204</v>
      </c>
      <c r="U365" s="89">
        <v>165625.68850599221</v>
      </c>
    </row>
    <row r="366" spans="1:21" x14ac:dyDescent="0.2">
      <c r="A366" s="3">
        <v>361</v>
      </c>
      <c r="B366" s="3" t="s">
        <v>1326</v>
      </c>
      <c r="C366" s="3" t="s">
        <v>949</v>
      </c>
      <c r="D366" s="21">
        <f>VLOOKUP(B366,SYS!$F$5:$G$360,2,FALSE)</f>
        <v>256</v>
      </c>
      <c r="E366" s="21">
        <f>VLOOKUP(C366,SYS!$F$5:$G$360,2,FALSE)</f>
        <v>271</v>
      </c>
      <c r="F366" s="7">
        <v>25</v>
      </c>
      <c r="G366" s="11">
        <v>0.25600000000000001</v>
      </c>
      <c r="H366" s="3">
        <v>-1</v>
      </c>
      <c r="I366" s="3">
        <v>-1</v>
      </c>
      <c r="J366" s="11">
        <v>0</v>
      </c>
      <c r="K366" s="25">
        <f t="shared" si="23"/>
        <v>5.0000000000000001E-3</v>
      </c>
      <c r="L366" s="26">
        <v>0.94799999999999995</v>
      </c>
      <c r="M366" s="26">
        <v>0.94799999999999995</v>
      </c>
      <c r="N366" s="11" t="s">
        <v>723</v>
      </c>
      <c r="O366" s="26" t="str">
        <f>VLOOKUP(TRN!D366,SYS!$G$5:$H$360,2,FALSE)</f>
        <v>東予変電所</v>
      </c>
      <c r="P366" s="26" t="str">
        <f>VLOOKUP(TRN!E366,SYS!$G$5:$H$360,2,FALSE)</f>
        <v>三島変電所</v>
      </c>
      <c r="S366" s="1"/>
      <c r="T366" s="88">
        <v>1.9740402192615223</v>
      </c>
      <c r="U366" s="89">
        <v>2.3798820791897568</v>
      </c>
    </row>
    <row r="367" spans="1:21" x14ac:dyDescent="0.2">
      <c r="A367" s="3">
        <v>362</v>
      </c>
      <c r="B367" s="3" t="s">
        <v>1346</v>
      </c>
      <c r="C367" s="3" t="s">
        <v>949</v>
      </c>
      <c r="D367" s="21">
        <f>VLOOKUP(B367,SYS!$F$5:$G$360,2,FALSE)</f>
        <v>270</v>
      </c>
      <c r="E367" s="21">
        <f>VLOOKUP(C367,SYS!$F$5:$G$360,2,FALSE)</f>
        <v>271</v>
      </c>
      <c r="F367" s="7">
        <v>37</v>
      </c>
      <c r="G367" s="11">
        <v>0.51600000000000001</v>
      </c>
      <c r="H367" s="3">
        <v>-1</v>
      </c>
      <c r="I367" s="3">
        <v>-1</v>
      </c>
      <c r="J367" s="11">
        <v>0</v>
      </c>
      <c r="K367" s="25">
        <f t="shared" si="23"/>
        <v>7.4000000000000003E-3</v>
      </c>
      <c r="L367" s="26">
        <v>0.307</v>
      </c>
      <c r="M367" s="26">
        <v>0.307</v>
      </c>
      <c r="N367" s="11" t="s">
        <v>724</v>
      </c>
      <c r="O367" s="26" t="str">
        <f>VLOOKUP(TRN!D367,SYS!$G$5:$H$360,2,FALSE)</f>
        <v>井川変電所</v>
      </c>
      <c r="P367" s="26" t="str">
        <f>VLOOKUP(TRN!E367,SYS!$G$5:$H$360,2,FALSE)</f>
        <v>三島変電所</v>
      </c>
      <c r="S367" s="1"/>
      <c r="T367" s="88">
        <v>8.3185726354181178</v>
      </c>
      <c r="U367" s="89">
        <v>5.8429091797439954</v>
      </c>
    </row>
    <row r="368" spans="1:21" x14ac:dyDescent="0.2">
      <c r="A368" s="3">
        <v>363</v>
      </c>
      <c r="B368" s="3" t="s">
        <v>1346</v>
      </c>
      <c r="C368" s="3" t="s">
        <v>1568</v>
      </c>
      <c r="D368" s="21">
        <f>VLOOKUP(B368,SYS!$F$5:$G$360,2,FALSE)</f>
        <v>270</v>
      </c>
      <c r="E368" s="21">
        <f>VLOOKUP(C368,SYS!$F$5:$G$360,2,FALSE)</f>
        <v>258</v>
      </c>
      <c r="F368" s="7">
        <v>19</v>
      </c>
      <c r="G368" s="11">
        <v>0.26200000000000001</v>
      </c>
      <c r="H368" s="3">
        <v>-1</v>
      </c>
      <c r="I368" s="3">
        <v>-1</v>
      </c>
      <c r="J368" s="11">
        <v>0</v>
      </c>
      <c r="K368" s="25">
        <f t="shared" si="23"/>
        <v>3.8E-3</v>
      </c>
      <c r="L368" s="26">
        <v>0.40400000000000003</v>
      </c>
      <c r="M368" s="26">
        <v>0.40400000000000003</v>
      </c>
      <c r="N368" s="11" t="s">
        <v>725</v>
      </c>
      <c r="O368" s="26" t="str">
        <f>VLOOKUP(TRN!D368,SYS!$G$5:$H$360,2,FALSE)</f>
        <v>井川変電所</v>
      </c>
      <c r="P368" s="26" t="str">
        <f>VLOOKUP(TRN!E368,SYS!$G$5:$H$360,2,FALSE)</f>
        <v>讃岐変電所</v>
      </c>
      <c r="S368" s="1"/>
      <c r="T368" s="88">
        <v>3.8771090413663685</v>
      </c>
      <c r="U368" s="89">
        <v>102689.45982650414</v>
      </c>
    </row>
    <row r="369" spans="1:21" x14ac:dyDescent="0.2">
      <c r="A369" s="3">
        <v>364</v>
      </c>
      <c r="B369" s="3" t="s">
        <v>1348</v>
      </c>
      <c r="C369" s="3" t="s">
        <v>1568</v>
      </c>
      <c r="D369" s="21">
        <f>VLOOKUP(B369,SYS!$F$5:$G$360,2,FALSE)</f>
        <v>272</v>
      </c>
      <c r="E369" s="21">
        <f>VLOOKUP(C369,SYS!$F$5:$G$360,2,FALSE)</f>
        <v>258</v>
      </c>
      <c r="F369" s="7">
        <v>11</v>
      </c>
      <c r="G369" s="11">
        <v>0.14199999999999999</v>
      </c>
      <c r="H369" s="3">
        <v>-1</v>
      </c>
      <c r="I369" s="3">
        <v>-1</v>
      </c>
      <c r="J369" s="11">
        <v>0</v>
      </c>
      <c r="K369" s="25">
        <f t="shared" si="23"/>
        <v>2.2000000000000001E-3</v>
      </c>
      <c r="L369" s="26">
        <v>0.44800000000000001</v>
      </c>
      <c r="M369" s="26">
        <v>0.44800000000000001</v>
      </c>
      <c r="N369" s="11" t="s">
        <v>726</v>
      </c>
      <c r="O369" s="26" t="str">
        <f>VLOOKUP(TRN!D369,SYS!$G$5:$H$360,2,FALSE)</f>
        <v>香川変電所</v>
      </c>
      <c r="P369" s="26" t="str">
        <f>VLOOKUP(TRN!E369,SYS!$G$5:$H$360,2,FALSE)</f>
        <v>讃岐変電所</v>
      </c>
      <c r="S369" s="1"/>
      <c r="T369" s="88">
        <v>5.0071310376857596</v>
      </c>
      <c r="U369" s="89">
        <v>821.50715737061716</v>
      </c>
    </row>
    <row r="370" spans="1:21" x14ac:dyDescent="0.2">
      <c r="A370" s="3">
        <v>365</v>
      </c>
      <c r="B370" s="3" t="s">
        <v>1568</v>
      </c>
      <c r="C370" s="3" t="s">
        <v>1350</v>
      </c>
      <c r="D370" s="21">
        <f>VLOOKUP(B370,SYS!$F$5:$G$360,2,FALSE)</f>
        <v>258</v>
      </c>
      <c r="E370" s="21">
        <f>VLOOKUP(C370,SYS!$F$5:$G$360,2,FALSE)</f>
        <v>273</v>
      </c>
      <c r="F370" s="7">
        <v>23</v>
      </c>
      <c r="G370" s="64">
        <f t="shared" si="22"/>
        <v>0.32400914331577896</v>
      </c>
      <c r="H370" s="3">
        <v>-1</v>
      </c>
      <c r="I370" s="3">
        <v>-1</v>
      </c>
      <c r="J370" s="11">
        <v>0</v>
      </c>
      <c r="K370" s="25">
        <f t="shared" si="23"/>
        <v>4.5999999999999999E-3</v>
      </c>
      <c r="L370" s="26">
        <v>0.80800000000000005</v>
      </c>
      <c r="M370" s="26">
        <v>0.80800000000000005</v>
      </c>
      <c r="N370" s="11" t="s">
        <v>727</v>
      </c>
      <c r="O370" s="26" t="str">
        <f>VLOOKUP(TRN!D370,SYS!$G$5:$H$360,2,FALSE)</f>
        <v>讃岐変電所</v>
      </c>
      <c r="P370" s="26" t="str">
        <f>VLOOKUP(TRN!E370,SYS!$G$5:$H$360,2,FALSE)</f>
        <v>麻変電所</v>
      </c>
      <c r="S370" s="1"/>
      <c r="T370" s="88">
        <v>57372.625186150988</v>
      </c>
      <c r="U370" s="89">
        <v>2.1143458601314826</v>
      </c>
    </row>
    <row r="371" spans="1:21" x14ac:dyDescent="0.2">
      <c r="A371" s="3">
        <v>366</v>
      </c>
      <c r="B371" s="3" t="s">
        <v>1568</v>
      </c>
      <c r="C371" s="3" t="s">
        <v>1352</v>
      </c>
      <c r="D371" s="21">
        <f>VLOOKUP(B371,SYS!$F$5:$G$360,2,FALSE)</f>
        <v>258</v>
      </c>
      <c r="E371" s="21">
        <f>VLOOKUP(C371,SYS!$F$5:$G$360,2,FALSE)</f>
        <v>274</v>
      </c>
      <c r="F371" s="7">
        <v>16</v>
      </c>
      <c r="G371" s="64">
        <f t="shared" si="22"/>
        <v>0.21600609554385267</v>
      </c>
      <c r="H371" s="3">
        <v>-1</v>
      </c>
      <c r="I371" s="3">
        <v>-1</v>
      </c>
      <c r="J371" s="11">
        <v>0</v>
      </c>
      <c r="K371" s="25">
        <f t="shared" si="23"/>
        <v>3.2000000000000002E-3</v>
      </c>
      <c r="L371" s="26">
        <v>1.212</v>
      </c>
      <c r="M371" s="26">
        <v>1.212</v>
      </c>
      <c r="N371" s="11" t="s">
        <v>728</v>
      </c>
      <c r="O371" s="26" t="str">
        <f>VLOOKUP(TRN!D371,SYS!$G$5:$H$360,2,FALSE)</f>
        <v>讃岐変電所</v>
      </c>
      <c r="P371" s="26" t="str">
        <f>VLOOKUP(TRN!E371,SYS!$G$5:$H$360,2,FALSE)</f>
        <v>高松変電所</v>
      </c>
      <c r="S371" s="1"/>
      <c r="T371" s="88">
        <v>2.512710380497841</v>
      </c>
      <c r="U371" s="89">
        <v>1.6470570801204403</v>
      </c>
    </row>
    <row r="372" spans="1:21" x14ac:dyDescent="0.2">
      <c r="A372" s="3">
        <v>367</v>
      </c>
      <c r="B372" s="3" t="s">
        <v>1568</v>
      </c>
      <c r="C372" s="3" t="s">
        <v>1354</v>
      </c>
      <c r="D372" s="21">
        <f>VLOOKUP(B372,SYS!$F$5:$G$360,2,FALSE)</f>
        <v>258</v>
      </c>
      <c r="E372" s="21">
        <f>VLOOKUP(C372,SYS!$F$5:$G$360,2,FALSE)</f>
        <v>275</v>
      </c>
      <c r="F372" s="7">
        <v>61</v>
      </c>
      <c r="G372" s="11">
        <v>0.24410000000000001</v>
      </c>
      <c r="H372" s="3">
        <v>-1</v>
      </c>
      <c r="I372" s="3">
        <v>-1</v>
      </c>
      <c r="J372" s="11">
        <v>0</v>
      </c>
      <c r="K372" s="25">
        <f t="shared" si="23"/>
        <v>1.2200000000000001E-2</v>
      </c>
      <c r="L372" s="26">
        <v>1.276</v>
      </c>
      <c r="M372" s="26">
        <v>1.276</v>
      </c>
      <c r="N372" s="11" t="s">
        <v>729</v>
      </c>
      <c r="O372" s="26" t="str">
        <f>VLOOKUP(TRN!D372,SYS!$G$5:$H$360,2,FALSE)</f>
        <v>讃岐変電所</v>
      </c>
      <c r="P372" s="26" t="str">
        <f>VLOOKUP(TRN!E372,SYS!$G$5:$H$360,2,FALSE)</f>
        <v>鳴門変電所</v>
      </c>
      <c r="S372" s="1"/>
      <c r="T372" s="88">
        <v>5.0746444635419605</v>
      </c>
      <c r="U372" s="89">
        <v>1.5452816865415522</v>
      </c>
    </row>
    <row r="373" spans="1:21" x14ac:dyDescent="0.2">
      <c r="A373" s="3">
        <v>368</v>
      </c>
      <c r="B373" s="3" t="s">
        <v>1568</v>
      </c>
      <c r="C373" s="3" t="s">
        <v>1356</v>
      </c>
      <c r="D373" s="21">
        <f>VLOOKUP(B373,SYS!$F$5:$G$360,2,FALSE)</f>
        <v>258</v>
      </c>
      <c r="E373" s="21">
        <f>VLOOKUP(C373,SYS!$F$5:$G$360,2,FALSE)</f>
        <v>276</v>
      </c>
      <c r="F373" s="7">
        <v>5</v>
      </c>
      <c r="G373" s="64">
        <f t="shared" si="22"/>
        <v>0.41034386802374517</v>
      </c>
      <c r="H373" s="3">
        <v>-1</v>
      </c>
      <c r="I373" s="3">
        <v>-1</v>
      </c>
      <c r="J373" s="11">
        <v>0</v>
      </c>
      <c r="K373" s="25">
        <f t="shared" si="23"/>
        <v>1E-3</v>
      </c>
      <c r="L373" s="26">
        <v>0.63800000000000001</v>
      </c>
      <c r="M373" s="26">
        <v>0.63800000000000001</v>
      </c>
      <c r="N373" s="11" t="s">
        <v>730</v>
      </c>
      <c r="O373" s="26" t="str">
        <f>VLOOKUP(TRN!D373,SYS!$G$5:$H$360,2,FALSE)</f>
        <v>讃岐変電所</v>
      </c>
      <c r="P373" s="26" t="str">
        <f>VLOOKUP(TRN!E373,SYS!$G$5:$H$360,2,FALSE)</f>
        <v>大川変電所</v>
      </c>
      <c r="S373" s="1"/>
      <c r="T373" s="88">
        <v>54062.47772347353</v>
      </c>
      <c r="U373" s="89">
        <v>2.4620191936067468</v>
      </c>
    </row>
    <row r="374" spans="1:21" x14ac:dyDescent="0.2">
      <c r="A374" s="3">
        <v>369</v>
      </c>
      <c r="B374" s="3" t="s">
        <v>1332</v>
      </c>
      <c r="C374" s="3" t="s">
        <v>1354</v>
      </c>
      <c r="D374" s="21">
        <f>VLOOKUP(B374,SYS!$F$5:$G$360,2,FALSE)</f>
        <v>259</v>
      </c>
      <c r="E374" s="21">
        <f>VLOOKUP(C374,SYS!$F$5:$G$360,2,FALSE)</f>
        <v>275</v>
      </c>
      <c r="F374" s="7">
        <v>36</v>
      </c>
      <c r="G374" s="11">
        <v>0.35110000000000002</v>
      </c>
      <c r="H374" s="3">
        <v>-1</v>
      </c>
      <c r="I374" s="3">
        <v>-1</v>
      </c>
      <c r="J374" s="11">
        <v>0</v>
      </c>
      <c r="K374" s="25">
        <f t="shared" si="23"/>
        <v>7.2000000000000007E-3</v>
      </c>
      <c r="L374" s="26">
        <v>0.92300000000000004</v>
      </c>
      <c r="M374" s="26">
        <v>0.92300000000000004</v>
      </c>
      <c r="N374" s="11" t="s">
        <v>731</v>
      </c>
      <c r="O374" s="26" t="str">
        <f>VLOOKUP(TRN!D374,SYS!$G$5:$H$360,2,FALSE)</f>
        <v>阿波変電所</v>
      </c>
      <c r="P374" s="26" t="str">
        <f>VLOOKUP(TRN!E374,SYS!$G$5:$H$360,2,FALSE)</f>
        <v>鳴門変電所</v>
      </c>
      <c r="S374" s="1"/>
      <c r="T374" s="88">
        <v>3.1300766591659444</v>
      </c>
      <c r="U374" s="89">
        <v>1.7709658639135006</v>
      </c>
    </row>
    <row r="375" spans="1:21" x14ac:dyDescent="0.2">
      <c r="A375" s="3">
        <v>370</v>
      </c>
      <c r="B375" s="3" t="s">
        <v>1332</v>
      </c>
      <c r="C375" s="3" t="s">
        <v>1358</v>
      </c>
      <c r="D375" s="21">
        <f>VLOOKUP(B375,SYS!$F$5:$G$360,2,FALSE)</f>
        <v>259</v>
      </c>
      <c r="E375" s="21">
        <f>VLOOKUP(C375,SYS!$F$5:$G$360,2,FALSE)</f>
        <v>277</v>
      </c>
      <c r="F375" s="7">
        <v>12</v>
      </c>
      <c r="G375" s="11">
        <v>0.1168</v>
      </c>
      <c r="H375" s="3">
        <v>-1</v>
      </c>
      <c r="I375" s="3">
        <v>-1</v>
      </c>
      <c r="J375" s="11">
        <v>0</v>
      </c>
      <c r="K375" s="25">
        <f t="shared" si="23"/>
        <v>2.4000000000000002E-3</v>
      </c>
      <c r="L375" s="26">
        <v>0.92300000000000004</v>
      </c>
      <c r="M375" s="26">
        <v>0.92300000000000004</v>
      </c>
      <c r="N375" s="11" t="s">
        <v>732</v>
      </c>
      <c r="O375" s="26" t="str">
        <f>VLOOKUP(TRN!D375,SYS!$G$5:$H$360,2,FALSE)</f>
        <v>阿波変電所</v>
      </c>
      <c r="P375" s="26" t="str">
        <f>VLOOKUP(TRN!E375,SYS!$G$5:$H$360,2,FALSE)</f>
        <v>国府変電所</v>
      </c>
      <c r="R375"/>
      <c r="S375" s="1"/>
      <c r="T375" s="88">
        <v>9.4500210344437185</v>
      </c>
      <c r="U375" s="89">
        <v>2.4960154810194903</v>
      </c>
    </row>
    <row r="376" spans="1:21" x14ac:dyDescent="0.2">
      <c r="A376" s="3">
        <v>371</v>
      </c>
      <c r="B376" s="3" t="s">
        <v>1362</v>
      </c>
      <c r="C376" s="3" t="s">
        <v>1360</v>
      </c>
      <c r="D376" s="21">
        <f>VLOOKUP(B376,SYS!$F$5:$G$360,2,FALSE)</f>
        <v>279</v>
      </c>
      <c r="E376" s="21">
        <f>VLOOKUP(C376,SYS!$F$5:$G$360,2,FALSE)</f>
        <v>278</v>
      </c>
      <c r="F376" s="7">
        <v>107</v>
      </c>
      <c r="G376" s="11">
        <v>0.13900000000000001</v>
      </c>
      <c r="H376" s="3">
        <v>-1</v>
      </c>
      <c r="I376" s="3">
        <v>-1</v>
      </c>
      <c r="J376" s="11">
        <v>0</v>
      </c>
      <c r="K376" s="25">
        <f t="shared" si="23"/>
        <v>2.1400000000000002E-2</v>
      </c>
      <c r="L376" s="64">
        <v>6.58</v>
      </c>
      <c r="M376" s="64">
        <v>6.58</v>
      </c>
      <c r="N376" s="11" t="s">
        <v>836</v>
      </c>
      <c r="O376" s="26" t="str">
        <f>VLOOKUP(TRN!D376,SYS!$G$5:$H$360,2,FALSE)</f>
        <v>西島根（変）</v>
      </c>
      <c r="P376" s="26" t="str">
        <f>VLOOKUP(TRN!E376,SYS!$G$5:$H$360,2,FALSE)</f>
        <v>新山口（変）</v>
      </c>
      <c r="S376" s="1"/>
      <c r="T376" s="88">
        <v>0.37049804386392471</v>
      </c>
      <c r="U376" s="89">
        <v>0.25336680274567303</v>
      </c>
    </row>
    <row r="377" spans="1:21" x14ac:dyDescent="0.2">
      <c r="A377" s="3">
        <v>372</v>
      </c>
      <c r="B377" s="3" t="s">
        <v>1364</v>
      </c>
      <c r="C377" s="3" t="s">
        <v>1362</v>
      </c>
      <c r="D377" s="21">
        <f>VLOOKUP(B377,SYS!$F$5:$G$360,2,FALSE)</f>
        <v>280</v>
      </c>
      <c r="E377" s="21">
        <f>VLOOKUP(C377,SYS!$F$5:$G$360,2,FALSE)</f>
        <v>279</v>
      </c>
      <c r="F377" s="7">
        <v>153</v>
      </c>
      <c r="G377" s="11">
        <v>0.19900000000000001</v>
      </c>
      <c r="H377" s="3">
        <v>-1</v>
      </c>
      <c r="I377" s="3">
        <v>-1</v>
      </c>
      <c r="J377" s="11">
        <v>0</v>
      </c>
      <c r="K377" s="25">
        <f t="shared" si="23"/>
        <v>3.0600000000000002E-2</v>
      </c>
      <c r="L377" s="64">
        <v>9.8719999999999999</v>
      </c>
      <c r="M377" s="64">
        <v>9.8719999999999999</v>
      </c>
      <c r="N377" s="11" t="s">
        <v>733</v>
      </c>
      <c r="O377" s="26" t="str">
        <f>VLOOKUP(TRN!D377,SYS!$G$5:$H$360,2,FALSE)</f>
        <v>日野（変）</v>
      </c>
      <c r="P377" s="26" t="str">
        <f>VLOOKUP(TRN!E377,SYS!$G$5:$H$360,2,FALSE)</f>
        <v>西島根（変）</v>
      </c>
      <c r="S377" s="1"/>
      <c r="T377" s="88">
        <v>0.21520140528140821</v>
      </c>
      <c r="U377" s="89">
        <v>0.17928989812407972</v>
      </c>
    </row>
    <row r="378" spans="1:21" x14ac:dyDescent="0.2">
      <c r="A378" s="3">
        <v>373</v>
      </c>
      <c r="B378" s="3" t="s">
        <v>1366</v>
      </c>
      <c r="C378" s="3" t="s">
        <v>1364</v>
      </c>
      <c r="D378" s="21">
        <f>VLOOKUP(B378,SYS!$F$5:$G$360,2,FALSE)</f>
        <v>281</v>
      </c>
      <c r="E378" s="21">
        <f>VLOOKUP(C378,SYS!$F$5:$G$360,2,FALSE)</f>
        <v>280</v>
      </c>
      <c r="F378" s="7">
        <v>84</v>
      </c>
      <c r="G378" s="11">
        <v>0.111</v>
      </c>
      <c r="H378" s="3">
        <v>-1</v>
      </c>
      <c r="I378" s="3">
        <v>-1</v>
      </c>
      <c r="J378" s="11">
        <v>0</v>
      </c>
      <c r="K378" s="25">
        <f t="shared" si="23"/>
        <v>1.6800000000000002E-2</v>
      </c>
      <c r="L378" s="64">
        <v>6.58</v>
      </c>
      <c r="M378" s="64">
        <v>6.58</v>
      </c>
      <c r="N378" s="11" t="s">
        <v>734</v>
      </c>
      <c r="O378" s="26" t="str">
        <f>VLOOKUP(TRN!D378,SYS!$G$5:$H$360,2,FALSE)</f>
        <v>智頭（変）</v>
      </c>
      <c r="P378" s="26" t="str">
        <f>VLOOKUP(TRN!E378,SYS!$G$5:$H$360,2,FALSE)</f>
        <v>日野（変）</v>
      </c>
      <c r="S378" s="1"/>
      <c r="T378" s="88">
        <v>0.40417142321407834</v>
      </c>
      <c r="U378" s="89">
        <v>0.24014252127442604</v>
      </c>
    </row>
    <row r="379" spans="1:21" x14ac:dyDescent="0.2">
      <c r="A379" s="3">
        <v>374</v>
      </c>
      <c r="B379" s="3" t="s">
        <v>1572</v>
      </c>
      <c r="C379" s="3" t="s">
        <v>1360</v>
      </c>
      <c r="D379" s="21">
        <f>VLOOKUP(B379,SYS!$F$5:$G$360,2,FALSE)</f>
        <v>282</v>
      </c>
      <c r="E379" s="21">
        <f>VLOOKUP(C379,SYS!$F$5:$G$360,2,FALSE)</f>
        <v>278</v>
      </c>
      <c r="F379" s="7">
        <v>78</v>
      </c>
      <c r="G379" s="11">
        <v>0.105</v>
      </c>
      <c r="H379" s="3">
        <v>-1</v>
      </c>
      <c r="I379" s="3">
        <v>-1</v>
      </c>
      <c r="J379" s="11">
        <v>0</v>
      </c>
      <c r="K379" s="25">
        <f t="shared" si="23"/>
        <v>1.5600000000000001E-2</v>
      </c>
      <c r="L379" s="64">
        <v>6.58</v>
      </c>
      <c r="M379" s="64">
        <v>6.58</v>
      </c>
      <c r="N379" s="11" t="s">
        <v>735</v>
      </c>
      <c r="O379" s="26" t="str">
        <f>VLOOKUP(TRN!D379,SYS!$G$5:$H$360,2,FALSE)</f>
        <v>東山口（変）</v>
      </c>
      <c r="P379" s="26" t="str">
        <f>VLOOKUP(TRN!E379,SYS!$G$5:$H$360,2,FALSE)</f>
        <v>新山口（変）</v>
      </c>
      <c r="S379" s="1"/>
      <c r="T379" s="88">
        <v>0.35530635577212594</v>
      </c>
      <c r="U379" s="89">
        <v>0.26091449447688714</v>
      </c>
    </row>
    <row r="380" spans="1:21" x14ac:dyDescent="0.2">
      <c r="A380" s="3">
        <v>375</v>
      </c>
      <c r="B380" s="3" t="s">
        <v>1574</v>
      </c>
      <c r="C380" s="3" t="s">
        <v>1572</v>
      </c>
      <c r="D380" s="21">
        <f>VLOOKUP(B380,SYS!$F$5:$G$360,2,FALSE)</f>
        <v>283</v>
      </c>
      <c r="E380" s="21">
        <f>VLOOKUP(C380,SYS!$F$5:$G$360,2,FALSE)</f>
        <v>282</v>
      </c>
      <c r="F380" s="7">
        <v>52</v>
      </c>
      <c r="G380" s="11">
        <v>7.1999999999999995E-2</v>
      </c>
      <c r="H380" s="3">
        <v>-1</v>
      </c>
      <c r="I380" s="3">
        <v>-1</v>
      </c>
      <c r="J380" s="11">
        <v>0</v>
      </c>
      <c r="K380" s="25">
        <f t="shared" si="23"/>
        <v>1.0400000000000001E-2</v>
      </c>
      <c r="L380" s="64">
        <v>6.58</v>
      </c>
      <c r="M380" s="64">
        <v>6.58</v>
      </c>
      <c r="N380" s="11" t="s">
        <v>736</v>
      </c>
      <c r="O380" s="26" t="str">
        <f>VLOOKUP(TRN!D380,SYS!$G$5:$H$360,2,FALSE)</f>
        <v>新西広島（変）</v>
      </c>
      <c r="P380" s="26" t="str">
        <f>VLOOKUP(TRN!E380,SYS!$G$5:$H$360,2,FALSE)</f>
        <v>東山口（変）</v>
      </c>
      <c r="S380" s="1"/>
      <c r="T380" s="88">
        <v>0.37171415101048061</v>
      </c>
      <c r="U380" s="89">
        <v>0.25351540507596754</v>
      </c>
    </row>
    <row r="381" spans="1:21" x14ac:dyDescent="0.2">
      <c r="A381" s="3">
        <v>376</v>
      </c>
      <c r="B381" s="3" t="s">
        <v>1574</v>
      </c>
      <c r="C381" s="3" t="s">
        <v>1362</v>
      </c>
      <c r="D381" s="21">
        <f>VLOOKUP(B381,SYS!$F$5:$G$360,2,FALSE)</f>
        <v>283</v>
      </c>
      <c r="E381" s="21">
        <f>VLOOKUP(C381,SYS!$F$5:$G$360,2,FALSE)</f>
        <v>279</v>
      </c>
      <c r="F381" s="7">
        <v>47</v>
      </c>
      <c r="G381" s="11">
        <v>6.2E-2</v>
      </c>
      <c r="H381" s="3">
        <v>-1</v>
      </c>
      <c r="I381" s="3">
        <v>-1</v>
      </c>
      <c r="J381" s="11">
        <v>0</v>
      </c>
      <c r="K381" s="25">
        <f t="shared" si="23"/>
        <v>9.4000000000000004E-3</v>
      </c>
      <c r="L381" s="64">
        <v>9.8719999999999999</v>
      </c>
      <c r="M381" s="64">
        <v>9.8719999999999999</v>
      </c>
      <c r="N381" s="11" t="s">
        <v>737</v>
      </c>
      <c r="O381" s="26" t="str">
        <f>VLOOKUP(TRN!D381,SYS!$G$5:$H$360,2,FALSE)</f>
        <v>新西広島（変）</v>
      </c>
      <c r="P381" s="26" t="str">
        <f>VLOOKUP(TRN!E381,SYS!$G$5:$H$360,2,FALSE)</f>
        <v>西島根（変）</v>
      </c>
      <c r="S381" s="1"/>
      <c r="T381" s="88">
        <v>0.20339374269325491</v>
      </c>
      <c r="U381" s="89">
        <v>0.18798666985388707</v>
      </c>
    </row>
    <row r="382" spans="1:21" x14ac:dyDescent="0.2">
      <c r="A382" s="3">
        <v>377</v>
      </c>
      <c r="B382" s="3" t="s">
        <v>1372</v>
      </c>
      <c r="C382" s="3" t="s">
        <v>1574</v>
      </c>
      <c r="D382" s="21">
        <f>VLOOKUP(B382,SYS!$F$5:$G$360,2,FALSE)</f>
        <v>284</v>
      </c>
      <c r="E382" s="21">
        <f>VLOOKUP(C382,SYS!$F$5:$G$360,2,FALSE)</f>
        <v>283</v>
      </c>
      <c r="F382" s="7">
        <v>56</v>
      </c>
      <c r="G382" s="11">
        <v>7.5999999999999998E-2</v>
      </c>
      <c r="H382" s="3">
        <v>-1</v>
      </c>
      <c r="I382" s="3">
        <v>-1</v>
      </c>
      <c r="J382" s="11">
        <v>0</v>
      </c>
      <c r="K382" s="25">
        <f t="shared" si="23"/>
        <v>1.12E-2</v>
      </c>
      <c r="L382" s="64">
        <v>6.58</v>
      </c>
      <c r="M382" s="64">
        <v>6.58</v>
      </c>
      <c r="N382" s="11" t="s">
        <v>738</v>
      </c>
      <c r="O382" s="26" t="str">
        <f>VLOOKUP(TRN!D382,SYS!$G$5:$H$360,2,FALSE)</f>
        <v>新広島（変）</v>
      </c>
      <c r="P382" s="26" t="str">
        <f>VLOOKUP(TRN!E382,SYS!$G$5:$H$360,2,FALSE)</f>
        <v>新西広島（変）</v>
      </c>
      <c r="S382" s="1"/>
      <c r="T382" s="88">
        <v>0.39095770856262524</v>
      </c>
      <c r="U382" s="89">
        <v>0.24718771561240349</v>
      </c>
    </row>
    <row r="383" spans="1:21" x14ac:dyDescent="0.2">
      <c r="A383" s="3">
        <v>378</v>
      </c>
      <c r="B383" s="3" t="s">
        <v>1374</v>
      </c>
      <c r="C383" s="3" t="s">
        <v>1372</v>
      </c>
      <c r="D383" s="21">
        <f>VLOOKUP(B383,SYS!$F$5:$G$360,2,FALSE)</f>
        <v>285</v>
      </c>
      <c r="E383" s="21">
        <f>VLOOKUP(C383,SYS!$F$5:$G$360,2,FALSE)</f>
        <v>284</v>
      </c>
      <c r="F383" s="7">
        <v>75</v>
      </c>
      <c r="G383" s="11">
        <v>0.10100000000000001</v>
      </c>
      <c r="H383" s="3">
        <v>-1</v>
      </c>
      <c r="I383" s="3">
        <v>-1</v>
      </c>
      <c r="J383" s="11">
        <v>0</v>
      </c>
      <c r="K383" s="25">
        <f t="shared" si="23"/>
        <v>1.5000000000000001E-2</v>
      </c>
      <c r="L383" s="64">
        <v>6.58</v>
      </c>
      <c r="M383" s="64">
        <v>6.58</v>
      </c>
      <c r="N383" s="11" t="s">
        <v>739</v>
      </c>
      <c r="O383" s="26" t="str">
        <f>VLOOKUP(TRN!D383,SYS!$G$5:$H$360,2,FALSE)</f>
        <v>新岡山（変）</v>
      </c>
      <c r="P383" s="26" t="str">
        <f>VLOOKUP(TRN!E383,SYS!$G$5:$H$360,2,FALSE)</f>
        <v>新広島（変）</v>
      </c>
      <c r="S383" s="1"/>
      <c r="T383" s="88">
        <v>0.34996607696071558</v>
      </c>
      <c r="U383" s="89">
        <v>0.26718110838795373</v>
      </c>
    </row>
    <row r="384" spans="1:21" x14ac:dyDescent="0.2">
      <c r="A384" s="3">
        <v>379</v>
      </c>
      <c r="B384" s="3" t="s">
        <v>1376</v>
      </c>
      <c r="C384" s="3" t="s">
        <v>1374</v>
      </c>
      <c r="D384" s="21">
        <f>VLOOKUP(B384,SYS!$F$5:$G$360,2,FALSE)</f>
        <v>286</v>
      </c>
      <c r="E384" s="21">
        <f>VLOOKUP(C384,SYS!$F$5:$G$360,2,FALSE)</f>
        <v>285</v>
      </c>
      <c r="F384" s="7">
        <v>62</v>
      </c>
      <c r="G384" s="11">
        <v>8.5000000000000006E-2</v>
      </c>
      <c r="H384" s="3">
        <v>-1</v>
      </c>
      <c r="I384" s="3">
        <v>-1</v>
      </c>
      <c r="J384" s="11">
        <v>0</v>
      </c>
      <c r="K384" s="25">
        <f t="shared" si="23"/>
        <v>1.2400000000000001E-2</v>
      </c>
      <c r="L384" s="64">
        <v>6.58</v>
      </c>
      <c r="M384" s="64">
        <v>6.58</v>
      </c>
      <c r="N384" s="11" t="s">
        <v>740</v>
      </c>
      <c r="O384" s="26" t="str">
        <f>VLOOKUP(TRN!D384,SYS!$G$5:$H$360,2,FALSE)</f>
        <v>東岡山（変）</v>
      </c>
      <c r="P384" s="26" t="str">
        <f>VLOOKUP(TRN!E384,SYS!$G$5:$H$360,2,FALSE)</f>
        <v>新岡山（変）</v>
      </c>
      <c r="S384" s="1"/>
      <c r="T384" s="88">
        <v>0.38430858182072275</v>
      </c>
      <c r="U384" s="89">
        <v>0.24848256808519678</v>
      </c>
    </row>
    <row r="385" spans="1:21" x14ac:dyDescent="0.2">
      <c r="A385" s="3">
        <v>380</v>
      </c>
      <c r="B385" s="3" t="s">
        <v>1378</v>
      </c>
      <c r="C385" s="3" t="s">
        <v>1364</v>
      </c>
      <c r="D385" s="21">
        <f>VLOOKUP(B385,SYS!$F$5:$G$360,2,FALSE)</f>
        <v>287</v>
      </c>
      <c r="E385" s="21">
        <f>VLOOKUP(C385,SYS!$F$5:$G$360,2,FALSE)</f>
        <v>280</v>
      </c>
      <c r="F385" s="7">
        <v>41</v>
      </c>
      <c r="G385" s="64">
        <f t="shared" si="22"/>
        <v>7.9574282005820493E-2</v>
      </c>
      <c r="H385" s="3">
        <v>-1</v>
      </c>
      <c r="I385" s="3">
        <v>-1</v>
      </c>
      <c r="J385" s="11">
        <v>0</v>
      </c>
      <c r="K385" s="25">
        <f t="shared" si="23"/>
        <v>8.2000000000000007E-3</v>
      </c>
      <c r="L385" s="26">
        <v>3.29</v>
      </c>
      <c r="M385" s="26">
        <v>3.29</v>
      </c>
      <c r="N385" s="11" t="s">
        <v>741</v>
      </c>
      <c r="O385" s="26" t="str">
        <f>VLOOKUP(TRN!D385,SYS!$G$5:$H$360,2,FALSE)</f>
        <v>北松江（変）</v>
      </c>
      <c r="P385" s="26" t="str">
        <f>VLOOKUP(TRN!E385,SYS!$G$5:$H$360,2,FALSE)</f>
        <v>日野（変）</v>
      </c>
      <c r="S385" s="1"/>
      <c r="T385" s="88">
        <v>0.42295863932253697</v>
      </c>
      <c r="U385" s="89">
        <v>1.1362379119614245</v>
      </c>
    </row>
    <row r="386" spans="1:21" x14ac:dyDescent="0.2">
      <c r="A386" s="3">
        <v>381</v>
      </c>
      <c r="B386" s="3" t="s">
        <v>1374</v>
      </c>
      <c r="C386" s="3" t="s">
        <v>1364</v>
      </c>
      <c r="D386" s="21">
        <f>VLOOKUP(B386,SYS!$F$5:$G$360,2,FALSE)</f>
        <v>285</v>
      </c>
      <c r="E386" s="21">
        <f>VLOOKUP(C386,SYS!$F$5:$G$360,2,FALSE)</f>
        <v>280</v>
      </c>
      <c r="F386" s="7">
        <v>58</v>
      </c>
      <c r="G386" s="11">
        <v>0.08</v>
      </c>
      <c r="H386" s="3">
        <v>-1</v>
      </c>
      <c r="I386" s="3">
        <v>-1</v>
      </c>
      <c r="J386" s="11">
        <v>0</v>
      </c>
      <c r="K386" s="25">
        <f t="shared" si="23"/>
        <v>1.1600000000000001E-2</v>
      </c>
      <c r="L386" s="64">
        <v>6.58</v>
      </c>
      <c r="M386" s="64">
        <v>6.58</v>
      </c>
      <c r="N386" s="11" t="s">
        <v>742</v>
      </c>
      <c r="O386" s="26" t="str">
        <f>VLOOKUP(TRN!D386,SYS!$G$5:$H$360,2,FALSE)</f>
        <v>新岡山（変）</v>
      </c>
      <c r="P386" s="26" t="str">
        <f>VLOOKUP(TRN!E386,SYS!$G$5:$H$360,2,FALSE)</f>
        <v>日野（変）</v>
      </c>
      <c r="S386" s="1"/>
      <c r="T386" s="88">
        <v>0.32963788207531103</v>
      </c>
      <c r="U386" s="89">
        <v>0.2749937849391319</v>
      </c>
    </row>
    <row r="387" spans="1:21" x14ac:dyDescent="0.2">
      <c r="A387" s="3">
        <v>382</v>
      </c>
      <c r="B387" s="3" t="s">
        <v>1368</v>
      </c>
      <c r="C387" s="3" t="s">
        <v>1360</v>
      </c>
      <c r="D387" s="21">
        <f>VLOOKUP(B387,SYS!$F$5:$G$360,2,FALSE)</f>
        <v>288</v>
      </c>
      <c r="E387" s="21">
        <f>VLOOKUP(C387,SYS!$F$5:$G$360,2,FALSE)</f>
        <v>278</v>
      </c>
      <c r="F387" s="7">
        <v>25</v>
      </c>
      <c r="G387" s="11">
        <v>0.18</v>
      </c>
      <c r="H387" s="3">
        <v>-1</v>
      </c>
      <c r="I387" s="3">
        <v>-1</v>
      </c>
      <c r="J387" s="11">
        <v>0</v>
      </c>
      <c r="K387" s="25">
        <f t="shared" si="23"/>
        <v>5.0000000000000001E-3</v>
      </c>
      <c r="L387" s="64">
        <v>1.232</v>
      </c>
      <c r="M387" s="64">
        <v>1.232</v>
      </c>
      <c r="N387" s="11" t="s">
        <v>743</v>
      </c>
      <c r="O387" s="26" t="str">
        <f>VLOOKUP(TRN!D387,SYS!$G$5:$H$360,2,FALSE)</f>
        <v>山口（変）</v>
      </c>
      <c r="P387" s="26" t="str">
        <f>VLOOKUP(TRN!E387,SYS!$G$5:$H$360,2,FALSE)</f>
        <v>新山口（変）</v>
      </c>
      <c r="S387" s="1"/>
      <c r="T387" s="88">
        <v>1.6891952054269812</v>
      </c>
      <c r="U387" s="89">
        <v>22.146642126172956</v>
      </c>
    </row>
    <row r="388" spans="1:21" x14ac:dyDescent="0.2">
      <c r="A388" s="3">
        <v>383</v>
      </c>
      <c r="B388" s="3" t="s">
        <v>1368</v>
      </c>
      <c r="C388" s="3" t="s">
        <v>1402</v>
      </c>
      <c r="D388" s="21">
        <f>VLOOKUP(B388,SYS!$F$5:$G$360,2,FALSE)</f>
        <v>288</v>
      </c>
      <c r="E388" s="21">
        <f>VLOOKUP(C388,SYS!$F$5:$G$360,2,FALSE)</f>
        <v>302</v>
      </c>
      <c r="F388" s="7">
        <v>28</v>
      </c>
      <c r="G388" s="64">
        <f t="shared" si="22"/>
        <v>0.53757574496745264</v>
      </c>
      <c r="H388" s="3">
        <v>-1</v>
      </c>
      <c r="I388" s="3">
        <v>-1</v>
      </c>
      <c r="J388" s="11">
        <v>0</v>
      </c>
      <c r="K388" s="25">
        <f t="shared" si="23"/>
        <v>5.5999999999999999E-3</v>
      </c>
      <c r="L388" s="26">
        <v>0.48699999999999999</v>
      </c>
      <c r="M388" s="26">
        <v>0.48699999999999999</v>
      </c>
      <c r="N388" s="11" t="s">
        <v>744</v>
      </c>
      <c r="O388" s="26" t="str">
        <f>VLOOKUP(TRN!D388,SYS!$G$5:$H$360,2,FALSE)</f>
        <v>山口（変）</v>
      </c>
      <c r="P388" s="26" t="str">
        <f>VLOOKUP(TRN!E388,SYS!$G$5:$H$360,2,FALSE)</f>
        <v>山口幹線</v>
      </c>
      <c r="S388" s="1"/>
      <c r="T388" s="88">
        <v>4.6309501483340512</v>
      </c>
      <c r="U388" s="89">
        <v>4.3732671098123692</v>
      </c>
    </row>
    <row r="389" spans="1:21" x14ac:dyDescent="0.2">
      <c r="A389" s="3">
        <v>384</v>
      </c>
      <c r="B389" s="3" t="s">
        <v>1402</v>
      </c>
      <c r="C389" s="3" t="s">
        <v>1576</v>
      </c>
      <c r="D389" s="21">
        <f>VLOOKUP(B389,SYS!$F$5:$G$360,2,FALSE)</f>
        <v>302</v>
      </c>
      <c r="E389" s="21">
        <f>VLOOKUP(C389,SYS!$F$5:$G$360,2,FALSE)</f>
        <v>289</v>
      </c>
      <c r="F389" s="7">
        <v>3</v>
      </c>
      <c r="G389" s="64">
        <f t="shared" si="22"/>
        <v>0.4857131499056575</v>
      </c>
      <c r="H389" s="3">
        <v>-1</v>
      </c>
      <c r="I389" s="3">
        <v>-1</v>
      </c>
      <c r="J389" s="11">
        <v>0</v>
      </c>
      <c r="K389" s="25">
        <f t="shared" si="23"/>
        <v>6.0000000000000006E-4</v>
      </c>
      <c r="L389" s="26">
        <v>0.53900000000000003</v>
      </c>
      <c r="M389" s="26">
        <v>0.53900000000000003</v>
      </c>
      <c r="N389" s="11" t="s">
        <v>745</v>
      </c>
      <c r="O389" s="26" t="str">
        <f>VLOOKUP(TRN!D389,SYS!$G$5:$H$360,2,FALSE)</f>
        <v>山口幹線</v>
      </c>
      <c r="P389" s="26" t="str">
        <f>VLOOKUP(TRN!E389,SYS!$G$5:$H$360,2,FALSE)</f>
        <v>南山口（変）</v>
      </c>
      <c r="S389" s="1"/>
      <c r="T389" s="88">
        <v>22644.203145601099</v>
      </c>
      <c r="U389" s="89">
        <v>2625.6385827719014</v>
      </c>
    </row>
    <row r="390" spans="1:21" x14ac:dyDescent="0.2">
      <c r="A390" s="3">
        <v>385</v>
      </c>
      <c r="B390" s="3" t="s">
        <v>1252</v>
      </c>
      <c r="C390" s="3" t="s">
        <v>1572</v>
      </c>
      <c r="D390" s="21">
        <f>VLOOKUP(B390,SYS!$F$5:$G$360,2,FALSE)</f>
        <v>290</v>
      </c>
      <c r="E390" s="21">
        <f>VLOOKUP(C390,SYS!$F$5:$G$360,2,FALSE)</f>
        <v>282</v>
      </c>
      <c r="F390" s="7">
        <v>9</v>
      </c>
      <c r="G390" s="11">
        <v>7.2999999999999995E-2</v>
      </c>
      <c r="H390" s="3">
        <v>-1</v>
      </c>
      <c r="I390" s="3">
        <v>-1</v>
      </c>
      <c r="J390" s="11">
        <v>0</v>
      </c>
      <c r="K390" s="25">
        <f t="shared" si="23"/>
        <v>1.8000000000000002E-3</v>
      </c>
      <c r="L390" s="26">
        <v>1.0509999999999999</v>
      </c>
      <c r="M390" s="26">
        <v>1.0509999999999999</v>
      </c>
      <c r="N390" s="11" t="s">
        <v>746</v>
      </c>
      <c r="O390" s="26" t="str">
        <f>VLOOKUP(TRN!D390,SYS!$G$5:$H$360,2,FALSE)</f>
        <v>新徳山（変）</v>
      </c>
      <c r="P390" s="26" t="str">
        <f>VLOOKUP(TRN!E390,SYS!$G$5:$H$360,2,FALSE)</f>
        <v>東山口（変）</v>
      </c>
      <c r="S390" s="1"/>
      <c r="T390" s="88">
        <v>2.0027206310579242</v>
      </c>
      <c r="U390" s="89">
        <v>24.321297629460222</v>
      </c>
    </row>
    <row r="391" spans="1:21" x14ac:dyDescent="0.2">
      <c r="A391" s="3">
        <v>386</v>
      </c>
      <c r="B391" s="3" t="s">
        <v>1384</v>
      </c>
      <c r="C391" s="3" t="s">
        <v>1370</v>
      </c>
      <c r="D391" s="21">
        <f>VLOOKUP(B391,SYS!$F$5:$G$360,2,FALSE)</f>
        <v>293</v>
      </c>
      <c r="E391" s="21">
        <f>VLOOKUP(C391,SYS!$F$5:$G$360,2,FALSE)</f>
        <v>303</v>
      </c>
      <c r="F391" s="7">
        <v>13</v>
      </c>
      <c r="G391" s="64">
        <f t="shared" si="22"/>
        <v>0.74374826079303813</v>
      </c>
      <c r="H391" s="3">
        <v>-1</v>
      </c>
      <c r="I391" s="3">
        <v>-1</v>
      </c>
      <c r="J391" s="11">
        <v>0</v>
      </c>
      <c r="K391" s="25">
        <f t="shared" si="23"/>
        <v>2.6000000000000003E-3</v>
      </c>
      <c r="L391" s="26">
        <v>0.35199999999999998</v>
      </c>
      <c r="M391" s="26">
        <v>0.35199999999999998</v>
      </c>
      <c r="N391" s="11" t="s">
        <v>747</v>
      </c>
      <c r="O391" s="26" t="str">
        <f>VLOOKUP(TRN!D391,SYS!$G$5:$H$360,2,FALSE)</f>
        <v>広島（変）</v>
      </c>
      <c r="P391" s="26" t="str">
        <f>VLOOKUP(TRN!E391,SYS!$G$5:$H$360,2,FALSE)</f>
        <v>広島西幹線</v>
      </c>
      <c r="S391" s="1"/>
      <c r="T391" s="88">
        <v>276654.05055302917</v>
      </c>
      <c r="U391" s="89">
        <v>2546.080935254156</v>
      </c>
    </row>
    <row r="392" spans="1:21" x14ac:dyDescent="0.2">
      <c r="A392" s="3">
        <v>387</v>
      </c>
      <c r="B392" s="3" t="s">
        <v>1370</v>
      </c>
      <c r="C392" s="3" t="s">
        <v>1578</v>
      </c>
      <c r="D392" s="21">
        <f>VLOOKUP(B392,SYS!$F$5:$G$360,2,FALSE)</f>
        <v>303</v>
      </c>
      <c r="E392" s="21">
        <f>VLOOKUP(C392,SYS!$F$5:$G$360,2,FALSE)</f>
        <v>291</v>
      </c>
      <c r="F392" s="7">
        <v>12</v>
      </c>
      <c r="G392" s="49">
        <f t="shared" si="22"/>
        <v>0.22964858578872757</v>
      </c>
      <c r="H392" s="3">
        <v>-1</v>
      </c>
      <c r="I392" s="3">
        <v>-1</v>
      </c>
      <c r="J392" s="11">
        <v>0</v>
      </c>
      <c r="K392" s="25">
        <f t="shared" si="23"/>
        <v>2.4000000000000002E-3</v>
      </c>
      <c r="L392" s="32">
        <v>1.1399999999999999</v>
      </c>
      <c r="M392" s="32">
        <v>1.1399999999999999</v>
      </c>
      <c r="N392" s="11" t="s">
        <v>748</v>
      </c>
      <c r="O392" s="26" t="str">
        <f>VLOOKUP(TRN!D392,SYS!$G$5:$H$360,2,FALSE)</f>
        <v>広島西幹線</v>
      </c>
      <c r="P392" s="26" t="str">
        <f>VLOOKUP(TRN!E392,SYS!$G$5:$H$360,2,FALSE)</f>
        <v>広島中央（変）</v>
      </c>
      <c r="Q392" s="26">
        <v>0.56999999999999995</v>
      </c>
      <c r="S392" s="1"/>
      <c r="T392" s="88">
        <v>1.4703030375894721</v>
      </c>
      <c r="U392" s="89">
        <v>2.3821628772609782</v>
      </c>
    </row>
    <row r="393" spans="1:21" x14ac:dyDescent="0.2">
      <c r="A393" s="3">
        <v>388</v>
      </c>
      <c r="B393" s="3" t="s">
        <v>1582</v>
      </c>
      <c r="C393" s="3" t="s">
        <v>1382</v>
      </c>
      <c r="D393" s="21">
        <f>VLOOKUP(B393,SYS!$F$5:$G$360,2,FALSE)</f>
        <v>304</v>
      </c>
      <c r="E393" s="21">
        <f>VLOOKUP(C393,SYS!$F$5:$G$360,2,FALSE)</f>
        <v>292</v>
      </c>
      <c r="F393" s="7">
        <v>9</v>
      </c>
      <c r="G393" s="64">
        <f t="shared" si="22"/>
        <v>0.85555355489918106</v>
      </c>
      <c r="H393" s="3">
        <v>-1</v>
      </c>
      <c r="I393" s="3">
        <v>-1</v>
      </c>
      <c r="J393" s="11">
        <v>0</v>
      </c>
      <c r="K393" s="25">
        <f t="shared" si="23"/>
        <v>1.8000000000000002E-3</v>
      </c>
      <c r="L393" s="26">
        <v>0.30599999999999999</v>
      </c>
      <c r="M393" s="26">
        <v>0.30599999999999999</v>
      </c>
      <c r="N393" s="11" t="s">
        <v>749</v>
      </c>
      <c r="O393" s="26" t="str">
        <f>VLOOKUP(TRN!D393,SYS!$G$5:$H$360,2,FALSE)</f>
        <v>山陰幹線</v>
      </c>
      <c r="P393" s="26" t="str">
        <f>VLOOKUP(TRN!E393,SYS!$G$5:$H$360,2,FALSE)</f>
        <v>作木（変）</v>
      </c>
      <c r="S393" s="1"/>
      <c r="T393" s="88">
        <v>11.703696780983403</v>
      </c>
      <c r="U393" s="89">
        <v>6.9317610922821773</v>
      </c>
    </row>
    <row r="394" spans="1:21" x14ac:dyDescent="0.2">
      <c r="A394" s="3">
        <v>389</v>
      </c>
      <c r="B394" s="3" t="s">
        <v>1384</v>
      </c>
      <c r="C394" s="3" t="s">
        <v>1372</v>
      </c>
      <c r="D394" s="21">
        <f>VLOOKUP(B394,SYS!$F$5:$G$360,2,FALSE)</f>
        <v>293</v>
      </c>
      <c r="E394" s="21">
        <f>VLOOKUP(C394,SYS!$F$5:$G$360,2,FALSE)</f>
        <v>284</v>
      </c>
      <c r="F394" s="7">
        <v>18</v>
      </c>
      <c r="G394" s="11">
        <v>0.13700000000000001</v>
      </c>
      <c r="H394" s="3">
        <v>-1</v>
      </c>
      <c r="I394" s="3">
        <v>-1</v>
      </c>
      <c r="J394" s="11">
        <v>0</v>
      </c>
      <c r="K394" s="25">
        <f t="shared" si="23"/>
        <v>3.6000000000000003E-3</v>
      </c>
      <c r="L394" s="26">
        <v>1.1419999999999999</v>
      </c>
      <c r="M394" s="26">
        <v>1.1419999999999999</v>
      </c>
      <c r="N394" s="11" t="s">
        <v>750</v>
      </c>
      <c r="O394" s="26" t="str">
        <f>VLOOKUP(TRN!D394,SYS!$G$5:$H$360,2,FALSE)</f>
        <v>広島（変）</v>
      </c>
      <c r="P394" s="26" t="str">
        <f>VLOOKUP(TRN!E394,SYS!$G$5:$H$360,2,FALSE)</f>
        <v>新広島（変）</v>
      </c>
      <c r="S394" s="1"/>
      <c r="T394" s="88">
        <v>391899.12158461806</v>
      </c>
      <c r="U394" s="89">
        <v>77091.673809188767</v>
      </c>
    </row>
    <row r="395" spans="1:21" x14ac:dyDescent="0.2">
      <c r="A395" s="3">
        <v>390</v>
      </c>
      <c r="B395" s="3" t="s">
        <v>1386</v>
      </c>
      <c r="C395" s="3" t="s">
        <v>1372</v>
      </c>
      <c r="D395" s="21">
        <f>VLOOKUP(B395,SYS!$F$5:$G$360,2,FALSE)</f>
        <v>294</v>
      </c>
      <c r="E395" s="21">
        <f>VLOOKUP(C395,SYS!$F$5:$G$360,2,FALSE)</f>
        <v>284</v>
      </c>
      <c r="F395" s="7">
        <v>22</v>
      </c>
      <c r="G395" s="64">
        <f t="shared" si="22"/>
        <v>0.18105075228156944</v>
      </c>
      <c r="H395" s="3">
        <v>-1</v>
      </c>
      <c r="I395" s="3">
        <v>-1</v>
      </c>
      <c r="J395" s="11">
        <v>0</v>
      </c>
      <c r="K395" s="25">
        <f t="shared" si="23"/>
        <v>4.4000000000000003E-3</v>
      </c>
      <c r="L395" s="32">
        <v>1.446</v>
      </c>
      <c r="M395" s="32">
        <v>1.446</v>
      </c>
      <c r="N395" s="11" t="s">
        <v>751</v>
      </c>
      <c r="O395" s="26" t="str">
        <f>VLOOKUP(TRN!D395,SYS!$G$5:$H$360,2,FALSE)</f>
        <v>黒瀬（変）</v>
      </c>
      <c r="P395" s="26" t="str">
        <f>VLOOKUP(TRN!E395,SYS!$G$5:$H$360,2,FALSE)</f>
        <v>新広島（変）</v>
      </c>
      <c r="Q395" s="26">
        <v>0.76500000000000001</v>
      </c>
      <c r="S395" s="1"/>
      <c r="T395" s="88">
        <v>77.733445609576123</v>
      </c>
      <c r="U395" s="89">
        <v>1.6998736699200943</v>
      </c>
    </row>
    <row r="396" spans="1:21" x14ac:dyDescent="0.2">
      <c r="A396" s="3">
        <v>391</v>
      </c>
      <c r="B396" s="3" t="s">
        <v>1406</v>
      </c>
      <c r="C396" s="3" t="s">
        <v>1388</v>
      </c>
      <c r="D396" s="21">
        <f>VLOOKUP(B396,SYS!$F$5:$G$360,2,FALSE)</f>
        <v>305</v>
      </c>
      <c r="E396" s="21">
        <f>VLOOKUP(C396,SYS!$F$5:$G$360,2,FALSE)</f>
        <v>295</v>
      </c>
      <c r="F396" s="7">
        <v>10</v>
      </c>
      <c r="G396" s="64">
        <f t="shared" si="22"/>
        <v>0.30727627675956504</v>
      </c>
      <c r="H396" s="3">
        <v>-1</v>
      </c>
      <c r="I396" s="3">
        <v>-1</v>
      </c>
      <c r="J396" s="11">
        <v>0</v>
      </c>
      <c r="K396" s="25">
        <f t="shared" si="23"/>
        <v>2E-3</v>
      </c>
      <c r="L396" s="26">
        <v>0.85199999999999998</v>
      </c>
      <c r="M396" s="26">
        <v>0.85199999999999998</v>
      </c>
      <c r="N396" s="11" t="s">
        <v>752</v>
      </c>
      <c r="O396" s="26" t="str">
        <f>VLOOKUP(TRN!D396,SYS!$G$5:$H$360,2,FALSE)</f>
        <v>広島東幹線</v>
      </c>
      <c r="P396" s="26" t="str">
        <f>VLOOKUP(TRN!E396,SYS!$G$5:$H$360,2,FALSE)</f>
        <v>北尾道（変）</v>
      </c>
      <c r="S396" s="1"/>
      <c r="T396" s="88">
        <v>18.874054184116449</v>
      </c>
      <c r="U396" s="89">
        <v>2.8905346964638783</v>
      </c>
    </row>
    <row r="397" spans="1:21" x14ac:dyDescent="0.2">
      <c r="A397" s="3">
        <v>392</v>
      </c>
      <c r="B397" s="3" t="s">
        <v>1390</v>
      </c>
      <c r="C397" s="3" t="s">
        <v>1374</v>
      </c>
      <c r="D397" s="21">
        <f>VLOOKUP(B397,SYS!$F$5:$G$360,2,FALSE)</f>
        <v>296</v>
      </c>
      <c r="E397" s="21">
        <f>VLOOKUP(C397,SYS!$F$5:$G$360,2,FALSE)</f>
        <v>285</v>
      </c>
      <c r="F397" s="7">
        <v>20</v>
      </c>
      <c r="G397" s="64">
        <f t="shared" si="22"/>
        <v>0.1753512309438375</v>
      </c>
      <c r="H397" s="3">
        <v>-1</v>
      </c>
      <c r="I397" s="3">
        <v>-1</v>
      </c>
      <c r="J397" s="11">
        <v>0</v>
      </c>
      <c r="K397" s="25">
        <f t="shared" si="23"/>
        <v>4.0000000000000001E-3</v>
      </c>
      <c r="L397" s="26">
        <v>1.4930000000000001</v>
      </c>
      <c r="M397" s="26">
        <v>1.4930000000000001</v>
      </c>
      <c r="N397" s="11" t="s">
        <v>753</v>
      </c>
      <c r="O397" s="26" t="str">
        <f>VLOOKUP(TRN!D397,SYS!$G$5:$H$360,2,FALSE)</f>
        <v>井原（開）</v>
      </c>
      <c r="P397" s="26" t="str">
        <f>VLOOKUP(TRN!E397,SYS!$G$5:$H$360,2,FALSE)</f>
        <v>新岡山（変）</v>
      </c>
      <c r="S397" s="1"/>
      <c r="T397" s="88">
        <v>1.502243636710336</v>
      </c>
      <c r="U397" s="89">
        <v>1.2845497149274756</v>
      </c>
    </row>
    <row r="398" spans="1:21" x14ac:dyDescent="0.2">
      <c r="A398" s="3">
        <v>393</v>
      </c>
      <c r="B398" s="3" t="s">
        <v>1390</v>
      </c>
      <c r="C398" s="3" t="s">
        <v>1374</v>
      </c>
      <c r="D398" s="21">
        <f>VLOOKUP(B398,SYS!$F$5:$G$360,2,FALSE)</f>
        <v>296</v>
      </c>
      <c r="E398" s="21">
        <f>VLOOKUP(C398,SYS!$F$5:$G$360,2,FALSE)</f>
        <v>285</v>
      </c>
      <c r="F398" s="7">
        <v>19</v>
      </c>
      <c r="G398" s="64">
        <f t="shared" si="22"/>
        <v>0.1790693486998286</v>
      </c>
      <c r="H398" s="3">
        <v>-1</v>
      </c>
      <c r="I398" s="3">
        <v>-1</v>
      </c>
      <c r="J398" s="11">
        <v>0</v>
      </c>
      <c r="K398" s="25">
        <f t="shared" si="23"/>
        <v>3.8E-3</v>
      </c>
      <c r="L398" s="26">
        <v>1.462</v>
      </c>
      <c r="M398" s="26">
        <v>1.462</v>
      </c>
      <c r="N398" s="11" t="s">
        <v>754</v>
      </c>
      <c r="O398" s="26" t="str">
        <f>VLOOKUP(TRN!D398,SYS!$G$5:$H$360,2,FALSE)</f>
        <v>井原（開）</v>
      </c>
      <c r="P398" s="26" t="str">
        <f>VLOOKUP(TRN!E398,SYS!$G$5:$H$360,2,FALSE)</f>
        <v>新岡山（変）</v>
      </c>
      <c r="S398" s="1"/>
      <c r="T398" s="88">
        <v>1.5342697370558533</v>
      </c>
      <c r="U398" s="89">
        <v>1.3119069744220957</v>
      </c>
    </row>
    <row r="399" spans="1:21" x14ac:dyDescent="0.2">
      <c r="A399" s="3">
        <v>394</v>
      </c>
      <c r="B399" s="3" t="s">
        <v>1392</v>
      </c>
      <c r="C399" s="3" t="s">
        <v>1390</v>
      </c>
      <c r="D399" s="21">
        <f>VLOOKUP(B399,SYS!$F$5:$G$360,2,FALSE)</f>
        <v>297</v>
      </c>
      <c r="E399" s="21">
        <f>VLOOKUP(C399,SYS!$F$5:$G$360,2,FALSE)</f>
        <v>296</v>
      </c>
      <c r="F399" s="7">
        <v>15</v>
      </c>
      <c r="G399" s="64">
        <f t="shared" si="22"/>
        <v>0.17453292519943295</v>
      </c>
      <c r="H399" s="3">
        <v>-1</v>
      </c>
      <c r="I399" s="3">
        <v>-1</v>
      </c>
      <c r="J399" s="11">
        <v>0</v>
      </c>
      <c r="K399" s="25">
        <f t="shared" si="23"/>
        <v>3.0000000000000001E-3</v>
      </c>
      <c r="L399" s="32">
        <v>1.5</v>
      </c>
      <c r="M399" s="32">
        <v>1.5</v>
      </c>
      <c r="N399" s="11" t="s">
        <v>755</v>
      </c>
      <c r="O399" s="26" t="str">
        <f>VLOOKUP(TRN!D399,SYS!$G$5:$H$360,2,FALSE)</f>
        <v>笠岡（変）</v>
      </c>
      <c r="P399" s="26" t="str">
        <f>VLOOKUP(TRN!E399,SYS!$G$5:$H$360,2,FALSE)</f>
        <v>井原（開）</v>
      </c>
      <c r="Q399" s="26">
        <v>0.71699999999999997</v>
      </c>
      <c r="S399" s="1"/>
      <c r="T399" s="88">
        <v>1.7970082130229497</v>
      </c>
      <c r="U399" s="89">
        <v>1.2070723275878785</v>
      </c>
    </row>
    <row r="400" spans="1:21" x14ac:dyDescent="0.2">
      <c r="A400" s="3">
        <v>395</v>
      </c>
      <c r="B400" s="3" t="s">
        <v>1390</v>
      </c>
      <c r="C400" s="3" t="s">
        <v>1408</v>
      </c>
      <c r="D400" s="21">
        <f>VLOOKUP(B400,SYS!$F$5:$G$360,2,FALSE)</f>
        <v>296</v>
      </c>
      <c r="E400" s="21">
        <f>VLOOKUP(C400,SYS!$F$5:$G$360,2,FALSE)</f>
        <v>306</v>
      </c>
      <c r="F400" s="7">
        <v>19</v>
      </c>
      <c r="G400" s="11">
        <v>0.42599999999999999</v>
      </c>
      <c r="H400" s="3">
        <v>-1</v>
      </c>
      <c r="I400" s="3">
        <v>-1</v>
      </c>
      <c r="J400" s="11">
        <v>0</v>
      </c>
      <c r="K400" s="25">
        <f t="shared" si="23"/>
        <v>3.8E-3</v>
      </c>
      <c r="L400" s="32">
        <v>1.5</v>
      </c>
      <c r="M400" s="32">
        <v>1.5</v>
      </c>
      <c r="N400" s="11" t="s">
        <v>756</v>
      </c>
      <c r="O400" s="26" t="str">
        <f>VLOOKUP(TRN!D400,SYS!$G$5:$H$360,2,FALSE)</f>
        <v>井原（開）</v>
      </c>
      <c r="P400" s="26" t="str">
        <f>VLOOKUP(TRN!E400,SYS!$G$5:$H$360,2,FALSE)</f>
        <v>岡山幹線</v>
      </c>
      <c r="Q400" s="26">
        <v>0.51700000000000002</v>
      </c>
      <c r="S400" s="1"/>
      <c r="T400" s="88">
        <v>19.636496107825</v>
      </c>
      <c r="U400" s="89">
        <v>1.8702987162237512</v>
      </c>
    </row>
    <row r="401" spans="1:21" x14ac:dyDescent="0.2">
      <c r="A401" s="3">
        <v>396</v>
      </c>
      <c r="B401" s="3" t="s">
        <v>1408</v>
      </c>
      <c r="C401" s="3" t="s">
        <v>1580</v>
      </c>
      <c r="D401" s="21">
        <f>VLOOKUP(B401,SYS!$F$5:$G$360,2,FALSE)</f>
        <v>306</v>
      </c>
      <c r="E401" s="21">
        <f>VLOOKUP(C401,SYS!$F$5:$G$360,2,FALSE)</f>
        <v>298</v>
      </c>
      <c r="F401" s="7">
        <v>14</v>
      </c>
      <c r="G401" s="64">
        <f t="shared" si="22"/>
        <v>0.17453292519943295</v>
      </c>
      <c r="H401" s="3">
        <v>-1</v>
      </c>
      <c r="I401" s="3">
        <v>-1</v>
      </c>
      <c r="J401" s="11">
        <v>0</v>
      </c>
      <c r="K401" s="25">
        <f t="shared" si="23"/>
        <v>2.8E-3</v>
      </c>
      <c r="L401" s="32">
        <v>1.5</v>
      </c>
      <c r="M401" s="32">
        <v>1.5</v>
      </c>
      <c r="N401" s="11" t="s">
        <v>757</v>
      </c>
      <c r="O401" s="26" t="str">
        <f>VLOOKUP(TRN!D401,SYS!$G$5:$H$360,2,FALSE)</f>
        <v>岡山幹線</v>
      </c>
      <c r="P401" s="26" t="str">
        <f>VLOOKUP(TRN!E401,SYS!$G$5:$H$360,2,FALSE)</f>
        <v>新倉敷（変）</v>
      </c>
      <c r="Q401" s="26">
        <v>0.51700000000000002</v>
      </c>
      <c r="S401" s="1"/>
      <c r="T401" s="88">
        <v>1.2371982631129768</v>
      </c>
      <c r="U401" s="89">
        <v>2.062310747885074</v>
      </c>
    </row>
    <row r="402" spans="1:21" x14ac:dyDescent="0.2">
      <c r="A402" s="3">
        <v>397</v>
      </c>
      <c r="B402" s="3" t="s">
        <v>1396</v>
      </c>
      <c r="C402" s="3" t="s">
        <v>1376</v>
      </c>
      <c r="D402" s="21">
        <f>VLOOKUP(B402,SYS!$F$5:$G$360,2,FALSE)</f>
        <v>299</v>
      </c>
      <c r="E402" s="21">
        <f>VLOOKUP(C402,SYS!$F$5:$G$360,2,FALSE)</f>
        <v>286</v>
      </c>
      <c r="F402" s="7">
        <v>20</v>
      </c>
      <c r="G402" s="11">
        <v>0.26900000000000002</v>
      </c>
      <c r="H402" s="3">
        <v>-1</v>
      </c>
      <c r="I402" s="3">
        <v>-1</v>
      </c>
      <c r="J402" s="11">
        <v>0</v>
      </c>
      <c r="K402" s="25">
        <f t="shared" si="23"/>
        <v>4.0000000000000001E-3</v>
      </c>
      <c r="L402" s="32">
        <v>1.5</v>
      </c>
      <c r="M402" s="32">
        <v>1.5</v>
      </c>
      <c r="N402" s="11" t="s">
        <v>758</v>
      </c>
      <c r="O402" s="26" t="str">
        <f>VLOOKUP(TRN!D402,SYS!$G$5:$H$360,2,FALSE)</f>
        <v>岡山（変）</v>
      </c>
      <c r="P402" s="26" t="str">
        <f>VLOOKUP(TRN!E402,SYS!$G$5:$H$360,2,FALSE)</f>
        <v>東岡山（変）</v>
      </c>
      <c r="Q402" s="26">
        <v>0.80500000000000005</v>
      </c>
      <c r="S402" s="1"/>
      <c r="T402" s="88">
        <v>2.0180896799302843</v>
      </c>
      <c r="U402" s="89">
        <v>1.738827933148763</v>
      </c>
    </row>
    <row r="403" spans="1:21" x14ac:dyDescent="0.2">
      <c r="A403" s="3">
        <v>398</v>
      </c>
      <c r="B403" s="3" t="s">
        <v>1398</v>
      </c>
      <c r="C403" s="3" t="s">
        <v>1378</v>
      </c>
      <c r="D403" s="21">
        <f>VLOOKUP(B403,SYS!$F$5:$G$360,2,FALSE)</f>
        <v>300</v>
      </c>
      <c r="E403" s="21">
        <f>VLOOKUP(C403,SYS!$F$5:$G$360,2,FALSE)</f>
        <v>287</v>
      </c>
      <c r="F403" s="7">
        <v>7</v>
      </c>
      <c r="G403" s="64">
        <f t="shared" si="22"/>
        <v>0.33055478257468357</v>
      </c>
      <c r="H403" s="3">
        <v>-1</v>
      </c>
      <c r="I403" s="3">
        <v>-1</v>
      </c>
      <c r="J403" s="11">
        <v>0</v>
      </c>
      <c r="K403" s="25">
        <f t="shared" si="23"/>
        <v>1.4E-3</v>
      </c>
      <c r="L403" s="26">
        <v>0.79200000000000004</v>
      </c>
      <c r="M403" s="26">
        <v>0.79200000000000004</v>
      </c>
      <c r="N403" s="11" t="s">
        <v>759</v>
      </c>
      <c r="O403" s="26" t="str">
        <f>VLOOKUP(TRN!D403,SYS!$G$5:$H$360,2,FALSE)</f>
        <v>松江（変）</v>
      </c>
      <c r="P403" s="26" t="str">
        <f>VLOOKUP(TRN!E403,SYS!$G$5:$H$360,2,FALSE)</f>
        <v>北松江（変）</v>
      </c>
      <c r="S403" s="1"/>
      <c r="T403" s="88">
        <v>2.9591014628953154</v>
      </c>
      <c r="U403" s="89">
        <v>2.3472807014225689</v>
      </c>
    </row>
    <row r="404" spans="1:21" x14ac:dyDescent="0.2">
      <c r="A404" s="3">
        <v>399</v>
      </c>
      <c r="B404" s="3" t="s">
        <v>1400</v>
      </c>
      <c r="C404" s="3" t="s">
        <v>1366</v>
      </c>
      <c r="D404" s="21">
        <f>VLOOKUP(B404,SYS!$F$5:$G$360,2,FALSE)</f>
        <v>301</v>
      </c>
      <c r="E404" s="21">
        <f>VLOOKUP(C404,SYS!$F$5:$G$360,2,FALSE)</f>
        <v>281</v>
      </c>
      <c r="F404" s="7">
        <v>31</v>
      </c>
      <c r="G404" s="11">
        <v>0.32300000000000001</v>
      </c>
      <c r="H404" s="3">
        <v>-1</v>
      </c>
      <c r="I404" s="3">
        <v>-1</v>
      </c>
      <c r="J404" s="11">
        <v>0</v>
      </c>
      <c r="K404" s="25">
        <f t="shared" si="23"/>
        <v>6.2000000000000006E-3</v>
      </c>
      <c r="L404" s="26">
        <v>0.52200000000000002</v>
      </c>
      <c r="M404" s="26">
        <v>0.52200000000000002</v>
      </c>
      <c r="N404" s="11" t="s">
        <v>760</v>
      </c>
      <c r="O404" s="26" t="str">
        <f>VLOOKUP(TRN!D404,SYS!$G$5:$H$360,2,FALSE)</f>
        <v>新鳥取（変）</v>
      </c>
      <c r="P404" s="26" t="str">
        <f>VLOOKUP(TRN!E404,SYS!$G$5:$H$360,2,FALSE)</f>
        <v>智頭（変）</v>
      </c>
      <c r="S404" s="1"/>
      <c r="T404" s="88">
        <v>5.8257186300227799</v>
      </c>
      <c r="U404" s="89">
        <v>45.8179984313661</v>
      </c>
    </row>
    <row r="405" spans="1:21" x14ac:dyDescent="0.2">
      <c r="A405" s="3">
        <v>400</v>
      </c>
      <c r="B405" s="3" t="s">
        <v>1390</v>
      </c>
      <c r="C405" s="3" t="s">
        <v>1406</v>
      </c>
      <c r="D405" s="21">
        <f>VLOOKUP(B405,SYS!$F$5:$G$360,2,FALSE)</f>
        <v>296</v>
      </c>
      <c r="E405" s="21">
        <f>VLOOKUP(C405,SYS!$F$5:$G$360,2,FALSE)</f>
        <v>305</v>
      </c>
      <c r="F405" s="7">
        <v>29</v>
      </c>
      <c r="G405" s="64">
        <f t="shared" si="22"/>
        <v>0.30727627675956504</v>
      </c>
      <c r="H405" s="3">
        <v>-1</v>
      </c>
      <c r="I405" s="3">
        <v>-1</v>
      </c>
      <c r="J405" s="11">
        <v>0</v>
      </c>
      <c r="K405" s="25">
        <f t="shared" si="23"/>
        <v>5.8000000000000005E-3</v>
      </c>
      <c r="L405" s="26">
        <v>0.85199999999999998</v>
      </c>
      <c r="M405" s="26">
        <v>0.85199999999999998</v>
      </c>
      <c r="N405" s="11" t="s">
        <v>761</v>
      </c>
      <c r="O405" s="26" t="str">
        <f>VLOOKUP(TRN!D405,SYS!$G$5:$H$360,2,FALSE)</f>
        <v>井原（開）</v>
      </c>
      <c r="P405" s="26" t="str">
        <f>VLOOKUP(TRN!E405,SYS!$G$5:$H$360,2,FALSE)</f>
        <v>広島東幹線</v>
      </c>
      <c r="S405" s="1"/>
      <c r="T405" s="88">
        <v>134.35356849553352</v>
      </c>
      <c r="U405" s="89">
        <v>37.454040665386671</v>
      </c>
    </row>
    <row r="406" spans="1:21" x14ac:dyDescent="0.2">
      <c r="A406" s="3">
        <v>401</v>
      </c>
      <c r="B406" s="3" t="s">
        <v>1406</v>
      </c>
      <c r="C406" s="3" t="s">
        <v>1372</v>
      </c>
      <c r="D406" s="21">
        <f>VLOOKUP(B406,SYS!$F$5:$G$360,2,FALSE)</f>
        <v>305</v>
      </c>
      <c r="E406" s="21">
        <f>VLOOKUP(C406,SYS!$F$5:$G$360,2,FALSE)</f>
        <v>284</v>
      </c>
      <c r="F406" s="7">
        <v>67</v>
      </c>
      <c r="G406" s="64">
        <f t="shared" si="22"/>
        <v>0.30727627675956504</v>
      </c>
      <c r="H406" s="3">
        <v>-1</v>
      </c>
      <c r="I406" s="3">
        <v>-1</v>
      </c>
      <c r="J406" s="11">
        <v>0</v>
      </c>
      <c r="K406" s="25">
        <f t="shared" si="23"/>
        <v>1.34E-2</v>
      </c>
      <c r="L406" s="26">
        <v>0.85199999999999998</v>
      </c>
      <c r="M406" s="26">
        <v>0.85199999999999998</v>
      </c>
      <c r="N406" s="11" t="s">
        <v>762</v>
      </c>
      <c r="O406" s="26" t="str">
        <f>VLOOKUP(TRN!D406,SYS!$G$5:$H$360,2,FALSE)</f>
        <v>広島東幹線</v>
      </c>
      <c r="P406" s="26" t="str">
        <f>VLOOKUP(TRN!E406,SYS!$G$5:$H$360,2,FALSE)</f>
        <v>新広島（変）</v>
      </c>
      <c r="S406" s="1"/>
      <c r="T406" s="88">
        <v>3.458513114727348</v>
      </c>
      <c r="U406" s="89">
        <v>18.018224347296702</v>
      </c>
    </row>
    <row r="407" spans="1:21" x14ac:dyDescent="0.2">
      <c r="A407" s="3">
        <v>402</v>
      </c>
      <c r="B407" s="3" t="s">
        <v>1384</v>
      </c>
      <c r="C407" s="3" t="s">
        <v>1582</v>
      </c>
      <c r="D407" s="21">
        <f>VLOOKUP(B407,SYS!$F$5:$G$360,2,FALSE)</f>
        <v>293</v>
      </c>
      <c r="E407" s="21">
        <f>VLOOKUP(C407,SYS!$F$5:$G$360,2,FALSE)</f>
        <v>304</v>
      </c>
      <c r="F407" s="7">
        <v>34</v>
      </c>
      <c r="G407" s="64">
        <f t="shared" si="22"/>
        <v>0.53647415532612586</v>
      </c>
      <c r="H407" s="3">
        <v>-1</v>
      </c>
      <c r="I407" s="3">
        <v>-1</v>
      </c>
      <c r="J407" s="11">
        <v>0</v>
      </c>
      <c r="K407" s="25">
        <f t="shared" si="23"/>
        <v>6.8000000000000005E-3</v>
      </c>
      <c r="L407" s="26">
        <v>0.48799999999999999</v>
      </c>
      <c r="M407" s="26">
        <v>0.48799999999999999</v>
      </c>
      <c r="N407" s="11" t="s">
        <v>763</v>
      </c>
      <c r="O407" s="26" t="str">
        <f>VLOOKUP(TRN!D407,SYS!$G$5:$H$360,2,FALSE)</f>
        <v>広島（変）</v>
      </c>
      <c r="P407" s="26" t="str">
        <f>VLOOKUP(TRN!E407,SYS!$G$5:$H$360,2,FALSE)</f>
        <v>山陰幹線</v>
      </c>
      <c r="S407" s="1"/>
      <c r="T407" s="88">
        <v>370122.39815280837</v>
      </c>
      <c r="U407" s="89">
        <v>4.1734488228058568</v>
      </c>
    </row>
    <row r="408" spans="1:21" x14ac:dyDescent="0.2">
      <c r="A408" s="3">
        <v>403</v>
      </c>
      <c r="B408" s="3" t="s">
        <v>1582</v>
      </c>
      <c r="C408" s="3" t="s">
        <v>1398</v>
      </c>
      <c r="D408" s="21">
        <f>VLOOKUP(B408,SYS!$F$5:$G$360,2,FALSE)</f>
        <v>304</v>
      </c>
      <c r="E408" s="21">
        <f>VLOOKUP(C408,SYS!$F$5:$G$360,2,FALSE)</f>
        <v>300</v>
      </c>
      <c r="F408" s="7">
        <v>81</v>
      </c>
      <c r="G408" s="64">
        <f t="shared" si="22"/>
        <v>0.53647415532612586</v>
      </c>
      <c r="H408" s="3">
        <v>-1</v>
      </c>
      <c r="I408" s="3">
        <v>-1</v>
      </c>
      <c r="J408" s="11">
        <v>0</v>
      </c>
      <c r="K408" s="25">
        <f t="shared" si="23"/>
        <v>1.6199999999999999E-2</v>
      </c>
      <c r="L408" s="26">
        <v>0.48799999999999999</v>
      </c>
      <c r="M408" s="26">
        <v>0.48799999999999999</v>
      </c>
      <c r="N408" s="11" t="s">
        <v>764</v>
      </c>
      <c r="O408" s="26" t="str">
        <f>VLOOKUP(TRN!D408,SYS!$G$5:$H$360,2,FALSE)</f>
        <v>山陰幹線</v>
      </c>
      <c r="P408" s="26" t="str">
        <f>VLOOKUP(TRN!E408,SYS!$G$5:$H$360,2,FALSE)</f>
        <v>松江（変）</v>
      </c>
      <c r="S408" s="1"/>
      <c r="T408" s="88">
        <v>53.019195225276469</v>
      </c>
      <c r="U408" s="89">
        <v>4.3415327053768102</v>
      </c>
    </row>
    <row r="409" spans="1:21" x14ac:dyDescent="0.2">
      <c r="A409" s="3">
        <v>404</v>
      </c>
      <c r="B409" s="3" t="s">
        <v>1402</v>
      </c>
      <c r="C409" s="3" t="s">
        <v>1252</v>
      </c>
      <c r="D409" s="21">
        <f>VLOOKUP(B409,SYS!$F$5:$G$360,2,FALSE)</f>
        <v>302</v>
      </c>
      <c r="E409" s="21">
        <f>VLOOKUP(C409,SYS!$F$5:$G$360,2,FALSE)</f>
        <v>290</v>
      </c>
      <c r="F409" s="7">
        <v>28</v>
      </c>
      <c r="G409" s="64">
        <f t="shared" si="22"/>
        <v>0.53757574496745264</v>
      </c>
      <c r="H409" s="3">
        <v>-1</v>
      </c>
      <c r="I409" s="3">
        <v>-1</v>
      </c>
      <c r="J409" s="11">
        <v>0</v>
      </c>
      <c r="K409" s="25">
        <f t="shared" si="23"/>
        <v>5.5999999999999999E-3</v>
      </c>
      <c r="L409" s="26">
        <v>0.48699999999999999</v>
      </c>
      <c r="M409" s="26">
        <v>0.48699999999999999</v>
      </c>
      <c r="N409" s="11" t="s">
        <v>765</v>
      </c>
      <c r="O409" s="26" t="str">
        <f>VLOOKUP(TRN!D409,SYS!$G$5:$H$360,2,FALSE)</f>
        <v>山口幹線</v>
      </c>
      <c r="P409" s="26" t="str">
        <f>VLOOKUP(TRN!E409,SYS!$G$5:$H$360,2,FALSE)</f>
        <v>新徳山（変）</v>
      </c>
      <c r="S409" s="1"/>
      <c r="T409" s="88">
        <v>3.0414077617434971</v>
      </c>
      <c r="U409" s="89">
        <v>104.21881216929775</v>
      </c>
    </row>
    <row r="410" spans="1:21" x14ac:dyDescent="0.2">
      <c r="A410" s="3">
        <v>405</v>
      </c>
      <c r="B410" s="3" t="s">
        <v>1370</v>
      </c>
      <c r="C410" s="3" t="s">
        <v>1574</v>
      </c>
      <c r="D410" s="21">
        <f>VLOOKUP(B410,SYS!$F$5:$G$360,2,FALSE)</f>
        <v>303</v>
      </c>
      <c r="E410" s="21">
        <f>VLOOKUP(C410,SYS!$F$5:$G$360,2,FALSE)</f>
        <v>283</v>
      </c>
      <c r="F410" s="7">
        <v>13</v>
      </c>
      <c r="G410" s="64">
        <f t="shared" si="22"/>
        <v>0.42777677744959053</v>
      </c>
      <c r="H410" s="3">
        <v>-1</v>
      </c>
      <c r="I410" s="3">
        <v>-1</v>
      </c>
      <c r="J410" s="11">
        <v>0</v>
      </c>
      <c r="K410" s="25">
        <f t="shared" si="23"/>
        <v>2.6000000000000003E-3</v>
      </c>
      <c r="L410" s="32">
        <v>0.61199999999999999</v>
      </c>
      <c r="M410" s="32">
        <v>0.61199999999999999</v>
      </c>
      <c r="N410" s="11" t="s">
        <v>766</v>
      </c>
      <c r="O410" s="26" t="str">
        <f>VLOOKUP(TRN!D410,SYS!$G$5:$H$360,2,FALSE)</f>
        <v>広島西幹線</v>
      </c>
      <c r="P410" s="26" t="str">
        <f>VLOOKUP(TRN!E410,SYS!$G$5:$H$360,2,FALSE)</f>
        <v>新西広島（変）</v>
      </c>
      <c r="Q410" s="26">
        <v>0.35199999999999998</v>
      </c>
      <c r="S410" s="1"/>
      <c r="T410" s="88">
        <v>5.3280407913876804</v>
      </c>
      <c r="U410" s="89">
        <v>2.6070697370114995</v>
      </c>
    </row>
    <row r="411" spans="1:21" x14ac:dyDescent="0.2">
      <c r="A411" s="3">
        <v>406</v>
      </c>
      <c r="B411" s="3" t="s">
        <v>1408</v>
      </c>
      <c r="C411" s="3" t="s">
        <v>1396</v>
      </c>
      <c r="D411" s="21">
        <f>VLOOKUP(B411,SYS!$F$5:$G$360,2,FALSE)</f>
        <v>306</v>
      </c>
      <c r="E411" s="21">
        <f>VLOOKUP(C411,SYS!$F$5:$G$360,2,FALSE)</f>
        <v>299</v>
      </c>
      <c r="F411" s="7">
        <v>19</v>
      </c>
      <c r="G411" s="64">
        <f t="shared" ref="G411:G434" si="24">$L$2/L411</f>
        <v>0.50638179458249399</v>
      </c>
      <c r="H411" s="3">
        <v>-1</v>
      </c>
      <c r="I411" s="3">
        <v>-1</v>
      </c>
      <c r="J411" s="11">
        <v>0</v>
      </c>
      <c r="K411" s="25">
        <f t="shared" ref="K411:K464" si="25">F411*0.0002</f>
        <v>3.8E-3</v>
      </c>
      <c r="L411" s="26">
        <v>0.51700000000000002</v>
      </c>
      <c r="M411" s="26">
        <v>0.51700000000000002</v>
      </c>
      <c r="N411" s="11" t="s">
        <v>767</v>
      </c>
      <c r="O411" s="26" t="str">
        <f>VLOOKUP(TRN!D411,SYS!$G$5:$H$360,2,FALSE)</f>
        <v>岡山幹線</v>
      </c>
      <c r="P411" s="26" t="str">
        <f>VLOOKUP(TRN!E411,SYS!$G$5:$H$360,2,FALSE)</f>
        <v>岡山（変）</v>
      </c>
      <c r="S411" s="1"/>
      <c r="T411" s="88">
        <v>3.4790000487784112</v>
      </c>
      <c r="U411" s="89">
        <v>95.449367861918248</v>
      </c>
    </row>
    <row r="412" spans="1:21" x14ac:dyDescent="0.2">
      <c r="A412" s="3">
        <v>407</v>
      </c>
      <c r="B412" s="3" t="s">
        <v>1411</v>
      </c>
      <c r="C412" s="3" t="s">
        <v>1413</v>
      </c>
      <c r="D412" s="21">
        <f>VLOOKUP(B412,SYS!$F$5:$G$360,2,FALSE)</f>
        <v>307</v>
      </c>
      <c r="E412" s="21">
        <f>VLOOKUP(C412,SYS!$F$5:$G$360,2,FALSE)</f>
        <v>308</v>
      </c>
      <c r="F412" s="7">
        <v>84</v>
      </c>
      <c r="G412" s="11">
        <v>0.1071</v>
      </c>
      <c r="H412" s="3">
        <v>-1</v>
      </c>
      <c r="I412" s="3">
        <v>-1</v>
      </c>
      <c r="J412" s="11">
        <v>0</v>
      </c>
      <c r="K412" s="25">
        <f t="shared" si="25"/>
        <v>1.6800000000000002E-2</v>
      </c>
      <c r="L412" s="26">
        <v>4.9359999999999999</v>
      </c>
      <c r="M412" s="26">
        <v>4.9359999999999999</v>
      </c>
      <c r="N412" s="11" t="s">
        <v>768</v>
      </c>
      <c r="O412" s="26" t="str">
        <f>VLOOKUP(TRN!D412,SYS!$G$5:$H$360,2,FALSE)</f>
        <v>脊振変電所</v>
      </c>
      <c r="P412" s="26" t="str">
        <f>VLOOKUP(TRN!E412,SYS!$G$5:$H$360,2,FALSE)</f>
        <v>北九州変電所</v>
      </c>
      <c r="S412" s="1"/>
      <c r="T412" s="88">
        <v>0.31274941339984441</v>
      </c>
      <c r="U412" s="89">
        <v>0.66762018592234629</v>
      </c>
    </row>
    <row r="413" spans="1:21" x14ac:dyDescent="0.2">
      <c r="A413" s="3">
        <v>408</v>
      </c>
      <c r="B413" s="3" t="s">
        <v>1415</v>
      </c>
      <c r="C413" s="3" t="s">
        <v>1413</v>
      </c>
      <c r="D413" s="21">
        <f>VLOOKUP(B413,SYS!$F$5:$G$360,2,FALSE)</f>
        <v>309</v>
      </c>
      <c r="E413" s="21">
        <f>VLOOKUP(C413,SYS!$F$5:$G$360,2,FALSE)</f>
        <v>308</v>
      </c>
      <c r="F413" s="7">
        <v>35</v>
      </c>
      <c r="G413" s="11">
        <v>4.5400000000000003E-2</v>
      </c>
      <c r="H413" s="3">
        <v>-1</v>
      </c>
      <c r="I413" s="3">
        <v>-1</v>
      </c>
      <c r="J413" s="11">
        <v>0</v>
      </c>
      <c r="K413" s="25">
        <f t="shared" si="25"/>
        <v>7.0000000000000001E-3</v>
      </c>
      <c r="L413" s="26">
        <v>4.9359999999999999</v>
      </c>
      <c r="M413" s="26">
        <v>4.9359999999999999</v>
      </c>
      <c r="N413" s="11" t="s">
        <v>769</v>
      </c>
      <c r="O413" s="26" t="str">
        <f>VLOOKUP(TRN!D413,SYS!$G$5:$H$360,2,FALSE)</f>
        <v>豊前変電所</v>
      </c>
      <c r="P413" s="26" t="str">
        <f>VLOOKUP(TRN!E413,SYS!$G$5:$H$360,2,FALSE)</f>
        <v>北九州変電所</v>
      </c>
      <c r="S413" s="1"/>
      <c r="T413" s="88">
        <v>0.33805195383441927</v>
      </c>
      <c r="U413" s="89">
        <v>0.61960432659119968</v>
      </c>
    </row>
    <row r="414" spans="1:21" x14ac:dyDescent="0.2">
      <c r="A414" s="3">
        <v>409</v>
      </c>
      <c r="B414" s="3" t="s">
        <v>1415</v>
      </c>
      <c r="C414" s="3" t="s">
        <v>1417</v>
      </c>
      <c r="D414" s="21">
        <f>VLOOKUP(B414,SYS!$F$5:$G$360,2,FALSE)</f>
        <v>309</v>
      </c>
      <c r="E414" s="21">
        <f>VLOOKUP(C414,SYS!$F$5:$G$360,2,FALSE)</f>
        <v>310</v>
      </c>
      <c r="F414" s="7">
        <v>42</v>
      </c>
      <c r="G414" s="11">
        <v>5.4699999999999999E-2</v>
      </c>
      <c r="H414" s="3">
        <v>-1</v>
      </c>
      <c r="I414" s="3">
        <v>-1</v>
      </c>
      <c r="J414" s="11">
        <v>0</v>
      </c>
      <c r="K414" s="25">
        <f t="shared" si="25"/>
        <v>8.4000000000000012E-3</v>
      </c>
      <c r="L414" s="26">
        <v>3.29</v>
      </c>
      <c r="M414" s="26">
        <v>3.29</v>
      </c>
      <c r="N414" s="11" t="s">
        <v>770</v>
      </c>
      <c r="O414" s="26" t="str">
        <f>VLOOKUP(TRN!D414,SYS!$G$5:$H$360,2,FALSE)</f>
        <v>豊前変電所</v>
      </c>
      <c r="P414" s="26" t="str">
        <f>VLOOKUP(TRN!E414,SYS!$G$5:$H$360,2,FALSE)</f>
        <v>中央変電所</v>
      </c>
      <c r="S414" s="1"/>
      <c r="T414" s="88">
        <v>6324.0327872138341</v>
      </c>
      <c r="U414" s="89">
        <v>0.46400602794185208</v>
      </c>
    </row>
    <row r="415" spans="1:21" x14ac:dyDescent="0.2">
      <c r="A415" s="3">
        <v>410</v>
      </c>
      <c r="B415" s="3" t="s">
        <v>1419</v>
      </c>
      <c r="C415" s="3" t="s">
        <v>1415</v>
      </c>
      <c r="D415" s="21">
        <f>VLOOKUP(B415,SYS!$F$5:$G$360,2,FALSE)</f>
        <v>311</v>
      </c>
      <c r="E415" s="21">
        <f>VLOOKUP(C415,SYS!$F$5:$G$360,2,FALSE)</f>
        <v>309</v>
      </c>
      <c r="F415" s="7">
        <v>107</v>
      </c>
      <c r="G415" s="11">
        <v>0.13600000000000001</v>
      </c>
      <c r="H415" s="3">
        <v>-1</v>
      </c>
      <c r="I415" s="3">
        <v>-1</v>
      </c>
      <c r="J415" s="11">
        <v>0</v>
      </c>
      <c r="K415" s="25">
        <f t="shared" si="25"/>
        <v>2.1400000000000002E-2</v>
      </c>
      <c r="L415" s="26">
        <v>6.5810000000000004</v>
      </c>
      <c r="M415" s="26">
        <v>6.5810000000000004</v>
      </c>
      <c r="N415" s="11" t="s">
        <v>771</v>
      </c>
      <c r="O415" s="26" t="str">
        <f>VLOOKUP(TRN!D415,SYS!$G$5:$H$360,2,FALSE)</f>
        <v>東九州変電所</v>
      </c>
      <c r="P415" s="26" t="str">
        <f>VLOOKUP(TRN!E415,SYS!$G$5:$H$360,2,FALSE)</f>
        <v>豊前変電所</v>
      </c>
      <c r="S415" s="1"/>
      <c r="T415" s="88">
        <v>0.28412252387193976</v>
      </c>
      <c r="U415" s="89">
        <v>0.31725799557736784</v>
      </c>
    </row>
    <row r="416" spans="1:21" x14ac:dyDescent="0.2">
      <c r="A416" s="3">
        <v>411</v>
      </c>
      <c r="B416" s="3" t="s">
        <v>1411</v>
      </c>
      <c r="C416" s="3" t="s">
        <v>1417</v>
      </c>
      <c r="D416" s="21">
        <f>VLOOKUP(B416,SYS!$F$5:$G$360,2,FALSE)</f>
        <v>307</v>
      </c>
      <c r="E416" s="21">
        <f>VLOOKUP(C416,SYS!$F$5:$G$360,2,FALSE)</f>
        <v>310</v>
      </c>
      <c r="F416" s="7">
        <v>31</v>
      </c>
      <c r="G416" s="11">
        <v>3.7699999999999997E-2</v>
      </c>
      <c r="H416" s="3">
        <v>-1</v>
      </c>
      <c r="I416" s="3">
        <v>-1</v>
      </c>
      <c r="J416" s="11">
        <v>0</v>
      </c>
      <c r="K416" s="25">
        <f t="shared" si="25"/>
        <v>6.2000000000000006E-3</v>
      </c>
      <c r="L416" s="26">
        <v>6.5810000000000004</v>
      </c>
      <c r="M416" s="26">
        <v>6.5810000000000004</v>
      </c>
      <c r="N416" s="11" t="s">
        <v>772</v>
      </c>
      <c r="O416" s="26" t="str">
        <f>VLOOKUP(TRN!D416,SYS!$G$5:$H$360,2,FALSE)</f>
        <v>脊振変電所</v>
      </c>
      <c r="P416" s="26" t="str">
        <f>VLOOKUP(TRN!E416,SYS!$G$5:$H$360,2,FALSE)</f>
        <v>中央変電所</v>
      </c>
      <c r="S416" s="1"/>
      <c r="T416" s="88">
        <v>0.27219569617238343</v>
      </c>
      <c r="U416" s="89">
        <v>0.3422746573152925</v>
      </c>
    </row>
    <row r="417" spans="1:21" x14ac:dyDescent="0.2">
      <c r="A417" s="3">
        <v>412</v>
      </c>
      <c r="B417" s="3" t="s">
        <v>1304</v>
      </c>
      <c r="C417" s="3" t="s">
        <v>1417</v>
      </c>
      <c r="D417" s="21">
        <f>VLOOKUP(B417,SYS!$F$5:$G$360,2,FALSE)</f>
        <v>312</v>
      </c>
      <c r="E417" s="21">
        <f>VLOOKUP(C417,SYS!$F$5:$G$360,2,FALSE)</f>
        <v>310</v>
      </c>
      <c r="F417" s="7">
        <v>73</v>
      </c>
      <c r="G417" s="11">
        <v>0.10059999999999999</v>
      </c>
      <c r="H417" s="3">
        <v>-1</v>
      </c>
      <c r="I417" s="3">
        <v>-1</v>
      </c>
      <c r="J417" s="11">
        <v>0</v>
      </c>
      <c r="K417" s="25">
        <f t="shared" si="25"/>
        <v>1.46E-2</v>
      </c>
      <c r="L417" s="26">
        <v>3.2010000000000001</v>
      </c>
      <c r="M417" s="26">
        <v>3.2010000000000001</v>
      </c>
      <c r="N417" s="11" t="s">
        <v>773</v>
      </c>
      <c r="O417" s="26" t="str">
        <f>VLOOKUP(TRN!D417,SYS!$G$5:$H$360,2,FALSE)</f>
        <v>西九州変電所</v>
      </c>
      <c r="P417" s="26" t="str">
        <f>VLOOKUP(TRN!E417,SYS!$G$5:$H$360,2,FALSE)</f>
        <v>中央変電所</v>
      </c>
      <c r="S417" s="1"/>
      <c r="T417" s="88">
        <v>0.55275894432746275</v>
      </c>
      <c r="U417" s="89">
        <v>0.75144402343673189</v>
      </c>
    </row>
    <row r="418" spans="1:21" x14ac:dyDescent="0.2">
      <c r="A418" s="3">
        <v>413</v>
      </c>
      <c r="B418" s="3" t="s">
        <v>1304</v>
      </c>
      <c r="C418" s="3" t="s">
        <v>1411</v>
      </c>
      <c r="D418" s="21">
        <f>VLOOKUP(B418,SYS!$F$5:$G$360,2,FALSE)</f>
        <v>312</v>
      </c>
      <c r="E418" s="21">
        <f>VLOOKUP(C418,SYS!$F$5:$G$360,2,FALSE)</f>
        <v>307</v>
      </c>
      <c r="F418" s="7">
        <v>51</v>
      </c>
      <c r="G418" s="11">
        <v>6.4299999999999996E-2</v>
      </c>
      <c r="H418" s="3">
        <v>-1</v>
      </c>
      <c r="I418" s="3">
        <v>-1</v>
      </c>
      <c r="J418" s="11">
        <v>0</v>
      </c>
      <c r="K418" s="25">
        <f t="shared" si="25"/>
        <v>1.0200000000000001E-2</v>
      </c>
      <c r="L418" s="26">
        <v>6.5819999999999999</v>
      </c>
      <c r="M418" s="26">
        <v>6.5819999999999999</v>
      </c>
      <c r="N418" s="11" t="s">
        <v>774</v>
      </c>
      <c r="O418" s="26" t="str">
        <f>VLOOKUP(TRN!D418,SYS!$G$5:$H$360,2,FALSE)</f>
        <v>西九州変電所</v>
      </c>
      <c r="P418" s="26" t="str">
        <f>VLOOKUP(TRN!E418,SYS!$G$5:$H$360,2,FALSE)</f>
        <v>脊振変電所</v>
      </c>
      <c r="S418" s="1"/>
      <c r="T418" s="88">
        <v>0.28729299926039614</v>
      </c>
      <c r="U418" s="89">
        <v>0.31866411954841728</v>
      </c>
    </row>
    <row r="419" spans="1:21" x14ac:dyDescent="0.2">
      <c r="A419" s="3">
        <v>414</v>
      </c>
      <c r="B419" s="3" t="s">
        <v>1498</v>
      </c>
      <c r="C419" s="3" t="s">
        <v>1417</v>
      </c>
      <c r="D419" s="21">
        <f>VLOOKUP(B419,SYS!$F$5:$G$360,2,FALSE)</f>
        <v>313</v>
      </c>
      <c r="E419" s="21">
        <f>VLOOKUP(C419,SYS!$F$5:$G$360,2,FALSE)</f>
        <v>310</v>
      </c>
      <c r="F419" s="7">
        <v>81</v>
      </c>
      <c r="G419" s="11">
        <v>0.1061</v>
      </c>
      <c r="H419" s="3">
        <v>-1</v>
      </c>
      <c r="I419" s="3">
        <v>-1</v>
      </c>
      <c r="J419" s="11">
        <v>0</v>
      </c>
      <c r="K419" s="25">
        <f t="shared" si="25"/>
        <v>1.6199999999999999E-2</v>
      </c>
      <c r="L419" s="26">
        <v>3.29</v>
      </c>
      <c r="M419" s="26">
        <v>3.29</v>
      </c>
      <c r="N419" s="11" t="s">
        <v>775</v>
      </c>
      <c r="O419" s="26" t="str">
        <f>VLOOKUP(TRN!D419,SYS!$G$5:$H$360,2,FALSE)</f>
        <v>熊本変電所</v>
      </c>
      <c r="P419" s="26" t="str">
        <f>VLOOKUP(TRN!E419,SYS!$G$5:$H$360,2,FALSE)</f>
        <v>中央変電所</v>
      </c>
      <c r="S419" s="1"/>
      <c r="T419" s="88">
        <v>0.81285138950158231</v>
      </c>
      <c r="U419" s="89">
        <v>6674.1205960024736</v>
      </c>
    </row>
    <row r="420" spans="1:21" x14ac:dyDescent="0.2">
      <c r="A420" s="3">
        <v>415</v>
      </c>
      <c r="B420" s="3" t="s">
        <v>1421</v>
      </c>
      <c r="C420" s="3" t="s">
        <v>1498</v>
      </c>
      <c r="D420" s="21">
        <f>VLOOKUP(B420,SYS!$F$5:$G$360,2,FALSE)</f>
        <v>314</v>
      </c>
      <c r="E420" s="21">
        <f>VLOOKUP(C420,SYS!$F$5:$G$360,2,FALSE)</f>
        <v>313</v>
      </c>
      <c r="F420" s="7">
        <v>40</v>
      </c>
      <c r="G420" s="11">
        <v>5.2299999999999999E-2</v>
      </c>
      <c r="H420" s="3">
        <v>-1</v>
      </c>
      <c r="I420" s="3">
        <v>-1</v>
      </c>
      <c r="J420" s="11">
        <v>0</v>
      </c>
      <c r="K420" s="25">
        <f t="shared" si="25"/>
        <v>8.0000000000000002E-3</v>
      </c>
      <c r="L420" s="26">
        <v>4.9359999999999999</v>
      </c>
      <c r="M420" s="26">
        <v>4.9359999999999999</v>
      </c>
      <c r="N420" s="11" t="s">
        <v>776</v>
      </c>
      <c r="O420" s="26" t="str">
        <f>VLOOKUP(TRN!D420,SYS!$G$5:$H$360,2,FALSE)</f>
        <v>中九州変電所</v>
      </c>
      <c r="P420" s="26" t="str">
        <f>VLOOKUP(TRN!E420,SYS!$G$5:$H$360,2,FALSE)</f>
        <v>熊本変電所</v>
      </c>
      <c r="S420" s="1"/>
      <c r="T420" s="88">
        <v>0.39084906693754129</v>
      </c>
      <c r="U420" s="89">
        <v>0.47760736401455617</v>
      </c>
    </row>
    <row r="421" spans="1:21" x14ac:dyDescent="0.2">
      <c r="A421" s="3">
        <v>416</v>
      </c>
      <c r="B421" s="3" t="s">
        <v>1075</v>
      </c>
      <c r="C421" s="3" t="s">
        <v>1421</v>
      </c>
      <c r="D421" s="21">
        <f>VLOOKUP(B421,SYS!$F$5:$G$360,2,FALSE)</f>
        <v>315</v>
      </c>
      <c r="E421" s="21">
        <f>VLOOKUP(C421,SYS!$F$5:$G$360,2,FALSE)</f>
        <v>314</v>
      </c>
      <c r="F421" s="7">
        <v>80</v>
      </c>
      <c r="G421" s="11">
        <v>0.1038</v>
      </c>
      <c r="H421" s="3">
        <v>-1</v>
      </c>
      <c r="I421" s="3">
        <v>-1</v>
      </c>
      <c r="J421" s="11">
        <v>0</v>
      </c>
      <c r="K421" s="25">
        <f t="shared" si="25"/>
        <v>1.6E-2</v>
      </c>
      <c r="L421" s="26">
        <v>4.9359999999999999</v>
      </c>
      <c r="M421" s="26">
        <v>4.9359999999999999</v>
      </c>
      <c r="N421" s="11" t="s">
        <v>777</v>
      </c>
      <c r="O421" s="26" t="str">
        <f>VLOOKUP(TRN!D421,SYS!$G$5:$H$360,2,FALSE)</f>
        <v>南九州変電所</v>
      </c>
      <c r="P421" s="26" t="str">
        <f>VLOOKUP(TRN!E421,SYS!$G$5:$H$360,2,FALSE)</f>
        <v>中九州変電所</v>
      </c>
      <c r="S421" s="1"/>
      <c r="T421" s="88">
        <v>0.38608256155440335</v>
      </c>
      <c r="U421" s="89">
        <v>0.52320898073760858</v>
      </c>
    </row>
    <row r="422" spans="1:21" x14ac:dyDescent="0.2">
      <c r="A422" s="3">
        <v>417</v>
      </c>
      <c r="B422" s="3" t="s">
        <v>1423</v>
      </c>
      <c r="C422" s="3" t="s">
        <v>1075</v>
      </c>
      <c r="D422" s="21">
        <f>VLOOKUP(B422,SYS!$F$5:$G$360,2,FALSE)</f>
        <v>316</v>
      </c>
      <c r="E422" s="21">
        <f>VLOOKUP(C422,SYS!$F$5:$G$360,2,FALSE)</f>
        <v>315</v>
      </c>
      <c r="F422" s="7">
        <v>70</v>
      </c>
      <c r="G422" s="11">
        <v>8.8800000000000004E-2</v>
      </c>
      <c r="H422" s="3">
        <v>-1</v>
      </c>
      <c r="I422" s="3">
        <v>-1</v>
      </c>
      <c r="J422" s="11">
        <v>0</v>
      </c>
      <c r="K422" s="25">
        <f t="shared" si="25"/>
        <v>1.4E-2</v>
      </c>
      <c r="L422" s="26">
        <v>4.9359999999999999</v>
      </c>
      <c r="M422" s="26">
        <v>4.9359999999999999</v>
      </c>
      <c r="N422" s="11" t="s">
        <v>778</v>
      </c>
      <c r="O422" s="26" t="str">
        <f>VLOOKUP(TRN!D422,SYS!$G$5:$H$360,2,FALSE)</f>
        <v>宮崎変電所</v>
      </c>
      <c r="P422" s="26" t="str">
        <f>VLOOKUP(TRN!E422,SYS!$G$5:$H$360,2,FALSE)</f>
        <v>南九州変電所</v>
      </c>
      <c r="S422" s="1"/>
      <c r="T422" s="88">
        <v>0.36377466744502962</v>
      </c>
      <c r="U422" s="89">
        <v>0.46963140474256398</v>
      </c>
    </row>
    <row r="423" spans="1:21" x14ac:dyDescent="0.2">
      <c r="A423" s="3">
        <v>418</v>
      </c>
      <c r="B423" s="3" t="s">
        <v>1428</v>
      </c>
      <c r="C423" s="3" t="s">
        <v>1413</v>
      </c>
      <c r="D423" s="21">
        <f>VLOOKUP(B423,SYS!$F$5:$G$360,2,FALSE)</f>
        <v>318</v>
      </c>
      <c r="E423" s="21">
        <f>VLOOKUP(C423,SYS!$F$5:$G$360,2,FALSE)</f>
        <v>308</v>
      </c>
      <c r="F423" s="7">
        <v>7</v>
      </c>
      <c r="G423" s="64">
        <f t="shared" si="24"/>
        <v>0.18092563082180332</v>
      </c>
      <c r="H423" s="3">
        <v>-1</v>
      </c>
      <c r="I423" s="3">
        <v>-1</v>
      </c>
      <c r="J423" s="11">
        <v>0</v>
      </c>
      <c r="K423" s="25">
        <f t="shared" si="25"/>
        <v>1.4E-3</v>
      </c>
      <c r="L423" s="26">
        <v>1.4470000000000001</v>
      </c>
      <c r="M423" s="26">
        <v>1.4470000000000001</v>
      </c>
      <c r="N423" s="11" t="s">
        <v>779</v>
      </c>
      <c r="O423" s="26" t="str">
        <f>VLOOKUP(TRN!D423,SYS!$G$5:$H$360,2,FALSE)</f>
        <v>槻田開閉所</v>
      </c>
      <c r="P423" s="26" t="str">
        <f>VLOOKUP(TRN!E423,SYS!$G$5:$H$360,2,FALSE)</f>
        <v>北九州変電所</v>
      </c>
      <c r="S423" s="1"/>
      <c r="T423" s="88">
        <v>1.2261414700277551</v>
      </c>
      <c r="U423" s="89">
        <v>1.7310708940073296</v>
      </c>
    </row>
    <row r="424" spans="1:21" x14ac:dyDescent="0.2">
      <c r="A424" s="3">
        <v>419</v>
      </c>
      <c r="B424" s="3" t="s">
        <v>1413</v>
      </c>
      <c r="C424" s="3" t="s">
        <v>1425</v>
      </c>
      <c r="D424" s="21">
        <f>VLOOKUP(B424,SYS!$F$5:$G$360,2,FALSE)</f>
        <v>308</v>
      </c>
      <c r="E424" s="21">
        <f>VLOOKUP(C424,SYS!$F$5:$G$360,2,FALSE)</f>
        <v>317</v>
      </c>
      <c r="F424" s="7">
        <v>6</v>
      </c>
      <c r="G424" s="11">
        <v>4.5400000000000003E-2</v>
      </c>
      <c r="H424" s="3">
        <v>-1</v>
      </c>
      <c r="I424" s="3">
        <v>-1</v>
      </c>
      <c r="J424" s="11">
        <v>0</v>
      </c>
      <c r="K424" s="25">
        <f t="shared" si="25"/>
        <v>1.2000000000000001E-3</v>
      </c>
      <c r="L424" s="26">
        <v>0.70299999999999996</v>
      </c>
      <c r="M424" s="26">
        <v>0.70299999999999996</v>
      </c>
      <c r="N424" s="11" t="s">
        <v>780</v>
      </c>
      <c r="O424" s="26" t="str">
        <f>VLOOKUP(TRN!D424,SYS!$G$5:$H$360,2,FALSE)</f>
        <v>北九州変電所</v>
      </c>
      <c r="P424" s="26" t="str">
        <f>VLOOKUP(TRN!E424,SYS!$G$5:$H$360,2,FALSE)</f>
        <v>西谷変電所</v>
      </c>
      <c r="S424" s="1"/>
      <c r="T424" s="88">
        <v>89.034058679110473</v>
      </c>
      <c r="U424" s="89">
        <v>2.4061083419138378</v>
      </c>
    </row>
    <row r="425" spans="1:21" x14ac:dyDescent="0.2">
      <c r="A425" s="3">
        <v>420</v>
      </c>
      <c r="B425" s="3" t="s">
        <v>1415</v>
      </c>
      <c r="C425" s="3" t="s">
        <v>1413</v>
      </c>
      <c r="D425" s="21">
        <f>VLOOKUP(B425,SYS!$F$5:$G$360,2,FALSE)</f>
        <v>309</v>
      </c>
      <c r="E425" s="21">
        <f>VLOOKUP(C425,SYS!$F$5:$G$360,2,FALSE)</f>
        <v>308</v>
      </c>
      <c r="F425" s="7">
        <v>33</v>
      </c>
      <c r="G425" s="11">
        <v>0.33760000000000001</v>
      </c>
      <c r="H425" s="3">
        <v>-1</v>
      </c>
      <c r="I425" s="3">
        <v>-1</v>
      </c>
      <c r="J425" s="11">
        <v>0</v>
      </c>
      <c r="K425" s="25">
        <f t="shared" si="25"/>
        <v>6.6E-3</v>
      </c>
      <c r="L425" s="26">
        <v>0.35099999999999998</v>
      </c>
      <c r="M425" s="26">
        <v>0.35099999999999998</v>
      </c>
      <c r="N425" s="11" t="s">
        <v>781</v>
      </c>
      <c r="O425" s="26" t="str">
        <f>VLOOKUP(TRN!D425,SYS!$G$5:$H$360,2,FALSE)</f>
        <v>豊前変電所</v>
      </c>
      <c r="P425" s="26" t="str">
        <f>VLOOKUP(TRN!E425,SYS!$G$5:$H$360,2,FALSE)</f>
        <v>北九州変電所</v>
      </c>
      <c r="S425" s="1"/>
      <c r="T425" s="88">
        <v>4.9744073009223682</v>
      </c>
      <c r="U425" s="89">
        <v>354879.78970116592</v>
      </c>
    </row>
    <row r="426" spans="1:21" x14ac:dyDescent="0.2">
      <c r="A426" s="3">
        <v>421</v>
      </c>
      <c r="B426" s="3" t="s">
        <v>1413</v>
      </c>
      <c r="C426" s="3" t="s">
        <v>1431</v>
      </c>
      <c r="D426" s="21">
        <f>VLOOKUP(B426,SYS!$F$5:$G$360,2,FALSE)</f>
        <v>308</v>
      </c>
      <c r="E426" s="21">
        <f>VLOOKUP(C426,SYS!$F$5:$G$360,2,FALSE)</f>
        <v>319</v>
      </c>
      <c r="F426" s="7">
        <v>5</v>
      </c>
      <c r="G426" s="64">
        <f t="shared" si="24"/>
        <v>0.37240311208982846</v>
      </c>
      <c r="H426" s="3">
        <v>-1</v>
      </c>
      <c r="I426" s="3">
        <v>-1</v>
      </c>
      <c r="J426" s="11">
        <v>0</v>
      </c>
      <c r="K426" s="25">
        <f t="shared" si="25"/>
        <v>1E-3</v>
      </c>
      <c r="L426" s="26">
        <v>0.70299999999999996</v>
      </c>
      <c r="M426" s="26">
        <v>0.70299999999999996</v>
      </c>
      <c r="N426" s="11" t="s">
        <v>782</v>
      </c>
      <c r="O426" s="26" t="str">
        <f>VLOOKUP(TRN!D426,SYS!$G$5:$H$360,2,FALSE)</f>
        <v>北九州変電所</v>
      </c>
      <c r="P426" s="26" t="str">
        <f>VLOOKUP(TRN!E426,SYS!$G$5:$H$360,2,FALSE)</f>
        <v>上津役変電所</v>
      </c>
      <c r="S426" s="1"/>
      <c r="T426" s="88">
        <v>1407.9948725447205</v>
      </c>
      <c r="U426" s="89">
        <v>1.9202594521688312</v>
      </c>
    </row>
    <row r="427" spans="1:21" x14ac:dyDescent="0.2">
      <c r="A427" s="3">
        <v>422</v>
      </c>
      <c r="B427" s="3" t="s">
        <v>1425</v>
      </c>
      <c r="C427" s="3" t="s">
        <v>1434</v>
      </c>
      <c r="D427" s="21">
        <f>VLOOKUP(B427,SYS!$F$5:$G$360,2,FALSE)</f>
        <v>317</v>
      </c>
      <c r="E427" s="21">
        <f>VLOOKUP(C427,SYS!$F$5:$G$360,2,FALSE)</f>
        <v>320</v>
      </c>
      <c r="F427" s="7">
        <v>20</v>
      </c>
      <c r="G427" s="11">
        <v>5.7000000000000002E-2</v>
      </c>
      <c r="H427" s="3">
        <v>-1</v>
      </c>
      <c r="I427" s="3">
        <v>-1</v>
      </c>
      <c r="J427" s="11">
        <v>0</v>
      </c>
      <c r="K427" s="25">
        <f t="shared" si="25"/>
        <v>4.0000000000000001E-3</v>
      </c>
      <c r="L427" s="26">
        <v>0.33400000000000002</v>
      </c>
      <c r="M427" s="26">
        <v>0.33400000000000002</v>
      </c>
      <c r="N427" s="11" t="s">
        <v>783</v>
      </c>
      <c r="O427" s="26" t="str">
        <f>VLOOKUP(TRN!D427,SYS!$G$5:$H$360,2,FALSE)</f>
        <v>西谷変電所</v>
      </c>
      <c r="P427" s="26" t="str">
        <f>VLOOKUP(TRN!E427,SYS!$G$5:$H$360,2,FALSE)</f>
        <v>門司変電所</v>
      </c>
      <c r="S427" s="1"/>
      <c r="T427" s="88">
        <v>8.8129871484280571</v>
      </c>
      <c r="U427" s="89">
        <v>5.2757055283645506</v>
      </c>
    </row>
    <row r="428" spans="1:21" x14ac:dyDescent="0.2">
      <c r="A428" s="3">
        <v>423</v>
      </c>
      <c r="B428" s="3" t="s">
        <v>1437</v>
      </c>
      <c r="C428" s="3" t="s">
        <v>1425</v>
      </c>
      <c r="D428" s="21">
        <f>VLOOKUP(B428,SYS!$F$5:$G$360,2,FALSE)</f>
        <v>321</v>
      </c>
      <c r="E428" s="21">
        <f>VLOOKUP(C428,SYS!$F$5:$G$360,2,FALSE)</f>
        <v>317</v>
      </c>
      <c r="F428" s="9">
        <v>13</v>
      </c>
      <c r="G428" s="11">
        <v>0.12859999999999999</v>
      </c>
      <c r="H428" s="3">
        <v>-1</v>
      </c>
      <c r="I428" s="3">
        <v>-1</v>
      </c>
      <c r="J428" s="9">
        <v>0</v>
      </c>
      <c r="K428" s="25">
        <f t="shared" si="25"/>
        <v>2.6000000000000003E-3</v>
      </c>
      <c r="L428" s="26">
        <v>0.35199999999999998</v>
      </c>
      <c r="M428" s="26">
        <v>0.35199999999999998</v>
      </c>
      <c r="N428" s="11" t="s">
        <v>784</v>
      </c>
      <c r="O428" s="26" t="str">
        <f>VLOOKUP(TRN!D428,SYS!$G$5:$H$360,2,FALSE)</f>
        <v>苅田変電所</v>
      </c>
      <c r="P428" s="26" t="str">
        <f>VLOOKUP(TRN!E428,SYS!$G$5:$H$360,2,FALSE)</f>
        <v>西谷変電所</v>
      </c>
      <c r="S428" s="1"/>
      <c r="T428" s="88">
        <v>3.6647277317135769</v>
      </c>
      <c r="U428" s="89">
        <v>1604.1013106187181</v>
      </c>
    </row>
    <row r="429" spans="1:21" x14ac:dyDescent="0.2">
      <c r="A429" s="3">
        <v>424</v>
      </c>
      <c r="B429" s="3" t="s">
        <v>1439</v>
      </c>
      <c r="C429" s="3" t="s">
        <v>1428</v>
      </c>
      <c r="D429" s="21">
        <f>VLOOKUP(B429,SYS!$F$5:$G$360,2,FALSE)</f>
        <v>322</v>
      </c>
      <c r="E429" s="21">
        <f>VLOOKUP(C429,SYS!$F$5:$G$360,2,FALSE)</f>
        <v>318</v>
      </c>
      <c r="F429" s="9">
        <v>1</v>
      </c>
      <c r="G429" s="11">
        <v>3.0999999999999999E-3</v>
      </c>
      <c r="H429" s="3">
        <v>-1</v>
      </c>
      <c r="I429" s="3">
        <v>-1</v>
      </c>
      <c r="J429" s="9">
        <v>0</v>
      </c>
      <c r="K429" s="25">
        <f t="shared" si="25"/>
        <v>2.0000000000000001E-4</v>
      </c>
      <c r="L429" s="26">
        <v>0.45800000000000002</v>
      </c>
      <c r="M429" s="26">
        <v>0.45800000000000002</v>
      </c>
      <c r="N429" s="11" t="s">
        <v>785</v>
      </c>
      <c r="O429" s="26" t="str">
        <f>VLOOKUP(TRN!D429,SYS!$G$5:$H$360,2,FALSE)</f>
        <v>到津変電所</v>
      </c>
      <c r="P429" s="26" t="str">
        <f>VLOOKUP(TRN!E429,SYS!$G$5:$H$360,2,FALSE)</f>
        <v>槻田開閉所</v>
      </c>
      <c r="S429" s="1"/>
      <c r="T429" s="88">
        <v>3.6395906800599058</v>
      </c>
      <c r="U429" s="89">
        <v>15.61051032670648</v>
      </c>
    </row>
    <row r="430" spans="1:21" x14ac:dyDescent="0.2">
      <c r="A430" s="3">
        <v>425</v>
      </c>
      <c r="B430" s="3" t="s">
        <v>1441</v>
      </c>
      <c r="C430" s="3" t="s">
        <v>1415</v>
      </c>
      <c r="D430" s="21">
        <f>VLOOKUP(B430,SYS!$F$5:$G$360,2,FALSE)</f>
        <v>323</v>
      </c>
      <c r="E430" s="21">
        <f>VLOOKUP(C430,SYS!$F$5:$G$360,2,FALSE)</f>
        <v>309</v>
      </c>
      <c r="F430" s="11">
        <v>70</v>
      </c>
      <c r="G430" s="64">
        <f t="shared" si="24"/>
        <v>0.21816615649929119</v>
      </c>
      <c r="H430" s="3">
        <v>-1</v>
      </c>
      <c r="I430" s="3">
        <v>-1</v>
      </c>
      <c r="J430" s="11">
        <v>0</v>
      </c>
      <c r="K430" s="25">
        <f t="shared" si="25"/>
        <v>1.4E-2</v>
      </c>
      <c r="L430" s="32">
        <v>1.2</v>
      </c>
      <c r="M430" s="32">
        <v>1.2</v>
      </c>
      <c r="N430" s="11" t="s">
        <v>786</v>
      </c>
      <c r="O430" s="26" t="str">
        <f>VLOOKUP(TRN!D430,SYS!$G$5:$H$360,2,FALSE)</f>
        <v>西大分変電所</v>
      </c>
      <c r="P430" s="26" t="str">
        <f>VLOOKUP(TRN!E430,SYS!$G$5:$H$360,2,FALSE)</f>
        <v>豊前変電所</v>
      </c>
      <c r="Q430" s="26">
        <v>0.35099999999999998</v>
      </c>
      <c r="S430" s="1"/>
      <c r="T430" s="88">
        <v>2.982847188989703</v>
      </c>
      <c r="U430" s="89">
        <v>116.47677611407435</v>
      </c>
    </row>
    <row r="431" spans="1:21" x14ac:dyDescent="0.2">
      <c r="A431" s="3">
        <v>426</v>
      </c>
      <c r="B431" s="3" t="s">
        <v>1443</v>
      </c>
      <c r="C431" s="3" t="s">
        <v>1441</v>
      </c>
      <c r="D431" s="21">
        <f>VLOOKUP(B431,SYS!$F$5:$G$360,2,FALSE)</f>
        <v>324</v>
      </c>
      <c r="E431" s="21">
        <f>VLOOKUP(C431,SYS!$F$5:$G$360,2,FALSE)</f>
        <v>323</v>
      </c>
      <c r="F431" s="11">
        <v>20</v>
      </c>
      <c r="G431" s="11">
        <v>0.14929999999999999</v>
      </c>
      <c r="H431" s="3">
        <v>-1</v>
      </c>
      <c r="I431" s="3">
        <v>-1</v>
      </c>
      <c r="J431" s="11">
        <v>0</v>
      </c>
      <c r="K431" s="25">
        <f t="shared" si="25"/>
        <v>4.0000000000000001E-3</v>
      </c>
      <c r="L431" s="32">
        <v>1.5</v>
      </c>
      <c r="M431" s="32">
        <v>1.5</v>
      </c>
      <c r="N431" s="11" t="s">
        <v>787</v>
      </c>
      <c r="O431" s="26" t="str">
        <f>VLOOKUP(TRN!D431,SYS!$G$5:$H$360,2,FALSE)</f>
        <v>大分変電所</v>
      </c>
      <c r="P431" s="26" t="str">
        <f>VLOOKUP(TRN!E431,SYS!$G$5:$H$360,2,FALSE)</f>
        <v>西大分変電所</v>
      </c>
      <c r="Q431" s="26">
        <v>0.70299999999999996</v>
      </c>
      <c r="S431" s="1"/>
      <c r="T431" s="88">
        <v>2.2164928768811749</v>
      </c>
      <c r="U431" s="89">
        <v>1.0012773020771142</v>
      </c>
    </row>
    <row r="432" spans="1:21" x14ac:dyDescent="0.2">
      <c r="A432" s="3">
        <v>427</v>
      </c>
      <c r="B432" s="3" t="s">
        <v>1445</v>
      </c>
      <c r="C432" s="3" t="s">
        <v>1443</v>
      </c>
      <c r="D432" s="21">
        <f>VLOOKUP(B432,SYS!$F$5:$G$360,2,FALSE)</f>
        <v>325</v>
      </c>
      <c r="E432" s="21">
        <f>VLOOKUP(C432,SYS!$F$5:$G$360,2,FALSE)</f>
        <v>324</v>
      </c>
      <c r="F432" s="11">
        <v>7</v>
      </c>
      <c r="G432" s="11">
        <v>5.1400000000000001E-2</v>
      </c>
      <c r="H432" s="3">
        <v>-1</v>
      </c>
      <c r="I432" s="3">
        <v>-1</v>
      </c>
      <c r="J432" s="11">
        <v>0</v>
      </c>
      <c r="K432" s="25">
        <f t="shared" si="25"/>
        <v>1.4E-3</v>
      </c>
      <c r="L432" s="26">
        <v>0.72299999999999998</v>
      </c>
      <c r="M432" s="26">
        <v>0.72299999999999998</v>
      </c>
      <c r="N432" s="11" t="s">
        <v>788</v>
      </c>
      <c r="O432" s="26" t="str">
        <f>VLOOKUP(TRN!D432,SYS!$G$5:$H$360,2,FALSE)</f>
        <v>東大分変電所</v>
      </c>
      <c r="P432" s="26" t="str">
        <f>VLOOKUP(TRN!E432,SYS!$G$5:$H$360,2,FALSE)</f>
        <v>大分変電所</v>
      </c>
      <c r="S432" s="1"/>
      <c r="T432" s="88">
        <v>2.7167257335699486</v>
      </c>
      <c r="U432" s="89">
        <v>2.9529103671822661</v>
      </c>
    </row>
    <row r="433" spans="1:21" x14ac:dyDescent="0.2">
      <c r="A433" s="3">
        <v>428</v>
      </c>
      <c r="B433" s="3" t="s">
        <v>1417</v>
      </c>
      <c r="C433" s="3" t="s">
        <v>1330</v>
      </c>
      <c r="D433" s="21">
        <f>VLOOKUP(B433,SYS!$F$5:$G$360,2,FALSE)</f>
        <v>310</v>
      </c>
      <c r="E433" s="21">
        <f>VLOOKUP(C433,SYS!$F$5:$G$360,2,FALSE)</f>
        <v>326</v>
      </c>
      <c r="F433" s="11">
        <v>4</v>
      </c>
      <c r="G433" s="64">
        <f t="shared" si="24"/>
        <v>0.18606921663052553</v>
      </c>
      <c r="H433" s="3">
        <v>-1</v>
      </c>
      <c r="I433" s="3">
        <v>-1</v>
      </c>
      <c r="J433" s="11">
        <v>0</v>
      </c>
      <c r="K433" s="25">
        <f t="shared" si="25"/>
        <v>8.0000000000000004E-4</v>
      </c>
      <c r="L433" s="26">
        <v>1.407</v>
      </c>
      <c r="M433" s="26">
        <v>1.407</v>
      </c>
      <c r="N433" s="11" t="s">
        <v>789</v>
      </c>
      <c r="O433" s="26" t="str">
        <f>VLOOKUP(TRN!D433,SYS!$G$5:$H$360,2,FALSE)</f>
        <v>中央変電所</v>
      </c>
      <c r="P433" s="26" t="str">
        <f>VLOOKUP(TRN!E433,SYS!$G$5:$H$360,2,FALSE)</f>
        <v>山家変電所</v>
      </c>
      <c r="S433" s="1"/>
      <c r="T433" s="88">
        <v>1.1412471266274427</v>
      </c>
      <c r="U433" s="89">
        <v>2.2460618466752469</v>
      </c>
    </row>
    <row r="434" spans="1:21" x14ac:dyDescent="0.2">
      <c r="A434" s="3">
        <v>429</v>
      </c>
      <c r="B434" s="3" t="s">
        <v>1417</v>
      </c>
      <c r="C434" s="3" t="s">
        <v>1450</v>
      </c>
      <c r="D434" s="21">
        <f>VLOOKUP(B434,SYS!$F$5:$G$360,2,FALSE)</f>
        <v>310</v>
      </c>
      <c r="E434" s="21">
        <f>VLOOKUP(C434,SYS!$F$5:$G$360,2,FALSE)</f>
        <v>328</v>
      </c>
      <c r="F434" s="11">
        <v>19</v>
      </c>
      <c r="G434" s="64">
        <f t="shared" si="24"/>
        <v>0.25566346464760686</v>
      </c>
      <c r="H434" s="3">
        <v>-1</v>
      </c>
      <c r="I434" s="3">
        <v>-1</v>
      </c>
      <c r="J434" s="11">
        <v>0</v>
      </c>
      <c r="K434" s="25">
        <f t="shared" si="25"/>
        <v>3.8E-3</v>
      </c>
      <c r="L434" s="26">
        <v>1.024</v>
      </c>
      <c r="M434" s="26">
        <v>1.024</v>
      </c>
      <c r="N434" s="11" t="s">
        <v>790</v>
      </c>
      <c r="O434" s="26" t="str">
        <f>VLOOKUP(TRN!D434,SYS!$G$5:$H$360,2,FALSE)</f>
        <v>中央変電所</v>
      </c>
      <c r="P434" s="26" t="str">
        <f>VLOOKUP(TRN!E434,SYS!$G$5:$H$360,2,FALSE)</f>
        <v>筑豊変電所</v>
      </c>
      <c r="S434" s="1"/>
      <c r="T434" s="88">
        <v>2.7353508821466859</v>
      </c>
      <c r="U434" s="89">
        <v>2.2058927398878478</v>
      </c>
    </row>
    <row r="435" spans="1:21" x14ac:dyDescent="0.2">
      <c r="A435" s="3">
        <v>430</v>
      </c>
      <c r="B435" s="3" t="s">
        <v>1330</v>
      </c>
      <c r="C435" s="3" t="s">
        <v>1447</v>
      </c>
      <c r="D435" s="21">
        <f>VLOOKUP(B435,SYS!$F$5:$G$360,2,FALSE)</f>
        <v>326</v>
      </c>
      <c r="E435" s="21">
        <f>VLOOKUP(C435,SYS!$F$5:$G$360,2,FALSE)</f>
        <v>327</v>
      </c>
      <c r="F435" s="11">
        <v>23</v>
      </c>
      <c r="G435" s="11">
        <v>0.17199999999999999</v>
      </c>
      <c r="H435" s="3">
        <v>-1</v>
      </c>
      <c r="I435" s="3">
        <v>-1</v>
      </c>
      <c r="J435" s="11">
        <v>0</v>
      </c>
      <c r="K435" s="25">
        <f t="shared" si="25"/>
        <v>4.5999999999999999E-3</v>
      </c>
      <c r="L435" s="26">
        <v>1.296</v>
      </c>
      <c r="M435" s="26">
        <v>1.296</v>
      </c>
      <c r="N435" s="11" t="s">
        <v>791</v>
      </c>
      <c r="O435" s="26" t="str">
        <f>VLOOKUP(TRN!D435,SYS!$G$5:$H$360,2,FALSE)</f>
        <v>山家変電所</v>
      </c>
      <c r="P435" s="26" t="str">
        <f>VLOOKUP(TRN!E435,SYS!$G$5:$H$360,2,FALSE)</f>
        <v>東福岡変電所</v>
      </c>
      <c r="S435" s="1"/>
      <c r="T435" s="88">
        <v>1.4150499731579405</v>
      </c>
      <c r="U435" s="89">
        <v>1.9292747095854257</v>
      </c>
    </row>
    <row r="436" spans="1:21" x14ac:dyDescent="0.2">
      <c r="A436" s="3">
        <v>431</v>
      </c>
      <c r="B436" s="3" t="s">
        <v>1447</v>
      </c>
      <c r="C436" s="3" t="s">
        <v>1452</v>
      </c>
      <c r="D436" s="21">
        <f>VLOOKUP(B436,SYS!$F$5:$G$360,2,FALSE)</f>
        <v>327</v>
      </c>
      <c r="E436" s="21">
        <f>VLOOKUP(C436,SYS!$F$5:$G$360,2,FALSE)</f>
        <v>329</v>
      </c>
      <c r="F436" s="11">
        <v>7</v>
      </c>
      <c r="G436" s="64">
        <f t="shared" ref="G436:G437" si="26">$L$2/L436</f>
        <v>0.41754288325223193</v>
      </c>
      <c r="H436" s="3">
        <v>-1</v>
      </c>
      <c r="I436" s="3">
        <v>-1</v>
      </c>
      <c r="J436" s="11">
        <v>0</v>
      </c>
      <c r="K436" s="25">
        <f t="shared" si="25"/>
        <v>1.4E-3</v>
      </c>
      <c r="L436" s="26">
        <v>0.627</v>
      </c>
      <c r="M436" s="26">
        <v>0.627</v>
      </c>
      <c r="N436" s="11" t="s">
        <v>792</v>
      </c>
      <c r="O436" s="26" t="str">
        <f>VLOOKUP(TRN!D436,SYS!$G$5:$H$360,2,FALSE)</f>
        <v>東福岡変電所</v>
      </c>
      <c r="P436" s="26" t="str">
        <f>VLOOKUP(TRN!E436,SYS!$G$5:$H$360,2,FALSE)</f>
        <v>住吉変電所</v>
      </c>
      <c r="S436" s="1"/>
      <c r="T436" s="88">
        <v>3.2888839017478571</v>
      </c>
      <c r="U436" s="89">
        <v>4.0548034835756983</v>
      </c>
    </row>
    <row r="437" spans="1:21" x14ac:dyDescent="0.2">
      <c r="A437" s="3">
        <v>432</v>
      </c>
      <c r="B437" s="3" t="s">
        <v>1304</v>
      </c>
      <c r="C437" s="3" t="s">
        <v>1115</v>
      </c>
      <c r="D437" s="21">
        <f>VLOOKUP(B437,SYS!$F$5:$G$360,2,FALSE)</f>
        <v>312</v>
      </c>
      <c r="E437" s="21">
        <f>VLOOKUP(C437,SYS!$F$5:$G$360,2,FALSE)</f>
        <v>330</v>
      </c>
      <c r="F437" s="11">
        <v>13</v>
      </c>
      <c r="G437" s="64">
        <f t="shared" si="26"/>
        <v>0.51132692929521373</v>
      </c>
      <c r="H437" s="3">
        <v>-1</v>
      </c>
      <c r="I437" s="3">
        <v>-1</v>
      </c>
      <c r="J437" s="11">
        <v>0</v>
      </c>
      <c r="K437" s="25">
        <f t="shared" si="25"/>
        <v>2.6000000000000003E-3</v>
      </c>
      <c r="L437" s="26">
        <v>0.51200000000000001</v>
      </c>
      <c r="M437" s="26">
        <v>0.51200000000000001</v>
      </c>
      <c r="N437" s="11" t="s">
        <v>793</v>
      </c>
      <c r="O437" s="26" t="str">
        <f>VLOOKUP(TRN!D437,SYS!$G$5:$H$360,2,FALSE)</f>
        <v>西九州変電所</v>
      </c>
      <c r="P437" s="26" t="str">
        <f>VLOOKUP(TRN!E437,SYS!$G$5:$H$360,2,FALSE)</f>
        <v>唐津変電所</v>
      </c>
      <c r="S437" s="1"/>
      <c r="T437" s="88">
        <v>3.6842623264489296</v>
      </c>
      <c r="U437" s="89">
        <v>4.5931273862487076</v>
      </c>
    </row>
    <row r="438" spans="1:21" x14ac:dyDescent="0.2">
      <c r="A438" s="3">
        <v>433</v>
      </c>
      <c r="B438" s="3" t="s">
        <v>1304</v>
      </c>
      <c r="C438" s="3" t="s">
        <v>1454</v>
      </c>
      <c r="D438" s="21">
        <f>VLOOKUP(B438,SYS!$F$5:$G$360,2,FALSE)</f>
        <v>312</v>
      </c>
      <c r="E438" s="21">
        <f>VLOOKUP(C438,SYS!$F$5:$G$360,2,FALSE)</f>
        <v>331</v>
      </c>
      <c r="F438" s="11">
        <v>22</v>
      </c>
      <c r="G438" s="11">
        <v>0.16900000000000001</v>
      </c>
      <c r="H438" s="3">
        <v>-1</v>
      </c>
      <c r="I438" s="3">
        <v>-1</v>
      </c>
      <c r="J438" s="11">
        <v>0</v>
      </c>
      <c r="K438" s="25">
        <f t="shared" si="25"/>
        <v>4.4000000000000003E-3</v>
      </c>
      <c r="L438" s="32">
        <v>1.5</v>
      </c>
      <c r="M438" s="32">
        <v>1.5</v>
      </c>
      <c r="N438" s="11" t="s">
        <v>794</v>
      </c>
      <c r="O438" s="26" t="str">
        <f>VLOOKUP(TRN!D438,SYS!$G$5:$H$360,2,FALSE)</f>
        <v>西九州変電所</v>
      </c>
      <c r="P438" s="26" t="str">
        <f>VLOOKUP(TRN!E438,SYS!$G$5:$H$360,2,FALSE)</f>
        <v>武雄変電所</v>
      </c>
      <c r="Q438" s="26">
        <v>0.70299999999999996</v>
      </c>
      <c r="R438" s="18"/>
      <c r="S438" s="1"/>
      <c r="T438" s="88">
        <v>1.39603868175016</v>
      </c>
      <c r="U438" s="89">
        <v>1.950958279020957</v>
      </c>
    </row>
    <row r="439" spans="1:21" x14ac:dyDescent="0.2">
      <c r="A439" s="3">
        <v>434</v>
      </c>
      <c r="B439" s="3" t="s">
        <v>1456</v>
      </c>
      <c r="C439" s="3" t="s">
        <v>1304</v>
      </c>
      <c r="D439" s="21">
        <f>VLOOKUP(B439,SYS!$F$5:$G$360,2,FALSE)</f>
        <v>332</v>
      </c>
      <c r="E439" s="21">
        <f>VLOOKUP(C439,SYS!$F$5:$G$360,2,FALSE)</f>
        <v>312</v>
      </c>
      <c r="F439" s="11">
        <v>30</v>
      </c>
      <c r="G439" s="11">
        <v>0.2571</v>
      </c>
      <c r="H439" s="3">
        <v>-1</v>
      </c>
      <c r="I439" s="3">
        <v>-1</v>
      </c>
      <c r="J439" s="11">
        <v>0</v>
      </c>
      <c r="K439" s="25">
        <f t="shared" si="25"/>
        <v>6.0000000000000001E-3</v>
      </c>
      <c r="L439" s="26">
        <v>1.2969999999999999</v>
      </c>
      <c r="M439" s="26">
        <v>1.2969999999999999</v>
      </c>
      <c r="N439" s="11" t="s">
        <v>795</v>
      </c>
      <c r="O439" s="26" t="str">
        <f>VLOOKUP(TRN!D439,SYS!$G$5:$H$360,2,FALSE)</f>
        <v>東佐世保変電所</v>
      </c>
      <c r="P439" s="26" t="str">
        <f>VLOOKUP(TRN!E439,SYS!$G$5:$H$360,2,FALSE)</f>
        <v>西九州変電所</v>
      </c>
      <c r="S439" s="1"/>
      <c r="T439" s="88">
        <v>2.0089109845644111</v>
      </c>
      <c r="U439" s="89">
        <v>1.5783193421777915</v>
      </c>
    </row>
    <row r="440" spans="1:21" x14ac:dyDescent="0.2">
      <c r="A440" s="3">
        <v>435</v>
      </c>
      <c r="B440" s="3" t="s">
        <v>1454</v>
      </c>
      <c r="C440" s="3" t="s">
        <v>1458</v>
      </c>
      <c r="D440" s="21">
        <f>VLOOKUP(B440,SYS!$F$5:$G$360,2,FALSE)</f>
        <v>331</v>
      </c>
      <c r="E440" s="21">
        <f>VLOOKUP(C440,SYS!$F$5:$G$360,2,FALSE)</f>
        <v>333</v>
      </c>
      <c r="F440" s="11">
        <v>57</v>
      </c>
      <c r="G440" s="64">
        <f t="shared" ref="G440:G441" si="27">$L$2/L440</f>
        <v>0.7458672017069784</v>
      </c>
      <c r="H440" s="3">
        <v>-1</v>
      </c>
      <c r="I440" s="3">
        <v>-1</v>
      </c>
      <c r="J440" s="11">
        <v>0</v>
      </c>
      <c r="K440" s="25">
        <f t="shared" si="25"/>
        <v>1.14E-2</v>
      </c>
      <c r="L440" s="26">
        <v>0.35099999999999998</v>
      </c>
      <c r="M440" s="26">
        <v>0.35099999999999998</v>
      </c>
      <c r="N440" s="11" t="s">
        <v>796</v>
      </c>
      <c r="O440" s="26" t="str">
        <f>VLOOKUP(TRN!D440,SYS!$G$5:$H$360,2,FALSE)</f>
        <v>武雄変電所</v>
      </c>
      <c r="P440" s="26" t="str">
        <f>VLOOKUP(TRN!E440,SYS!$G$5:$H$360,2,FALSE)</f>
        <v>長崎変電所</v>
      </c>
      <c r="S440" s="1"/>
      <c r="T440" s="88">
        <v>3091.3017453732286</v>
      </c>
      <c r="U440" s="89">
        <v>6.0851569329321631</v>
      </c>
    </row>
    <row r="441" spans="1:21" x14ac:dyDescent="0.2">
      <c r="A441" s="3">
        <v>436</v>
      </c>
      <c r="B441" s="3" t="s">
        <v>1454</v>
      </c>
      <c r="C441" s="3" t="s">
        <v>1460</v>
      </c>
      <c r="D441" s="21">
        <f>VLOOKUP(B441,SYS!$F$5:$G$360,2,FALSE)</f>
        <v>331</v>
      </c>
      <c r="E441" s="21">
        <f>VLOOKUP(C441,SYS!$F$5:$G$360,2,FALSE)</f>
        <v>334</v>
      </c>
      <c r="F441" s="7">
        <v>43</v>
      </c>
      <c r="G441" s="64">
        <f t="shared" si="27"/>
        <v>0.37240311208982846</v>
      </c>
      <c r="H441" s="6">
        <v>-1</v>
      </c>
      <c r="I441" s="6">
        <v>-1</v>
      </c>
      <c r="J441" s="7">
        <v>0</v>
      </c>
      <c r="K441" s="25">
        <f t="shared" si="25"/>
        <v>8.6E-3</v>
      </c>
      <c r="L441" s="26">
        <v>0.70299999999999996</v>
      </c>
      <c r="M441" s="26">
        <v>0.70299999999999996</v>
      </c>
      <c r="N441" s="11" t="s">
        <v>797</v>
      </c>
      <c r="O441" s="26" t="str">
        <f>VLOOKUP(TRN!D441,SYS!$G$5:$H$360,2,FALSE)</f>
        <v>武雄変電所</v>
      </c>
      <c r="P441" s="26" t="str">
        <f>VLOOKUP(TRN!E441,SYS!$G$5:$H$360,2,FALSE)</f>
        <v>諫早変電所</v>
      </c>
      <c r="S441" s="1"/>
      <c r="T441" s="88">
        <v>2.9911671500421546</v>
      </c>
      <c r="U441" s="89">
        <v>3.6677418249981795</v>
      </c>
    </row>
    <row r="442" spans="1:21" x14ac:dyDescent="0.2">
      <c r="A442" s="3">
        <v>437</v>
      </c>
      <c r="B442" s="3" t="s">
        <v>1394</v>
      </c>
      <c r="C442" s="3" t="s">
        <v>1462</v>
      </c>
      <c r="D442" s="21">
        <f>VLOOKUP(B442,SYS!$F$5:$G$360,2,FALSE)</f>
        <v>335</v>
      </c>
      <c r="E442" s="21">
        <f>VLOOKUP(C442,SYS!$F$5:$G$360,2,FALSE)</f>
        <v>336</v>
      </c>
      <c r="F442" s="11">
        <v>26</v>
      </c>
      <c r="G442" s="11">
        <v>0.18609999999999999</v>
      </c>
      <c r="H442" s="54">
        <v>-1</v>
      </c>
      <c r="I442" s="54">
        <v>-1</v>
      </c>
      <c r="J442" s="49">
        <v>0</v>
      </c>
      <c r="K442" s="25">
        <f t="shared" si="25"/>
        <v>5.2000000000000006E-3</v>
      </c>
      <c r="L442" s="32">
        <v>1.6</v>
      </c>
      <c r="M442" s="32">
        <v>1.6</v>
      </c>
      <c r="N442" s="11" t="s">
        <v>798</v>
      </c>
      <c r="O442" s="26" t="str">
        <f>VLOOKUP(TRN!D442,SYS!$G$5:$H$360,2,FALSE)</f>
        <v>木佐木変電所</v>
      </c>
      <c r="P442" s="26" t="str">
        <f>VLOOKUP(TRN!E442,SYS!$G$5:$H$360,2,FALSE)</f>
        <v>鳥栖変電所</v>
      </c>
      <c r="Q442" s="26">
        <v>0.70299999999999996</v>
      </c>
      <c r="R442" s="18"/>
      <c r="S442" s="1"/>
      <c r="T442" s="88">
        <v>1.0009866421510765</v>
      </c>
      <c r="U442" s="89">
        <v>2.7555652609721433</v>
      </c>
    </row>
    <row r="443" spans="1:21" x14ac:dyDescent="0.2">
      <c r="A443" s="3">
        <v>438</v>
      </c>
      <c r="B443" s="3" t="s">
        <v>1411</v>
      </c>
      <c r="C443" s="3" t="s">
        <v>1462</v>
      </c>
      <c r="D443" s="21">
        <f>VLOOKUP(B443,SYS!$F$5:$G$360,2,FALSE)</f>
        <v>307</v>
      </c>
      <c r="E443" s="21">
        <f>VLOOKUP(C443,SYS!$F$5:$G$360,2,FALSE)</f>
        <v>336</v>
      </c>
      <c r="F443" s="11">
        <v>18</v>
      </c>
      <c r="G443" s="11">
        <v>0.13350000000000001</v>
      </c>
      <c r="H443" s="54">
        <v>-1</v>
      </c>
      <c r="I443" s="54">
        <v>-1</v>
      </c>
      <c r="J443" s="49">
        <v>0</v>
      </c>
      <c r="K443" s="25">
        <f t="shared" si="25"/>
        <v>3.6000000000000003E-3</v>
      </c>
      <c r="L443" s="32">
        <v>1.6</v>
      </c>
      <c r="M443" s="32">
        <v>1.6</v>
      </c>
      <c r="N443" s="11" t="s">
        <v>799</v>
      </c>
      <c r="O443" s="26" t="str">
        <f>VLOOKUP(TRN!D443,SYS!$G$5:$H$360,2,FALSE)</f>
        <v>脊振変電所</v>
      </c>
      <c r="P443" s="26" t="str">
        <f>VLOOKUP(TRN!E443,SYS!$G$5:$H$360,2,FALSE)</f>
        <v>鳥栖変電所</v>
      </c>
      <c r="Q443" s="26">
        <v>0.70299999999999996</v>
      </c>
      <c r="S443" s="1"/>
      <c r="T443" s="88">
        <v>14691.395146634401</v>
      </c>
      <c r="U443" s="89">
        <v>0.80937707346258214</v>
      </c>
    </row>
    <row r="444" spans="1:21" x14ac:dyDescent="0.2">
      <c r="A444" s="3">
        <v>439</v>
      </c>
      <c r="B444" s="3" t="s">
        <v>1404</v>
      </c>
      <c r="C444" s="3" t="s">
        <v>1394</v>
      </c>
      <c r="D444" s="21">
        <f>VLOOKUP(B444,SYS!$F$5:$G$360,2,FALSE)</f>
        <v>337</v>
      </c>
      <c r="E444" s="21">
        <f>VLOOKUP(C444,SYS!$F$5:$G$360,2,FALSE)</f>
        <v>335</v>
      </c>
      <c r="F444" s="11">
        <v>20</v>
      </c>
      <c r="G444" s="11">
        <v>0.15390000000000001</v>
      </c>
      <c r="H444" s="54">
        <v>-1</v>
      </c>
      <c r="I444" s="54">
        <v>-1</v>
      </c>
      <c r="J444" s="49">
        <v>0</v>
      </c>
      <c r="K444" s="25">
        <f t="shared" si="25"/>
        <v>4.0000000000000001E-3</v>
      </c>
      <c r="L444" s="26">
        <v>0.70299999999999996</v>
      </c>
      <c r="M444" s="26">
        <v>0.70299999999999996</v>
      </c>
      <c r="N444" s="11" t="s">
        <v>800</v>
      </c>
      <c r="O444" s="26" t="str">
        <f>VLOOKUP(TRN!D444,SYS!$G$5:$H$360,2,FALSE)</f>
        <v>三池変電所</v>
      </c>
      <c r="P444" s="26" t="str">
        <f>VLOOKUP(TRN!E444,SYS!$G$5:$H$360,2,FALSE)</f>
        <v>木佐木変電所</v>
      </c>
      <c r="S444" s="1"/>
      <c r="T444" s="88">
        <v>4.4319214872585526</v>
      </c>
      <c r="U444" s="89">
        <v>1863.5194650111719</v>
      </c>
    </row>
    <row r="445" spans="1:21" x14ac:dyDescent="0.2">
      <c r="A445" s="3">
        <v>440</v>
      </c>
      <c r="B445" s="3" t="s">
        <v>1464</v>
      </c>
      <c r="C445" s="3" t="s">
        <v>1498</v>
      </c>
      <c r="D445" s="21">
        <f>VLOOKUP(B445,SYS!$F$5:$G$360,2,FALSE)</f>
        <v>338</v>
      </c>
      <c r="E445" s="21">
        <f>VLOOKUP(C445,SYS!$F$5:$G$360,2,FALSE)</f>
        <v>313</v>
      </c>
      <c r="F445" s="11">
        <v>42</v>
      </c>
      <c r="G445" s="11">
        <v>0.12939999999999999</v>
      </c>
      <c r="H445" s="54">
        <v>-1</v>
      </c>
      <c r="I445" s="54">
        <v>-1</v>
      </c>
      <c r="J445" s="49">
        <v>0</v>
      </c>
      <c r="K445" s="25">
        <f t="shared" si="25"/>
        <v>8.4000000000000012E-3</v>
      </c>
      <c r="L445" s="26">
        <v>0.70399999999999996</v>
      </c>
      <c r="M445" s="26">
        <v>0.70399999999999996</v>
      </c>
      <c r="N445" s="11" t="s">
        <v>801</v>
      </c>
      <c r="O445" s="26" t="str">
        <f>VLOOKUP(TRN!D445,SYS!$G$5:$H$360,2,FALSE)</f>
        <v>南熊本変電所</v>
      </c>
      <c r="P445" s="26" t="str">
        <f>VLOOKUP(TRN!E445,SYS!$G$5:$H$360,2,FALSE)</f>
        <v>熊本変電所</v>
      </c>
      <c r="S445" s="1"/>
      <c r="T445" s="88">
        <v>2.8712506634730155</v>
      </c>
      <c r="U445" s="89">
        <v>18225.928783332285</v>
      </c>
    </row>
    <row r="446" spans="1:21" x14ac:dyDescent="0.2">
      <c r="A446" s="3">
        <v>441</v>
      </c>
      <c r="B446" s="3" t="s">
        <v>1498</v>
      </c>
      <c r="C446" s="3" t="s">
        <v>1466</v>
      </c>
      <c r="D446" s="21">
        <f>VLOOKUP(B446,SYS!$F$5:$G$360,2,FALSE)</f>
        <v>313</v>
      </c>
      <c r="E446" s="21">
        <f>VLOOKUP(C446,SYS!$F$5:$G$360,2,FALSE)</f>
        <v>339</v>
      </c>
      <c r="F446" s="11">
        <v>55</v>
      </c>
      <c r="G446" s="64">
        <f t="shared" ref="G446" si="28">$L$2/L446</f>
        <v>0.6594443017610816</v>
      </c>
      <c r="H446" s="54">
        <v>-1</v>
      </c>
      <c r="I446" s="54">
        <v>-1</v>
      </c>
      <c r="J446" s="49">
        <v>0</v>
      </c>
      <c r="K446" s="25">
        <f t="shared" si="25"/>
        <v>1.1000000000000001E-2</v>
      </c>
      <c r="L446" s="26">
        <v>0.39700000000000002</v>
      </c>
      <c r="M446" s="26">
        <v>0.39700000000000002</v>
      </c>
      <c r="N446" s="11" t="s">
        <v>802</v>
      </c>
      <c r="O446" s="26" t="str">
        <f>VLOOKUP(TRN!D446,SYS!$G$5:$H$360,2,FALSE)</f>
        <v>熊本変電所</v>
      </c>
      <c r="P446" s="26" t="str">
        <f>VLOOKUP(TRN!E446,SYS!$G$5:$H$360,2,FALSE)</f>
        <v>日田変電所</v>
      </c>
      <c r="S446" s="1"/>
      <c r="T446" s="88">
        <v>987.6255490313431</v>
      </c>
      <c r="U446" s="89">
        <v>3.5514436444481308</v>
      </c>
    </row>
    <row r="447" spans="1:21" x14ac:dyDescent="0.2">
      <c r="A447" s="3">
        <v>442</v>
      </c>
      <c r="B447" s="3" t="s">
        <v>1421</v>
      </c>
      <c r="C447" s="3" t="s">
        <v>1464</v>
      </c>
      <c r="D447" s="21">
        <f>VLOOKUP(B447,SYS!$F$5:$G$360,2,FALSE)</f>
        <v>314</v>
      </c>
      <c r="E447" s="21">
        <f>VLOOKUP(C447,SYS!$F$5:$G$360,2,FALSE)</f>
        <v>338</v>
      </c>
      <c r="F447" s="11">
        <v>8</v>
      </c>
      <c r="G447" s="11">
        <v>5.6599999999999998E-2</v>
      </c>
      <c r="H447" s="54">
        <v>-1</v>
      </c>
      <c r="I447" s="54">
        <v>-1</v>
      </c>
      <c r="J447" s="49">
        <v>0</v>
      </c>
      <c r="K447" s="25">
        <f t="shared" si="25"/>
        <v>1.6000000000000001E-3</v>
      </c>
      <c r="L447" s="26">
        <v>0.70299999999999996</v>
      </c>
      <c r="M447" s="26">
        <v>0.70299999999999996</v>
      </c>
      <c r="N447" s="11" t="s">
        <v>803</v>
      </c>
      <c r="O447" s="26" t="str">
        <f>VLOOKUP(TRN!D447,SYS!$G$5:$H$360,2,FALSE)</f>
        <v>中九州変電所</v>
      </c>
      <c r="P447" s="26" t="str">
        <f>VLOOKUP(TRN!E447,SYS!$G$5:$H$360,2,FALSE)</f>
        <v>南熊本変電所</v>
      </c>
      <c r="S447" s="1"/>
      <c r="T447" s="88">
        <v>4.4963181756591135</v>
      </c>
      <c r="U447" s="89">
        <v>3566.8110514464693</v>
      </c>
    </row>
    <row r="448" spans="1:21" x14ac:dyDescent="0.2">
      <c r="A448" s="3">
        <v>443</v>
      </c>
      <c r="B448" s="3" t="s">
        <v>1075</v>
      </c>
      <c r="C448" s="3" t="s">
        <v>1380</v>
      </c>
      <c r="D448" s="21">
        <f>VLOOKUP(B448,SYS!$F$5:$G$360,2,FALSE)</f>
        <v>315</v>
      </c>
      <c r="E448" s="21">
        <f>VLOOKUP(C448,SYS!$F$5:$G$360,2,FALSE)</f>
        <v>340</v>
      </c>
      <c r="F448" s="11">
        <v>52</v>
      </c>
      <c r="G448" s="11">
        <v>0.35539999999999999</v>
      </c>
      <c r="H448" s="54">
        <v>-1</v>
      </c>
      <c r="I448" s="54">
        <v>-1</v>
      </c>
      <c r="J448" s="49">
        <v>0</v>
      </c>
      <c r="K448" s="25">
        <f t="shared" si="25"/>
        <v>1.0400000000000001E-2</v>
      </c>
      <c r="L448" s="26">
        <v>0.35099999999999998</v>
      </c>
      <c r="M448" s="26">
        <v>0.35099999999999998</v>
      </c>
      <c r="N448" s="11" t="s">
        <v>804</v>
      </c>
      <c r="O448" s="26" t="str">
        <f>VLOOKUP(TRN!D448,SYS!$G$5:$H$360,2,FALSE)</f>
        <v>南九州変電所</v>
      </c>
      <c r="P448" s="26" t="str">
        <f>VLOOKUP(TRN!E448,SYS!$G$5:$H$360,2,FALSE)</f>
        <v>人吉変電所</v>
      </c>
      <c r="R448" s="18"/>
      <c r="S448" s="1"/>
      <c r="T448" s="88">
        <v>7.2704765401301792</v>
      </c>
      <c r="U448" s="89">
        <v>5.8035649564402876</v>
      </c>
    </row>
    <row r="449" spans="1:21" x14ac:dyDescent="0.2">
      <c r="A449" s="3">
        <v>444</v>
      </c>
      <c r="B449" s="3" t="s">
        <v>1421</v>
      </c>
      <c r="C449" s="3" t="s">
        <v>1468</v>
      </c>
      <c r="D449" s="21">
        <f>VLOOKUP(B449,SYS!$F$5:$G$360,2,FALSE)</f>
        <v>314</v>
      </c>
      <c r="E449" s="21">
        <f>VLOOKUP(C449,SYS!$F$5:$G$360,2,FALSE)</f>
        <v>341</v>
      </c>
      <c r="F449" s="11">
        <v>11</v>
      </c>
      <c r="G449" s="64">
        <f t="shared" ref="G449:G450" si="29">$L$2/L449</f>
        <v>0.17453292519943295</v>
      </c>
      <c r="H449" s="54">
        <v>-1</v>
      </c>
      <c r="I449" s="54">
        <v>-1</v>
      </c>
      <c r="J449" s="49">
        <v>0</v>
      </c>
      <c r="K449" s="25">
        <f t="shared" si="25"/>
        <v>2.2000000000000001E-3</v>
      </c>
      <c r="L449" s="32">
        <v>1.5</v>
      </c>
      <c r="M449" s="32">
        <v>1.5</v>
      </c>
      <c r="N449" s="11" t="s">
        <v>805</v>
      </c>
      <c r="O449" s="26" t="str">
        <f>VLOOKUP(TRN!D449,SYS!$G$5:$H$360,2,FALSE)</f>
        <v>中九州変電所</v>
      </c>
      <c r="P449" s="26" t="str">
        <f>VLOOKUP(TRN!E449,SYS!$G$5:$H$360,2,FALSE)</f>
        <v>八代変電所</v>
      </c>
      <c r="Q449" s="26">
        <v>0.34899999999999998</v>
      </c>
      <c r="S449" s="1"/>
      <c r="T449" s="88">
        <v>1.362632601431951</v>
      </c>
      <c r="U449" s="89">
        <v>1.3829015127785349</v>
      </c>
    </row>
    <row r="450" spans="1:21" x14ac:dyDescent="0.2">
      <c r="A450" s="3">
        <v>445</v>
      </c>
      <c r="B450" s="3" t="s">
        <v>1075</v>
      </c>
      <c r="C450" s="3" t="s">
        <v>1470</v>
      </c>
      <c r="D450" s="21">
        <f>VLOOKUP(B450,SYS!$F$5:$G$360,2,FALSE)</f>
        <v>315</v>
      </c>
      <c r="E450" s="21">
        <f>VLOOKUP(C450,SYS!$F$5:$G$360,2,FALSE)</f>
        <v>342</v>
      </c>
      <c r="F450" s="11">
        <v>42</v>
      </c>
      <c r="G450" s="64">
        <f t="shared" si="29"/>
        <v>0.42777677744959053</v>
      </c>
      <c r="H450" s="54">
        <v>-1</v>
      </c>
      <c r="I450" s="54">
        <v>-1</v>
      </c>
      <c r="J450" s="49">
        <v>0</v>
      </c>
      <c r="K450" s="25">
        <f t="shared" si="25"/>
        <v>8.4000000000000012E-3</v>
      </c>
      <c r="L450" s="26">
        <v>0.61199999999999999</v>
      </c>
      <c r="M450" s="26">
        <v>0.61199999999999999</v>
      </c>
      <c r="N450" s="11" t="s">
        <v>806</v>
      </c>
      <c r="O450" s="26" t="str">
        <f>VLOOKUP(TRN!D450,SYS!$G$5:$H$360,2,FALSE)</f>
        <v>南九州変電所</v>
      </c>
      <c r="P450" s="26" t="str">
        <f>VLOOKUP(TRN!E450,SYS!$G$5:$H$360,2,FALSE)</f>
        <v>鹿児島変電所</v>
      </c>
      <c r="S450" s="1"/>
      <c r="T450" s="88">
        <v>5126.2740395062183</v>
      </c>
      <c r="U450" s="89">
        <v>4.0039477781067738</v>
      </c>
    </row>
    <row r="451" spans="1:21" x14ac:dyDescent="0.2">
      <c r="A451" s="3">
        <v>446</v>
      </c>
      <c r="B451" s="3" t="s">
        <v>1075</v>
      </c>
      <c r="C451" s="3" t="s">
        <v>1103</v>
      </c>
      <c r="D451" s="21">
        <f>VLOOKUP(B451,SYS!$F$5:$G$360,2,FALSE)</f>
        <v>315</v>
      </c>
      <c r="E451" s="21">
        <f>VLOOKUP(C451,SYS!$F$5:$G$360,2,FALSE)</f>
        <v>343</v>
      </c>
      <c r="F451" s="11">
        <v>38</v>
      </c>
      <c r="G451" s="11">
        <v>0.28710000000000002</v>
      </c>
      <c r="H451" s="54">
        <v>-1</v>
      </c>
      <c r="I451" s="54">
        <v>-1</v>
      </c>
      <c r="J451" s="49">
        <v>0</v>
      </c>
      <c r="K451" s="25">
        <f t="shared" si="25"/>
        <v>7.6E-3</v>
      </c>
      <c r="L451" s="26">
        <v>1.298</v>
      </c>
      <c r="M451" s="26">
        <v>1.298</v>
      </c>
      <c r="N451" s="11" t="s">
        <v>807</v>
      </c>
      <c r="O451" s="26" t="str">
        <f>VLOOKUP(TRN!D451,SYS!$G$5:$H$360,2,FALSE)</f>
        <v>南九州変電所</v>
      </c>
      <c r="P451" s="26" t="str">
        <f>VLOOKUP(TRN!E451,SYS!$G$5:$H$360,2,FALSE)</f>
        <v>高野開閉所</v>
      </c>
      <c r="S451" s="1"/>
      <c r="T451" s="88">
        <v>2.7367725086662924</v>
      </c>
      <c r="U451" s="89">
        <v>1.2339162535233996</v>
      </c>
    </row>
    <row r="452" spans="1:21" x14ac:dyDescent="0.2">
      <c r="A452" s="3">
        <v>447</v>
      </c>
      <c r="B452" s="3" t="s">
        <v>1075</v>
      </c>
      <c r="C452" s="3" t="s">
        <v>915</v>
      </c>
      <c r="D452" s="21">
        <f>VLOOKUP(B452,SYS!$F$5:$G$360,2,FALSE)</f>
        <v>315</v>
      </c>
      <c r="E452" s="21">
        <f>VLOOKUP(C452,SYS!$F$5:$G$360,2,FALSE)</f>
        <v>344</v>
      </c>
      <c r="F452" s="11">
        <v>1</v>
      </c>
      <c r="G452" s="64">
        <f t="shared" ref="G452:G454" si="30">$L$2/L452</f>
        <v>0.20184995204252076</v>
      </c>
      <c r="H452" s="54">
        <v>-1</v>
      </c>
      <c r="I452" s="54">
        <v>-1</v>
      </c>
      <c r="J452" s="49">
        <v>0</v>
      </c>
      <c r="K452" s="25">
        <f t="shared" si="25"/>
        <v>2.0000000000000001E-4</v>
      </c>
      <c r="L452" s="26">
        <v>1.2969999999999999</v>
      </c>
      <c r="M452" s="26">
        <v>1.2969999999999999</v>
      </c>
      <c r="N452" s="11" t="s">
        <v>808</v>
      </c>
      <c r="O452" s="26" t="str">
        <f>VLOOKUP(TRN!D452,SYS!$G$5:$H$360,2,FALSE)</f>
        <v>南九州変電所</v>
      </c>
      <c r="P452" s="26" t="str">
        <f>VLOOKUP(TRN!E452,SYS!$G$5:$H$360,2,FALSE)</f>
        <v>霧島変電所</v>
      </c>
      <c r="S452" s="1"/>
      <c r="T452" s="88">
        <v>1.5350412137489549</v>
      </c>
      <c r="U452" s="89">
        <v>1.643432590199351</v>
      </c>
    </row>
    <row r="453" spans="1:21" x14ac:dyDescent="0.2">
      <c r="A453" s="3">
        <v>448</v>
      </c>
      <c r="B453" s="3" t="s">
        <v>1103</v>
      </c>
      <c r="C453" s="3" t="s">
        <v>1472</v>
      </c>
      <c r="D453" s="21">
        <f>VLOOKUP(B453,SYS!$F$5:$G$360,2,FALSE)</f>
        <v>343</v>
      </c>
      <c r="E453" s="21">
        <f>VLOOKUP(C453,SYS!$F$5:$G$360,2,FALSE)</f>
        <v>345</v>
      </c>
      <c r="F453" s="11">
        <v>10</v>
      </c>
      <c r="G453" s="64">
        <f t="shared" si="30"/>
        <v>0.25541403687721898</v>
      </c>
      <c r="H453" s="54">
        <v>-1</v>
      </c>
      <c r="I453" s="54">
        <v>-1</v>
      </c>
      <c r="J453" s="49">
        <v>0</v>
      </c>
      <c r="K453" s="25">
        <f t="shared" si="25"/>
        <v>2E-3</v>
      </c>
      <c r="L453" s="26">
        <v>1.0249999999999999</v>
      </c>
      <c r="M453" s="26">
        <v>1.0249999999999999</v>
      </c>
      <c r="N453" s="11" t="s">
        <v>809</v>
      </c>
      <c r="O453" s="26" t="str">
        <f>VLOOKUP(TRN!D453,SYS!$G$5:$H$360,2,FALSE)</f>
        <v>高野開閉所</v>
      </c>
      <c r="P453" s="26" t="str">
        <f>VLOOKUP(TRN!E453,SYS!$G$5:$H$360,2,FALSE)</f>
        <v>都城変電所</v>
      </c>
      <c r="S453" s="1"/>
      <c r="T453" s="88">
        <v>3.0547360037871703</v>
      </c>
      <c r="U453" s="89">
        <v>1.62678022818714</v>
      </c>
    </row>
    <row r="454" spans="1:21" x14ac:dyDescent="0.2">
      <c r="A454" s="3">
        <v>449</v>
      </c>
      <c r="B454" s="3" t="s">
        <v>1103</v>
      </c>
      <c r="C454" s="3" t="s">
        <v>1296</v>
      </c>
      <c r="D454" s="21">
        <f>VLOOKUP(B454,SYS!$F$5:$G$360,2,FALSE)</f>
        <v>343</v>
      </c>
      <c r="E454" s="21">
        <f>VLOOKUP(C454,SYS!$F$5:$G$360,2,FALSE)</f>
        <v>346</v>
      </c>
      <c r="F454" s="11">
        <v>46</v>
      </c>
      <c r="G454" s="64">
        <f t="shared" si="30"/>
        <v>0.24106757624231068</v>
      </c>
      <c r="H454" s="54">
        <v>-1</v>
      </c>
      <c r="I454" s="54">
        <v>-1</v>
      </c>
      <c r="J454" s="49">
        <v>0</v>
      </c>
      <c r="K454" s="25">
        <f t="shared" si="25"/>
        <v>9.1999999999999998E-3</v>
      </c>
      <c r="L454" s="26">
        <v>1.0860000000000001</v>
      </c>
      <c r="M454" s="26">
        <v>1.0860000000000001</v>
      </c>
      <c r="N454" s="11" t="s">
        <v>810</v>
      </c>
      <c r="O454" s="26" t="str">
        <f>VLOOKUP(TRN!D454,SYS!$G$5:$H$360,2,FALSE)</f>
        <v>高野開閉所</v>
      </c>
      <c r="P454" s="26" t="str">
        <f>VLOOKUP(TRN!E454,SYS!$G$5:$H$360,2,FALSE)</f>
        <v>大隅変電所</v>
      </c>
      <c r="S454" s="1"/>
      <c r="T454" s="88">
        <v>31.119993695972241</v>
      </c>
      <c r="U454" s="89">
        <v>1.3284312836669636</v>
      </c>
    </row>
    <row r="455" spans="1:21" x14ac:dyDescent="0.2">
      <c r="A455" s="3">
        <v>450</v>
      </c>
      <c r="B455" s="3" t="s">
        <v>1474</v>
      </c>
      <c r="C455" s="3" t="s">
        <v>1103</v>
      </c>
      <c r="D455" s="21">
        <f>VLOOKUP(B455,SYS!$F$5:$G$360,2,FALSE)</f>
        <v>349</v>
      </c>
      <c r="E455" s="21">
        <f>VLOOKUP(C455,SYS!$F$5:$G$360,2,FALSE)</f>
        <v>343</v>
      </c>
      <c r="F455" s="11">
        <v>50</v>
      </c>
      <c r="G455" s="11">
        <v>0.24199999999999999</v>
      </c>
      <c r="H455" s="54">
        <v>-1</v>
      </c>
      <c r="I455" s="54">
        <v>-1</v>
      </c>
      <c r="J455" s="49">
        <v>0</v>
      </c>
      <c r="K455" s="25">
        <f t="shared" si="25"/>
        <v>0.01</v>
      </c>
      <c r="L455" s="26">
        <v>1.0249999999999999</v>
      </c>
      <c r="M455" s="26">
        <v>1.0249999999999999</v>
      </c>
      <c r="N455" s="11" t="s">
        <v>811</v>
      </c>
      <c r="O455" s="26" t="str">
        <f>VLOOKUP(TRN!D455,SYS!$G$5:$H$360,2,FALSE)</f>
        <v>南宮崎変電所</v>
      </c>
      <c r="P455" s="26" t="str">
        <f>VLOOKUP(TRN!E455,SYS!$G$5:$H$360,2,FALSE)</f>
        <v>高野開閉所</v>
      </c>
      <c r="S455" s="1"/>
      <c r="T455" s="88">
        <v>3.0087809922797057</v>
      </c>
      <c r="U455" s="89">
        <v>1.6645625536552064</v>
      </c>
    </row>
    <row r="456" spans="1:21" x14ac:dyDescent="0.2">
      <c r="A456" s="3">
        <v>451</v>
      </c>
      <c r="B456" s="3" t="s">
        <v>1419</v>
      </c>
      <c r="C456" s="3" t="s">
        <v>1586</v>
      </c>
      <c r="D456" s="21">
        <f>VLOOKUP(B456,SYS!$F$5:$G$360,2,FALSE)</f>
        <v>311</v>
      </c>
      <c r="E456" s="21">
        <f>VLOOKUP(C456,SYS!$F$5:$G$360,2,FALSE)</f>
        <v>347</v>
      </c>
      <c r="F456" s="11">
        <v>21</v>
      </c>
      <c r="G456" s="64">
        <f t="shared" ref="G456:G457" si="31">$L$2/L456</f>
        <v>0.4040114009246133</v>
      </c>
      <c r="H456" s="54">
        <v>-1</v>
      </c>
      <c r="I456" s="54">
        <v>-1</v>
      </c>
      <c r="J456" s="49">
        <v>0</v>
      </c>
      <c r="K456" s="25">
        <f t="shared" si="25"/>
        <v>4.2000000000000006E-3</v>
      </c>
      <c r="L456" s="26">
        <v>0.64800000000000002</v>
      </c>
      <c r="M456" s="26">
        <v>0.64800000000000002</v>
      </c>
      <c r="N456" s="11" t="s">
        <v>812</v>
      </c>
      <c r="O456" s="26" t="str">
        <f>VLOOKUP(TRN!D456,SYS!$G$5:$H$360,2,FALSE)</f>
        <v>東九州変電所</v>
      </c>
      <c r="P456" s="26" t="str">
        <f>VLOOKUP(TRN!E456,SYS!$G$5:$H$360,2,FALSE)</f>
        <v>海崎変電所</v>
      </c>
      <c r="S456" s="1"/>
      <c r="T456" s="88">
        <v>3.9798025353459914</v>
      </c>
      <c r="U456" s="89">
        <v>2.8555531191989001</v>
      </c>
    </row>
    <row r="457" spans="1:21" x14ac:dyDescent="0.2">
      <c r="A457" s="3">
        <v>452</v>
      </c>
      <c r="B457" s="3" t="s">
        <v>1411</v>
      </c>
      <c r="C457" s="3" t="s">
        <v>875</v>
      </c>
      <c r="D457" s="21">
        <f>VLOOKUP(B457,SYS!$F$5:$G$360,2,FALSE)</f>
        <v>307</v>
      </c>
      <c r="E457" s="21">
        <f>VLOOKUP(C457,SYS!$F$5:$G$360,2,FALSE)</f>
        <v>348</v>
      </c>
      <c r="F457" s="11">
        <v>8</v>
      </c>
      <c r="G457" s="64">
        <f t="shared" si="31"/>
        <v>0.12058930806040968</v>
      </c>
      <c r="H457" s="54">
        <v>-1</v>
      </c>
      <c r="I457" s="54">
        <v>-1</v>
      </c>
      <c r="J457" s="49">
        <v>0</v>
      </c>
      <c r="K457" s="25">
        <f t="shared" si="25"/>
        <v>1.6000000000000001E-3</v>
      </c>
      <c r="L457" s="26">
        <v>2.1709999999999998</v>
      </c>
      <c r="M457" s="26">
        <v>2.1709999999999998</v>
      </c>
      <c r="N457" s="11" t="s">
        <v>813</v>
      </c>
      <c r="O457" s="26" t="str">
        <f>VLOOKUP(TRN!D457,SYS!$G$5:$H$360,2,FALSE)</f>
        <v>脊振変電所</v>
      </c>
      <c r="P457" s="26" t="str">
        <f>VLOOKUP(TRN!E457,SYS!$G$5:$H$360,2,FALSE)</f>
        <v>西福岡変電所</v>
      </c>
      <c r="S457" s="1"/>
      <c r="T457" s="88">
        <v>1.5528547863223545</v>
      </c>
      <c r="U457" s="89">
        <v>0.87324701689316453</v>
      </c>
    </row>
    <row r="458" spans="1:21" x14ac:dyDescent="0.2">
      <c r="A458" s="3">
        <v>453</v>
      </c>
      <c r="B458" s="3" t="s">
        <v>1474</v>
      </c>
      <c r="C458" s="3" t="s">
        <v>1423</v>
      </c>
      <c r="D458" s="21">
        <f>VLOOKUP(B458,SYS!$F$5:$G$360,2,FALSE)</f>
        <v>349</v>
      </c>
      <c r="E458" s="21">
        <f>VLOOKUP(C458,SYS!$F$5:$G$360,2,FALSE)</f>
        <v>316</v>
      </c>
      <c r="F458" s="11">
        <v>3</v>
      </c>
      <c r="G458" s="11">
        <v>1.8700000000000001E-2</v>
      </c>
      <c r="H458" s="54">
        <v>-1</v>
      </c>
      <c r="I458" s="54">
        <v>-1</v>
      </c>
      <c r="J458" s="49">
        <v>0</v>
      </c>
      <c r="K458" s="25">
        <f t="shared" si="25"/>
        <v>6.0000000000000006E-4</v>
      </c>
      <c r="L458" s="26">
        <v>1.448</v>
      </c>
      <c r="M458" s="26">
        <v>1.448</v>
      </c>
      <c r="N458" s="11" t="s">
        <v>814</v>
      </c>
      <c r="O458" s="26" t="str">
        <f>VLOOKUP(TRN!D458,SYS!$G$5:$H$360,2,FALSE)</f>
        <v>南宮崎変電所</v>
      </c>
      <c r="P458" s="26" t="str">
        <f>VLOOKUP(TRN!E458,SYS!$G$5:$H$360,2,FALSE)</f>
        <v>宮崎変電所</v>
      </c>
      <c r="S458" s="1"/>
      <c r="T458" s="88">
        <v>1.1133088103140898</v>
      </c>
      <c r="U458" s="89">
        <v>2.5185423834482052</v>
      </c>
    </row>
    <row r="459" spans="1:21" x14ac:dyDescent="0.2">
      <c r="A459" s="3">
        <v>454</v>
      </c>
      <c r="B459" s="3" t="s">
        <v>1462</v>
      </c>
      <c r="C459" s="3" t="s">
        <v>1476</v>
      </c>
      <c r="D459" s="21">
        <f>VLOOKUP(B459,SYS!$F$5:$G$360,2,FALSE)</f>
        <v>336</v>
      </c>
      <c r="E459" s="21">
        <f>VLOOKUP(C459,SYS!$F$5:$G$360,2,FALSE)</f>
        <v>350</v>
      </c>
      <c r="F459" s="49">
        <v>8</v>
      </c>
      <c r="G459" s="64">
        <f t="shared" ref="G459:G464" si="32">$L$2/L459</f>
        <v>0.4812488746307893</v>
      </c>
      <c r="H459" s="54">
        <v>-1</v>
      </c>
      <c r="I459" s="54">
        <v>-1</v>
      </c>
      <c r="J459" s="49">
        <v>0</v>
      </c>
      <c r="K459" s="25">
        <f t="shared" si="25"/>
        <v>1.6000000000000001E-3</v>
      </c>
      <c r="L459" s="26">
        <v>0.54400000000000004</v>
      </c>
      <c r="M459" s="26">
        <v>0.54400000000000004</v>
      </c>
      <c r="N459" s="11" t="s">
        <v>815</v>
      </c>
      <c r="O459" s="26" t="str">
        <f>VLOOKUP(TRN!D459,SYS!$G$5:$H$360,2,FALSE)</f>
        <v>鳥栖変電所</v>
      </c>
      <c r="P459" s="26" t="str">
        <f>VLOOKUP(TRN!E459,SYS!$G$5:$H$360,2,FALSE)</f>
        <v>久留米変電所</v>
      </c>
      <c r="S459" s="1"/>
      <c r="T459" s="88">
        <v>4.1677532103659329</v>
      </c>
      <c r="U459" s="89">
        <v>3.657002880471889</v>
      </c>
    </row>
    <row r="460" spans="1:21" x14ac:dyDescent="0.2">
      <c r="A460" s="3">
        <v>455</v>
      </c>
      <c r="B460" s="3" t="s">
        <v>1417</v>
      </c>
      <c r="C460" s="3" t="s">
        <v>1584</v>
      </c>
      <c r="D460" s="21">
        <f>VLOOKUP(B460,SYS!$F$5:$G$360,2,FALSE)</f>
        <v>310</v>
      </c>
      <c r="E460" s="21">
        <f>VLOOKUP(C460,SYS!$F$5:$G$360,2,FALSE)</f>
        <v>351</v>
      </c>
      <c r="F460" s="7">
        <v>16</v>
      </c>
      <c r="G460" s="64">
        <f t="shared" si="32"/>
        <v>0.26179938779914941</v>
      </c>
      <c r="H460" s="6">
        <v>-1</v>
      </c>
      <c r="I460" s="6">
        <v>-1</v>
      </c>
      <c r="J460" s="7">
        <v>0</v>
      </c>
      <c r="K460" s="25">
        <f t="shared" si="25"/>
        <v>3.2000000000000002E-3</v>
      </c>
      <c r="L460" s="32">
        <v>1</v>
      </c>
      <c r="M460" s="32">
        <v>1</v>
      </c>
      <c r="N460" s="11" t="s">
        <v>816</v>
      </c>
      <c r="O460" s="26" t="str">
        <f>VLOOKUP(TRN!D460,SYS!$G$5:$H$360,2,FALSE)</f>
        <v>中央変電所</v>
      </c>
      <c r="P460" s="26" t="str">
        <f>VLOOKUP(TRN!E460,SYS!$G$5:$H$360,2,FALSE)</f>
        <v>南福岡変電所</v>
      </c>
      <c r="Q460" s="26">
        <v>0.52300000000000002</v>
      </c>
      <c r="S460" s="1"/>
      <c r="T460" s="88">
        <v>2.6479002199759125</v>
      </c>
      <c r="U460" s="89">
        <v>2.0068230163187768</v>
      </c>
    </row>
    <row r="461" spans="1:21" x14ac:dyDescent="0.2">
      <c r="A461" s="3">
        <v>456</v>
      </c>
      <c r="B461" s="3" t="s">
        <v>1478</v>
      </c>
      <c r="C461" s="3" t="s">
        <v>1394</v>
      </c>
      <c r="D461" s="21">
        <f>VLOOKUP(B461,SYS!$F$5:$G$360,2,FALSE)</f>
        <v>352</v>
      </c>
      <c r="E461" s="21">
        <f>VLOOKUP(C461,SYS!$F$5:$G$360,2,FALSE)</f>
        <v>335</v>
      </c>
      <c r="F461" s="7">
        <v>30</v>
      </c>
      <c r="G461" s="11">
        <v>0.20399999999999999</v>
      </c>
      <c r="H461" s="6">
        <v>-1</v>
      </c>
      <c r="I461" s="6">
        <v>-1</v>
      </c>
      <c r="J461" s="7">
        <v>0</v>
      </c>
      <c r="K461" s="25">
        <f t="shared" si="25"/>
        <v>6.0000000000000001E-3</v>
      </c>
      <c r="L461" s="26">
        <v>1.4470000000000001</v>
      </c>
      <c r="M461" s="26">
        <v>1.4470000000000001</v>
      </c>
      <c r="N461" s="11" t="s">
        <v>817</v>
      </c>
      <c r="O461" s="26" t="str">
        <f>VLOOKUP(TRN!D461,SYS!$G$5:$H$360,2,FALSE)</f>
        <v>北佐賀変電所</v>
      </c>
      <c r="P461" s="26" t="str">
        <f>VLOOKUP(TRN!E461,SYS!$G$5:$H$360,2,FALSE)</f>
        <v>木佐木変電所</v>
      </c>
      <c r="S461" s="1"/>
      <c r="T461" s="88">
        <v>0.82826921099069239</v>
      </c>
      <c r="U461" s="89">
        <v>11530.335454557675</v>
      </c>
    </row>
    <row r="462" spans="1:21" x14ac:dyDescent="0.2">
      <c r="A462" s="3">
        <v>457</v>
      </c>
      <c r="B462" s="3" t="s">
        <v>1441</v>
      </c>
      <c r="C462" s="3" t="s">
        <v>1480</v>
      </c>
      <c r="D462" s="21">
        <f>VLOOKUP(B462,SYS!$F$5:$G$360,2,FALSE)</f>
        <v>323</v>
      </c>
      <c r="E462" s="21">
        <f>VLOOKUP(C462,SYS!$F$5:$G$360,2,FALSE)</f>
        <v>353</v>
      </c>
      <c r="F462" s="7">
        <v>21</v>
      </c>
      <c r="G462" s="64">
        <f t="shared" si="32"/>
        <v>0.4040114009246133</v>
      </c>
      <c r="H462" s="6">
        <v>-1</v>
      </c>
      <c r="I462" s="6">
        <v>-1</v>
      </c>
      <c r="J462" s="7">
        <v>0</v>
      </c>
      <c r="K462" s="25">
        <f t="shared" si="25"/>
        <v>4.2000000000000006E-3</v>
      </c>
      <c r="L462" s="26">
        <v>0.64800000000000002</v>
      </c>
      <c r="M462" s="26">
        <v>0.64800000000000002</v>
      </c>
      <c r="N462" s="11" t="s">
        <v>818</v>
      </c>
      <c r="O462" s="26" t="str">
        <f>VLOOKUP(TRN!D462,SYS!$G$5:$H$360,2,FALSE)</f>
        <v>西大分変電所</v>
      </c>
      <c r="P462" s="26" t="str">
        <f>VLOOKUP(TRN!E462,SYS!$G$5:$H$360,2,FALSE)</f>
        <v>速見変電所</v>
      </c>
      <c r="S462" s="1"/>
      <c r="T462" s="88">
        <v>5648.6666024647584</v>
      </c>
      <c r="U462" s="89">
        <v>2.2434021566790916</v>
      </c>
    </row>
    <row r="463" spans="1:21" x14ac:dyDescent="0.2">
      <c r="A463" s="3">
        <v>458</v>
      </c>
      <c r="B463" s="3" t="s">
        <v>1411</v>
      </c>
      <c r="C463" s="3" t="s">
        <v>1482</v>
      </c>
      <c r="D463" s="21">
        <f>VLOOKUP(B463,SYS!$F$5:$G$360,2,FALSE)</f>
        <v>307</v>
      </c>
      <c r="E463" s="21">
        <f>VLOOKUP(C463,SYS!$F$5:$G$360,2,FALSE)</f>
        <v>354</v>
      </c>
      <c r="F463" s="7">
        <v>20</v>
      </c>
      <c r="G463" s="64">
        <f t="shared" si="32"/>
        <v>0.71141137988899295</v>
      </c>
      <c r="H463" s="6">
        <v>-1</v>
      </c>
      <c r="I463" s="6">
        <v>-1</v>
      </c>
      <c r="J463" s="7">
        <v>0</v>
      </c>
      <c r="K463" s="25">
        <f t="shared" si="25"/>
        <v>4.0000000000000001E-3</v>
      </c>
      <c r="L463" s="26">
        <v>0.36799999999999999</v>
      </c>
      <c r="M463" s="26">
        <v>0.36799999999999999</v>
      </c>
      <c r="N463" s="11" t="s">
        <v>819</v>
      </c>
      <c r="O463" s="26" t="str">
        <f>VLOOKUP(TRN!D463,SYS!$G$5:$H$360,2,FALSE)</f>
        <v>脊振変電所</v>
      </c>
      <c r="P463" s="26" t="str">
        <f>VLOOKUP(TRN!E463,SYS!$G$5:$H$360,2,FALSE)</f>
        <v>伊都変電所</v>
      </c>
      <c r="S463" s="1"/>
      <c r="T463" s="88">
        <v>4.6684685394973888</v>
      </c>
      <c r="U463" s="89">
        <v>7.6716494361557457</v>
      </c>
    </row>
    <row r="464" spans="1:21" ht="15.75" thickBot="1" x14ac:dyDescent="0.25">
      <c r="A464" s="3">
        <v>459</v>
      </c>
      <c r="B464" s="3" t="s">
        <v>1464</v>
      </c>
      <c r="C464" s="3" t="s">
        <v>1484</v>
      </c>
      <c r="D464" s="21">
        <f>VLOOKUP(B464,SYS!$F$5:$G$360,2,FALSE)</f>
        <v>338</v>
      </c>
      <c r="E464" s="21">
        <f>VLOOKUP(C464,SYS!$F$5:$G$360,2,FALSE)</f>
        <v>355</v>
      </c>
      <c r="F464" s="7">
        <v>1</v>
      </c>
      <c r="G464" s="64">
        <f t="shared" si="32"/>
        <v>0.33955822023235982</v>
      </c>
      <c r="H464" s="6">
        <v>-1</v>
      </c>
      <c r="I464" s="6">
        <v>-1</v>
      </c>
      <c r="J464" s="7">
        <v>0</v>
      </c>
      <c r="K464" s="25">
        <f t="shared" si="25"/>
        <v>2.0000000000000001E-4</v>
      </c>
      <c r="L464" s="26">
        <v>0.77100000000000002</v>
      </c>
      <c r="M464" s="26">
        <v>0.77100000000000002</v>
      </c>
      <c r="N464" s="11" t="s">
        <v>820</v>
      </c>
      <c r="O464" s="26" t="str">
        <f>VLOOKUP(TRN!D464,SYS!$G$5:$H$360,2,FALSE)</f>
        <v>南熊本変電所</v>
      </c>
      <c r="P464" s="26" t="str">
        <f>VLOOKUP(TRN!E464,SYS!$G$5:$H$360,2,FALSE)</f>
        <v>弓削変電所</v>
      </c>
      <c r="S464" s="1"/>
      <c r="T464" s="92">
        <v>4.7377770600506448</v>
      </c>
      <c r="U464" s="93">
        <v>2.0380509242216531</v>
      </c>
    </row>
    <row r="465" spans="6:13" x14ac:dyDescent="0.15">
      <c r="F465" s="5"/>
      <c r="G465" s="5"/>
      <c r="J465" s="5"/>
      <c r="K465" s="5"/>
      <c r="L465" s="5"/>
      <c r="M465" s="5"/>
    </row>
  </sheetData>
  <sortState ref="A4:N169">
    <sortCondition ref="A4:A169"/>
  </sortState>
  <mergeCells count="1">
    <mergeCell ref="A1:E1"/>
  </mergeCells>
  <phoneticPr fontId="18"/>
  <conditionalFormatting sqref="T29:U464">
    <cfRule type="cellIs" dxfId="3" priority="4" operator="greaterThanOrEqual">
      <formula>500000</formula>
    </cfRule>
  </conditionalFormatting>
  <conditionalFormatting sqref="T29:U464">
    <cfRule type="cellIs" dxfId="2" priority="5" operator="greaterThanOrEqual">
      <formula>50000</formula>
    </cfRule>
    <cfRule type="cellIs" dxfId="1" priority="6" operator="greaterThanOrEqual">
      <formula>5000</formula>
    </cfRule>
  </conditionalFormatting>
  <conditionalFormatting sqref="V67:W214 L29:M464">
    <cfRule type="cellIs" dxfId="0" priority="3" operator="lessThanOrEqual">
      <formula>0.2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33</vt:i4>
      </vt:variant>
    </vt:vector>
  </HeadingPairs>
  <TitlesOfParts>
    <vt:vector size="35" baseType="lpstr">
      <vt:lpstr>SYS</vt:lpstr>
      <vt:lpstr>TRN</vt:lpstr>
      <vt:lpstr>AIR</vt:lpstr>
      <vt:lpstr>ANR</vt:lpstr>
      <vt:lpstr>ARF</vt:lpstr>
      <vt:lpstr>BB</vt:lpstr>
      <vt:lpstr>BLT</vt:lpstr>
      <vt:lpstr>CO2Max</vt:lpstr>
      <vt:lpstr>CO2Tax</vt:lpstr>
      <vt:lpstr>COM</vt:lpstr>
      <vt:lpstr>D0</vt:lpstr>
      <vt:lpstr>DB</vt:lpstr>
      <vt:lpstr>DE</vt:lpstr>
      <vt:lpstr>DELTA</vt:lpstr>
      <vt:lpstr>FATX</vt:lpstr>
      <vt:lpstr>KTmax</vt:lpstr>
      <vt:lpstr>KTmin</vt:lpstr>
      <vt:lpstr>LFCF</vt:lpstr>
      <vt:lpstr>LOSS</vt:lpstr>
      <vt:lpstr>MAX_SNSP</vt:lpstr>
      <vt:lpstr>MFLOW</vt:lpstr>
      <vt:lpstr>NMD</vt:lpstr>
      <vt:lpstr>NN</vt:lpstr>
      <vt:lpstr>O_M_rate</vt:lpstr>
      <vt:lpstr>QN</vt:lpstr>
      <vt:lpstr>RS</vt:lpstr>
      <vt:lpstr>SCALE</vt:lpstr>
      <vt:lpstr>SNN</vt:lpstr>
      <vt:lpstr>SOMAX</vt:lpstr>
      <vt:lpstr>SOMIN</vt:lpstr>
      <vt:lpstr>SVR</vt:lpstr>
      <vt:lpstr>T0</vt:lpstr>
      <vt:lpstr>TFC</vt:lpstr>
      <vt:lpstr>TI</vt:lpstr>
      <vt:lpstr>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康正</dc:creator>
  <cp:lastModifiedBy>田原 聡史</cp:lastModifiedBy>
  <cp:lastPrinted>2011-11-08T07:36:57Z</cp:lastPrinted>
  <dcterms:created xsi:type="dcterms:W3CDTF">2010-09-10T06:00:32Z</dcterms:created>
  <dcterms:modified xsi:type="dcterms:W3CDTF">2022-01-01T15:56:56Z</dcterms:modified>
</cp:coreProperties>
</file>